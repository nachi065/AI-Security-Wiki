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Library'!$A$4:$AA$50</definedName>
    <definedName function="false" hidden="true" localSheetId="5" name="_xlnm._FilterDatabase" vbProcedure="false">'Framework Crosswalk'!$A$4:$L$895</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<sst xmlns="http://schemas.openxmlformats.org/spreadsheetml/2006/main" count="9290" uniqueCount="3545">
  <si>
    <t xml:space="preserve">AI Security Control Library and Crosswalks</t>
  </si>
  <si>
    <t xml:space="preserve">Built from the AI Security Wiki (https://nachi065.github.io/AI-Security-Wiki/) on 24 October 2026. Version 1.1.</t>
  </si>
  <si>
    <t xml:space="preserve">Read first</t>
  </si>
  <si>
    <t xml:space="preserve">What this is</t>
  </si>
  <si>
    <t xml:space="preserve">The wiki's 46 AI security controls with every field from the Control Objectives Library, ready to track implementation and testing, cross-referenced to 891 items across 47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</si>
  <si>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</si>
  <si>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</si>
  <si>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</si>
  <si>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</si>
  <si>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</si>
  <si>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</si>
  <si>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</si>
  <si>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</si>
  <si>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</si>
  <si>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</si>
  <si>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</si>
  <si>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</si>
  <si>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</si>
  <si>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</si>
  <si>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</si>
  <si>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</si>
  <si>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</si>
  <si>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</si>
  <si>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</si>
  <si>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</si>
  <si>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</si>
  <si>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</si>
  <si>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</si>
  <si>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</si>
  <si>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</si>
  <si>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</si>
  <si>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</si>
  <si>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</si>
  <si>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</si>
  <si>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</si>
  <si>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</si>
  <si>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</si>
  <si>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27 columns.</t>
  </si>
  <si>
    <t xml:space="preserve">Coverage</t>
  </si>
  <si>
    <t xml:space="preserve">Coverage for each of the 47 framework columns.</t>
  </si>
  <si>
    <t xml:space="preserve">Framework Crosswalk</t>
  </si>
  <si>
    <t xml:space="preserve">891 framework items with controls and coverage.</t>
  </si>
  <si>
    <t xml:space="preserve">Framework Matrix</t>
  </si>
  <si>
    <t xml:space="preserve">46 controls by 47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</si>
  <si>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</si>
  <si>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</si>
  <si>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</si>
  <si>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</si>
  <si>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</si>
  <si>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</si>
  <si>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</si>
  <si>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</si>
  <si>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</si>
  <si>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</si>
  <si>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</si>
  <si>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</si>
  <si>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</si>
  <si>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</si>
  <si>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</si>
  <si>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</si>
  <si>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</si>
  <si>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and Ankush Jain. Licensed under CC BY-SA 4.0 (https://creativecommons.org/licenses/by-sa/4.0/). See the License sheet for credit, ShareAlike and third-party terms.</t>
  </si>
  <si>
    <t xml:space="preserve">AI Security Control Library and Crosswalks, version 1.1, 24 October 2026</t>
  </si>
  <si>
    <t xml:space="preserve">License notice</t>
  </si>
  <si>
    <t xml:space="preserve">Work</t>
  </si>
  <si>
    <t xml:space="preserve">Copyright</t>
  </si>
  <si>
    <t xml:space="preserve">Copyright (c) 2026 Nachiket Sathaye and Ankush Jain.</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</si>
  <si>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</si>
  <si>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</si>
  <si>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</si>
  <si>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</si>
  <si>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</si>
  <si>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</si>
  <si>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</si>
  <si>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</si>
  <si>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</si>
  <si>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</si>
  <si>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</si>
  <si>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</si>
  <si>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</si>
  <si>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and Ankush Jain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</si>
  <si>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</si>
  <si>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</si>
  <si>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</si>
  <si>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</si>
  <si>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</si>
  <si>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</si>
  <si>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</si>
  <si>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</si>
  <si>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</si>
  <si>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</si>
  <si>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</si>
  <si>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</si>
  <si>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AI-R46 they map to, are adapted by the wiki from the AI Risk Map v1.3 (2026) by Evan Wheeler, RiskFramework.org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</si>
  <si>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</si>
  <si>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</si>
  <si>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</si>
  <si>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</si>
  <si>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</si>
  <si>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</si>
  <si>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</si>
  <si>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</si>
  <si>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</si>
  <si>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</si>
  <si>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</si>
  <si>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</si>
  <si>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</si>
  <si>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</si>
  <si>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</si>
  <si>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</si>
  <si>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</si>
  <si>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</si>
  <si>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</si>
  <si>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</si>
  <si>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</si>
  <si>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</si>
  <si>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</si>
  <si>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</si>
  <si>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</si>
  <si>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</si>
  <si>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</si>
  <si>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</si>
  <si>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</si>
  <si>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</si>
  <si>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</si>
  <si>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</si>
  <si>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</si>
  <si>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</si>
  <si>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</si>
  <si>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</si>
  <si>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</si>
  <si>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</si>
  <si>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</si>
  <si>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</si>
  <si>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</si>
  <si>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</si>
  <si>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</si>
  <si>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</si>
  <si>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Assurance Stage</t>
  </si>
  <si>
    <t xml:space="preserve">Deployment Model</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</si>
  <si>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</si>
  <si>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</si>
  <si>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</si>
  <si>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</si>
  <si>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</si>
  <si>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</si>
  <si>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</si>
  <si>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</si>
  <si>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</si>
  <si>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</si>
  <si>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</si>
  <si>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</si>
  <si>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</si>
  <si>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</si>
  <si>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</si>
  <si>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</si>
  <si>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</si>
  <si>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</si>
  <si>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</si>
  <si>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</si>
  <si>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</si>
  <si>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</si>
  <si>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</si>
  <si>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Discovery</t>
  </si>
  <si>
    <t xml:space="preserve">All</t>
  </si>
  <si>
    <t xml:space="preserve">AI-R02</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</si>
  <si>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</si>
  <si>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</si>
  <si>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</si>
  <si>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</si>
  <si>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</si>
  <si>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</si>
  <si>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</si>
  <si>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</si>
  <si>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</si>
  <si>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</si>
  <si>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Implementation</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</si>
  <si>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</si>
  <si>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</si>
  <si>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</si>
  <si>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</si>
  <si>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</si>
  <si>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</si>
  <si>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</si>
  <si>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</si>
  <si>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</si>
  <si>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</si>
  <si>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</si>
  <si>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</si>
  <si>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</si>
  <si>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</si>
  <si>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</si>
  <si>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</si>
  <si>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</si>
  <si>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</si>
  <si>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</si>
  <si>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</si>
  <si>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</si>
  <si>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</si>
  <si>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</si>
  <si>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</si>
  <si>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</si>
  <si>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</si>
  <si>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</si>
  <si>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</si>
  <si>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</si>
  <si>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</si>
  <si>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</si>
  <si>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</si>
  <si>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</si>
  <si>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</si>
  <si>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</si>
  <si>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</si>
  <si>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Design</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</si>
  <si>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</si>
  <si>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</si>
  <si>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</si>
  <si>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</si>
  <si>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</si>
  <si>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</si>
  <si>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</si>
  <si>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</si>
  <si>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</si>
  <si>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Cloud</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</si>
  <si>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</si>
  <si>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</si>
  <si>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</si>
  <si>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</si>
  <si>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</si>
  <si>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</si>
  <si>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</si>
  <si>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</si>
  <si>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</si>
  <si>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Platform</t>
  </si>
  <si>
    <t xml:space="preserve">AI-R09, AI-R15, AI-R26</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</si>
  <si>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</si>
  <si>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</si>
  <si>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</si>
  <si>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</si>
  <si>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</si>
  <si>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</si>
  <si>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</si>
  <si>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Production</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</si>
  <si>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</si>
  <si>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</si>
  <si>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</si>
  <si>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</si>
  <si>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</si>
  <si>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</si>
  <si>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</si>
  <si>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</si>
  <si>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</si>
  <si>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</si>
  <si>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</si>
  <si>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</si>
  <si>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</si>
  <si>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</si>
  <si>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</si>
  <si>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</si>
  <si>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t>
  </si>
  <si>
    <t xml:space="preserve">Use-case registry; intake and approval records; tiering criteria; re-tiering history.</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</si>
  <si>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</si>
  <si>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</si>
  <si>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</si>
  <si>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</si>
  <si>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</si>
  <si>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</si>
  <si>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Define roles and decision rights, and record governance decisions. Map each policy statement to a control in this library. Train users and reinforce the rules at the point of use.</t>
  </si>
  <si>
    <t xml:space="preserve">Approved policy;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</si>
  <si>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</si>
  <si>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</si>
  <si>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</si>
  <si>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</si>
  <si>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</si>
  <si>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</si>
  <si>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</si>
  <si>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</si>
  <si>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</si>
  <si>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</si>
  <si>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</si>
  <si>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</si>
  <si>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</si>
  <si>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</si>
  <si>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</si>
  <si>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</si>
  <si>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</si>
  <si>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</si>
  <si>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</si>
  <si>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</si>
  <si>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</si>
  <si>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</si>
  <si>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</si>
  <si>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</si>
  <si>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</si>
  <si>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</si>
  <si>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</si>
  <si>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</si>
  <si>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</si>
  <si>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</si>
  <si>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</si>
  <si>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</si>
  <si>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</si>
  <si>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</si>
  <si>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</si>
  <si>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</si>
  <si>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</si>
  <si>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</si>
  <si>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</si>
  <si>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</si>
  <si>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</si>
  <si>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</si>
  <si>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</si>
  <si>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</si>
  <si>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</si>
  <si>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</si>
  <si>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</si>
  <si>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</si>
  <si>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</si>
  <si>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</si>
  <si>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</si>
  <si>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</si>
  <si>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</si>
  <si>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</si>
  <si>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</si>
  <si>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</si>
  <si>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</si>
  <si>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</si>
  <si>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</si>
  <si>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</si>
  <si>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</si>
  <si>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</si>
  <si>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</si>
  <si>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</si>
  <si>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</si>
  <si>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</si>
  <si>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</si>
  <si>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</si>
  <si>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</si>
  <si>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</si>
  <si>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</si>
  <si>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</si>
  <si>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</si>
  <si>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</si>
  <si>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</si>
  <si>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</si>
  <si>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</si>
  <si>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</si>
  <si>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</si>
  <si>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</si>
  <si>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</si>
  <si>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</si>
  <si>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</si>
  <si>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</si>
  <si>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</si>
  <si>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</si>
  <si>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</si>
  <si>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</si>
  <si>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</si>
  <si>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</si>
  <si>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</si>
  <si>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</si>
  <si>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</si>
  <si>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</si>
  <si>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</si>
  <si>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</si>
  <si>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</si>
  <si>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</si>
  <si>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</si>
  <si>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</si>
  <si>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</si>
  <si>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</si>
  <si>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</si>
  <si>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Agent Containment and Kill Switch</t>
  </si>
  <si>
    <t xml:space="preserve">Stop an agent, revoke its access and limit the damage within minutes.</t>
  </si>
  <si>
    <t xml:space="preserve">AI-R07, AI-R11, AI-R21, AI-R25</t>
  </si>
  <si>
    <t xml:space="preserve">Provide a tested way to stop a single agent and to revoke credentials for all agents. Set limits on steps, time and spend per task. Know which actions can be rolled back and how.</t>
  </si>
  <si>
    <t xml:space="preserve">Kill switch procedure; test records with timings; task limits configuration.</t>
  </si>
  <si>
    <t xml:space="preserve">Start a long-running test agent and stop it. Measure the time until no further actions occur and credentials are invalid.</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</si>
  <si>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</si>
  <si>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</si>
  <si>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</si>
  <si>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</si>
  <si>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</si>
  <si>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</si>
  <si>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</si>
  <si>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</si>
  <si>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</si>
  <si>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</si>
  <si>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</si>
  <si>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</si>
  <si>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</si>
  <si>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</si>
  <si>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</si>
  <si>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</si>
  <si>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</si>
  <si>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</si>
  <si>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</si>
  <si>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PaaS/IaaS/Self-hosted</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</si>
  <si>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</si>
  <si>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</si>
  <si>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</si>
  <si>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</si>
  <si>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</si>
  <si>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</si>
  <si>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</si>
  <si>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</si>
  <si>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</si>
  <si>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</si>
  <si>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</si>
  <si>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</si>
  <si>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</si>
  <si>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</si>
  <si>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</si>
  <si>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</si>
  <si>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</si>
  <si>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</si>
  <si>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</si>
  <si>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</si>
  <si>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</si>
  <si>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</si>
  <si>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</si>
  <si>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</si>
  <si>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</si>
  <si>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</si>
  <si>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</si>
  <si>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</si>
  <si>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</si>
  <si>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</si>
  <si>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</si>
  <si>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</si>
  <si>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</si>
  <si>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</si>
  <si>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</si>
  <si>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</si>
  <si>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</si>
  <si>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</si>
  <si>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</si>
  <si>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</si>
  <si>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</si>
  <si>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</si>
  <si>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</si>
  <si>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</si>
  <si>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</si>
  <si>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</si>
  <si>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</si>
  <si>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</si>
  <si>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</si>
  <si>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</si>
  <si>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</si>
  <si>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</si>
  <si>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</si>
  <si>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</si>
  <si>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</si>
  <si>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</si>
  <si>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</si>
  <si>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</si>
  <si>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</si>
  <si>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</si>
  <si>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</si>
  <si>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</si>
  <si>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</si>
  <si>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</si>
  <si>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</si>
  <si>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</si>
  <si>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</si>
  <si>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</si>
  <si>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</si>
  <si>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</si>
  <si>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</si>
  <si>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</si>
  <si>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</si>
  <si>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</si>
  <si>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</si>
  <si>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</si>
  <si>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</si>
  <si>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</si>
  <si>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</si>
  <si>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</si>
  <si>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</si>
  <si>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</si>
  <si>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</si>
  <si>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</si>
  <si>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</si>
  <si>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</si>
  <si>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</si>
  <si>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</si>
  <si>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</si>
  <si>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</si>
  <si>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</si>
  <si>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</si>
  <si>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</si>
  <si>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</si>
  <si>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</si>
  <si>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</si>
  <si>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</si>
  <si>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</si>
  <si>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</si>
  <si>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</si>
  <si>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</si>
  <si>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</si>
  <si>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</si>
  <si>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</si>
  <si>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</si>
  <si>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</si>
  <si>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</si>
  <si>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</si>
  <si>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</si>
  <si>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</si>
  <si>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</si>
  <si>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</si>
  <si>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</si>
  <si>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</si>
  <si>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</si>
  <si>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</si>
  <si>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</si>
  <si>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</si>
  <si>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</si>
  <si>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</si>
  <si>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</si>
  <si>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</si>
  <si>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</si>
  <si>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</si>
  <si>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</si>
  <si>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</si>
  <si>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</si>
  <si>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</si>
  <si>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</si>
  <si>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</si>
  <si>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</si>
  <si>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</si>
  <si>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</si>
  <si>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</si>
  <si>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</si>
  <si>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</si>
  <si>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</si>
  <si>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</si>
  <si>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</si>
  <si>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</si>
  <si>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</si>
  <si>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</si>
  <si>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</si>
  <si>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</si>
  <si>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</si>
  <si>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</si>
  <si>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</si>
  <si>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</si>
  <si>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</si>
  <si>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</si>
  <si>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</si>
  <si>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</si>
  <si>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</si>
  <si>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</si>
  <si>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</si>
  <si>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</si>
  <si>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</si>
  <si>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</si>
  <si>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</si>
  <si>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</si>
  <si>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</si>
  <si>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</si>
  <si>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</si>
  <si>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</si>
  <si>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</si>
  <si>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</si>
  <si>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</si>
  <si>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</si>
  <si>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</si>
  <si>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</si>
  <si>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</si>
  <si>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</si>
  <si>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</si>
  <si>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</si>
  <si>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</si>
  <si>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</si>
  <si>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</si>
  <si>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</si>
  <si>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</si>
  <si>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</si>
  <si>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</si>
  <si>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</si>
  <si>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</si>
  <si>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</si>
  <si>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</si>
  <si>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</si>
  <si>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</si>
  <si>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</si>
  <si>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</si>
  <si>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</si>
  <si>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</si>
  <si>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</si>
  <si>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</si>
  <si>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</si>
  <si>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</si>
  <si>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</si>
  <si>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</si>
  <si>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</si>
  <si>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</si>
  <si>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</si>
  <si>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</si>
  <si>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</si>
  <si>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</si>
  <si>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</si>
  <si>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</si>
  <si>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</si>
  <si>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</si>
  <si>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</si>
  <si>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</si>
  <si>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</si>
  <si>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</si>
  <si>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</si>
  <si>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</si>
  <si>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</si>
  <si>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</si>
  <si>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</si>
  <si>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</si>
  <si>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</si>
  <si>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</si>
  <si>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</si>
  <si>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</si>
  <si>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</si>
  <si>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</si>
  <si>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</si>
  <si>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891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</si>
  <si>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</si>
  <si>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</si>
  <si>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</si>
  <si>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</si>
  <si>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</si>
  <si>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</si>
  <si>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</si>
  <si>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</si>
  <si>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</si>
  <si>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</si>
  <si>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</si>
  <si>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</si>
  <si>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</si>
  <si>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</si>
  <si>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</si>
  <si>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</si>
  <si>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</si>
  <si>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</si>
  <si>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</si>
  <si>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</si>
  <si>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</si>
  <si>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</si>
  <si>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</si>
  <si>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</si>
  <si>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</si>
  <si>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</si>
  <si>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</si>
  <si>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</si>
  <si>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</si>
  <si>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</si>
  <si>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</si>
  <si>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</si>
  <si>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</si>
  <si>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</si>
  <si>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</si>
  <si>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</si>
  <si>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</si>
  <si>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</si>
  <si>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</si>
  <si>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</si>
  <si>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</si>
  <si>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</si>
  <si>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</si>
  <si>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</si>
  <si>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</si>
  <si>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</si>
  <si>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</si>
  <si>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</si>
  <si>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</si>
  <si>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</si>
  <si>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</si>
  <si>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</si>
  <si>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</si>
  <si>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</si>
  <si>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</si>
  <si>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</si>
  <si>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</si>
  <si>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</si>
  <si>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</si>
  <si>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</si>
  <si>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</si>
  <si>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</si>
  <si>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</si>
  <si>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</si>
  <si>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</si>
  <si>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</si>
  <si>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</si>
  <si>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</si>
  <si>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</si>
  <si>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</si>
  <si>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</si>
  <si>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</si>
  <si>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</si>
  <si>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</si>
  <si>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</si>
  <si>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</si>
  <si>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</si>
  <si>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</si>
  <si>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</si>
  <si>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</si>
  <si>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</si>
  <si>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</si>
  <si>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</si>
  <si>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</si>
  <si>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</si>
  <si>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</si>
  <si>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</si>
  <si>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</si>
  <si>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</si>
  <si>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</si>
  <si>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</si>
  <si>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</si>
  <si>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</si>
  <si>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</si>
  <si>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</si>
  <si>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</si>
  <si>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</si>
  <si>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</si>
  <si>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</si>
  <si>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</si>
  <si>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</si>
  <si>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</si>
  <si>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</si>
  <si>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</si>
  <si>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</si>
  <si>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</si>
  <si>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</si>
  <si>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</si>
  <si>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</si>
  <si>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</si>
  <si>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</si>
  <si>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</si>
  <si>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</si>
  <si>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</si>
  <si>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</si>
  <si>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</si>
  <si>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</si>
  <si>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</si>
  <si>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</si>
  <si>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</si>
  <si>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</si>
  <si>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</si>
  <si>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</si>
  <si>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</si>
  <si>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</si>
  <si>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</si>
  <si>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</si>
  <si>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</si>
  <si>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</si>
  <si>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</si>
  <si>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</si>
  <si>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</si>
  <si>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</si>
  <si>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</si>
  <si>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</si>
  <si>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</si>
  <si>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</si>
  <si>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</si>
  <si>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</si>
  <si>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</si>
  <si>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</si>
  <si>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</si>
  <si>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</si>
  <si>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</si>
  <si>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</si>
  <si>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</si>
  <si>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</si>
  <si>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</si>
  <si>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</si>
  <si>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</si>
  <si>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</si>
  <si>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</si>
  <si>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</si>
  <si>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</si>
  <si>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</si>
  <si>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</si>
  <si>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</si>
  <si>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</si>
  <si>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</si>
  <si>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</si>
  <si>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</si>
  <si>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</si>
  <si>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</si>
  <si>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</si>
  <si>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</si>
  <si>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</si>
  <si>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</si>
  <si>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</si>
  <si>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</si>
  <si>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</si>
  <si>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</si>
  <si>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</si>
  <si>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</si>
  <si>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</si>
  <si>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</si>
  <si>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</si>
  <si>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</si>
  <si>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</si>
  <si>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</si>
  <si>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</si>
  <si>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</si>
  <si>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</si>
  <si>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</si>
  <si>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</si>
  <si>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</si>
  <si>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</si>
  <si>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</si>
  <si>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</si>
  <si>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</si>
  <si>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</si>
  <si>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</si>
  <si>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</si>
  <si>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</si>
  <si>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</si>
  <si>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</si>
  <si>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</si>
  <si>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</si>
  <si>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</si>
  <si>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</si>
  <si>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</si>
  <si>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</si>
  <si>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</si>
  <si>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</si>
  <si>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</si>
  <si>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</si>
  <si>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</si>
  <si>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</si>
  <si>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</si>
  <si>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</si>
  <si>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</si>
  <si>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</si>
  <si>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AI-CTRL-032, AI-CTRL-037, AI-CTRL-038, AI-CTRL-042, AI-CTRL-043, AI-CTRL-045</t>
  </si>
  <si>
    <t xml:space="preserve">AI-R03, AI-R06, AI-R10, AI-R28</t>
  </si>
  <si>
    <t xml:space="preserve">03 Quality and labeling</t>
  </si>
  <si>
    <t xml:space="preserve">Quality and labeling</t>
  </si>
  <si>
    <t xml:space="preserve">03 Retention and disposal</t>
  </si>
  <si>
    <t xml:space="preserve">Retention and disposal</t>
  </si>
  <si>
    <t xml:space="preserve">AI-CTRL-008, AI-CTRL-025, AI-CTRL-026, AI-CTRL-027, AI-CTRL-035, AI-CTRL-038</t>
  </si>
  <si>
    <t xml:space="preserve">AI-R21, AI-R38</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</si>
  <si>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</si>
  <si>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</si>
  <si>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</si>
  <si>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</si>
  <si>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</si>
  <si>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</si>
  <si>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</si>
  <si>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</si>
  <si>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</si>
  <si>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</si>
  <si>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</si>
  <si>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</si>
  <si>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</si>
  <si>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</si>
  <si>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</si>
  <si>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</si>
  <si>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</si>
  <si>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AI-CTRL-035, AI-CTRL-038, AI-CTRL-041, AI-CTRL-043</t>
  </si>
  <si>
    <t xml:space="preserve">AI-R09, AI-R15</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</si>
  <si>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</si>
  <si>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</si>
  <si>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</si>
  <si>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</si>
  <si>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</si>
  <si>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</si>
  <si>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</si>
  <si>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</si>
  <si>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</si>
  <si>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</si>
  <si>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</si>
  <si>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</si>
  <si>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</si>
  <si>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</si>
  <si>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</si>
  <si>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</si>
  <si>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</si>
  <si>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</si>
  <si>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</si>
  <si>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</si>
  <si>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</si>
  <si>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</si>
  <si>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</si>
  <si>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</si>
  <si>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</si>
  <si>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</si>
  <si>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</si>
  <si>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</si>
  <si>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</si>
  <si>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</si>
  <si>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</si>
  <si>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</si>
  <si>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</si>
  <si>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</si>
  <si>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</si>
  <si>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</si>
  <si>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</si>
  <si>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</si>
  <si>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</si>
  <si>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</si>
  <si>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</si>
  <si>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</si>
  <si>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AI-CTRL-014, AI-CTRL-031, AI-CTRL-033, AI-CTRL-034, AI-CTRL-039, AI-CTRL-040, AI-CTRL-045</t>
  </si>
  <si>
    <t xml:space="preserve">AI-R16, AI-R42</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</si>
  <si>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</si>
  <si>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</si>
  <si>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</si>
  <si>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</si>
  <si>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</si>
  <si>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</si>
  <si>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</si>
  <si>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</si>
  <si>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</si>
  <si>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07 MLOps and deployment</t>
  </si>
  <si>
    <t xml:space="preserve">MLOps and deployment</t>
  </si>
  <si>
    <t xml:space="preserve">AI-R02, AI-R16</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</si>
  <si>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</si>
  <si>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</si>
  <si>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</si>
  <si>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</si>
  <si>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</si>
  <si>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</si>
  <si>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</si>
  <si>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</si>
  <si>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</si>
  <si>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</si>
  <si>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</si>
  <si>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</si>
  <si>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</si>
  <si>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</si>
  <si>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</si>
  <si>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</si>
  <si>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</si>
  <si>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</si>
  <si>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</si>
  <si>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</si>
  <si>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</si>
  <si>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</si>
  <si>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</si>
  <si>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</si>
  <si>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</si>
  <si>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</si>
  <si>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</si>
  <si>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</si>
  <si>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</si>
  <si>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</si>
  <si>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</si>
  <si>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</si>
  <si>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</si>
  <si>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</si>
  <si>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</si>
  <si>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</si>
  <si>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</si>
  <si>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</si>
  <si>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</si>
  <si>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</si>
  <si>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</si>
  <si>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</si>
  <si>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</si>
  <si>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</si>
  <si>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</si>
  <si>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</si>
  <si>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</si>
  <si>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</si>
  <si>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</si>
  <si>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</si>
  <si>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</si>
  <si>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</si>
  <si>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</si>
  <si>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</si>
  <si>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</si>
  <si>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</si>
  <si>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</si>
  <si>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</si>
  <si>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</si>
  <si>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</si>
  <si>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</si>
  <si>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</si>
  <si>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</si>
  <si>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</si>
  <si>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</si>
  <si>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</si>
  <si>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</si>
  <si>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</si>
  <si>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</si>
  <si>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</si>
  <si>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</si>
  <si>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</si>
  <si>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</si>
  <si>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</si>
  <si>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</si>
  <si>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</si>
  <si>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</si>
  <si>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</si>
  <si>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</si>
  <si>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</si>
  <si>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</si>
  <si>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</si>
  <si>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</si>
  <si>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</si>
  <si>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</si>
  <si>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</si>
  <si>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</si>
  <si>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</si>
  <si>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</si>
  <si>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</si>
  <si>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</si>
  <si>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</si>
  <si>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</si>
  <si>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</si>
  <si>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</si>
  <si>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</si>
  <si>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</si>
  <si>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</si>
  <si>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</si>
  <si>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</si>
  <si>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</si>
  <si>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</si>
  <si>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</si>
  <si>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</si>
  <si>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</si>
  <si>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</si>
  <si>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</si>
  <si>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</si>
  <si>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</si>
  <si>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</si>
  <si>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</si>
  <si>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</si>
  <si>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</si>
  <si>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</si>
  <si>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</si>
  <si>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</si>
  <si>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</si>
  <si>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</si>
  <si>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</si>
  <si>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</si>
  <si>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</si>
  <si>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</si>
  <si>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</si>
  <si>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</si>
  <si>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</si>
  <si>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</si>
  <si>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</si>
  <si>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</si>
  <si>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</si>
  <si>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</si>
  <si>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</si>
  <si>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</si>
  <si>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</si>
  <si>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</si>
  <si>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</si>
  <si>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</si>
  <si>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</si>
  <si>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</si>
  <si>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</si>
  <si>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</si>
  <si>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</si>
  <si>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</si>
  <si>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</si>
  <si>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</si>
  <si>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</si>
  <si>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</si>
  <si>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</si>
  <si>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</si>
  <si>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</si>
  <si>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</si>
  <si>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</si>
  <si>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</si>
  <si>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</si>
  <si>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</si>
  <si>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</si>
  <si>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</si>
  <si>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</si>
  <si>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</si>
  <si>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</si>
  <si>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</si>
  <si>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</si>
  <si>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</si>
  <si>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</si>
  <si>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</si>
  <si>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</si>
  <si>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</si>
  <si>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</si>
  <si>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</si>
  <si>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</si>
  <si>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</si>
  <si>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</si>
  <si>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</si>
  <si>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</si>
  <si>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</si>
  <si>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</si>
  <si>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</si>
  <si>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</si>
  <si>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</si>
  <si>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</si>
  <si>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</si>
  <si>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</si>
  <si>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</si>
  <si>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</si>
  <si>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</si>
  <si>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</si>
  <si>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</si>
  <si>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</si>
  <si>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</si>
  <si>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</si>
  <si>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</si>
  <si>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</si>
  <si>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</si>
  <si>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</si>
  <si>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</si>
  <si>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</si>
  <si>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</si>
  <si>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</si>
  <si>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</si>
  <si>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</si>
  <si>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</si>
  <si>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</si>
  <si>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</si>
  <si>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</si>
  <si>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</si>
  <si>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</si>
  <si>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</si>
  <si>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</si>
  <si>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</si>
  <si>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</si>
  <si>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</si>
  <si>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</si>
  <si>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</si>
  <si>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</si>
  <si>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</si>
  <si>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</si>
  <si>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</si>
  <si>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</si>
  <si>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</si>
  <si>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</si>
  <si>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</si>
  <si>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</si>
  <si>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</si>
  <si>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</si>
  <si>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</si>
  <si>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</si>
  <si>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</si>
  <si>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</si>
  <si>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</si>
  <si>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</si>
  <si>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</si>
  <si>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</si>
  <si>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</si>
  <si>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</si>
  <si>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</si>
  <si>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</si>
  <si>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</si>
  <si>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</si>
  <si>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</si>
  <si>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</si>
  <si>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</si>
  <si>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</si>
  <si>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</si>
  <si>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</si>
  <si>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</si>
  <si>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</si>
  <si>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</si>
  <si>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</si>
  <si>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</si>
  <si>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</si>
  <si>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</si>
  <si>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</si>
  <si>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</si>
  <si>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</si>
  <si>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</si>
  <si>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</si>
  <si>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</si>
  <si>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</si>
  <si>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</si>
  <si>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</si>
  <si>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</si>
  <si>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</si>
  <si>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</si>
  <si>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</si>
  <si>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</si>
  <si>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</si>
  <si>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</si>
  <si>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</si>
  <si>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</si>
  <si>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</si>
  <si>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</si>
  <si>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</si>
  <si>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</si>
  <si>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</si>
  <si>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</si>
  <si>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</si>
  <si>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</si>
  <si>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</si>
  <si>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</si>
  <si>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</si>
  <si>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</si>
  <si>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</si>
  <si>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</si>
  <si>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</si>
  <si>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</si>
  <si>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</si>
  <si>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</si>
  <si>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</si>
  <si>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</si>
  <si>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</si>
  <si>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</si>
  <si>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</si>
  <si>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</si>
  <si>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</si>
  <si>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</si>
  <si>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</si>
  <si>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</si>
  <si>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</si>
  <si>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</si>
  <si>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</si>
  <si>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</si>
  <si>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</si>
  <si>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</si>
  <si>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</si>
  <si>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</si>
  <si>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</si>
  <si>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</si>
  <si>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</si>
  <si>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</si>
  <si>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</si>
  <si>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</si>
  <si>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</si>
  <si>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</si>
  <si>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</si>
  <si>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</si>
  <si>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</si>
  <si>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</si>
  <si>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</si>
  <si>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</si>
  <si>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</si>
  <si>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</si>
  <si>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</si>
  <si>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</si>
  <si>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</si>
  <si>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</si>
  <si>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</si>
  <si>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</si>
  <si>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</si>
  <si>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</si>
  <si>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</si>
  <si>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</si>
  <si>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</si>
  <si>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</si>
  <si>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</si>
  <si>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</si>
  <si>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</si>
  <si>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</si>
  <si>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</si>
  <si>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</si>
  <si>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</si>
  <si>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</si>
  <si>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</si>
  <si>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</si>
  <si>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</si>
  <si>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</si>
  <si>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</si>
  <si>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</si>
  <si>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</si>
  <si>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</si>
  <si>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</si>
  <si>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</si>
  <si>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</si>
  <si>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</si>
  <si>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</si>
  <si>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</si>
  <si>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</si>
  <si>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</si>
  <si>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</si>
  <si>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</si>
  <si>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</si>
  <si>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</si>
  <si>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</si>
  <si>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</si>
  <si>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</si>
  <si>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</si>
  <si>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</si>
  <si>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</si>
  <si>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</si>
  <si>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</si>
  <si>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</si>
  <si>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</si>
  <si>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</si>
  <si>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</si>
  <si>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</si>
  <si>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</si>
  <si>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</si>
  <si>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</si>
  <si>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</si>
  <si>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</si>
  <si>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</si>
  <si>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</si>
  <si>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</si>
  <si>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</si>
  <si>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</si>
  <si>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</si>
  <si>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</si>
  <si>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</si>
  <si>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</si>
  <si>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</si>
  <si>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</si>
  <si>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</si>
  <si>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</si>
  <si>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</si>
  <si>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</si>
  <si>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</si>
  <si>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</si>
  <si>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</si>
  <si>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</si>
  <si>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</si>
  <si>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</si>
  <si>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</si>
  <si>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</si>
  <si>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</si>
  <si>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</si>
  <si>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</si>
  <si>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</si>
  <si>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</si>
  <si>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</si>
  <si>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</si>
  <si>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</si>
  <si>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</si>
  <si>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</si>
  <si>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</si>
  <si>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</si>
  <si>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</si>
  <si>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</si>
  <si>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</si>
  <si>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</si>
  <si>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</si>
  <si>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</si>
  <si>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</si>
  <si>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</si>
  <si>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</si>
  <si>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</si>
  <si>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</si>
  <si>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</si>
  <si>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</si>
  <si>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</si>
  <si>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</si>
  <si>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</si>
  <si>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</si>
  <si>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</si>
  <si>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</si>
  <si>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</si>
  <si>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</si>
  <si>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</si>
  <si>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</si>
  <si>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</si>
  <si>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</si>
  <si>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</si>
  <si>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</si>
  <si>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</si>
  <si>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</si>
  <si>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</si>
  <si>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</si>
  <si>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</si>
  <si>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</si>
  <si>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</si>
  <si>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</si>
  <si>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</si>
  <si>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</si>
  <si>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</si>
  <si>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</si>
  <si>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</si>
  <si>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</si>
  <si>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</si>
  <si>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</si>
  <si>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</si>
  <si>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</si>
  <si>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</si>
  <si>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</si>
  <si>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</si>
  <si>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</si>
  <si>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</si>
  <si>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</si>
  <si>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</si>
  <si>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</si>
  <si>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</si>
  <si>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</si>
  <si>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</si>
  <si>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</si>
  <si>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</si>
  <si>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</si>
  <si>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</si>
  <si>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</si>
  <si>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</si>
  <si>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</si>
  <si>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</si>
  <si>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</si>
  <si>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</si>
  <si>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</si>
  <si>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</si>
  <si>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</si>
  <si>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</si>
  <si>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</si>
  <si>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</si>
  <si>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</si>
  <si>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</si>
  <si>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</si>
  <si>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</si>
  <si>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</si>
  <si>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</si>
  <si>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</si>
  <si>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</si>
  <si>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</si>
  <si>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</si>
  <si>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</si>
  <si>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</si>
  <si>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</si>
  <si>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</si>
  <si>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</si>
  <si>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</si>
  <si>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</si>
  <si>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</si>
  <si>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</si>
  <si>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</si>
  <si>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</si>
  <si>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</si>
  <si>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</si>
  <si>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</si>
  <si>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</si>
  <si>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</si>
  <si>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</si>
  <si>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</si>
  <si>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</si>
  <si>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</si>
  <si>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</si>
  <si>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</si>
  <si>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</si>
  <si>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</si>
  <si>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</si>
  <si>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</si>
  <si>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</si>
  <si>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</si>
  <si>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</si>
  <si>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</si>
  <si>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</si>
  <si>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</si>
  <si>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</si>
  <si>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</si>
  <si>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</si>
  <si>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</si>
  <si>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</si>
  <si>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</si>
  <si>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</si>
  <si>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</si>
  <si>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</si>
  <si>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</si>
  <si>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</si>
  <si>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</si>
  <si>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</si>
  <si>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</si>
  <si>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</si>
  <si>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</si>
  <si>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</si>
  <si>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</si>
  <si>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</si>
  <si>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</si>
  <si>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</si>
  <si>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</si>
  <si>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</si>
  <si>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</si>
  <si>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</si>
  <si>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</si>
  <si>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</si>
  <si>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</si>
  <si>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</si>
  <si>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</si>
  <si>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</si>
  <si>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</si>
  <si>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</si>
  <si>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</si>
  <si>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</si>
  <si>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</si>
  <si>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</si>
  <si>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</si>
  <si>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</si>
  <si>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</si>
  <si>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</si>
  <si>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</si>
  <si>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</si>
  <si>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</si>
  <si>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</si>
  <si>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</si>
  <si>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</si>
  <si>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</si>
  <si>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</si>
  <si>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</si>
  <si>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</si>
  <si>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</si>
  <si>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</si>
  <si>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</si>
  <si>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</si>
  <si>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</si>
  <si>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</si>
  <si>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</si>
  <si>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</si>
  <si>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</si>
  <si>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</si>
  <si>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</si>
  <si>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</si>
  <si>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</si>
  <si>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</si>
  <si>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</si>
  <si>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</si>
  <si>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</si>
  <si>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</si>
  <si>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</si>
  <si>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</si>
  <si>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</si>
  <si>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</si>
  <si>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</si>
  <si>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</si>
  <si>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</si>
  <si>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</si>
  <si>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</si>
  <si>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</si>
  <si>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</si>
  <si>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</si>
  <si>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</si>
  <si>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</si>
  <si>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</si>
  <si>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</si>
  <si>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</si>
  <si>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</si>
  <si>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</si>
  <si>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</si>
  <si>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</si>
  <si>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</si>
  <si>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</si>
  <si>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</si>
  <si>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</si>
  <si>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</si>
  <si>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</si>
  <si>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</si>
  <si>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</si>
  <si>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</si>
  <si>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</si>
  <si>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</si>
  <si>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</si>
  <si>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</si>
  <si>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</si>
  <si>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</si>
  <si>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</si>
  <si>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</si>
  <si>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</si>
  <si>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</si>
  <si>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</si>
  <si>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</si>
  <si>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</si>
  <si>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</si>
  <si>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</si>
  <si>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</si>
  <si>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</si>
  <si>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</si>
  <si>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</si>
  <si>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</si>
  <si>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</si>
  <si>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</si>
  <si>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</si>
  <si>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</si>
  <si>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</si>
  <si>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</si>
  <si>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</si>
  <si>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</si>
  <si>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</si>
  <si>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</si>
  <si>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</si>
  <si>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</si>
  <si>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</si>
  <si>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</si>
  <si>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</si>
  <si>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</si>
  <si>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</si>
  <si>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</si>
  <si>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</si>
  <si>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</si>
  <si>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</si>
  <si>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</si>
  <si>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</si>
  <si>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</si>
  <si>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</si>
  <si>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</si>
  <si>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</si>
  <si>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</si>
  <si>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</si>
  <si>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</si>
  <si>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</si>
  <si>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</si>
  <si>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</si>
  <si>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</si>
  <si>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</si>
  <si>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</si>
  <si>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</si>
  <si>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</si>
  <si>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</si>
  <si>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</si>
  <si>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</si>
  <si>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</si>
  <si>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</si>
  <si>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</si>
  <si>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</si>
  <si>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</si>
  <si>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</si>
  <si>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</si>
  <si>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</si>
  <si>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</si>
  <si>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</si>
  <si>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</si>
  <si>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A.6.2.5</t>
  </si>
  <si>
    <t xml:space="preserve">AI system deployment</t>
  </si>
  <si>
    <t xml:space="preserve">AI-CTRL-027, AI-CTRL-030, AI-CTRL-033</t>
  </si>
  <si>
    <t xml:space="preserve">AI-R05, AI-R07, AI-R08, AI-R14, AI-R16, AI-R21, AI-R22, AI-R25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</si>
  <si>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</si>
  <si>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</si>
  <si>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</si>
  <si>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</si>
  <si>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</si>
  <si>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</si>
  <si>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</si>
  <si>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</si>
  <si>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</si>
  <si>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</si>
  <si>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</si>
  <si>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</si>
  <si>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</si>
  <si>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</si>
  <si>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</si>
  <si>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</si>
  <si>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</si>
  <si>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</si>
  <si>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</si>
  <si>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</si>
  <si>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</si>
  <si>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</si>
  <si>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</si>
  <si>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</si>
  <si>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</si>
  <si>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</si>
  <si>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</si>
  <si>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</si>
  <si>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</si>
  <si>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</si>
  <si>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</si>
  <si>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</si>
  <si>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</si>
  <si>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</si>
  <si>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</si>
  <si>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</si>
  <si>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</si>
  <si>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</si>
  <si>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</si>
  <si>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</si>
  <si>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</si>
  <si>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</si>
  <si>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</si>
  <si>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</si>
  <si>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</si>
  <si>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</si>
  <si>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</si>
  <si>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</si>
  <si>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</si>
  <si>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</si>
  <si>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</si>
  <si>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</si>
  <si>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</si>
  <si>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</si>
  <si>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</si>
  <si>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</si>
  <si>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</si>
  <si>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</si>
  <si>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</si>
  <si>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</si>
  <si>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</si>
  <si>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</si>
  <si>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</si>
  <si>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</si>
  <si>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</si>
  <si>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</si>
  <si>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</si>
  <si>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</si>
  <si>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</si>
  <si>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</si>
  <si>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</si>
  <si>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</si>
  <si>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</si>
  <si>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</si>
  <si>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</si>
  <si>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</si>
  <si>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</si>
  <si>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</si>
  <si>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</si>
  <si>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</si>
  <si>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</si>
  <si>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</si>
  <si>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</si>
  <si>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</si>
  <si>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</si>
  <si>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</si>
  <si>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</si>
  <si>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</si>
  <si>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</si>
  <si>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</si>
  <si>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</si>
  <si>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</si>
  <si>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</si>
  <si>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</si>
  <si>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</si>
  <si>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</si>
  <si>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</si>
  <si>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</si>
  <si>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</si>
  <si>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</si>
  <si>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</si>
  <si>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</si>
  <si>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</si>
  <si>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</si>
  <si>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</si>
  <si>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</si>
  <si>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</si>
  <si>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</si>
  <si>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</si>
  <si>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</si>
  <si>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</si>
  <si>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</si>
  <si>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</si>
  <si>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</si>
  <si>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</si>
  <si>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</si>
  <si>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</si>
  <si>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</si>
  <si>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</si>
  <si>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</si>
  <si>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</si>
  <si>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</si>
  <si>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</si>
  <si>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</si>
  <si>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</si>
  <si>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</si>
  <si>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</si>
  <si>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</si>
  <si>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</si>
  <si>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</si>
  <si>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</si>
  <si>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</si>
  <si>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</si>
  <si>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</si>
  <si>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</si>
  <si>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</si>
  <si>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</si>
  <si>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</si>
  <si>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</si>
  <si>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</si>
  <si>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</si>
  <si>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</si>
  <si>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</si>
  <si>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</si>
  <si>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</si>
  <si>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</si>
  <si>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</si>
  <si>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</si>
  <si>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</si>
  <si>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</si>
  <si>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</si>
  <si>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</si>
  <si>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</si>
  <si>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</si>
  <si>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</si>
  <si>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</si>
  <si>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</si>
  <si>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</si>
  <si>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</si>
  <si>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</si>
  <si>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</si>
  <si>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</si>
  <si>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</si>
  <si>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</si>
  <si>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</si>
  <si>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</si>
  <si>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</si>
  <si>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</si>
  <si>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</si>
  <si>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</si>
  <si>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</si>
  <si>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</si>
  <si>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</si>
  <si>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</si>
  <si>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</si>
  <si>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</si>
  <si>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</si>
  <si>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</si>
  <si>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</si>
  <si>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</si>
  <si>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</si>
  <si>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</si>
  <si>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</si>
  <si>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</si>
  <si>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</si>
  <si>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</si>
  <si>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</si>
  <si>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</si>
  <si>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</si>
  <si>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</si>
  <si>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</si>
  <si>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</si>
  <si>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</si>
  <si>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</si>
  <si>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</si>
  <si>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</si>
  <si>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</si>
  <si>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</si>
  <si>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</si>
  <si>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</si>
  <si>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</si>
  <si>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</si>
  <si>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</si>
  <si>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</si>
  <si>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</si>
  <si>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</si>
  <si>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</si>
  <si>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</si>
  <si>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</si>
  <si>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</si>
  <si>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</si>
  <si>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</si>
  <si>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</si>
  <si>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</si>
  <si>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</si>
  <si>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</si>
  <si>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</si>
  <si>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</si>
  <si>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</si>
  <si>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</si>
  <si>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</si>
  <si>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</si>
  <si>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</si>
  <si>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</si>
  <si>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</si>
  <si>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</si>
  <si>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</si>
  <si>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</si>
  <si>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</si>
  <si>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</si>
  <si>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</si>
  <si>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</si>
  <si>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</si>
  <si>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</si>
  <si>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</si>
  <si>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</si>
  <si>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</si>
  <si>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</si>
  <si>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</si>
  <si>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</si>
  <si>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</si>
  <si>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</si>
  <si>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</si>
  <si>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</si>
  <si>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</si>
  <si>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</si>
  <si>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</si>
  <si>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</si>
  <si>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</si>
  <si>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</si>
  <si>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</si>
  <si>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</si>
  <si>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</si>
  <si>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</si>
  <si>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</si>
  <si>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</si>
  <si>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</si>
  <si>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</si>
  <si>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</si>
  <si>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</si>
  <si>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</si>
  <si>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</si>
  <si>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</si>
  <si>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</si>
  <si>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</si>
  <si>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</si>
  <si>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</si>
  <si>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</si>
  <si>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</si>
  <si>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</si>
  <si>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</si>
  <si>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</si>
  <si>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</si>
  <si>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</si>
  <si>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</si>
  <si>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</si>
  <si>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</si>
  <si>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</si>
  <si>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</si>
  <si>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</si>
  <si>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</si>
  <si>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</si>
  <si>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</si>
  <si>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</si>
  <si>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</si>
  <si>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</si>
  <si>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</si>
  <si>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</si>
  <si>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</si>
  <si>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</si>
  <si>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</si>
  <si>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</si>
  <si>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</si>
  <si>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</si>
  <si>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</si>
  <si>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</si>
  <si>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</si>
  <si>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</si>
  <si>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</si>
  <si>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</si>
  <si>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</si>
  <si>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</si>
  <si>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</si>
  <si>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</si>
  <si>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</si>
  <si>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</si>
  <si>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</si>
  <si>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</si>
  <si>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</si>
  <si>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</si>
  <si>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</si>
  <si>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</si>
  <si>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</si>
  <si>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</si>
  <si>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</si>
  <si>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</si>
  <si>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</si>
  <si>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</si>
  <si>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</si>
  <si>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</si>
  <si>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</si>
  <si>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</si>
  <si>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</si>
  <si>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</si>
  <si>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</si>
  <si>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</si>
  <si>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</si>
  <si>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</si>
  <si>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</si>
  <si>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</si>
  <si>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</si>
  <si>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</si>
  <si>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</si>
  <si>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</si>
  <si>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</si>
  <si>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</si>
  <si>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</si>
  <si>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</si>
  <si>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</si>
  <si>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</si>
  <si>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</si>
  <si>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</si>
  <si>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</si>
  <si>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</si>
  <si>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</si>
  <si>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</si>
  <si>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</si>
  <si>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</si>
  <si>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</si>
  <si>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</si>
  <si>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</si>
  <si>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</si>
  <si>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</si>
  <si>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</si>
  <si>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</si>
  <si>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</si>
  <si>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</si>
  <si>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</si>
  <si>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</si>
  <si>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</si>
  <si>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</si>
  <si>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</si>
  <si>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</si>
  <si>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</si>
  <si>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</si>
  <si>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</si>
  <si>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</si>
  <si>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</si>
  <si>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</si>
  <si>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</si>
  <si>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</si>
  <si>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</si>
  <si>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</si>
  <si>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</si>
  <si>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</si>
  <si>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</si>
  <si>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</si>
  <si>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</si>
  <si>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</si>
  <si>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</si>
  <si>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</si>
  <si>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</si>
  <si>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</si>
  <si>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</si>
  <si>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</si>
  <si>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</si>
  <si>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</si>
  <si>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</si>
  <si>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</si>
  <si>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</si>
  <si>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</si>
  <si>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</si>
  <si>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</si>
  <si>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</si>
  <si>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</si>
  <si>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</si>
  <si>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</si>
  <si>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</si>
  <si>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</si>
  <si>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</si>
  <si>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</si>
  <si>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</si>
  <si>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</si>
  <si>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</si>
  <si>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</si>
  <si>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</si>
  <si>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</si>
  <si>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</si>
  <si>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</si>
  <si>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</si>
  <si>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</si>
  <si>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</si>
  <si>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</si>
  <si>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</si>
  <si>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</si>
  <si>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</si>
  <si>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</si>
  <si>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</si>
  <si>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</si>
  <si>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</si>
  <si>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</si>
  <si>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</si>
  <si>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</si>
  <si>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</si>
  <si>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</si>
  <si>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</si>
  <si>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</si>
  <si>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</si>
  <si>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</si>
  <si>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</si>
  <si>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</si>
  <si>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</si>
  <si>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</si>
  <si>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</si>
  <si>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</si>
  <si>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</si>
  <si>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</si>
  <si>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</si>
  <si>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</si>
  <si>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</si>
  <si>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</si>
  <si>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</si>
  <si>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</si>
  <si>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</si>
  <si>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</si>
  <si>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</si>
  <si>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</si>
  <si>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</si>
  <si>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</si>
  <si>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</si>
  <si>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</si>
  <si>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</si>
  <si>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</si>
  <si>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</si>
  <si>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</si>
  <si>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</si>
  <si>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</si>
  <si>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</si>
  <si>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</si>
  <si>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</si>
  <si>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</si>
  <si>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</si>
  <si>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</si>
  <si>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</si>
  <si>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</si>
  <si>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</si>
  <si>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</si>
  <si>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</si>
  <si>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</si>
  <si>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</si>
  <si>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</si>
  <si>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</si>
  <si>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</si>
  <si>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</si>
  <si>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</si>
  <si>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</si>
  <si>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</si>
  <si>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</si>
  <si>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</si>
  <si>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</si>
  <si>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</si>
  <si>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</si>
  <si>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</si>
  <si>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</si>
  <si>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</si>
  <si>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</si>
  <si>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</si>
  <si>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</si>
  <si>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</si>
  <si>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</si>
  <si>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</si>
  <si>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</si>
  <si>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</si>
  <si>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</si>
  <si>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</si>
  <si>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</si>
  <si>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</si>
  <si>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</si>
  <si>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</si>
  <si>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</si>
  <si>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</si>
  <si>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</si>
  <si>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</si>
  <si>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</si>
  <si>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</si>
  <si>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</si>
  <si>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</si>
  <si>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</si>
  <si>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</si>
  <si>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</si>
  <si>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</si>
  <si>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</si>
  <si>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</si>
  <si>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</si>
  <si>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</si>
  <si>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</si>
  <si>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</si>
  <si>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</si>
  <si>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</si>
  <si>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</si>
  <si>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</si>
  <si>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</si>
  <si>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</si>
  <si>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</si>
  <si>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</si>
  <si>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</si>
  <si>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</si>
  <si>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</si>
  <si>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</si>
  <si>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</si>
  <si>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</si>
  <si>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</si>
  <si>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</si>
  <si>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</si>
  <si>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</si>
  <si>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</si>
  <si>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</si>
  <si>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</si>
  <si>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</si>
  <si>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</si>
  <si>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</si>
  <si>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</si>
  <si>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</si>
  <si>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</si>
  <si>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</si>
  <si>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</si>
  <si>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</si>
  <si>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</si>
  <si>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</si>
  <si>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</si>
  <si>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</si>
  <si>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</si>
  <si>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</si>
  <si>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</si>
  <si>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</si>
  <si>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</si>
  <si>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</si>
  <si>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</si>
  <si>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</si>
  <si>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</si>
  <si>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</si>
  <si>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</si>
  <si>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</si>
  <si>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</si>
  <si>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</si>
  <si>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</si>
  <si>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</si>
  <si>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</si>
  <si>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</si>
  <si>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</si>
  <si>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</si>
  <si>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</si>
  <si>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</si>
  <si>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</si>
  <si>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</si>
  <si>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</si>
  <si>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</si>
  <si>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</si>
  <si>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</si>
  <si>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</si>
  <si>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</si>
  <si>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</si>
  <si>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</si>
  <si>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</si>
  <si>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</si>
  <si>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</si>
  <si>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</si>
  <si>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</si>
  <si>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</si>
  <si>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</si>
  <si>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</si>
  <si>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</si>
  <si>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</si>
  <si>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</si>
  <si>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</si>
  <si>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</si>
  <si>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</si>
  <si>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</si>
  <si>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</si>
  <si>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</si>
  <si>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</si>
  <si>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</si>
  <si>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</si>
  <si>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</si>
  <si>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</si>
  <si>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</si>
  <si>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</si>
  <si>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</si>
  <si>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</si>
  <si>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</si>
  <si>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</si>
  <si>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</si>
  <si>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</si>
  <si>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</si>
  <si>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</si>
  <si>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</si>
  <si>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</si>
  <si>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</si>
  <si>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</si>
  <si>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</si>
  <si>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</si>
  <si>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</si>
  <si>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</si>
  <si>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</si>
  <si>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</si>
  <si>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</si>
  <si>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</si>
  <si>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</si>
  <si>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</si>
  <si>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</si>
  <si>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</si>
  <si>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</si>
  <si>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</si>
  <si>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</si>
  <si>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t>
  </si>
  <si>
    <t xml:space="preserve">Principle 1.5</t>
  </si>
  <si>
    <t xml:space="preserve">Accountability</t>
  </si>
  <si>
    <t xml:space="preserve">AI-CTRL-008, AI-CTRL-011, AI-CTRL-012, AI-CTRL-037, AI-CTRL-038</t>
  </si>
  <si>
    <t xml:space="preserve">AI-R02, AI-R03, AI-R09, AI-R15, AI-R18, AI-R19, AI-R26, AI-R27, AI-R28</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</si>
  <si>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</si>
  <si>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</si>
  <si>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</si>
  <si>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</si>
  <si>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</si>
  <si>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</si>
  <si>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</si>
  <si>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</si>
  <si>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</si>
  <si>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</si>
  <si>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</si>
  <si>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</si>
  <si>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</si>
  <si>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</si>
  <si>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</si>
  <si>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</si>
  <si>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</si>
  <si>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</si>
  <si>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</si>
  <si>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</si>
  <si>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</si>
  <si>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</si>
  <si>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</si>
  <si>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</si>
  <si>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</si>
  <si>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</si>
  <si>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</si>
  <si>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</si>
  <si>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</si>
  <si>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</si>
  <si>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</si>
  <si>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</si>
  <si>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</si>
  <si>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</si>
  <si>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</si>
  <si>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</si>
  <si>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</si>
  <si>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</si>
  <si>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</si>
  <si>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</si>
  <si>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</si>
  <si>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</si>
  <si>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</si>
  <si>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</si>
  <si>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</si>
  <si>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</si>
  <si>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</si>
  <si>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</si>
  <si>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</si>
  <si>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</si>
  <si>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</si>
  <si>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</si>
  <si>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</si>
  <si>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</si>
  <si>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</si>
  <si>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</si>
  <si>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</si>
  <si>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</si>
  <si>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</si>
  <si>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</si>
  <si>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</si>
  <si>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</si>
  <si>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</si>
  <si>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</si>
  <si>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</si>
  <si>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</si>
  <si>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</si>
  <si>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</si>
  <si>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</si>
  <si>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</si>
  <si>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</si>
  <si>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</si>
  <si>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</si>
  <si>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</si>
  <si>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</si>
  <si>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</si>
  <si>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</si>
  <si>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</si>
  <si>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</si>
  <si>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</si>
  <si>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</si>
  <si>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</si>
  <si>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</si>
  <si>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</si>
  <si>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</si>
  <si>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</si>
  <si>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</si>
  <si>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</si>
  <si>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</si>
  <si>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</si>
  <si>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</si>
  <si>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</si>
  <si>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</si>
  <si>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</si>
  <si>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</si>
  <si>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</si>
  <si>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</si>
  <si>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</si>
  <si>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</si>
  <si>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</si>
  <si>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</si>
  <si>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</si>
  <si>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</si>
  <si>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</si>
  <si>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</si>
  <si>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</si>
  <si>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</si>
  <si>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</si>
  <si>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</si>
  <si>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</si>
  <si>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</si>
  <si>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</si>
  <si>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</si>
  <si>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</si>
  <si>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</si>
  <si>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</si>
  <si>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</si>
  <si>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</si>
  <si>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</si>
  <si>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</si>
  <si>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</si>
  <si>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</si>
  <si>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</si>
  <si>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</si>
  <si>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</si>
  <si>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</si>
  <si>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</si>
  <si>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</si>
  <si>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</si>
  <si>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</si>
  <si>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</si>
  <si>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</si>
  <si>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</si>
  <si>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</si>
  <si>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</si>
  <si>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</si>
  <si>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</si>
  <si>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</si>
  <si>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</si>
  <si>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</si>
  <si>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</si>
  <si>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</si>
  <si>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</si>
  <si>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</si>
  <si>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</si>
  <si>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</si>
  <si>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</si>
  <si>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</si>
  <si>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</si>
  <si>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</si>
  <si>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</si>
  <si>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</si>
  <si>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</si>
  <si>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</si>
  <si>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</si>
  <si>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</si>
  <si>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</si>
  <si>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</si>
  <si>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</si>
  <si>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</si>
  <si>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</si>
  <si>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</si>
  <si>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</si>
  <si>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</si>
  <si>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</si>
  <si>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</si>
  <si>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</si>
  <si>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</si>
  <si>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</si>
  <si>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</si>
  <si>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</si>
  <si>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</si>
  <si>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</si>
  <si>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</si>
  <si>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</si>
  <si>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</si>
  <si>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</si>
  <si>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</si>
  <si>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</si>
  <si>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</si>
  <si>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</si>
  <si>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</si>
  <si>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</si>
  <si>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</si>
  <si>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</si>
  <si>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</si>
  <si>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</si>
  <si>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</si>
  <si>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</si>
  <si>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</si>
  <si>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</si>
  <si>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</si>
  <si>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</si>
  <si>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</si>
  <si>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</si>
  <si>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</si>
  <si>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</si>
  <si>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</si>
  <si>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</si>
  <si>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</si>
  <si>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</si>
  <si>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</si>
  <si>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</si>
  <si>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</si>
  <si>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</si>
  <si>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</si>
  <si>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</si>
  <si>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</si>
  <si>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</si>
  <si>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</si>
  <si>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</si>
  <si>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</si>
  <si>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</si>
  <si>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</si>
  <si>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</si>
  <si>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</si>
  <si>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</si>
  <si>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</si>
  <si>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</si>
  <si>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</si>
  <si>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</si>
  <si>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</si>
  <si>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</si>
  <si>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AI-CTRL-011, AI-CTRL-012</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</si>
  <si>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</si>
  <si>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</si>
  <si>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</si>
  <si>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</si>
  <si>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</si>
  <si>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</si>
  <si>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</si>
  <si>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</si>
  <si>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</si>
  <si>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</si>
  <si>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</si>
  <si>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</si>
  <si>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</si>
  <si>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</si>
  <si>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</si>
  <si>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</si>
  <si>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</si>
  <si>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</si>
  <si>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</si>
  <si>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</si>
  <si>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</si>
  <si>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</si>
  <si>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</si>
  <si>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</si>
  <si>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</si>
  <si>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</si>
  <si>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</si>
  <si>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</si>
  <si>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</si>
  <si>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</si>
  <si>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</si>
  <si>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</si>
  <si>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</si>
  <si>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AI-CTRL-007, AI-CTRL-014</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</si>
  <si>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</si>
  <si>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</si>
  <si>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</si>
  <si>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</si>
  <si>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</si>
  <si>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</si>
  <si>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</si>
  <si>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</si>
  <si>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</si>
  <si>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</si>
  <si>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</si>
  <si>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</si>
  <si>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</si>
  <si>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</si>
  <si>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</si>
  <si>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</si>
  <si>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</si>
  <si>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</si>
  <si>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</si>
  <si>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</si>
  <si>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</si>
  <si>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</si>
  <si>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</si>
  <si>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</si>
  <si>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</si>
  <si>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</si>
  <si>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</si>
  <si>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</si>
  <si>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</si>
  <si>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</si>
  <si>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</si>
  <si>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</si>
  <si>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</si>
  <si>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</si>
  <si>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</si>
  <si>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</si>
  <si>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</si>
  <si>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</si>
  <si>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</si>
  <si>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</si>
  <si>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</si>
  <si>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</si>
  <si>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</si>
  <si>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</si>
  <si>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</si>
  <si>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</si>
  <si>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</si>
  <si>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</si>
  <si>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</si>
  <si>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</si>
  <si>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</si>
  <si>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</si>
  <si>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</si>
  <si>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</si>
  <si>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</si>
  <si>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</si>
  <si>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</si>
  <si>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</si>
  <si>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</si>
  <si>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</si>
  <si>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</si>
  <si>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</si>
  <si>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NSPM-11 (5 Jun 2026)</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</si>
  <si>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</si>
  <si>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</si>
  <si>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</si>
  <si>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</si>
  <si>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</si>
  <si>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</si>
  <si>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</si>
  <si>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</si>
  <si>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</si>
  <si>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</si>
  <si>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</si>
  <si>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</si>
  <si>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</si>
  <si>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</si>
  <si>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</si>
  <si>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</si>
  <si>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</si>
  <si>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</si>
  <si>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</si>
  <si>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</si>
  <si>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</si>
  <si>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</si>
  <si>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</si>
  <si>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</si>
  <si>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</si>
  <si>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</si>
  <si>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</si>
  <si>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</si>
  <si>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</si>
  <si>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</si>
  <si>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</si>
  <si>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</si>
  <si>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</si>
  <si>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</si>
  <si>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</si>
  <si>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</si>
  <si>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</si>
  <si>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</si>
  <si>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t>
  </si>
  <si>
    <t xml:space="preserve">US16</t>
  </si>
  <si>
    <t xml:space="preserve">Colorado SB 21-169 (C.R.S. 10-3-1104.9) and Division of Insurance rules under it</t>
  </si>
  <si>
    <t xml:space="preserve">AI-CTRL-014, AI-CTRL-029, AI-CTRL-037, AI-CTRL-041</t>
  </si>
  <si>
    <t xml:space="preserve">AI-R02, AI-R08, AI-R10, AI-R12, AI-R14, AI-R15, AI-R16, AI-R18, AI-R28</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</si>
  <si>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</si>
  <si>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</si>
  <si>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</si>
  <si>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</si>
  <si>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</si>
  <si>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</si>
  <si>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</si>
  <si>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</si>
  <si>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</si>
  <si>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</si>
  <si>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</si>
  <si>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</si>
  <si>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</si>
  <si>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</si>
  <si>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</si>
  <si>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</si>
  <si>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 21 Oct 2025; replaces the Voluntary AI Safety Standard)</t>
  </si>
  <si>
    <t xml:space="preserve">AU5</t>
  </si>
  <si>
    <t xml:space="preserve">AI Safety Institute (early 2026; AUD 29.9M)</t>
  </si>
  <si>
    <t xml:space="preserve">AU6</t>
  </si>
  <si>
    <t xml:space="preserve">Further deepfake and "nudify" app restrictions; Victoria considering</t>
  </si>
  <si>
    <t xml:space="preserve">AU6a</t>
  </si>
  <si>
    <t xml:space="preserve">NSW Work Health and Safety Amendment (Digital Work Systems) Act 2026 (No. 5 of 2026)</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</si>
  <si>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</si>
  <si>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</si>
  <si>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</si>
  <si>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</si>
  <si>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</si>
  <si>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</si>
  <si>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</si>
  <si>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</si>
  <si>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</si>
  <si>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</si>
  <si>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</si>
  <si>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</si>
  <si>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</si>
  <si>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</si>
  <si>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</si>
  <si>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</si>
  <si>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</si>
  <si>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</si>
  <si>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</si>
  <si>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</si>
  <si>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</si>
  <si>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</si>
  <si>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</si>
  <si>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</si>
  <si>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</si>
  <si>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</si>
  <si>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</si>
  <si>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</si>
  <si>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</si>
  <si>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</si>
  <si>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</si>
  <si>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</si>
  <si>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</si>
  <si>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</si>
  <si>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</si>
  <si>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</si>
  <si>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</si>
  <si>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</si>
  <si>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</si>
  <si>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</si>
  <si>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</si>
  <si>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</si>
  <si>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(Ontario: Enhancing Digital Security and Trust Act, 2024; Responsible Use of AI Directive)</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</si>
  <si>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</si>
  <si>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</si>
  <si>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</si>
  <si>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</si>
  <si>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</si>
  <si>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</si>
  <si>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</si>
  <si>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</si>
  <si>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</si>
  <si>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</si>
  <si>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</si>
  <si>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</si>
  <si>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</si>
  <si>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</si>
  <si>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r>
      <rPr>
        <sz val="10"/>
        <rFont val="Arial"/>
        <family val="0"/>
        <charset val="1"/>
      </rPr>
      <t xml:space="preserve">Measures for AI Science and Technology Ethics Review and Services (Trial) (</t>
    </r>
    <r>
      <rPr>
        <sz val="10"/>
        <rFont val="WenQuanYi Zen Hei"/>
        <family val="2"/>
      </rPr>
      <t xml:space="preserve">人工智能科技伦理审查与服务办法（试行）</t>
    </r>
    <r>
      <rPr>
        <sz val="10"/>
        <rFont val="Arial"/>
        <family val="0"/>
        <charset val="1"/>
      </rPr>
      <t xml:space="preserve">, MIIT and nine other bodies)</t>
    </r>
  </si>
  <si>
    <t xml:space="preserve">CN6</t>
  </si>
  <si>
    <r>
      <rPr>
        <sz val="10"/>
        <rFont val="Arial"/>
        <family val="0"/>
        <charset val="1"/>
      </rPr>
      <t xml:space="preserve">Interim Measures for the Administration of Anthropomorphic AI Interactive Services (</t>
    </r>
    <r>
      <rPr>
        <sz val="10"/>
        <rFont val="WenQuanYi Zen Hei"/>
        <family val="2"/>
      </rPr>
      <t xml:space="preserve">人工智能拟人化互动服务管理暂行办法</t>
    </r>
    <r>
      <rPr>
        <sz val="10"/>
        <rFont val="Arial"/>
        <family val="0"/>
        <charset val="1"/>
      </rPr>
      <t xml:space="preserve">, CAC Order No. 21)</t>
    </r>
  </si>
  <si>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</si>
  <si>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</si>
  <si>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</si>
  <si>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</si>
  <si>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</si>
  <si>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</si>
  <si>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</si>
  <si>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</si>
  <si>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</si>
  <si>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</si>
  <si>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</si>
  <si>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</si>
  <si>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</si>
  <si>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</si>
  <si>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</si>
  <si>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</si>
  <si>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</si>
  <si>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</si>
  <si>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</si>
  <si>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</si>
  <si>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</si>
  <si>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</si>
  <si>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t>
  </si>
  <si>
    <t xml:space="preserve">IN6</t>
  </si>
  <si>
    <t xml:space="preserve">RBI draft Guidance on Model Risk Management</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</si>
  <si>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</si>
  <si>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</si>
  <si>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</si>
  <si>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</si>
  <si>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</si>
  <si>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</si>
  <si>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</si>
  <si>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</si>
  <si>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</si>
  <si>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</si>
  <si>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</si>
  <si>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</si>
  <si>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</si>
  <si>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</si>
  <si>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</si>
  <si>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</si>
  <si>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</si>
  <si>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</si>
  <si>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JP1</t>
  </si>
  <si>
    <t xml:space="preserve">AI Promotion Act (Act No. 53 of 2025)</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</si>
  <si>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</si>
  <si>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</si>
  <si>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</si>
  <si>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</si>
  <si>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</si>
  <si>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</si>
  <si>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</si>
  <si>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</si>
  <si>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</si>
  <si>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</si>
  <si>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</si>
  <si>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</si>
  <si>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</si>
  <si>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</si>
  <si>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</si>
  <si>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</si>
  <si>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</si>
  <si>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</si>
  <si>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</si>
  <si>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</si>
  <si>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</si>
  <si>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</si>
  <si>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</si>
  <si>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</si>
  <si>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</si>
  <si>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</si>
  <si>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</si>
  <si>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</si>
  <si>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</si>
  <si>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</si>
  <si>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</si>
  <si>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</si>
  <si>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</si>
  <si>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</si>
  <si>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</si>
  <si>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</si>
  <si>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</si>
  <si>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</si>
  <si>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</si>
  <si>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</si>
  <si>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</si>
  <si>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</si>
  <si>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</si>
  <si>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</si>
  <si>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</si>
  <si>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</si>
  <si>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</si>
  <si>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</si>
  <si>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</si>
  <si>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</si>
  <si>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</si>
  <si>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</si>
  <si>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</si>
  <si>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</si>
  <si>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</si>
  <si>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</si>
  <si>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</si>
  <si>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</si>
  <si>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</si>
  <si>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</si>
  <si>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</si>
  <si>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</si>
  <si>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</si>
  <si>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</si>
  <si>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</si>
  <si>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</si>
  <si>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</si>
  <si>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</si>
  <si>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</si>
  <si>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</si>
  <si>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</si>
  <si>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</si>
  <si>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</si>
  <si>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</si>
  <si>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</si>
  <si>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</si>
  <si>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</si>
  <si>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</si>
  <si>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</si>
  <si>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</si>
  <si>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</si>
  <si>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</si>
  <si>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</si>
  <si>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</si>
  <si>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</si>
  <si>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</si>
  <si>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</si>
  <si>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second edition 21 Jan 2020) and Model AI Governance Framework for Generative AI (30 May 2024)</t>
  </si>
  <si>
    <t xml:space="preserve">AI-CTRL-012, AI-CTRL-037, AI-CTRL-039</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</si>
  <si>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</si>
  <si>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</si>
  <si>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</si>
  <si>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</si>
  <si>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</si>
  <si>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</si>
  <si>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</si>
  <si>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</si>
  <si>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</si>
  <si>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</si>
  <si>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</si>
  <si>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</si>
  <si>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</si>
  <si>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</si>
  <si>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</si>
  <si>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</si>
  <si>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</si>
  <si>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</si>
  <si>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</si>
  <si>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</si>
  <si>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</si>
  <si>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</si>
  <si>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</si>
  <si>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</si>
  <si>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</si>
  <si>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</si>
  <si>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</si>
  <si>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</si>
  <si>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</si>
  <si>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</si>
  <si>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t>
  </si>
  <si>
    <t xml:space="preserve">KR4</t>
  </si>
  <si>
    <t xml:space="preserve">High-performance AI (training at 10^26 FLOP or more)</t>
  </si>
  <si>
    <t xml:space="preserve">AI-CTRL-005, AI-CTRL-037</t>
  </si>
  <si>
    <t xml:space="preserve">AI-R02, AI-R05, AI-R06, AI-R18, AI-R24, AI-R28</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</si>
  <si>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</si>
  <si>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</si>
  <si>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</si>
  <si>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</si>
  <si>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</si>
  <si>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</si>
  <si>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</si>
  <si>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Desk</t>
  </si>
  <si>
    <t xml:space="preserve">Each wiki control against every framework in the crosswalks. A cell lists the framework items linked to that control (directly, or through a risk the control mitigates; see Framework Crosswalk).</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</si>
  <si>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</si>
  <si>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</si>
  <si>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</si>
  <si>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</si>
  <si>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</si>
  <si>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</si>
  <si>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</si>
  <si>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</si>
  <si>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</si>
  <si>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</si>
  <si>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</si>
  <si>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</si>
  <si>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</si>
  <si>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</si>
  <si>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</si>
  <si>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</si>
  <si>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</si>
  <si>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</si>
  <si>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</si>
  <si>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</si>
  <si>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</si>
  <si>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</si>
  <si>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</si>
  <si>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</si>
  <si>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</si>
  <si>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</si>
  <si>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</si>
  <si>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</si>
  <si>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</si>
  <si>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</si>
  <si>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</si>
  <si>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</si>
  <si>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</si>
  <si>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</si>
  <si>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</si>
  <si>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</si>
  <si>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</si>
  <si>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</si>
  <si>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</si>
  <si>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</si>
  <si>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</si>
  <si>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</si>
  <si>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</si>
  <si>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</si>
  <si>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</si>
  <si>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</si>
  <si>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</si>
  <si>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</si>
  <si>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</si>
  <si>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</si>
  <si>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</si>
  <si>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</si>
  <si>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</si>
  <si>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</si>
  <si>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</si>
  <si>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</si>
  <si>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</si>
  <si>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</si>
  <si>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</si>
  <si>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</si>
  <si>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</si>
  <si>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</si>
  <si>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</si>
  <si>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</si>
  <si>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</si>
  <si>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</si>
  <si>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</si>
  <si>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</si>
  <si>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</si>
  <si>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</si>
  <si>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</si>
  <si>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</si>
  <si>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</si>
  <si>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</si>
  <si>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</si>
  <si>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</si>
  <si>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</si>
  <si>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</si>
  <si>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</si>
  <si>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</si>
  <si>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</si>
  <si>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MAS 5.23; SG5</t>
  </si>
  <si>
    <t xml:space="preserve">01 Governance and oversight; 03 Privacy and consent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</si>
  <si>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</si>
  <si>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</si>
  <si>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</si>
  <si>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</si>
  <si>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</si>
  <si>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</si>
  <si>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</si>
  <si>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</si>
  <si>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</si>
  <si>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</si>
  <si>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</si>
  <si>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</si>
  <si>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</si>
  <si>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</si>
  <si>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</si>
  <si>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</si>
  <si>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Principle 1.1; Principle 1.5</t>
  </si>
  <si>
    <t xml:space="preserve">O1; Q4; U6; U9</t>
  </si>
  <si>
    <t xml:space="preserve">E1a; E14</t>
  </si>
  <si>
    <t xml:space="preserve">UK6; UK11; UK13</t>
  </si>
  <si>
    <t xml:space="preserve">CA4; CA6</t>
  </si>
  <si>
    <t xml:space="preserve">IN5; IN6; IN7; IN8</t>
  </si>
  <si>
    <t xml:space="preserve">MAS 1.6, 2.1 to 2.2; MAS 4.2 to 4.4; MAS 4.5 to 4.9; MAS 4.10 to 4.13; MAS 5.26; SG5</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</si>
  <si>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</si>
  <si>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</si>
  <si>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</si>
  <si>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</si>
  <si>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</si>
  <si>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</si>
  <si>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</si>
  <si>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</si>
  <si>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</si>
  <si>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</si>
  <si>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</si>
  <si>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</si>
  <si>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</si>
  <si>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</si>
  <si>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</si>
  <si>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</si>
  <si>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JP1; JP2; JP3</t>
  </si>
  <si>
    <t xml:space="preserve">MAS 1.5, 3.6; MAS 2.3 to 2.5; MAS 3.1 to 3.4; MAS 3.5; SG1; SG5</t>
  </si>
  <si>
    <t xml:space="preserve">KR5; KR6</t>
  </si>
  <si>
    <t xml:space="preserve">AIR-RC-001; AIR-RC-022; AIR-RC-023</t>
  </si>
  <si>
    <t xml:space="preserve">01 Roles and accountability; 03 Privacy and consent; 03 Training-data rights and IP;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</si>
  <si>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</si>
  <si>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</si>
  <si>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</si>
  <si>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</si>
  <si>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</si>
  <si>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</si>
  <si>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</si>
  <si>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</si>
  <si>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</si>
  <si>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</si>
  <si>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</si>
  <si>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</si>
  <si>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</si>
  <si>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</si>
  <si>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</si>
  <si>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</si>
  <si>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</si>
  <si>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</si>
  <si>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</si>
  <si>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AIR-OP-005; AIR-OP-006; AIR-RC-001; AIR-SEC-008; AIR-SEC-009; AIR-SEC-026</t>
  </si>
  <si>
    <t xml:space="preserve">02 Value measurement / ROI; 03 Privacy and consent; 03 Training-data rights and IP; 04 Robustness and drift; 05 Supply-chain and artifact integrity; 06 Transparency, disclosure and provenance; 07 Change and lifecycle management;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</si>
  <si>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</si>
  <si>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</si>
  <si>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</si>
  <si>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</si>
  <si>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</si>
  <si>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E1e; E6; E9; E13; E15</t>
  </si>
  <si>
    <t xml:space="preserve">US15; US16; US17</t>
  </si>
  <si>
    <t xml:space="preserve">IN5; IN7</t>
  </si>
  <si>
    <t xml:space="preserve">MAS 5.10 to 5.11; SG5</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</si>
  <si>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</si>
  <si>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</si>
  <si>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</si>
  <si>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</si>
  <si>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</si>
  <si>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</si>
  <si>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</si>
  <si>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</si>
  <si>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</si>
  <si>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</si>
  <si>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AIR-SEC-002; AIR-SEC-008; AIR-SEC-009; AIR-SEC-024; AIR-SEC-026; AIR-SEC-029</t>
  </si>
  <si>
    <t xml:space="preserve">AIR-PREV-012; AIR-PREV-018; AIR-PREV-023</t>
  </si>
  <si>
    <t xml:space="preserve">03 Privacy and consent; 05 AI access and identity;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</si>
  <si>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</si>
  <si>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</si>
  <si>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</si>
  <si>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</si>
  <si>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</si>
  <si>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</si>
  <si>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MAS 5.16; SG5</t>
  </si>
  <si>
    <t xml:space="preserve">AIR-OP-019; AIR-RC-001; AIR-SEC-002</t>
  </si>
  <si>
    <t xml:space="preserve">AIR-DET-001; AIR-PREV-006; AIR-PREV-014</t>
  </si>
  <si>
    <t xml:space="preserve">03 Privacy and consent; 03 Quality and labeling;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</si>
  <si>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</si>
  <si>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</si>
  <si>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</si>
  <si>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</si>
  <si>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</si>
  <si>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</si>
  <si>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</si>
  <si>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</si>
  <si>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Q1; S1; U1</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</si>
  <si>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</si>
  <si>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</si>
  <si>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</si>
  <si>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</si>
  <si>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</si>
  <si>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</si>
  <si>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</si>
  <si>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</si>
  <si>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</si>
  <si>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</si>
  <si>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</si>
  <si>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</si>
  <si>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</si>
  <si>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</si>
  <si>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</si>
  <si>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</si>
  <si>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</si>
  <si>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</si>
  <si>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LLM02:2025; LLM05:2025</t>
  </si>
  <si>
    <t xml:space="preserve">AML.T0057; AML.T0067; AML.T0077</t>
  </si>
  <si>
    <t xml:space="preserve">AML.M0020; AML.M0033</t>
  </si>
  <si>
    <t xml:space="preserve">NISTAML.035; NISTAML.036; NISTAML.038</t>
  </si>
  <si>
    <t xml:space="preserve">A.8.26; A.8.28</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</si>
  <si>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</si>
  <si>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</si>
  <si>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</si>
  <si>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</si>
  <si>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</si>
  <si>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</si>
  <si>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</si>
  <si>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</si>
  <si>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</si>
  <si>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</si>
  <si>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</si>
  <si>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</si>
  <si>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</si>
  <si>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</si>
  <si>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</si>
  <si>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</si>
  <si>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</si>
  <si>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</si>
  <si>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</si>
  <si>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</si>
  <si>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B4; Q4; U3; U6; U9</t>
  </si>
  <si>
    <t xml:space="preserve">UK3; UK5</t>
  </si>
  <si>
    <t xml:space="preserve">US8; US10</t>
  </si>
  <si>
    <t xml:space="preserve">MAS 5.9; SG2; SG5</t>
  </si>
  <si>
    <t xml:space="preserve">AIR-SEC-008; AIR-SEC-009; AIR-SEC-024; AIR-SEC-025; AIR-SEC-026; AIR-SEC-030</t>
  </si>
  <si>
    <t xml:space="preserve">AIR-PREV-019; AIR-PREV-020; AIR-PREV-025</t>
  </si>
  <si>
    <t xml:space="preserve">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</si>
  <si>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</si>
  <si>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</si>
  <si>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</si>
  <si>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</si>
  <si>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</si>
  <si>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</si>
  <si>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</si>
  <si>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</si>
  <si>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</si>
  <si>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</si>
  <si>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</si>
  <si>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</si>
  <si>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</si>
  <si>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</si>
  <si>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</si>
  <si>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</si>
  <si>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</si>
  <si>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</si>
  <si>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</si>
  <si>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</si>
  <si>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</si>
  <si>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MAS 5.3; SG2; SG5; SG7</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</si>
  <si>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</si>
  <si>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</si>
  <si>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</si>
  <si>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</si>
  <si>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</si>
  <si>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</si>
  <si>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</si>
  <si>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</si>
  <si>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07 MLOps and deployment;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</si>
  <si>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</si>
  <si>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</si>
  <si>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</si>
  <si>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</si>
  <si>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</si>
  <si>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</si>
  <si>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</si>
  <si>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</si>
  <si>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</si>
  <si>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</si>
  <si>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</si>
  <si>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</si>
  <si>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</si>
  <si>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</si>
  <si>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</si>
  <si>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</si>
  <si>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</si>
  <si>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Sourcing and provenance; 05 Data and pipeline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</si>
  <si>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</si>
  <si>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</si>
  <si>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</si>
  <si>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</si>
  <si>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</si>
  <si>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</si>
  <si>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</si>
  <si>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</si>
  <si>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</si>
  <si>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</si>
  <si>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</si>
  <si>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05 Supply-chain and artifact integrity;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</si>
  <si>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</si>
  <si>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</si>
  <si>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</si>
  <si>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</si>
  <si>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</si>
  <si>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</si>
  <si>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</si>
  <si>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</si>
  <si>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</si>
  <si>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</si>
  <si>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</si>
  <si>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MAS 5.17; MAS 5.25; SG5</t>
  </si>
  <si>
    <t xml:space="preserve">AIR-OP-005; AIR-OP-006; AIR-SEC-008; AIR-SEC-009; AIR-SEC-026; AIR-SEC-030</t>
  </si>
  <si>
    <t xml:space="preserve">AIR-PREV-010; AIR-PREV-025</t>
  </si>
  <si>
    <t xml:space="preserve">03 Training-data rights and IP; 04 Robustness and drift; 05 Supply-chain and artifact integrity; 06 Bias and fairness; 06 Transparency, disclosure and provenance; 07 Change and lifecycle management;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</si>
  <si>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</si>
  <si>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</si>
  <si>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</si>
  <si>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</si>
  <si>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</si>
  <si>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</si>
  <si>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</si>
  <si>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</si>
  <si>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</si>
  <si>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AIR-RC-001; AIR-SEC-008; AIR-SEC-009; AIR-SEC-026</t>
  </si>
  <si>
    <t xml:space="preserve">03 Privacy and consent;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</si>
  <si>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</si>
  <si>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</si>
  <si>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</si>
  <si>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</si>
  <si>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</si>
  <si>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</si>
  <si>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</si>
  <si>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</si>
  <si>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Robustness and drift; 05 Inference-time (input) attacks; 05 Output and integration security; 05 Supply-chain and artifact integrity; 06 Bias and fairness; 06 Transparency, disclosure and provenance; 07 Change and lifecycle management;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</si>
  <si>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</si>
  <si>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</si>
  <si>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</si>
  <si>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</si>
  <si>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</si>
  <si>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</si>
  <si>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</si>
  <si>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</si>
  <si>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Robustness and drift; 05 Inference-time (input) attacks; 05 Output and integration security; 06 Bias and fairness; 06 Harmful / inaccurate output; 06 Transparency, disclosure and provenance; 07 Change and lifecycle management;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</si>
  <si>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</si>
  <si>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</si>
  <si>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</si>
  <si>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</si>
  <si>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</si>
  <si>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</si>
  <si>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</si>
  <si>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</si>
  <si>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</si>
  <si>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</si>
  <si>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Action 1; Action 2</t>
  </si>
  <si>
    <t xml:space="preserve">MAS 5.14 to 5.15; MAS 5.22; MAS 5.24; SG5</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</si>
  <si>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</si>
  <si>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</si>
  <si>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</si>
  <si>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</si>
  <si>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</si>
  <si>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</si>
  <si>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</si>
  <si>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</si>
  <si>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</si>
  <si>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</si>
  <si>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</si>
  <si>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</si>
  <si>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</si>
  <si>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</si>
  <si>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</si>
  <si>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</si>
  <si>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</si>
  <si>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</si>
  <si>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</si>
  <si>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</si>
  <si>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</si>
  <si>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</si>
  <si>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</si>
  <si>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</si>
  <si>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</si>
  <si>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</si>
  <si>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</si>
  <si>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</si>
  <si>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</si>
  <si>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</si>
  <si>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</si>
  <si>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</si>
  <si>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</si>
  <si>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</si>
  <si>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</si>
  <si>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AIR-OP-017; AIR-RC-022</t>
  </si>
  <si>
    <t xml:space="preserve">01 Audit and assurance; 01 Roles and accountability; 03 Privacy and consent; 03 Retention and disposal; 04 Accuracy and validation; 04 Explainability; 04 Reproducibility and documentation;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</si>
  <si>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</si>
  <si>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</si>
  <si>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</si>
  <si>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</si>
  <si>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</si>
  <si>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</si>
  <si>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</si>
  <si>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</si>
  <si>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</si>
  <si>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</si>
  <si>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</si>
  <si>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</si>
  <si>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</si>
  <si>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</si>
  <si>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</si>
  <si>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</si>
  <si>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</si>
  <si>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</si>
  <si>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</si>
  <si>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</si>
  <si>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</si>
  <si>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</si>
  <si>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</si>
  <si>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</si>
  <si>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</si>
  <si>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</si>
  <si>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 AU6a</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</si>
  <si>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</si>
  <si>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</si>
  <si>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</si>
  <si>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</si>
  <si>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</si>
  <si>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</si>
  <si>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</si>
  <si>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</si>
  <si>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</si>
  <si>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</si>
  <si>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</si>
  <si>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</si>
  <si>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</si>
  <si>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</si>
  <si>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</si>
  <si>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</si>
  <si>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</si>
  <si>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</si>
  <si>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</si>
  <si>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</si>
  <si>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</si>
  <si>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</si>
  <si>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</si>
  <si>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</si>
  <si>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AIR-OP-004; AIR-RC-001; AIR-RC-022</t>
  </si>
  <si>
    <t xml:space="preserve">01 Risk-management integration; 01 Roles and accountability; 03 Privacy and consent; 04 Accuracy and validation; 06 Harmful / inaccurate output; 06 Misuse and dual-use; 08 Cross-border;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</si>
  <si>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</si>
  <si>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</si>
  <si>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</si>
  <si>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</si>
  <si>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</si>
  <si>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</si>
  <si>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</si>
  <si>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</si>
  <si>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</si>
  <si>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</si>
  <si>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</si>
  <si>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</si>
  <si>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</si>
  <si>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</si>
  <si>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</si>
  <si>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</si>
  <si>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</si>
  <si>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</si>
  <si>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</si>
  <si>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</si>
  <si>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</si>
  <si>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</si>
  <si>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14, 15; Art. 7; Art. 8</t>
  </si>
  <si>
    <t xml:space="preserve">MAS 5.9; SG5</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</si>
  <si>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</si>
  <si>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</si>
  <si>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</si>
  <si>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</si>
  <si>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</si>
  <si>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</si>
  <si>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</si>
  <si>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</si>
  <si>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</si>
  <si>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</si>
  <si>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</si>
  <si>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</si>
  <si>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</si>
  <si>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</si>
  <si>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</si>
  <si>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</si>
  <si>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</si>
  <si>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</si>
  <si>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</si>
  <si>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</si>
  <si>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</si>
  <si>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</si>
  <si>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</si>
  <si>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</si>
  <si>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</si>
  <si>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</si>
  <si>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</si>
  <si>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</si>
  <si>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</si>
  <si>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</si>
  <si>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</si>
  <si>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</si>
  <si>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</si>
  <si>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</si>
  <si>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</si>
  <si>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</si>
  <si>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</si>
  <si>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</si>
  <si>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</si>
  <si>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</si>
  <si>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</si>
  <si>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</si>
  <si>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AI-CTRL-008, AI-CTRL-009, AI-CTRL-035, AI-CTRL-038, AI-CTRL-043</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</si>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</sst>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sz val="10"/>
      <name val="WenQuanYi Zen Hei"/>
      <family val="2"/>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4"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5" fontId="7" fillId="13"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7"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1" fillId="16" borderId="1" xfId="0" applyFont="true" applyBorder="true" applyAlignment="true" applyProtection="false">
      <alignment horizontal="center" vertical="top" textRotation="0" wrapText="tru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1" fillId="18"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6" fontId="8" fillId="19"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3" borderId="1" xfId="0" applyFont="true" applyBorder="true" applyAlignment="true" applyProtection="false">
      <alignment horizontal="center"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7" fillId="21"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7" fontId="8" fillId="13"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7" fillId="22" borderId="1"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7" fillId="23" borderId="1" xfId="0" applyFont="true" applyBorder="true" applyAlignment="true" applyProtection="false">
      <alignment horizontal="general" vertical="top" textRotation="0" wrapText="true" indent="0" shrinkToFit="false"/>
      <protection locked="true" hidden="false"/>
    </xf>
    <xf numFmtId="164" fontId="8" fillId="23" borderId="1" xfId="0" applyFont="true" applyBorder="true" applyAlignment="true" applyProtection="false">
      <alignment horizontal="general" vertical="top" textRotation="0" wrapText="true" indent="0" shrinkToFit="false"/>
      <protection locked="true" hidden="false"/>
    </xf>
    <xf numFmtId="164" fontId="7" fillId="24" borderId="1" xfId="0" applyFont="true" applyBorder="true" applyAlignment="true" applyProtection="false">
      <alignment horizontal="general" vertical="top" textRotation="0" wrapText="true" indent="0" shrinkToFit="false"/>
      <protection locked="true" hidden="false"/>
    </xf>
    <xf numFmtId="164" fontId="8" fillId="24" borderId="1" xfId="0" applyFont="true" applyBorder="true" applyAlignment="true" applyProtection="false">
      <alignment horizontal="general" vertical="top" textRotation="0" wrapText="true" indent="0" shrinkToFit="false"/>
      <protection locked="true" hidden="false"/>
    </xf>
    <xf numFmtId="164" fontId="7" fillId="19" borderId="1" xfId="0" applyFont="true" applyBorder="true" applyAlignment="true" applyProtection="false">
      <alignment horizontal="general" vertical="top" textRotation="0" wrapText="true" indent="0" shrinkToFit="false"/>
      <protection locked="true" hidden="false"/>
    </xf>
    <xf numFmtId="164" fontId="7" fillId="25" borderId="1" xfId="0" applyFont="true" applyBorder="true" applyAlignment="true" applyProtection="false">
      <alignment horizontal="general" vertical="top" textRotation="0" wrapText="true" indent="0" shrinkToFit="false"/>
      <protection locked="true" hidden="false"/>
    </xf>
    <xf numFmtId="164" fontId="8" fillId="25" borderId="1" xfId="0" applyFont="true" applyBorder="true" applyAlignment="true" applyProtection="false">
      <alignment horizontal="general" vertical="top" textRotation="0" wrapText="true" indent="0" shrinkToFit="false"/>
      <protection locked="true" hidden="false"/>
    </xf>
    <xf numFmtId="164" fontId="4" fillId="26" borderId="0" xfId="0" applyFont="true" applyBorder="false" applyAlignment="true" applyProtection="false">
      <alignment horizontal="general" vertical="center"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11" fillId="26" borderId="1" xfId="0" applyFont="true" applyBorder="true" applyAlignment="true" applyProtection="false">
      <alignment horizontal="center" vertical="top" textRotation="0" wrapText="true" indent="0" shrinkToFit="false"/>
      <protection locked="true" hidden="false"/>
    </xf>
    <xf numFmtId="164" fontId="4" fillId="27" borderId="0" xfId="0" applyFont="true" applyBorder="false" applyAlignment="true" applyProtection="false">
      <alignment horizontal="general" vertical="center" textRotation="0" wrapText="false" indent="0" shrinkToFit="false"/>
      <protection locked="true" hidden="false"/>
    </xf>
    <xf numFmtId="164" fontId="0" fillId="27" borderId="0" xfId="0" applyFont="false" applyBorder="false" applyAlignment="false" applyProtection="false">
      <alignment horizontal="general" vertical="bottom" textRotation="0" wrapText="false" indent="0" shrinkToFit="false"/>
      <protection locked="true" hidden="false"/>
    </xf>
    <xf numFmtId="164" fontId="7" fillId="21" borderId="0" xfId="0" applyFont="true" applyBorder="true" applyAlignment="true" applyProtection="false">
      <alignment horizontal="center" vertical="bottom" textRotation="0" wrapText="false" indent="0" shrinkToFit="false"/>
      <protection locked="true" hidden="false"/>
    </xf>
    <xf numFmtId="164" fontId="7" fillId="15" borderId="0" xfId="0" applyFont="true" applyBorder="true" applyAlignment="true" applyProtection="false">
      <alignment horizontal="center" vertical="bottom" textRotation="0" wrapText="false" indent="0" shrinkToFit="false"/>
      <protection locked="true" hidden="false"/>
    </xf>
    <xf numFmtId="164" fontId="7" fillId="22" borderId="0" xfId="0" applyFont="true" applyBorder="true" applyAlignment="true" applyProtection="false">
      <alignment horizontal="center" vertical="bottom" textRotation="0" wrapText="false" indent="0" shrinkToFit="false"/>
      <protection locked="true" hidden="false"/>
    </xf>
    <xf numFmtId="164" fontId="7" fillId="23" borderId="0" xfId="0" applyFont="true" applyBorder="true" applyAlignment="true" applyProtection="false">
      <alignment horizontal="center" vertical="bottom" textRotation="0" wrapText="false" indent="0" shrinkToFit="false"/>
      <protection locked="true" hidden="false"/>
    </xf>
    <xf numFmtId="164" fontId="7" fillId="24" borderId="0" xfId="0" applyFont="true" applyBorder="true" applyAlignment="true" applyProtection="false">
      <alignment horizontal="center" vertical="bottom" textRotation="0" wrapText="false" indent="0" shrinkToFit="false"/>
      <protection locked="true" hidden="false"/>
    </xf>
    <xf numFmtId="164" fontId="7" fillId="19" borderId="0" xfId="0" applyFont="true" applyBorder="true" applyAlignment="true" applyProtection="false">
      <alignment horizontal="center" vertical="bottom" textRotation="0" wrapText="false" indent="0" shrinkToFit="false"/>
      <protection locked="true" hidden="false"/>
    </xf>
    <xf numFmtId="164" fontId="7" fillId="25" borderId="0" xfId="0" applyFont="true" applyBorder="true" applyAlignment="true" applyProtection="false">
      <alignment horizontal="center" vertical="bottom" textRotation="0" wrapText="false" indent="0" shrinkToFit="false"/>
      <protection locked="true" hidden="false"/>
    </xf>
    <xf numFmtId="164" fontId="11" fillId="27" borderId="1" xfId="0" applyFont="true" applyBorder="true" applyAlignment="true" applyProtection="false">
      <alignment horizontal="center" vertical="top" textRotation="0" wrapText="true" indent="0" shrinkToFit="false"/>
      <protection locked="true" hidden="false"/>
    </xf>
    <xf numFmtId="164" fontId="8" fillId="28" borderId="1" xfId="0" applyFont="true" applyBorder="true" applyAlignment="true" applyProtection="false">
      <alignment horizontal="general" vertical="top" textRotation="0" wrapText="true" indent="0" shrinkToFit="false"/>
      <protection locked="true" hidden="false"/>
    </xf>
    <xf numFmtId="164" fontId="4" fillId="29" borderId="0" xfId="0" applyFont="true" applyBorder="false" applyAlignment="true" applyProtection="false">
      <alignment horizontal="general" vertical="center" textRotation="0" wrapText="false" indent="0" shrinkToFit="false"/>
      <protection locked="true" hidden="false"/>
    </xf>
    <xf numFmtId="164" fontId="0" fillId="29" borderId="0" xfId="0" applyFont="false" applyBorder="false" applyAlignment="false" applyProtection="false">
      <alignment horizontal="general" vertical="bottom" textRotation="0" wrapText="false" indent="0" shrinkToFit="false"/>
      <protection locked="true" hidden="false"/>
    </xf>
    <xf numFmtId="164" fontId="11" fillId="29" borderId="1" xfId="0" applyFont="true" applyBorder="true" applyAlignment="true" applyProtection="false">
      <alignment horizontal="center" vertical="top" textRotation="0" wrapText="true" indent="0" shrinkToFit="false"/>
      <protection locked="true" hidden="false"/>
    </xf>
    <xf numFmtId="164" fontId="8" fillId="3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12_OECD_AI_Principles_Crosswalk.html" TargetMode="External"/><Relationship Id="rId652" Type="http://schemas.openxmlformats.org/officeDocument/2006/relationships/hyperlink" Target="https://nachi065.github.io/AI-Security-Wiki/23_Framework_Crosswalks/12_OECD_AI_Principles_Crosswalk.html" TargetMode="External"/><Relationship Id="rId653" Type="http://schemas.openxmlformats.org/officeDocument/2006/relationships/hyperlink" Target="https://nachi065.github.io/AI-Security-Wiki/23_Framework_Crosswalks/12_OECD_AI_Principles_Crosswalk.html" TargetMode="External"/><Relationship Id="rId654" Type="http://schemas.openxmlformats.org/officeDocument/2006/relationships/hyperlink" Target="https://nachi065.github.io/AI-Security-Wiki/23_Framework_Crosswalks/12_OECD_AI_Principles_Crosswalk.html" TargetMode="External"/><Relationship Id="rId655" Type="http://schemas.openxmlformats.org/officeDocument/2006/relationships/hyperlink" Target="https://nachi065.github.io/AI-Security-Wiki/23_Framework_Crosswalks/12_OECD_AI_Principles_Crosswalk.html" TargetMode="External"/><Relationship Id="rId656" Type="http://schemas.openxmlformats.org/officeDocument/2006/relationships/hyperlink" Target="https://nachi065.github.io/AI-Security-Wiki/23_Framework_Crosswalks/16_Trustworthy_AI_Ethics_Crosswalk.html" TargetMode="External"/><Relationship Id="rId657" Type="http://schemas.openxmlformats.org/officeDocument/2006/relationships/hyperlink" Target="https://nachi065.github.io/AI-Security-Wiki/23_Framework_Crosswalks/16_Trustworthy_AI_Ethics_Crosswalk.html" TargetMode="External"/><Relationship Id="rId658" Type="http://schemas.openxmlformats.org/officeDocument/2006/relationships/hyperlink" Target="https://nachi065.github.io/AI-Security-Wiki/23_Framework_Crosswalks/16_Trustworthy_AI_Ethics_Crosswalk.html" TargetMode="External"/><Relationship Id="rId659" Type="http://schemas.openxmlformats.org/officeDocument/2006/relationships/hyperlink" Target="https://nachi065.github.io/AI-Security-Wiki/23_Framework_Crosswalks/16_Trustworthy_AI_Ethics_Crosswalk.html" TargetMode="External"/><Relationship Id="rId660" Type="http://schemas.openxmlformats.org/officeDocument/2006/relationships/hyperlink" Target="https://nachi065.github.io/AI-Security-Wiki/23_Framework_Crosswalks/16_Trustworthy_AI_Ethics_Crosswalk.html" TargetMode="External"/><Relationship Id="rId661" Type="http://schemas.openxmlformats.org/officeDocument/2006/relationships/hyperlink" Target="https://nachi065.github.io/AI-Security-Wiki/23_Framework_Crosswalks/16_Trustworthy_AI_Ethics_Crosswalk.html" TargetMode="External"/><Relationship Id="rId662" Type="http://schemas.openxmlformats.org/officeDocument/2006/relationships/hyperlink" Target="https://nachi065.github.io/AI-Security-Wiki/23_Framework_Crosswalks/16_Trustworthy_AI_Ethics_Crosswalk.html" TargetMode="External"/><Relationship Id="rId663" Type="http://schemas.openxmlformats.org/officeDocument/2006/relationships/hyperlink" Target="https://nachi065.github.io/AI-Security-Wiki/23_Framework_Crosswalks/16_Trustworthy_AI_Ethics_Crosswalk.html" TargetMode="External"/><Relationship Id="rId664" Type="http://schemas.openxmlformats.org/officeDocument/2006/relationships/hyperlink" Target="https://nachi065.github.io/AI-Security-Wiki/23_Framework_Crosswalks/16_Trustworthy_AI_Ethics_Crosswalk.html" TargetMode="External"/><Relationship Id="rId665" Type="http://schemas.openxmlformats.org/officeDocument/2006/relationships/hyperlink" Target="https://nachi065.github.io/AI-Security-Wiki/23_Framework_Crosswalks/16_Trustworthy_AI_Ethics_Crosswalk.html" TargetMode="External"/><Relationship Id="rId666" Type="http://schemas.openxmlformats.org/officeDocument/2006/relationships/hyperlink" Target="https://nachi065.github.io/AI-Security-Wiki/23_Framework_Crosswalks/16_Trustworthy_AI_Ethics_Crosswalk.html" TargetMode="External"/><Relationship Id="rId667" Type="http://schemas.openxmlformats.org/officeDocument/2006/relationships/hyperlink" Target="https://nachi065.github.io/AI-Security-Wiki/23_Framework_Crosswalks/16_Trustworthy_AI_Ethics_Crosswalk.html" TargetMode="External"/><Relationship Id="rId668" Type="http://schemas.openxmlformats.org/officeDocument/2006/relationships/hyperlink" Target="https://nachi065.github.io/AI-Security-Wiki/23_Framework_Crosswalks/16_Trustworthy_AI_Ethics_Crosswalk.html" TargetMode="External"/><Relationship Id="rId669" Type="http://schemas.openxmlformats.org/officeDocument/2006/relationships/hyperlink" Target="https://nachi065.github.io/AI-Security-Wiki/23_Framework_Crosswalks/16_Trustworthy_AI_Ethics_Crosswalk.html" TargetMode="External"/><Relationship Id="rId670" Type="http://schemas.openxmlformats.org/officeDocument/2006/relationships/hyperlink" Target="https://nachi065.github.io/AI-Security-Wiki/23_Framework_Crosswalks/16_Trustworthy_AI_Ethics_Crosswalk.html" TargetMode="External"/><Relationship Id="rId671" Type="http://schemas.openxmlformats.org/officeDocument/2006/relationships/hyperlink" Target="https://nachi065.github.io/AI-Security-Wiki/23_Framework_Crosswalks/16_Trustworthy_AI_Ethics_Crosswalk.html" TargetMode="External"/><Relationship Id="rId672" Type="http://schemas.openxmlformats.org/officeDocument/2006/relationships/hyperlink" Target="https://nachi065.github.io/AI-Security-Wiki/23_Framework_Crosswalks/16_Trustworthy_AI_Ethics_Crosswalk.html" TargetMode="External"/><Relationship Id="rId673" Type="http://schemas.openxmlformats.org/officeDocument/2006/relationships/hyperlink" Target="https://nachi065.github.io/AI-Security-Wiki/23_Framework_Crosswalks/16_Trustworthy_AI_Ethics_Crosswalk.html" TargetMode="External"/><Relationship Id="rId674" Type="http://schemas.openxmlformats.org/officeDocument/2006/relationships/hyperlink" Target="https://nachi065.github.io/AI-Security-Wiki/23_Framework_Crosswalks/16_Trustworthy_AI_Ethics_Crosswalk.html" TargetMode="External"/><Relationship Id="rId675" Type="http://schemas.openxmlformats.org/officeDocument/2006/relationships/hyperlink" Target="https://nachi065.github.io/AI-Security-Wiki/23_Framework_Crosswalks/16_Trustworthy_AI_Ethics_Crosswalk.html" TargetMode="External"/><Relationship Id="rId676" Type="http://schemas.openxmlformats.org/officeDocument/2006/relationships/hyperlink" Target="https://nachi065.github.io/AI-Security-Wiki/23_Framework_Crosswalks/16_Trustworthy_AI_Ethics_Crosswalk.html" TargetMode="External"/><Relationship Id="rId677" Type="http://schemas.openxmlformats.org/officeDocument/2006/relationships/hyperlink" Target="https://nachi065.github.io/AI-Security-Wiki/23_Framework_Crosswalks/16_Trustworthy_AI_Ethics_Crosswalk.html" TargetMode="External"/><Relationship Id="rId678" Type="http://schemas.openxmlformats.org/officeDocument/2006/relationships/hyperlink" Target="https://nachi065.github.io/AI-Security-Wiki/23_Framework_Crosswalks/17_International_AI_Instruments_Crosswalk.html" TargetMode="External"/><Relationship Id="rId679" Type="http://schemas.openxmlformats.org/officeDocument/2006/relationships/hyperlink" Target="https://nachi065.github.io/AI-Security-Wiki/23_Framework_Crosswalks/17_International_AI_Instruments_Crosswalk.html" TargetMode="External"/><Relationship Id="rId680" Type="http://schemas.openxmlformats.org/officeDocument/2006/relationships/hyperlink" Target="https://nachi065.github.io/AI-Security-Wiki/23_Framework_Crosswalks/17_International_AI_Instruments_Crosswalk.html" TargetMode="External"/><Relationship Id="rId681" Type="http://schemas.openxmlformats.org/officeDocument/2006/relationships/hyperlink" Target="https://nachi065.github.io/AI-Security-Wiki/23_Framework_Crosswalks/17_International_AI_Instruments_Crosswalk.html" TargetMode="External"/><Relationship Id="rId682" Type="http://schemas.openxmlformats.org/officeDocument/2006/relationships/hyperlink" Target="https://nachi065.github.io/AI-Security-Wiki/23_Framework_Crosswalks/17_International_AI_Instruments_Crosswalk.html" TargetMode="External"/><Relationship Id="rId683" Type="http://schemas.openxmlformats.org/officeDocument/2006/relationships/hyperlink" Target="https://nachi065.github.io/AI-Security-Wiki/23_Framework_Crosswalks/17_International_AI_Instruments_Crosswalk.html" TargetMode="External"/><Relationship Id="rId684" Type="http://schemas.openxmlformats.org/officeDocument/2006/relationships/hyperlink" Target="https://nachi065.github.io/AI-Security-Wiki/23_Framework_Crosswalks/17_International_AI_Instruments_Crosswalk.html" TargetMode="External"/><Relationship Id="rId685" Type="http://schemas.openxmlformats.org/officeDocument/2006/relationships/hyperlink" Target="https://nachi065.github.io/AI-Security-Wiki/23_Framework_Crosswalks/17_International_AI_Instruments_Crosswalk.html" TargetMode="External"/><Relationship Id="rId686" Type="http://schemas.openxmlformats.org/officeDocument/2006/relationships/hyperlink" Target="https://nachi065.github.io/AI-Security-Wiki/23_Framework_Crosswalks/17_International_AI_Instruments_Crosswalk.html" TargetMode="External"/><Relationship Id="rId687" Type="http://schemas.openxmlformats.org/officeDocument/2006/relationships/hyperlink" Target="https://nachi065.github.io/AI-Security-Wiki/23_Framework_Crosswalks/17_International_AI_Instruments_Crosswalk.html" TargetMode="External"/><Relationship Id="rId688" Type="http://schemas.openxmlformats.org/officeDocument/2006/relationships/hyperlink" Target="https://nachi065.github.io/AI-Security-Wiki/23_Framework_Crosswalks/17_International_AI_Instruments_Crosswalk.html" TargetMode="External"/><Relationship Id="rId689" Type="http://schemas.openxmlformats.org/officeDocument/2006/relationships/hyperlink" Target="https://nachi065.github.io/AI-Security-Wiki/23_Framework_Crosswalks/17_International_AI_Instruments_Crosswalk.html" TargetMode="External"/><Relationship Id="rId690" Type="http://schemas.openxmlformats.org/officeDocument/2006/relationships/hyperlink" Target="https://nachi065.github.io/AI-Security-Wiki/23_Framework_Crosswalks/17_International_AI_Instruments_Crosswalk.html" TargetMode="External"/><Relationship Id="rId691" Type="http://schemas.openxmlformats.org/officeDocument/2006/relationships/hyperlink" Target="https://nachi065.github.io/AI-Security-Wiki/23_Framework_Crosswalks/17_International_AI_Instruments_Crosswalk.html" TargetMode="External"/><Relationship Id="rId692" Type="http://schemas.openxmlformats.org/officeDocument/2006/relationships/hyperlink" Target="https://nachi065.github.io/AI-Security-Wiki/23_Framework_Crosswalks/17_International_AI_Instruments_Crosswalk.html" TargetMode="External"/><Relationship Id="rId693" Type="http://schemas.openxmlformats.org/officeDocument/2006/relationships/hyperlink" Target="https://nachi065.github.io/AI-Security-Wiki/23_Framework_Crosswalks/17_International_AI_Instruments_Crosswalk.html" TargetMode="External"/><Relationship Id="rId694" Type="http://schemas.openxmlformats.org/officeDocument/2006/relationships/hyperlink" Target="https://nachi065.github.io/AI-Security-Wiki/23_Framework_Crosswalks/17_International_AI_Instruments_Crosswalk.html" TargetMode="External"/><Relationship Id="rId695" Type="http://schemas.openxmlformats.org/officeDocument/2006/relationships/hyperlink" Target="https://nachi065.github.io/AI-Security-Wiki/23_Framework_Crosswalks/17_International_AI_Instruments_Crosswalk.html" TargetMode="External"/><Relationship Id="rId696" Type="http://schemas.openxmlformats.org/officeDocument/2006/relationships/hyperlink" Target="https://nachi065.github.io/AI-Security-Wiki/23_Framework_Crosswalks/17_International_AI_Instruments_Crosswalk.html" TargetMode="External"/><Relationship Id="rId697" Type="http://schemas.openxmlformats.org/officeDocument/2006/relationships/hyperlink" Target="https://nachi065.github.io/AI-Security-Wiki/23_Framework_Crosswalks/17_International_AI_Instruments_Crosswalk.html" TargetMode="External"/><Relationship Id="rId698" Type="http://schemas.openxmlformats.org/officeDocument/2006/relationships/hyperlink" Target="https://nachi065.github.io/AI-Security-Wiki/23_Framework_Crosswalks/17_International_AI_Instruments_Crosswalk.html" TargetMode="External"/><Relationship Id="rId699" Type="http://schemas.openxmlformats.org/officeDocument/2006/relationships/hyperlink" Target="https://nachi065.github.io/AI-Security-Wiki/23_Framework_Crosswalks/17_International_AI_Instruments_Crosswalk.html" TargetMode="External"/><Relationship Id="rId700" Type="http://schemas.openxmlformats.org/officeDocument/2006/relationships/hyperlink" Target="https://nachi065.github.io/AI-Security-Wiki/23_Framework_Crosswalks/17_International_AI_Instruments_Crosswalk.html" TargetMode="External"/><Relationship Id="rId701" Type="http://schemas.openxmlformats.org/officeDocument/2006/relationships/hyperlink" Target="https://nachi065.github.io/AI-Security-Wiki/23_Framework_Crosswalks/13_Privacy_Law_Crosswalk.html" TargetMode="External"/><Relationship Id="rId702" Type="http://schemas.openxmlformats.org/officeDocument/2006/relationships/hyperlink" Target="https://nachi065.github.io/AI-Security-Wiki/23_Framework_Crosswalks/13_Privacy_Law_Crosswalk.html" TargetMode="External"/><Relationship Id="rId703" Type="http://schemas.openxmlformats.org/officeDocument/2006/relationships/hyperlink" Target="https://nachi065.github.io/AI-Security-Wiki/23_Framework_Crosswalks/13_Privacy_Law_Crosswalk.html" TargetMode="External"/><Relationship Id="rId704" Type="http://schemas.openxmlformats.org/officeDocument/2006/relationships/hyperlink" Target="https://nachi065.github.io/AI-Security-Wiki/23_Framework_Crosswalks/13_Privacy_Law_Crosswalk.html" TargetMode="External"/><Relationship Id="rId705" Type="http://schemas.openxmlformats.org/officeDocument/2006/relationships/hyperlink" Target="https://nachi065.github.io/AI-Security-Wiki/23_Framework_Crosswalks/13_Privacy_Law_Crosswalk.html" TargetMode="External"/><Relationship Id="rId706" Type="http://schemas.openxmlformats.org/officeDocument/2006/relationships/hyperlink" Target="https://nachi065.github.io/AI-Security-Wiki/23_Framework_Crosswalks/13_Privacy_Law_Crosswalk.html" TargetMode="External"/><Relationship Id="rId707" Type="http://schemas.openxmlformats.org/officeDocument/2006/relationships/hyperlink" Target="https://nachi065.github.io/AI-Security-Wiki/23_Framework_Crosswalks/13_Privacy_Law_Crosswalk.html" TargetMode="External"/><Relationship Id="rId708" Type="http://schemas.openxmlformats.org/officeDocument/2006/relationships/hyperlink" Target="https://nachi065.github.io/AI-Security-Wiki/23_Framework_Crosswalks/13_Privacy_Law_Crosswalk.html" TargetMode="External"/><Relationship Id="rId709" Type="http://schemas.openxmlformats.org/officeDocument/2006/relationships/hyperlink" Target="https://nachi065.github.io/AI-Security-Wiki/23_Framework_Crosswalks/13_Privacy_Law_Crosswalk.html" TargetMode="External"/><Relationship Id="rId710" Type="http://schemas.openxmlformats.org/officeDocument/2006/relationships/hyperlink" Target="https://nachi065.github.io/AI-Security-Wiki/23_Framework_Crosswalks/13_Privacy_Law_Crosswalk.html" TargetMode="External"/><Relationship Id="rId711" Type="http://schemas.openxmlformats.org/officeDocument/2006/relationships/hyperlink" Target="https://nachi065.github.io/AI-Security-Wiki/23_Framework_Crosswalks/13_Privacy_Law_Crosswalk.html" TargetMode="External"/><Relationship Id="rId712" Type="http://schemas.openxmlformats.org/officeDocument/2006/relationships/hyperlink" Target="https://nachi065.github.io/AI-Security-Wiki/23_Framework_Crosswalks/13_Privacy_Law_Crosswalk.html" TargetMode="External"/><Relationship Id="rId713" Type="http://schemas.openxmlformats.org/officeDocument/2006/relationships/hyperlink" Target="https://nachi065.github.io/AI-Security-Wiki/23_Framework_Crosswalks/13_Privacy_Law_Crosswalk.html" TargetMode="External"/><Relationship Id="rId714" Type="http://schemas.openxmlformats.org/officeDocument/2006/relationships/hyperlink" Target="https://nachi065.github.io/AI-Security-Wiki/23_Framework_Crosswalks/13_Privacy_Law_Crosswalk.html" TargetMode="External"/><Relationship Id="rId715" Type="http://schemas.openxmlformats.org/officeDocument/2006/relationships/hyperlink" Target="https://nachi065.github.io/AI-Security-Wiki/11_GCC_AI_Compliance/07_Regulatory_Crosswalk.html" TargetMode="External"/><Relationship Id="rId716" Type="http://schemas.openxmlformats.org/officeDocument/2006/relationships/hyperlink" Target="https://nachi065.github.io/AI-Security-Wiki/11_GCC_AI_Compliance/07_Regulatory_Crosswalk.html" TargetMode="External"/><Relationship Id="rId717" Type="http://schemas.openxmlformats.org/officeDocument/2006/relationships/hyperlink" Target="https://nachi065.github.io/AI-Security-Wiki/11_GCC_AI_Compliance/07_Regulatory_Crosswalk.html" TargetMode="External"/><Relationship Id="rId718" Type="http://schemas.openxmlformats.org/officeDocument/2006/relationships/hyperlink" Target="https://nachi065.github.io/AI-Security-Wiki/11_GCC_AI_Compliance/07_Regulatory_Crosswalk.html" TargetMode="External"/><Relationship Id="rId719" Type="http://schemas.openxmlformats.org/officeDocument/2006/relationships/hyperlink" Target="https://nachi065.github.io/AI-Security-Wiki/11_GCC_AI_Compliance/07_Regulatory_Crosswalk.html" TargetMode="External"/><Relationship Id="rId720" Type="http://schemas.openxmlformats.org/officeDocument/2006/relationships/hyperlink" Target="https://nachi065.github.io/AI-Security-Wiki/11_GCC_AI_Compliance/07_Regulatory_Crosswalk.html" TargetMode="External"/><Relationship Id="rId721" Type="http://schemas.openxmlformats.org/officeDocument/2006/relationships/hyperlink" Target="https://nachi065.github.io/AI-Security-Wiki/11_GCC_AI_Compliance/07_Regulatory_Crosswalk.html" TargetMode="External"/><Relationship Id="rId722" Type="http://schemas.openxmlformats.org/officeDocument/2006/relationships/hyperlink" Target="https://nachi065.github.io/AI-Security-Wiki/11_GCC_AI_Compliance/07_Regulatory_Crosswalk.html" TargetMode="External"/><Relationship Id="rId723" Type="http://schemas.openxmlformats.org/officeDocument/2006/relationships/hyperlink" Target="https://nachi065.github.io/AI-Security-Wiki/11_GCC_AI_Compliance/07_Regulatory_Crosswalk.html" TargetMode="External"/><Relationship Id="rId724" Type="http://schemas.openxmlformats.org/officeDocument/2006/relationships/hyperlink" Target="https://nachi065.github.io/AI-Security-Wiki/11_GCC_AI_Compliance/07_Regulatory_Crosswalk.html" TargetMode="External"/><Relationship Id="rId725" Type="http://schemas.openxmlformats.org/officeDocument/2006/relationships/hyperlink" Target="https://nachi065.github.io/AI-Security-Wiki/11_GCC_AI_Compliance/07_Regulatory_Crosswalk.html" TargetMode="External"/><Relationship Id="rId726" Type="http://schemas.openxmlformats.org/officeDocument/2006/relationships/hyperlink" Target="https://nachi065.github.io/AI-Security-Wiki/11_GCC_AI_Compliance/07_Regulatory_Crosswalk.html" TargetMode="External"/><Relationship Id="rId727" Type="http://schemas.openxmlformats.org/officeDocument/2006/relationships/hyperlink" Target="https://nachi065.github.io/AI-Security-Wiki/11_GCC_AI_Compliance/07_Regulatory_Crosswalk.html" TargetMode="External"/><Relationship Id="rId728" Type="http://schemas.openxmlformats.org/officeDocument/2006/relationships/hyperlink" Target="https://nachi065.github.io/AI-Security-Wiki/11_GCC_AI_Compliance/07_Regulatory_Crosswalk.html" TargetMode="External"/><Relationship Id="rId729" Type="http://schemas.openxmlformats.org/officeDocument/2006/relationships/hyperlink" Target="https://nachi065.github.io/AI-Security-Wiki/11_GCC_AI_Compliance/07_Regulatory_Crosswalk.html" TargetMode="External"/><Relationship Id="rId730" Type="http://schemas.openxmlformats.org/officeDocument/2006/relationships/hyperlink" Target="https://nachi065.github.io/AI-Security-Wiki/11_GCC_AI_Compliance/07_Regulatory_Crosswalk.html" TargetMode="External"/><Relationship Id="rId731" Type="http://schemas.openxmlformats.org/officeDocument/2006/relationships/hyperlink" Target="https://nachi065.github.io/AI-Security-Wiki/11_GCC_AI_Compliance/07_Regulatory_Crosswalk.html" TargetMode="External"/><Relationship Id="rId732" Type="http://schemas.openxmlformats.org/officeDocument/2006/relationships/hyperlink" Target="https://nachi065.github.io/AI-Security-Wiki/11_GCC_AI_Compliance/07_Regulatory_Crosswalk.html" TargetMode="External"/><Relationship Id="rId733" Type="http://schemas.openxmlformats.org/officeDocument/2006/relationships/hyperlink" Target="https://nachi065.github.io/AI-Security-Wiki/11_GCC_AI_Compliance/07_Regulatory_Crosswalk.html" TargetMode="External"/><Relationship Id="rId734" Type="http://schemas.openxmlformats.org/officeDocument/2006/relationships/hyperlink" Target="https://nachi065.github.io/AI-Security-Wiki/11_GCC_AI_Compliance/07_Regulatory_Crosswalk.html" TargetMode="External"/><Relationship Id="rId735" Type="http://schemas.openxmlformats.org/officeDocument/2006/relationships/hyperlink" Target="https://nachi065.github.io/AI-Security-Wiki/11_GCC_AI_Compliance/07_Regulatory_Crosswalk.html" TargetMode="External"/><Relationship Id="rId736" Type="http://schemas.openxmlformats.org/officeDocument/2006/relationships/hyperlink" Target="https://nachi065.github.io/AI-Security-Wiki/11_GCC_AI_Compliance/07_Regulatory_Crosswalk.html" TargetMode="External"/><Relationship Id="rId737" Type="http://schemas.openxmlformats.org/officeDocument/2006/relationships/hyperlink" Target="https://nachi065.github.io/AI-Security-Wiki/11_GCC_AI_Compliance/07_Regulatory_Crosswalk.html" TargetMode="External"/><Relationship Id="rId738" Type="http://schemas.openxmlformats.org/officeDocument/2006/relationships/hyperlink" Target="https://nachi065.github.io/AI-Security-Wiki/11_GCC_AI_Compliance/07_Regulatory_Crosswalk.html" TargetMode="External"/><Relationship Id="rId739" Type="http://schemas.openxmlformats.org/officeDocument/2006/relationships/hyperlink" Target="https://nachi065.github.io/AI-Security-Wiki/11_GCC_AI_Compliance/07_Regulatory_Crosswalk.html" TargetMode="External"/><Relationship Id="rId740" Type="http://schemas.openxmlformats.org/officeDocument/2006/relationships/hyperlink" Target="https://nachi065.github.io/AI-Security-Wiki/11_GCC_AI_Compliance/07_Regulatory_Crosswalk.html" TargetMode="External"/><Relationship Id="rId741" Type="http://schemas.openxmlformats.org/officeDocument/2006/relationships/hyperlink" Target="https://nachi065.github.io/AI-Security-Wiki/11_GCC_AI_Compliance/07_Regulatory_Crosswalk.html" TargetMode="External"/><Relationship Id="rId742" Type="http://schemas.openxmlformats.org/officeDocument/2006/relationships/hyperlink" Target="https://nachi065.github.io/AI-Security-Wiki/11_GCC_AI_Compliance/07_Regulatory_Crosswalk.html" TargetMode="External"/><Relationship Id="rId743" Type="http://schemas.openxmlformats.org/officeDocument/2006/relationships/hyperlink" Target="https://nachi065.github.io/AI-Security-Wiki/11_GCC_AI_Compliance/07_Regulatory_Crosswalk.html" TargetMode="External"/><Relationship Id="rId744" Type="http://schemas.openxmlformats.org/officeDocument/2006/relationships/hyperlink" Target="https://nachi065.github.io/AI-Security-Wiki/11_GCC_AI_Compliance/07_Regulatory_Crosswalk.html" TargetMode="External"/><Relationship Id="rId745" Type="http://schemas.openxmlformats.org/officeDocument/2006/relationships/hyperlink" Target="https://nachi065.github.io/AI-Security-Wiki/11_GCC_AI_Compliance/07_Regulatory_Crosswalk.html" TargetMode="External"/><Relationship Id="rId746" Type="http://schemas.openxmlformats.org/officeDocument/2006/relationships/hyperlink" Target="https://nachi065.github.io/AI-Security-Wiki/11_GCC_AI_Compliance/07_Regulatory_Crosswalk.html" TargetMode="External"/><Relationship Id="rId747" Type="http://schemas.openxmlformats.org/officeDocument/2006/relationships/hyperlink" Target="https://nachi065.github.io/AI-Security-Wiki/11_GCC_AI_Compliance/07_Regulatory_Crosswalk.html" TargetMode="External"/><Relationship Id="rId748" Type="http://schemas.openxmlformats.org/officeDocument/2006/relationships/hyperlink" Target="https://nachi065.github.io/AI-Security-Wiki/12_EU_AI_Compliance/07_Regulatory_Crosswalk.html" TargetMode="External"/><Relationship Id="rId749" Type="http://schemas.openxmlformats.org/officeDocument/2006/relationships/hyperlink" Target="https://nachi065.github.io/AI-Security-Wiki/12_EU_AI_Compliance/07_Regulatory_Crosswalk.html" TargetMode="External"/><Relationship Id="rId750" Type="http://schemas.openxmlformats.org/officeDocument/2006/relationships/hyperlink" Target="https://nachi065.github.io/AI-Security-Wiki/12_EU_AI_Compliance/07_Regulatory_Crosswalk.html" TargetMode="External"/><Relationship Id="rId751" Type="http://schemas.openxmlformats.org/officeDocument/2006/relationships/hyperlink" Target="https://nachi065.github.io/AI-Security-Wiki/12_EU_AI_Compliance/07_Regulatory_Crosswalk.html" TargetMode="External"/><Relationship Id="rId752" Type="http://schemas.openxmlformats.org/officeDocument/2006/relationships/hyperlink" Target="https://nachi065.github.io/AI-Security-Wiki/12_EU_AI_Compliance/07_Regulatory_Crosswalk.html" TargetMode="External"/><Relationship Id="rId753" Type="http://schemas.openxmlformats.org/officeDocument/2006/relationships/hyperlink" Target="https://nachi065.github.io/AI-Security-Wiki/12_EU_AI_Compliance/07_Regulatory_Crosswalk.html" TargetMode="External"/><Relationship Id="rId754" Type="http://schemas.openxmlformats.org/officeDocument/2006/relationships/hyperlink" Target="https://nachi065.github.io/AI-Security-Wiki/12_EU_AI_Compliance/07_Regulatory_Crosswalk.html" TargetMode="External"/><Relationship Id="rId755" Type="http://schemas.openxmlformats.org/officeDocument/2006/relationships/hyperlink" Target="https://nachi065.github.io/AI-Security-Wiki/12_EU_AI_Compliance/07_Regulatory_Crosswalk.html" TargetMode="External"/><Relationship Id="rId756" Type="http://schemas.openxmlformats.org/officeDocument/2006/relationships/hyperlink" Target="https://nachi065.github.io/AI-Security-Wiki/12_EU_AI_Compliance/07_Regulatory_Crosswalk.html" TargetMode="External"/><Relationship Id="rId757" Type="http://schemas.openxmlformats.org/officeDocument/2006/relationships/hyperlink" Target="https://nachi065.github.io/AI-Security-Wiki/12_EU_AI_Compliance/07_Regulatory_Crosswalk.html" TargetMode="External"/><Relationship Id="rId758" Type="http://schemas.openxmlformats.org/officeDocument/2006/relationships/hyperlink" Target="https://nachi065.github.io/AI-Security-Wiki/12_EU_AI_Compliance/07_Regulatory_Crosswalk.html" TargetMode="External"/><Relationship Id="rId759" Type="http://schemas.openxmlformats.org/officeDocument/2006/relationships/hyperlink" Target="https://nachi065.github.io/AI-Security-Wiki/12_EU_AI_Compliance/07_Regulatory_Crosswalk.html" TargetMode="External"/><Relationship Id="rId760" Type="http://schemas.openxmlformats.org/officeDocument/2006/relationships/hyperlink" Target="https://nachi065.github.io/AI-Security-Wiki/12_EU_AI_Compliance/07_Regulatory_Crosswalk.html" TargetMode="External"/><Relationship Id="rId761" Type="http://schemas.openxmlformats.org/officeDocument/2006/relationships/hyperlink" Target="https://nachi065.github.io/AI-Security-Wiki/12_EU_AI_Compliance/07_Regulatory_Crosswalk.html" TargetMode="External"/><Relationship Id="rId762" Type="http://schemas.openxmlformats.org/officeDocument/2006/relationships/hyperlink" Target="https://nachi065.github.io/AI-Security-Wiki/12_EU_AI_Compliance/07_Regulatory_Crosswalk.html" TargetMode="External"/><Relationship Id="rId763" Type="http://schemas.openxmlformats.org/officeDocument/2006/relationships/hyperlink" Target="https://nachi065.github.io/AI-Security-Wiki/12_EU_AI_Compliance/07_Regulatory_Crosswalk.html" TargetMode="External"/><Relationship Id="rId764" Type="http://schemas.openxmlformats.org/officeDocument/2006/relationships/hyperlink" Target="https://nachi065.github.io/AI-Security-Wiki/12_EU_AI_Compliance/07_Regulatory_Crosswalk.html" TargetMode="External"/><Relationship Id="rId765" Type="http://schemas.openxmlformats.org/officeDocument/2006/relationships/hyperlink" Target="https://nachi065.github.io/AI-Security-Wiki/12_EU_AI_Compliance/07_Regulatory_Crosswalk.html" TargetMode="External"/><Relationship Id="rId766" Type="http://schemas.openxmlformats.org/officeDocument/2006/relationships/hyperlink" Target="https://nachi065.github.io/AI-Security-Wiki/12_EU_AI_Compliance/07_Regulatory_Crosswalk.html" TargetMode="External"/><Relationship Id="rId767" Type="http://schemas.openxmlformats.org/officeDocument/2006/relationships/hyperlink" Target="https://nachi065.github.io/AI-Security-Wiki/12_EU_AI_Compliance/07_Regulatory_Crosswalk.html" TargetMode="External"/><Relationship Id="rId768" Type="http://schemas.openxmlformats.org/officeDocument/2006/relationships/hyperlink" Target="https://nachi065.github.io/AI-Security-Wiki/12_EU_AI_Compliance/07_Regulatory_Crosswalk.html" TargetMode="External"/><Relationship Id="rId769" Type="http://schemas.openxmlformats.org/officeDocument/2006/relationships/hyperlink" Target="https://nachi065.github.io/AI-Security-Wiki/12_EU_AI_Compliance/07_Regulatory_Crosswalk.html" TargetMode="External"/><Relationship Id="rId770" Type="http://schemas.openxmlformats.org/officeDocument/2006/relationships/hyperlink" Target="https://nachi065.github.io/AI-Security-Wiki/12_EU_AI_Compliance/07_Regulatory_Crosswalk.html" TargetMode="External"/><Relationship Id="rId771" Type="http://schemas.openxmlformats.org/officeDocument/2006/relationships/hyperlink" Target="https://nachi065.github.io/AI-Security-Wiki/21_UK_AI_Compliance/03_Regulatory_Crosswalk.html" TargetMode="External"/><Relationship Id="rId772" Type="http://schemas.openxmlformats.org/officeDocument/2006/relationships/hyperlink" Target="https://nachi065.github.io/AI-Security-Wiki/21_UK_AI_Compliance/03_Regulatory_Crosswalk.html" TargetMode="External"/><Relationship Id="rId773" Type="http://schemas.openxmlformats.org/officeDocument/2006/relationships/hyperlink" Target="https://nachi065.github.io/AI-Security-Wiki/21_UK_AI_Compliance/03_Regulatory_Crosswalk.html" TargetMode="External"/><Relationship Id="rId774" Type="http://schemas.openxmlformats.org/officeDocument/2006/relationships/hyperlink" Target="https://nachi065.github.io/AI-Security-Wiki/21_UK_AI_Compliance/03_Regulatory_Crosswalk.html" TargetMode="External"/><Relationship Id="rId775" Type="http://schemas.openxmlformats.org/officeDocument/2006/relationships/hyperlink" Target="https://nachi065.github.io/AI-Security-Wiki/21_UK_AI_Compliance/03_Regulatory_Crosswalk.html" TargetMode="External"/><Relationship Id="rId776" Type="http://schemas.openxmlformats.org/officeDocument/2006/relationships/hyperlink" Target="https://nachi065.github.io/AI-Security-Wiki/21_UK_AI_Compliance/03_Regulatory_Crosswalk.html" TargetMode="External"/><Relationship Id="rId777" Type="http://schemas.openxmlformats.org/officeDocument/2006/relationships/hyperlink" Target="https://nachi065.github.io/AI-Security-Wiki/21_UK_AI_Compliance/03_Regulatory_Crosswalk.html" TargetMode="External"/><Relationship Id="rId778" Type="http://schemas.openxmlformats.org/officeDocument/2006/relationships/hyperlink" Target="https://nachi065.github.io/AI-Security-Wiki/21_UK_AI_Compliance/03_Regulatory_Crosswalk.html" TargetMode="External"/><Relationship Id="rId779" Type="http://schemas.openxmlformats.org/officeDocument/2006/relationships/hyperlink" Target="https://nachi065.github.io/AI-Security-Wiki/21_UK_AI_Compliance/03_Regulatory_Crosswalk.html" TargetMode="External"/><Relationship Id="rId780" Type="http://schemas.openxmlformats.org/officeDocument/2006/relationships/hyperlink" Target="https://nachi065.github.io/AI-Security-Wiki/21_UK_AI_Compliance/03_Regulatory_Crosswalk.html" TargetMode="External"/><Relationship Id="rId781" Type="http://schemas.openxmlformats.org/officeDocument/2006/relationships/hyperlink" Target="https://nachi065.github.io/AI-Security-Wiki/21_UK_AI_Compliance/03_Regulatory_Crosswalk.html" TargetMode="External"/><Relationship Id="rId782" Type="http://schemas.openxmlformats.org/officeDocument/2006/relationships/hyperlink" Target="https://nachi065.github.io/AI-Security-Wiki/21_UK_AI_Compliance/03_Regulatory_Crosswalk.html" TargetMode="External"/><Relationship Id="rId783" Type="http://schemas.openxmlformats.org/officeDocument/2006/relationships/hyperlink" Target="https://nachi065.github.io/AI-Security-Wiki/21_UK_AI_Compliance/03_Regulatory_Crosswalk.html" TargetMode="External"/><Relationship Id="rId784" Type="http://schemas.openxmlformats.org/officeDocument/2006/relationships/hyperlink" Target="https://nachi065.github.io/AI-Security-Wiki/22_US_AI_Compliance/03_Regulatory_Crosswalk.html" TargetMode="External"/><Relationship Id="rId785" Type="http://schemas.openxmlformats.org/officeDocument/2006/relationships/hyperlink" Target="https://nachi065.github.io/AI-Security-Wiki/22_US_AI_Compliance/03_Regulatory_Crosswalk.html" TargetMode="External"/><Relationship Id="rId786" Type="http://schemas.openxmlformats.org/officeDocument/2006/relationships/hyperlink" Target="https://nachi065.github.io/AI-Security-Wiki/22_US_AI_Compliance/03_Regulatory_Crosswalk.html" TargetMode="External"/><Relationship Id="rId787" Type="http://schemas.openxmlformats.org/officeDocument/2006/relationships/hyperlink" Target="https://nachi065.github.io/AI-Security-Wiki/22_US_AI_Compliance/03_Regulatory_Crosswalk.html" TargetMode="External"/><Relationship Id="rId788" Type="http://schemas.openxmlformats.org/officeDocument/2006/relationships/hyperlink" Target="https://nachi065.github.io/AI-Security-Wiki/22_US_AI_Compliance/03_Regulatory_Crosswalk.html" TargetMode="External"/><Relationship Id="rId789" Type="http://schemas.openxmlformats.org/officeDocument/2006/relationships/hyperlink" Target="https://nachi065.github.io/AI-Security-Wiki/22_US_AI_Compliance/03_Regulatory_Crosswalk.html" TargetMode="External"/><Relationship Id="rId790" Type="http://schemas.openxmlformats.org/officeDocument/2006/relationships/hyperlink" Target="https://nachi065.github.io/AI-Security-Wiki/22_US_AI_Compliance/03_Regulatory_Crosswalk.html" TargetMode="External"/><Relationship Id="rId791" Type="http://schemas.openxmlformats.org/officeDocument/2006/relationships/hyperlink" Target="https://nachi065.github.io/AI-Security-Wiki/22_US_AI_Compliance/03_Regulatory_Crosswalk.html" TargetMode="External"/><Relationship Id="rId792" Type="http://schemas.openxmlformats.org/officeDocument/2006/relationships/hyperlink" Target="https://nachi065.github.io/AI-Security-Wiki/22_US_AI_Compliance/03_Regulatory_Crosswalk.html" TargetMode="External"/><Relationship Id="rId793" Type="http://schemas.openxmlformats.org/officeDocument/2006/relationships/hyperlink" Target="https://nachi065.github.io/AI-Security-Wiki/22_US_AI_Compliance/03_Regulatory_Crosswalk.html" TargetMode="External"/><Relationship Id="rId794" Type="http://schemas.openxmlformats.org/officeDocument/2006/relationships/hyperlink" Target="https://nachi065.github.io/AI-Security-Wiki/22_US_AI_Compliance/03_Regulatory_Crosswalk.html" TargetMode="External"/><Relationship Id="rId795" Type="http://schemas.openxmlformats.org/officeDocument/2006/relationships/hyperlink" Target="https://nachi065.github.io/AI-Security-Wiki/22_US_AI_Compliance/03_Regulatory_Crosswalk.html" TargetMode="External"/><Relationship Id="rId796" Type="http://schemas.openxmlformats.org/officeDocument/2006/relationships/hyperlink" Target="https://nachi065.github.io/AI-Security-Wiki/22_US_AI_Compliance/03_Regulatory_Crosswalk.html" TargetMode="External"/><Relationship Id="rId797" Type="http://schemas.openxmlformats.org/officeDocument/2006/relationships/hyperlink" Target="https://nachi065.github.io/AI-Security-Wiki/22_US_AI_Compliance/03_Regulatory_Crosswalk.html" TargetMode="External"/><Relationship Id="rId798" Type="http://schemas.openxmlformats.org/officeDocument/2006/relationships/hyperlink" Target="https://nachi065.github.io/AI-Security-Wiki/22_US_AI_Compliance/03_Regulatory_Crosswalk.html" TargetMode="External"/><Relationship Id="rId799" Type="http://schemas.openxmlformats.org/officeDocument/2006/relationships/hyperlink" Target="https://nachi065.github.io/AI-Security-Wiki/22_US_AI_Compliance/03_Regulatory_Crosswalk.html" TargetMode="External"/><Relationship Id="rId800" Type="http://schemas.openxmlformats.org/officeDocument/2006/relationships/hyperlink" Target="https://nachi065.github.io/AI-Security-Wiki/22_US_AI_Compliance/03_Regulatory_Crosswalk.html" TargetMode="External"/><Relationship Id="rId801" Type="http://schemas.openxmlformats.org/officeDocument/2006/relationships/hyperlink" Target="https://nachi065.github.io/AI-Security-Wiki/13_Australia_AI_Compliance/03_Regulatory_Crosswalk.html" TargetMode="External"/><Relationship Id="rId802" Type="http://schemas.openxmlformats.org/officeDocument/2006/relationships/hyperlink" Target="https://nachi065.github.io/AI-Security-Wiki/13_Australia_AI_Compliance/03_Regulatory_Crosswalk.html" TargetMode="External"/><Relationship Id="rId803" Type="http://schemas.openxmlformats.org/officeDocument/2006/relationships/hyperlink" Target="https://nachi065.github.io/AI-Security-Wiki/13_Australia_AI_Compliance/03_Regulatory_Crosswalk.html" TargetMode="External"/><Relationship Id="rId804" Type="http://schemas.openxmlformats.org/officeDocument/2006/relationships/hyperlink" Target="https://nachi065.github.io/AI-Security-Wiki/13_Australia_AI_Compliance/03_Regulatory_Crosswalk.html" TargetMode="External"/><Relationship Id="rId805" Type="http://schemas.openxmlformats.org/officeDocument/2006/relationships/hyperlink" Target="https://nachi065.github.io/AI-Security-Wiki/13_Australia_AI_Compliance/03_Regulatory_Crosswalk.html" TargetMode="External"/><Relationship Id="rId806" Type="http://schemas.openxmlformats.org/officeDocument/2006/relationships/hyperlink" Target="https://nachi065.github.io/AI-Security-Wiki/13_Australia_AI_Compliance/03_Regulatory_Crosswalk.html" TargetMode="External"/><Relationship Id="rId807" Type="http://schemas.openxmlformats.org/officeDocument/2006/relationships/hyperlink" Target="https://nachi065.github.io/AI-Security-Wiki/13_Australia_AI_Compliance/03_Regulatory_Crosswalk.html" TargetMode="External"/><Relationship Id="rId808" Type="http://schemas.openxmlformats.org/officeDocument/2006/relationships/hyperlink" Target="https://nachi065.github.io/AI-Security-Wiki/13_Australia_AI_Compliance/03_Regulatory_Crosswalk.html" TargetMode="External"/><Relationship Id="rId809" Type="http://schemas.openxmlformats.org/officeDocument/2006/relationships/hyperlink" Target="https://nachi065.github.io/AI-Security-Wiki/13_Australia_AI_Compliance/03_Regulatory_Crosswalk.html" TargetMode="External"/><Relationship Id="rId810" Type="http://schemas.openxmlformats.org/officeDocument/2006/relationships/hyperlink" Target="https://nachi065.github.io/AI-Security-Wiki/13_Australia_AI_Compliance/03_Regulatory_Crosswalk.html" TargetMode="External"/><Relationship Id="rId811" Type="http://schemas.openxmlformats.org/officeDocument/2006/relationships/hyperlink" Target="https://nachi065.github.io/AI-Security-Wiki/14_Brazil_AI_Compliance/03_Regulatory_Crosswalk.html" TargetMode="External"/><Relationship Id="rId812" Type="http://schemas.openxmlformats.org/officeDocument/2006/relationships/hyperlink" Target="https://nachi065.github.io/AI-Security-Wiki/14_Brazil_AI_Compliance/03_Regulatory_Crosswalk.html" TargetMode="External"/><Relationship Id="rId813" Type="http://schemas.openxmlformats.org/officeDocument/2006/relationships/hyperlink" Target="https://nachi065.github.io/AI-Security-Wiki/14_Brazil_AI_Compliance/03_Regulatory_Crosswalk.html" TargetMode="External"/><Relationship Id="rId814" Type="http://schemas.openxmlformats.org/officeDocument/2006/relationships/hyperlink" Target="https://nachi065.github.io/AI-Security-Wiki/14_Brazil_AI_Compliance/03_Regulatory_Crosswalk.html" TargetMode="External"/><Relationship Id="rId815" Type="http://schemas.openxmlformats.org/officeDocument/2006/relationships/hyperlink" Target="https://nachi065.github.io/AI-Security-Wiki/15_Canada_AI_Compliance/03_Regulatory_Crosswalk.html" TargetMode="External"/><Relationship Id="rId816" Type="http://schemas.openxmlformats.org/officeDocument/2006/relationships/hyperlink" Target="https://nachi065.github.io/AI-Security-Wiki/15_Canada_AI_Compliance/03_Regulatory_Crosswalk.html" TargetMode="External"/><Relationship Id="rId817" Type="http://schemas.openxmlformats.org/officeDocument/2006/relationships/hyperlink" Target="https://nachi065.github.io/AI-Security-Wiki/15_Canada_AI_Compliance/03_Regulatory_Crosswalk.html" TargetMode="External"/><Relationship Id="rId818" Type="http://schemas.openxmlformats.org/officeDocument/2006/relationships/hyperlink" Target="https://nachi065.github.io/AI-Security-Wiki/15_Canada_AI_Compliance/03_Regulatory_Crosswalk.html" TargetMode="External"/><Relationship Id="rId819" Type="http://schemas.openxmlformats.org/officeDocument/2006/relationships/hyperlink" Target="https://nachi065.github.io/AI-Security-Wiki/15_Canada_AI_Compliance/03_Regulatory_Crosswalk.html" TargetMode="External"/><Relationship Id="rId820" Type="http://schemas.openxmlformats.org/officeDocument/2006/relationships/hyperlink" Target="https://nachi065.github.io/AI-Security-Wiki/15_Canada_AI_Compliance/03_Regulatory_Crosswalk.html" TargetMode="External"/><Relationship Id="rId821" Type="http://schemas.openxmlformats.org/officeDocument/2006/relationships/hyperlink" Target="https://nachi065.github.io/AI-Security-Wiki/15_Canada_AI_Compliance/03_Regulatory_Crosswalk.html" TargetMode="External"/><Relationship Id="rId822" Type="http://schemas.openxmlformats.org/officeDocument/2006/relationships/hyperlink" Target="https://nachi065.github.io/AI-Security-Wiki/15_Canada_AI_Compliance/03_Regulatory_Crosswalk.html" TargetMode="External"/><Relationship Id="rId823" Type="http://schemas.openxmlformats.org/officeDocument/2006/relationships/hyperlink" Target="https://nachi065.github.io/AI-Security-Wiki/16_China_AI_Compliance/03_Regulatory_Crosswalk.html" TargetMode="External"/><Relationship Id="rId824" Type="http://schemas.openxmlformats.org/officeDocument/2006/relationships/hyperlink" Target="https://nachi065.github.io/AI-Security-Wiki/16_China_AI_Compliance/03_Regulatory_Crosswalk.html" TargetMode="External"/><Relationship Id="rId825" Type="http://schemas.openxmlformats.org/officeDocument/2006/relationships/hyperlink" Target="https://nachi065.github.io/AI-Security-Wiki/16_China_AI_Compliance/03_Regulatory_Crosswalk.html" TargetMode="External"/><Relationship Id="rId826" Type="http://schemas.openxmlformats.org/officeDocument/2006/relationships/hyperlink" Target="https://nachi065.github.io/AI-Security-Wiki/16_China_AI_Compliance/03_Regulatory_Crosswalk.html" TargetMode="External"/><Relationship Id="rId827" Type="http://schemas.openxmlformats.org/officeDocument/2006/relationships/hyperlink" Target="https://nachi065.github.io/AI-Security-Wiki/16_China_AI_Compliance/03_Regulatory_Crosswalk.html" TargetMode="External"/><Relationship Id="rId828" Type="http://schemas.openxmlformats.org/officeDocument/2006/relationships/hyperlink" Target="https://nachi065.github.io/AI-Security-Wiki/16_China_AI_Compliance/03_Regulatory_Crosswalk.html" TargetMode="External"/><Relationship Id="rId829" Type="http://schemas.openxmlformats.org/officeDocument/2006/relationships/hyperlink" Target="https://nachi065.github.io/AI-Security-Wiki/16_China_AI_Compliance/03_Regulatory_Crosswalk.html" TargetMode="External"/><Relationship Id="rId830" Type="http://schemas.openxmlformats.org/officeDocument/2006/relationships/hyperlink" Target="https://nachi065.github.io/AI-Security-Wiki/16_China_AI_Compliance/03_Regulatory_Crosswalk.html" TargetMode="External"/><Relationship Id="rId831" Type="http://schemas.openxmlformats.org/officeDocument/2006/relationships/hyperlink" Target="https://nachi065.github.io/AI-Security-Wiki/16_China_AI_Compliance/03_Regulatory_Crosswalk.html" TargetMode="External"/><Relationship Id="rId832" Type="http://schemas.openxmlformats.org/officeDocument/2006/relationships/hyperlink" Target="https://nachi065.github.io/AI-Security-Wiki/17_India_AI_Compliance/03_Regulatory_Crosswalk.html" TargetMode="External"/><Relationship Id="rId833" Type="http://schemas.openxmlformats.org/officeDocument/2006/relationships/hyperlink" Target="https://nachi065.github.io/AI-Security-Wiki/17_India_AI_Compliance/03_Regulatory_Crosswalk.html" TargetMode="External"/><Relationship Id="rId834" Type="http://schemas.openxmlformats.org/officeDocument/2006/relationships/hyperlink" Target="https://nachi065.github.io/AI-Security-Wiki/17_India_AI_Compliance/03_Regulatory_Crosswalk.html" TargetMode="External"/><Relationship Id="rId835" Type="http://schemas.openxmlformats.org/officeDocument/2006/relationships/hyperlink" Target="https://nachi065.github.io/AI-Security-Wiki/17_India_AI_Compliance/03_Regulatory_Crosswalk.html" TargetMode="External"/><Relationship Id="rId836" Type="http://schemas.openxmlformats.org/officeDocument/2006/relationships/hyperlink" Target="https://nachi065.github.io/AI-Security-Wiki/17_India_AI_Compliance/03_Regulatory_Crosswalk.html" TargetMode="External"/><Relationship Id="rId837" Type="http://schemas.openxmlformats.org/officeDocument/2006/relationships/hyperlink" Target="https://nachi065.github.io/AI-Security-Wiki/17_India_AI_Compliance/03_Regulatory_Crosswalk.html" TargetMode="External"/><Relationship Id="rId838" Type="http://schemas.openxmlformats.org/officeDocument/2006/relationships/hyperlink" Target="https://nachi065.github.io/AI-Security-Wiki/17_India_AI_Compliance/03_Regulatory_Crosswalk.html" TargetMode="External"/><Relationship Id="rId839" Type="http://schemas.openxmlformats.org/officeDocument/2006/relationships/hyperlink" Target="https://nachi065.github.io/AI-Security-Wiki/17_India_AI_Compliance/03_Regulatory_Crosswalk.html" TargetMode="External"/><Relationship Id="rId840" Type="http://schemas.openxmlformats.org/officeDocument/2006/relationships/hyperlink" Target="https://nachi065.github.io/AI-Security-Wiki/17_India_AI_Compliance/03_Regulatory_Crosswalk.html" TargetMode="External"/><Relationship Id="rId841" Type="http://schemas.openxmlformats.org/officeDocument/2006/relationships/hyperlink" Target="https://nachi065.github.io/AI-Security-Wiki/17_India_AI_Compliance/03_Regulatory_Crosswalk.html" TargetMode="External"/><Relationship Id="rId842" Type="http://schemas.openxmlformats.org/officeDocument/2006/relationships/hyperlink" Target="https://nachi065.github.io/AI-Security-Wiki/17_India_AI_Compliance/03_Regulatory_Crosswalk.html" TargetMode="External"/><Relationship Id="rId843" Type="http://schemas.openxmlformats.org/officeDocument/2006/relationships/hyperlink" Target="https://nachi065.github.io/AI-Security-Wiki/17_India_AI_Compliance/03_Regulatory_Crosswalk.html" TargetMode="External"/><Relationship Id="rId844" Type="http://schemas.openxmlformats.org/officeDocument/2006/relationships/hyperlink" Target="https://nachi065.github.io/AI-Security-Wiki/18_Japan_AI_Compliance/03_Regulatory_Crosswalk.html" TargetMode="External"/><Relationship Id="rId845" Type="http://schemas.openxmlformats.org/officeDocument/2006/relationships/hyperlink" Target="https://nachi065.github.io/AI-Security-Wiki/18_Japan_AI_Compliance/03_Regulatory_Crosswalk.html" TargetMode="External"/><Relationship Id="rId846" Type="http://schemas.openxmlformats.org/officeDocument/2006/relationships/hyperlink" Target="https://nachi065.github.io/AI-Security-Wiki/18_Japan_AI_Compliance/03_Regulatory_Crosswalk.html" TargetMode="External"/><Relationship Id="rId847" Type="http://schemas.openxmlformats.org/officeDocument/2006/relationships/hyperlink" Target="https://nachi065.github.io/AI-Security-Wiki/18_Japan_AI_Compliance/03_Regulatory_Crosswalk.html" TargetMode="External"/><Relationship Id="rId848" Type="http://schemas.openxmlformats.org/officeDocument/2006/relationships/hyperlink" Target="https://nachi065.github.io/AI-Security-Wiki/18_Japan_AI_Compliance/03_Regulatory_Crosswalk.html" TargetMode="External"/><Relationship Id="rId849" Type="http://schemas.openxmlformats.org/officeDocument/2006/relationships/hyperlink" Target="https://nachi065.github.io/AI-Security-Wiki/18_Japan_AI_Compliance/03_Regulatory_Crosswalk.html" TargetMode="External"/><Relationship Id="rId850" Type="http://schemas.openxmlformats.org/officeDocument/2006/relationships/hyperlink" Target="https://nachi065.github.io/AI-Security-Wiki/19_Singapore_AI_Compliance/03_Regulatory_Crosswalk.html" TargetMode="External"/><Relationship Id="rId851" Type="http://schemas.openxmlformats.org/officeDocument/2006/relationships/hyperlink" Target="https://nachi065.github.io/AI-Security-Wiki/19_Singapore_AI_Compliance/03_Regulatory_Crosswalk.html" TargetMode="External"/><Relationship Id="rId852" Type="http://schemas.openxmlformats.org/officeDocument/2006/relationships/hyperlink" Target="https://nachi065.github.io/AI-Security-Wiki/19_Singapore_AI_Compliance/03_Regulatory_Crosswalk.html" TargetMode="External"/><Relationship Id="rId853" Type="http://schemas.openxmlformats.org/officeDocument/2006/relationships/hyperlink" Target="https://nachi065.github.io/AI-Security-Wiki/19_Singapore_AI_Compliance/03_Regulatory_Crosswalk.html" TargetMode="External"/><Relationship Id="rId854" Type="http://schemas.openxmlformats.org/officeDocument/2006/relationships/hyperlink" Target="https://nachi065.github.io/AI-Security-Wiki/19_Singapore_AI_Compliance/03_Regulatory_Crosswalk.html" TargetMode="External"/><Relationship Id="rId855" Type="http://schemas.openxmlformats.org/officeDocument/2006/relationships/hyperlink" Target="https://nachi065.github.io/AI-Security-Wiki/19_Singapore_AI_Compliance/03_Regulatory_Crosswalk.html" TargetMode="External"/><Relationship Id="rId856" Type="http://schemas.openxmlformats.org/officeDocument/2006/relationships/hyperlink" Target="https://nachi065.github.io/AI-Security-Wiki/19_Singapore_AI_Compliance/03_Regulatory_Crosswalk.html" TargetMode="External"/><Relationship Id="rId857" Type="http://schemas.openxmlformats.org/officeDocument/2006/relationships/hyperlink" Target="https://nachi065.github.io/AI-Security-Wiki/19_Singapore_AI_Compliance/03_Regulatory_Crosswalk.html" TargetMode="External"/><Relationship Id="rId858" Type="http://schemas.openxmlformats.org/officeDocument/2006/relationships/hyperlink" Target="https://nachi065.github.io/AI-Security-Wiki/19_Singapore_AI_Compliance/03_Regulatory_Crosswalk.html" TargetMode="External"/><Relationship Id="rId859" Type="http://schemas.openxmlformats.org/officeDocument/2006/relationships/hyperlink" Target="https://nachi065.github.io/AI-Security-Wiki/19_Singapore_AI_Compliance/03_Regulatory_Crosswalk.html" TargetMode="External"/><Relationship Id="rId860" Type="http://schemas.openxmlformats.org/officeDocument/2006/relationships/hyperlink" Target="https://nachi065.github.io/AI-Security-Wiki/19_Singapore_AI_Compliance/03_Regulatory_Crosswalk.html" TargetMode="External"/><Relationship Id="rId861" Type="http://schemas.openxmlformats.org/officeDocument/2006/relationships/hyperlink" Target="https://nachi065.github.io/AI-Security-Wiki/19_Singapore_AI_Compliance/03_Regulatory_Crosswalk.html" TargetMode="External"/><Relationship Id="rId862" Type="http://schemas.openxmlformats.org/officeDocument/2006/relationships/hyperlink" Target="https://nachi065.github.io/AI-Security-Wiki/19_Singapore_AI_Compliance/03_Regulatory_Crosswalk.html" TargetMode="External"/><Relationship Id="rId863" Type="http://schemas.openxmlformats.org/officeDocument/2006/relationships/hyperlink" Target="https://nachi065.github.io/AI-Security-Wiki/19_Singapore_AI_Compliance/03_Regulatory_Crosswalk.html" TargetMode="External"/><Relationship Id="rId864" Type="http://schemas.openxmlformats.org/officeDocument/2006/relationships/hyperlink" Target="https://nachi065.github.io/AI-Security-Wiki/19_Singapore_AI_Compliance/03_Regulatory_Crosswalk.html" TargetMode="External"/><Relationship Id="rId865" Type="http://schemas.openxmlformats.org/officeDocument/2006/relationships/hyperlink" Target="https://nachi065.github.io/AI-Security-Wiki/19_Singapore_AI_Compliance/03_Regulatory_Crosswalk.html" TargetMode="External"/><Relationship Id="rId866" Type="http://schemas.openxmlformats.org/officeDocument/2006/relationships/hyperlink" Target="https://nachi065.github.io/AI-Security-Wiki/19_Singapore_AI_Compliance/03_Regulatory_Crosswalk.html" TargetMode="External"/><Relationship Id="rId867" Type="http://schemas.openxmlformats.org/officeDocument/2006/relationships/hyperlink" Target="https://nachi065.github.io/AI-Security-Wiki/19_Singapore_AI_Compliance/03_Regulatory_Crosswalk.html" TargetMode="External"/><Relationship Id="rId868" Type="http://schemas.openxmlformats.org/officeDocument/2006/relationships/hyperlink" Target="https://nachi065.github.io/AI-Security-Wiki/19_Singapore_AI_Compliance/03_Regulatory_Crosswalk.html" TargetMode="External"/><Relationship Id="rId869" Type="http://schemas.openxmlformats.org/officeDocument/2006/relationships/hyperlink" Target="https://nachi065.github.io/AI-Security-Wiki/19_Singapore_AI_Compliance/03_Regulatory_Crosswalk.html" TargetMode="External"/><Relationship Id="rId870" Type="http://schemas.openxmlformats.org/officeDocument/2006/relationships/hyperlink" Target="https://nachi065.github.io/AI-Security-Wiki/19_Singapore_AI_Compliance/03_Regulatory_Crosswalk.html" TargetMode="External"/><Relationship Id="rId871" Type="http://schemas.openxmlformats.org/officeDocument/2006/relationships/hyperlink" Target="https://nachi065.github.io/AI-Security-Wiki/19_Singapore_AI_Compliance/03_Regulatory_Crosswalk.html" TargetMode="External"/><Relationship Id="rId872" Type="http://schemas.openxmlformats.org/officeDocument/2006/relationships/hyperlink" Target="https://nachi065.github.io/AI-Security-Wiki/19_Singapore_AI_Compliance/03_Regulatory_Crosswalk.html" TargetMode="External"/><Relationship Id="rId873" Type="http://schemas.openxmlformats.org/officeDocument/2006/relationships/hyperlink" Target="https://nachi065.github.io/AI-Security-Wiki/19_Singapore_AI_Compliance/03_Regulatory_Crosswalk.html" TargetMode="External"/><Relationship Id="rId874" Type="http://schemas.openxmlformats.org/officeDocument/2006/relationships/hyperlink" Target="https://nachi065.github.io/AI-Security-Wiki/19_Singapore_AI_Compliance/03_Regulatory_Crosswalk.html" TargetMode="External"/><Relationship Id="rId875" Type="http://schemas.openxmlformats.org/officeDocument/2006/relationships/hyperlink" Target="https://nachi065.github.io/AI-Security-Wiki/19_Singapore_AI_Compliance/03_Regulatory_Crosswalk.html" TargetMode="External"/><Relationship Id="rId876" Type="http://schemas.openxmlformats.org/officeDocument/2006/relationships/hyperlink" Target="https://nachi065.github.io/AI-Security-Wiki/19_Singapore_AI_Compliance/03_Regulatory_Crosswalk.html" TargetMode="External"/><Relationship Id="rId877" Type="http://schemas.openxmlformats.org/officeDocument/2006/relationships/hyperlink" Target="https://nachi065.github.io/AI-Security-Wiki/19_Singapore_AI_Compliance/03_Regulatory_Crosswalk.html" TargetMode="External"/><Relationship Id="rId878" Type="http://schemas.openxmlformats.org/officeDocument/2006/relationships/hyperlink" Target="https://nachi065.github.io/AI-Security-Wiki/19_Singapore_AI_Compliance/03_Regulatory_Crosswalk.html" TargetMode="External"/><Relationship Id="rId879" Type="http://schemas.openxmlformats.org/officeDocument/2006/relationships/hyperlink" Target="https://nachi065.github.io/AI-Security-Wiki/19_Singapore_AI_Compliance/03_Regulatory_Crosswalk.html" TargetMode="External"/><Relationship Id="rId880" Type="http://schemas.openxmlformats.org/officeDocument/2006/relationships/hyperlink" Target="https://nachi065.github.io/AI-Security-Wiki/19_Singapore_AI_Compliance/03_Regulatory_Crosswalk.html" TargetMode="External"/><Relationship Id="rId881" Type="http://schemas.openxmlformats.org/officeDocument/2006/relationships/hyperlink" Target="https://nachi065.github.io/AI-Security-Wiki/19_Singapore_AI_Compliance/03_Regulatory_Crosswalk.html" TargetMode="External"/><Relationship Id="rId882" Type="http://schemas.openxmlformats.org/officeDocument/2006/relationships/hyperlink" Target="https://nachi065.github.io/AI-Security-Wiki/19_Singapore_AI_Compliance/03_Regulatory_Crosswalk.html" TargetMode="External"/><Relationship Id="rId883" Type="http://schemas.openxmlformats.org/officeDocument/2006/relationships/hyperlink" Target="https://nachi065.github.io/AI-Security-Wiki/19_Singapore_AI_Compliance/03_Regulatory_Crosswalk.html" TargetMode="External"/><Relationship Id="rId884" Type="http://schemas.openxmlformats.org/officeDocument/2006/relationships/hyperlink" Target="https://nachi065.github.io/AI-Security-Wiki/20_South_Korea_AI_Compliance/03_Regulatory_Crosswalk.html" TargetMode="External"/><Relationship Id="rId885" Type="http://schemas.openxmlformats.org/officeDocument/2006/relationships/hyperlink" Target="https://nachi065.github.io/AI-Security-Wiki/20_South_Korea_AI_Compliance/03_Regulatory_Crosswalk.html" TargetMode="External"/><Relationship Id="rId886" Type="http://schemas.openxmlformats.org/officeDocument/2006/relationships/hyperlink" Target="https://nachi065.github.io/AI-Security-Wiki/20_South_Korea_AI_Compliance/03_Regulatory_Crosswalk.html" TargetMode="External"/><Relationship Id="rId887" Type="http://schemas.openxmlformats.org/officeDocument/2006/relationships/hyperlink" Target="https://nachi065.github.io/AI-Security-Wiki/20_South_Korea_AI_Compliance/03_Regulatory_Crosswalk.html" TargetMode="External"/><Relationship Id="rId888" Type="http://schemas.openxmlformats.org/officeDocument/2006/relationships/hyperlink" Target="https://nachi065.github.io/AI-Security-Wiki/20_South_Korea_AI_Compliance/03_Regulatory_Crosswalk.html" TargetMode="External"/><Relationship Id="rId889" Type="http://schemas.openxmlformats.org/officeDocument/2006/relationships/hyperlink" Target="https://nachi065.github.io/AI-Security-Wiki/20_South_Korea_AI_Compliance/03_Regulatory_Crosswalk.html" TargetMode="External"/><Relationship Id="rId890" Type="http://schemas.openxmlformats.org/officeDocument/2006/relationships/hyperlink" Target="https://nachi065.github.io/AI-Security-Wiki/20_South_Korea_AI_Compliance/03_Regulatory_Crosswalk.html" TargetMode="External"/><Relationship Id="rId891" Type="http://schemas.openxmlformats.org/officeDocument/2006/relationships/hyperlink" Target="https://nachi065.github.io/AI-Security-Wiki/20_South_Korea_AI_Compliance/03_Regulatory_Crosswalk.html" TargetMode="External"/><Relationship Id="rId89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35.0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10" customFormat="false" ht="15" hidden="false" customHeight="false" outlineLevel="0" collapsed="false">
      <c r="A10" s="4" t="s">
        <v>11</v>
      </c>
      <c r="B10" s="2"/>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4" customFormat="false" ht="15" hidden="false" customHeight="false" outlineLevel="0" collapsed="false">
      <c r="A34" s="4" t="s">
        <v>50</v>
      </c>
      <c r="B34" s="2"/>
    </row>
    <row r="35" customFormat="false" ht="15" hidden="false" customHeight="false" outlineLevel="0" collapsed="false">
      <c r="A35" s="5" t="s">
        <v>51</v>
      </c>
      <c r="B35" s="9" t="s">
        <v>52</v>
      </c>
    </row>
    <row r="36" customFormat="false" ht="15" hidden="false" customHeight="false" outlineLevel="0" collapsed="false">
      <c r="A36" s="7" t="s">
        <v>53</v>
      </c>
      <c r="B36" s="10" t="s">
        <v>54</v>
      </c>
    </row>
    <row r="37" customFormat="false" ht="15" hidden="false" customHeight="false" outlineLevel="0" collapsed="false">
      <c r="A37" s="5" t="s">
        <v>55</v>
      </c>
      <c r="B37" s="9" t="s">
        <v>56</v>
      </c>
    </row>
    <row r="38" customFormat="false" ht="15" hidden="false" customHeight="false" outlineLevel="0" collapsed="false">
      <c r="A38" s="7" t="s">
        <v>57</v>
      </c>
      <c r="B38" s="10" t="s">
        <v>58</v>
      </c>
    </row>
    <row r="39" customFormat="false" ht="15" hidden="false" customHeight="false" outlineLevel="0" collapsed="false">
      <c r="A39" s="5" t="s">
        <v>59</v>
      </c>
      <c r="B39" s="9" t="s">
        <v>60</v>
      </c>
    </row>
    <row r="41" customFormat="false" ht="27.75" hidden="false" customHeight="true" outlineLevel="0" collapsed="false">
      <c r="A41" s="11" t="s">
        <v>61</v>
      </c>
      <c r="B41" s="11"/>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48</v>
      </c>
      <c r="B1" s="13"/>
    </row>
    <row r="2" customFormat="false" ht="15" hidden="false" customHeight="false" outlineLevel="0" collapsed="false">
      <c r="A2" s="3" t="s">
        <v>62</v>
      </c>
    </row>
    <row r="4" customFormat="false" ht="15" hidden="false" customHeight="false" outlineLevel="0" collapsed="false">
      <c r="A4" s="14" t="s">
        <v>63</v>
      </c>
      <c r="B4" s="13"/>
    </row>
    <row r="5" customFormat="false" ht="15" hidden="false" customHeight="false" outlineLevel="0" collapsed="false">
      <c r="A5" s="5" t="s">
        <v>64</v>
      </c>
      <c r="B5" s="6" t="s">
        <v>0</v>
      </c>
    </row>
    <row r="6" customFormat="false" ht="15" hidden="false" customHeight="false" outlineLevel="0" collapsed="false">
      <c r="A6" s="5" t="s">
        <v>65</v>
      </c>
      <c r="B6" s="6" t="s">
        <v>66</v>
      </c>
    </row>
    <row r="7" customFormat="false" ht="23.85" hidden="false" customHeight="false" outlineLevel="0" collapsed="false">
      <c r="A7" s="5" t="s">
        <v>48</v>
      </c>
      <c r="B7" s="6" t="s">
        <v>67</v>
      </c>
    </row>
    <row r="8" customFormat="false" ht="15" hidden="false" customHeight="false" outlineLevel="0" collapsed="false">
      <c r="A8" s="5" t="s">
        <v>68</v>
      </c>
      <c r="B8" s="9" t="s">
        <v>69</v>
      </c>
    </row>
    <row r="9" customFormat="false" ht="15" hidden="false" customHeight="false" outlineLevel="0" collapsed="false">
      <c r="A9" s="5" t="s">
        <v>70</v>
      </c>
      <c r="B9" s="9" t="s">
        <v>71</v>
      </c>
    </row>
    <row r="10" customFormat="false" ht="15" hidden="false" customHeight="false" outlineLevel="0" collapsed="false">
      <c r="A10" s="5" t="s">
        <v>72</v>
      </c>
      <c r="B10" s="9" t="s">
        <v>73</v>
      </c>
    </row>
    <row r="11" customFormat="false" ht="15" hidden="false" customHeight="false" outlineLevel="0" collapsed="false">
      <c r="A11" s="5" t="s">
        <v>74</v>
      </c>
      <c r="B11" s="9" t="s">
        <v>75</v>
      </c>
    </row>
    <row r="13" customFormat="false" ht="15" hidden="false" customHeight="false" outlineLevel="0" collapsed="false">
      <c r="A13" s="14" t="s">
        <v>76</v>
      </c>
      <c r="B13" s="13"/>
    </row>
    <row r="14" customFormat="false" ht="23.85" hidden="false" customHeight="false" outlineLevel="0" collapsed="false">
      <c r="A14" s="5" t="s">
        <v>77</v>
      </c>
      <c r="B14" s="6" t="s">
        <v>78</v>
      </c>
    </row>
    <row r="15" customFormat="false" ht="35.05" hidden="false" customHeight="false" outlineLevel="0" collapsed="false">
      <c r="A15" s="5" t="s">
        <v>79</v>
      </c>
      <c r="B15" s="6" t="s">
        <v>80</v>
      </c>
    </row>
    <row r="16" customFormat="false" ht="23.85" hidden="false" customHeight="false" outlineLevel="0" collapsed="false">
      <c r="A16" s="5" t="s">
        <v>81</v>
      </c>
      <c r="B16" s="6" t="s">
        <v>82</v>
      </c>
    </row>
    <row r="18" customFormat="false" ht="15" hidden="false" customHeight="false" outlineLevel="0" collapsed="false">
      <c r="A18" s="14" t="s">
        <v>83</v>
      </c>
      <c r="B18" s="13"/>
    </row>
    <row r="19" customFormat="false" ht="23.85" hidden="false" customHeight="false" outlineLevel="0" collapsed="false">
      <c r="A19" s="5" t="s">
        <v>84</v>
      </c>
      <c r="B19" s="6" t="s">
        <v>85</v>
      </c>
    </row>
    <row r="20" customFormat="false" ht="15" hidden="false" customHeight="false" outlineLevel="0" collapsed="false">
      <c r="A20" s="5" t="s">
        <v>86</v>
      </c>
      <c r="B20" s="6" t="s">
        <v>87</v>
      </c>
    </row>
    <row r="22" customFormat="false" ht="15" hidden="false" customHeight="false" outlineLevel="0" collapsed="false">
      <c r="A22" s="14" t="s">
        <v>88</v>
      </c>
      <c r="B22" s="13"/>
    </row>
    <row r="23" customFormat="false" ht="35.05" hidden="false" customHeight="false" outlineLevel="0" collapsed="false">
      <c r="A23" s="5" t="s">
        <v>89</v>
      </c>
      <c r="B23" s="6" t="s">
        <v>90</v>
      </c>
    </row>
    <row r="25" customFormat="false" ht="15" hidden="false" customHeight="false" outlineLevel="0" collapsed="false">
      <c r="A25" s="14" t="s">
        <v>91</v>
      </c>
      <c r="B25" s="13"/>
    </row>
    <row r="26" customFormat="false" ht="23.85" hidden="false" customHeight="false" outlineLevel="0" collapsed="false">
      <c r="A26" s="5" t="s">
        <v>92</v>
      </c>
      <c r="B26" s="6" t="s">
        <v>93</v>
      </c>
    </row>
    <row r="27" customFormat="false" ht="35.05" hidden="false" customHeight="false" outlineLevel="0" collapsed="false">
      <c r="A27" s="5" t="s">
        <v>94</v>
      </c>
      <c r="B27" s="6" t="s">
        <v>95</v>
      </c>
    </row>
    <row r="28" customFormat="false" ht="23.85" hidden="false" customHeight="false" outlineLevel="0" collapsed="false">
      <c r="A28" s="5" t="s">
        <v>96</v>
      </c>
      <c r="B28" s="6" t="s">
        <v>97</v>
      </c>
    </row>
    <row r="29" customFormat="false" ht="15" hidden="false" customHeight="false" outlineLevel="0" collapsed="false">
      <c r="A29" s="5" t="s">
        <v>98</v>
      </c>
      <c r="B29" s="6"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4"/>
    <col collapsed="false" customWidth="true" hidden="false" outlineLevel="0" max="6" min="5" style="0" width="12"/>
    <col collapsed="false" customWidth="true" hidden="false" outlineLevel="0" max="7" min="7" style="0" width="4"/>
    <col collapsed="false" customWidth="true" hidden="false" outlineLevel="0" max="8" min="8" style="0" width="14"/>
  </cols>
  <sheetData>
    <row r="1" customFormat="false" ht="30" hidden="false" customHeight="true" outlineLevel="0" collapsed="false">
      <c r="A1" s="15" t="s">
        <v>100</v>
      </c>
      <c r="B1" s="16"/>
      <c r="C1" s="16"/>
      <c r="D1" s="16"/>
      <c r="E1" s="16"/>
      <c r="F1" s="16"/>
      <c r="G1" s="16"/>
      <c r="H1" s="16"/>
    </row>
    <row r="2" customFormat="false" ht="15" hidden="false" customHeight="false" outlineLevel="0" collapsed="false">
      <c r="A2" s="3" t="s">
        <v>101</v>
      </c>
    </row>
    <row r="4" customFormat="false" ht="23.85" hidden="false" customHeight="false" outlineLevel="0" collapsed="false">
      <c r="A4" s="17" t="s">
        <v>102</v>
      </c>
      <c r="B4" s="18" t="s">
        <v>103</v>
      </c>
      <c r="C4" s="19" t="s">
        <v>104</v>
      </c>
      <c r="D4" s="20" t="s">
        <v>105</v>
      </c>
      <c r="E4" s="21" t="s">
        <v>106</v>
      </c>
      <c r="F4" s="22" t="s">
        <v>107</v>
      </c>
    </row>
    <row r="5" customFormat="false" ht="15" hidden="false" customHeight="false" outlineLevel="0" collapsed="false">
      <c r="A5" s="23" t="s">
        <v>108</v>
      </c>
      <c r="B5" s="24" t="n">
        <f aca="false">COUNTIFS('Control Library'!$D$5:$D$50,A5,'Control Library'!$R$5:$R$50,"Not started")</f>
        <v>0</v>
      </c>
      <c r="C5" s="24" t="n">
        <f aca="false">COUNTIFS('Control Library'!$D$5:$D$50,A5,'Control Library'!$R$5:$R$50,"Planned")</f>
        <v>0</v>
      </c>
      <c r="D5" s="24" t="n">
        <f aca="false">COUNTIFS('Control Library'!$D$5:$D$50,A5,'Control Library'!$R$5:$R$50,"Partially implemented")</f>
        <v>0</v>
      </c>
      <c r="E5" s="24" t="n">
        <f aca="false">COUNTIFS('Control Library'!$D$5:$D$50,A5,'Control Library'!$R$5:$R$50,"Implemented")</f>
        <v>0</v>
      </c>
      <c r="F5" s="24" t="n">
        <f aca="false">COUNTIFS('Control Library'!$D$5:$D$50,A5,'Control Library'!$R$5:$R$50,"Not applicable")</f>
        <v>0</v>
      </c>
    </row>
    <row r="6" customFormat="false" ht="15" hidden="false" customHeight="false" outlineLevel="0" collapsed="false">
      <c r="A6" s="25" t="s">
        <v>109</v>
      </c>
      <c r="B6" s="24" t="n">
        <f aca="false">COUNTIFS('Control Library'!$D$5:$D$50,A6,'Control Library'!$R$5:$R$50,"Not started")</f>
        <v>0</v>
      </c>
      <c r="C6" s="24" t="n">
        <f aca="false">COUNTIFS('Control Library'!$D$5:$D$50,A6,'Control Library'!$R$5:$R$50,"Planned")</f>
        <v>0</v>
      </c>
      <c r="D6" s="24" t="n">
        <f aca="false">COUNTIFS('Control Library'!$D$5:$D$50,A6,'Control Library'!$R$5:$R$50,"Partially implemented")</f>
        <v>0</v>
      </c>
      <c r="E6" s="24" t="n">
        <f aca="false">COUNTIFS('Control Library'!$D$5:$D$50,A6,'Control Library'!$R$5:$R$50,"Implemented")</f>
        <v>0</v>
      </c>
      <c r="F6" s="24" t="n">
        <f aca="false">COUNTIFS('Control Library'!$D$5:$D$50,A6,'Control Library'!$R$5:$R$50,"Not applicable")</f>
        <v>0</v>
      </c>
    </row>
    <row r="7" customFormat="false" ht="15" hidden="false" customHeight="false" outlineLevel="0" collapsed="false">
      <c r="A7" s="5" t="s">
        <v>110</v>
      </c>
      <c r="B7" s="24" t="n">
        <f aca="false">COUNTBLANK('Control Library'!$R$5:$R$50)</f>
        <v>46</v>
      </c>
    </row>
    <row r="9" customFormat="false" ht="23.85" hidden="false" customHeight="false" outlineLevel="0" collapsed="false">
      <c r="A9" s="17" t="s">
        <v>111</v>
      </c>
      <c r="B9" s="18" t="s">
        <v>103</v>
      </c>
      <c r="C9" s="19" t="s">
        <v>104</v>
      </c>
      <c r="D9" s="20" t="s">
        <v>105</v>
      </c>
      <c r="E9" s="21" t="s">
        <v>106</v>
      </c>
      <c r="F9" s="22" t="s">
        <v>107</v>
      </c>
    </row>
    <row r="10" customFormat="false" ht="15" hidden="false" customHeight="false" outlineLevel="0" collapsed="false">
      <c r="A10" s="5" t="s">
        <v>112</v>
      </c>
      <c r="B10" s="26" t="n">
        <f aca="false">COUNTIFS('Control Library'!$C$5:$C$50,A10,'Control Library'!$R$5:$R$50,"Not started")</f>
        <v>0</v>
      </c>
      <c r="C10" s="26" t="n">
        <f aca="false">COUNTIFS('Control Library'!$C$5:$C$50,A10,'Control Library'!$R$5:$R$50,"Planned")</f>
        <v>0</v>
      </c>
      <c r="D10" s="26" t="n">
        <f aca="false">COUNTIFS('Control Library'!$C$5:$C$50,A10,'Control Library'!$R$5:$R$50,"Partially implemented")</f>
        <v>0</v>
      </c>
      <c r="E10" s="26" t="n">
        <f aca="false">COUNTIFS('Control Library'!$C$5:$C$50,A10,'Control Library'!$R$5:$R$50,"Implemented")</f>
        <v>0</v>
      </c>
      <c r="F10" s="26" t="n">
        <f aca="false">COUNTIFS('Control Library'!$C$5:$C$50,A10,'Control Library'!$R$5:$R$50,"Not applicable")</f>
        <v>0</v>
      </c>
    </row>
    <row r="11" customFormat="false" ht="15" hidden="false" customHeight="false" outlineLevel="0" collapsed="false">
      <c r="A11" s="5" t="s">
        <v>113</v>
      </c>
      <c r="B11" s="26" t="n">
        <f aca="false">COUNTIFS('Control Library'!$C$5:$C$50,A11,'Control Library'!$R$5:$R$50,"Not started")</f>
        <v>0</v>
      </c>
      <c r="C11" s="26" t="n">
        <f aca="false">COUNTIFS('Control Library'!$C$5:$C$50,A11,'Control Library'!$R$5:$R$50,"Planned")</f>
        <v>0</v>
      </c>
      <c r="D11" s="26" t="n">
        <f aca="false">COUNTIFS('Control Library'!$C$5:$C$50,A11,'Control Library'!$R$5:$R$50,"Partially implemented")</f>
        <v>0</v>
      </c>
      <c r="E11" s="26" t="n">
        <f aca="false">COUNTIFS('Control Library'!$C$5:$C$50,A11,'Control Library'!$R$5:$R$50,"Implemented")</f>
        <v>0</v>
      </c>
      <c r="F11" s="26" t="n">
        <f aca="false">COUNTIFS('Control Library'!$C$5:$C$50,A11,'Control Library'!$R$5:$R$50,"Not applicable")</f>
        <v>0</v>
      </c>
    </row>
    <row r="12" customFormat="false" ht="15" hidden="false" customHeight="false" outlineLevel="0" collapsed="false">
      <c r="A12" s="5" t="s">
        <v>114</v>
      </c>
      <c r="B12" s="26" t="n">
        <f aca="false">COUNTIFS('Control Library'!$C$5:$C$50,A12,'Control Library'!$R$5:$R$50,"Not started")</f>
        <v>0</v>
      </c>
      <c r="C12" s="26" t="n">
        <f aca="false">COUNTIFS('Control Library'!$C$5:$C$50,A12,'Control Library'!$R$5:$R$50,"Planned")</f>
        <v>0</v>
      </c>
      <c r="D12" s="26" t="n">
        <f aca="false">COUNTIFS('Control Library'!$C$5:$C$50,A12,'Control Library'!$R$5:$R$50,"Partially implemented")</f>
        <v>0</v>
      </c>
      <c r="E12" s="26" t="n">
        <f aca="false">COUNTIFS('Control Library'!$C$5:$C$50,A12,'Control Library'!$R$5:$R$50,"Implemented")</f>
        <v>0</v>
      </c>
      <c r="F12" s="26" t="n">
        <f aca="false">COUNTIFS('Control Library'!$C$5:$C$50,A12,'Control Library'!$R$5:$R$50,"Not applicable")</f>
        <v>0</v>
      </c>
    </row>
    <row r="13" customFormat="false" ht="15" hidden="false" customHeight="false" outlineLevel="0" collapsed="false">
      <c r="A13" s="5" t="s">
        <v>115</v>
      </c>
      <c r="B13" s="26" t="n">
        <f aca="false">COUNTIFS('Control Library'!$C$5:$C$50,A13,'Control Library'!$R$5:$R$50,"Not started")</f>
        <v>0</v>
      </c>
      <c r="C13" s="26" t="n">
        <f aca="false">COUNTIFS('Control Library'!$C$5:$C$50,A13,'Control Library'!$R$5:$R$50,"Planned")</f>
        <v>0</v>
      </c>
      <c r="D13" s="26" t="n">
        <f aca="false">COUNTIFS('Control Library'!$C$5:$C$50,A13,'Control Library'!$R$5:$R$50,"Partially implemented")</f>
        <v>0</v>
      </c>
      <c r="E13" s="26" t="n">
        <f aca="false">COUNTIFS('Control Library'!$C$5:$C$50,A13,'Control Library'!$R$5:$R$50,"Implemented")</f>
        <v>0</v>
      </c>
      <c r="F13" s="26" t="n">
        <f aca="false">COUNTIFS('Control Library'!$C$5:$C$50,A13,'Control Library'!$R$5:$R$50,"Not applicable")</f>
        <v>0</v>
      </c>
    </row>
    <row r="14" customFormat="false" ht="15" hidden="false" customHeight="false" outlineLevel="0" collapsed="false">
      <c r="A14" s="5" t="s">
        <v>116</v>
      </c>
      <c r="B14" s="26" t="n">
        <f aca="false">COUNTIFS('Control Library'!$C$5:$C$50,A14,'Control Library'!$R$5:$R$50,"Not started")</f>
        <v>0</v>
      </c>
      <c r="C14" s="26" t="n">
        <f aca="false">COUNTIFS('Control Library'!$C$5:$C$50,A14,'Control Library'!$R$5:$R$50,"Planned")</f>
        <v>0</v>
      </c>
      <c r="D14" s="26" t="n">
        <f aca="false">COUNTIFS('Control Library'!$C$5:$C$50,A14,'Control Library'!$R$5:$R$50,"Partially implemented")</f>
        <v>0</v>
      </c>
      <c r="E14" s="26" t="n">
        <f aca="false">COUNTIFS('Control Library'!$C$5:$C$50,A14,'Control Library'!$R$5:$R$50,"Implemented")</f>
        <v>0</v>
      </c>
      <c r="F14" s="26" t="n">
        <f aca="false">COUNTIFS('Control Library'!$C$5:$C$50,A14,'Control Library'!$R$5:$R$50,"Not applicable")</f>
        <v>0</v>
      </c>
    </row>
    <row r="15" customFormat="false" ht="15" hidden="false" customHeight="false" outlineLevel="0" collapsed="false">
      <c r="A15" s="5" t="s">
        <v>117</v>
      </c>
      <c r="B15" s="26" t="n">
        <f aca="false">COUNTIFS('Control Library'!$C$5:$C$50,A15,'Control Library'!$R$5:$R$50,"Not started")</f>
        <v>0</v>
      </c>
      <c r="C15" s="26" t="n">
        <f aca="false">COUNTIFS('Control Library'!$C$5:$C$50,A15,'Control Library'!$R$5:$R$50,"Planned")</f>
        <v>0</v>
      </c>
      <c r="D15" s="26" t="n">
        <f aca="false">COUNTIFS('Control Library'!$C$5:$C$50,A15,'Control Library'!$R$5:$R$50,"Partially implemented")</f>
        <v>0</v>
      </c>
      <c r="E15" s="26" t="n">
        <f aca="false">COUNTIFS('Control Library'!$C$5:$C$50,A15,'Control Library'!$R$5:$R$50,"Implemented")</f>
        <v>0</v>
      </c>
      <c r="F15" s="26" t="n">
        <f aca="false">COUNTIFS('Control Library'!$C$5:$C$50,A15,'Control Library'!$R$5:$R$50,"Not applicable")</f>
        <v>0</v>
      </c>
    </row>
    <row r="16" customFormat="false" ht="15" hidden="false" customHeight="false" outlineLevel="0" collapsed="false">
      <c r="A16" s="5" t="s">
        <v>118</v>
      </c>
      <c r="B16" s="26" t="n">
        <f aca="false">COUNTIFS('Control Library'!$C$5:$C$50,A16,'Control Library'!$R$5:$R$50,"Not started")</f>
        <v>0</v>
      </c>
      <c r="C16" s="26" t="n">
        <f aca="false">COUNTIFS('Control Library'!$C$5:$C$50,A16,'Control Library'!$R$5:$R$50,"Planned")</f>
        <v>0</v>
      </c>
      <c r="D16" s="26" t="n">
        <f aca="false">COUNTIFS('Control Library'!$C$5:$C$50,A16,'Control Library'!$R$5:$R$50,"Partially implemented")</f>
        <v>0</v>
      </c>
      <c r="E16" s="26" t="n">
        <f aca="false">COUNTIFS('Control Library'!$C$5:$C$50,A16,'Control Library'!$R$5:$R$50,"Implemented")</f>
        <v>0</v>
      </c>
      <c r="F16" s="26" t="n">
        <f aca="false">COUNTIFS('Control Library'!$C$5:$C$50,A16,'Control Library'!$R$5:$R$50,"Not applicable")</f>
        <v>0</v>
      </c>
    </row>
    <row r="17" customFormat="false" ht="15" hidden="false" customHeight="false" outlineLevel="0" collapsed="false">
      <c r="A17" s="5" t="s">
        <v>119</v>
      </c>
      <c r="B17" s="26" t="n">
        <f aca="false">COUNTIFS('Control Library'!$C$5:$C$50,A17,'Control Library'!$R$5:$R$50,"Not started")</f>
        <v>0</v>
      </c>
      <c r="C17" s="26" t="n">
        <f aca="false">COUNTIFS('Control Library'!$C$5:$C$50,A17,'Control Library'!$R$5:$R$50,"Planned")</f>
        <v>0</v>
      </c>
      <c r="D17" s="26" t="n">
        <f aca="false">COUNTIFS('Control Library'!$C$5:$C$50,A17,'Control Library'!$R$5:$R$50,"Partially implemented")</f>
        <v>0</v>
      </c>
      <c r="E17" s="26" t="n">
        <f aca="false">COUNTIFS('Control Library'!$C$5:$C$50,A17,'Control Library'!$R$5:$R$50,"Implemented")</f>
        <v>0</v>
      </c>
      <c r="F17" s="26" t="n">
        <f aca="false">COUNTIFS('Control Library'!$C$5:$C$50,A17,'Control Library'!$R$5:$R$50,"Not applicable")</f>
        <v>0</v>
      </c>
    </row>
    <row r="18" customFormat="false" ht="15" hidden="false" customHeight="false" outlineLevel="0" collapsed="false">
      <c r="A18" s="5" t="s">
        <v>120</v>
      </c>
      <c r="B18" s="26" t="n">
        <f aca="false">COUNTIFS('Control Library'!$C$5:$C$50,A18,'Control Library'!$R$5:$R$50,"Not started")</f>
        <v>0</v>
      </c>
      <c r="C18" s="26" t="n">
        <f aca="false">COUNTIFS('Control Library'!$C$5:$C$50,A18,'Control Library'!$R$5:$R$50,"Planned")</f>
        <v>0</v>
      </c>
      <c r="D18" s="26" t="n">
        <f aca="false">COUNTIFS('Control Library'!$C$5:$C$50,A18,'Control Library'!$R$5:$R$50,"Partially implemented")</f>
        <v>0</v>
      </c>
      <c r="E18" s="26" t="n">
        <f aca="false">COUNTIFS('Control Library'!$C$5:$C$50,A18,'Control Library'!$R$5:$R$50,"Implemented")</f>
        <v>0</v>
      </c>
      <c r="F18" s="26" t="n">
        <f aca="false">COUNTIFS('Control Library'!$C$5:$C$50,A18,'Control Library'!$R$5:$R$50,"Not applicable")</f>
        <v>0</v>
      </c>
    </row>
    <row r="19" customFormat="false" ht="15" hidden="false" customHeight="false" outlineLevel="0" collapsed="false">
      <c r="A19" s="5" t="s">
        <v>121</v>
      </c>
      <c r="B19" s="26" t="n">
        <f aca="false">COUNTIFS('Control Library'!$C$5:$C$50,A19,'Control Library'!$R$5:$R$50,"Not started")</f>
        <v>0</v>
      </c>
      <c r="C19" s="26" t="n">
        <f aca="false">COUNTIFS('Control Library'!$C$5:$C$50,A19,'Control Library'!$R$5:$R$50,"Planned")</f>
        <v>0</v>
      </c>
      <c r="D19" s="26" t="n">
        <f aca="false">COUNTIFS('Control Library'!$C$5:$C$50,A19,'Control Library'!$R$5:$R$50,"Partially implemented")</f>
        <v>0</v>
      </c>
      <c r="E19" s="26" t="n">
        <f aca="false">COUNTIFS('Control Library'!$C$5:$C$50,A19,'Control Library'!$R$5:$R$50,"Implemented")</f>
        <v>0</v>
      </c>
      <c r="F19" s="26" t="n">
        <f aca="false">COUNTIFS('Control Library'!$C$5:$C$50,A19,'Control Library'!$R$5:$R$50,"Not applicable")</f>
        <v>0</v>
      </c>
    </row>
    <row r="20" customFormat="false" ht="15" hidden="false" customHeight="false" outlineLevel="0" collapsed="false">
      <c r="A20" s="5" t="s">
        <v>122</v>
      </c>
      <c r="B20" s="26" t="n">
        <f aca="false">COUNTIFS('Control Library'!$C$5:$C$50,A20,'Control Library'!$R$5:$R$50,"Not started")</f>
        <v>0</v>
      </c>
      <c r="C20" s="26" t="n">
        <f aca="false">COUNTIFS('Control Library'!$C$5:$C$50,A20,'Control Library'!$R$5:$R$50,"Planned")</f>
        <v>0</v>
      </c>
      <c r="D20" s="26" t="n">
        <f aca="false">COUNTIFS('Control Library'!$C$5:$C$50,A20,'Control Library'!$R$5:$R$50,"Partially implemented")</f>
        <v>0</v>
      </c>
      <c r="E20" s="26" t="n">
        <f aca="false">COUNTIFS('Control Library'!$C$5:$C$50,A20,'Control Library'!$R$5:$R$50,"Implemented")</f>
        <v>0</v>
      </c>
      <c r="F20" s="26" t="n">
        <f aca="false">COUNTIFS('Control Library'!$C$5:$C$50,A20,'Control Library'!$R$5:$R$50,"Not applicable")</f>
        <v>0</v>
      </c>
    </row>
    <row r="22" customFormat="false" ht="15" hidden="false" customHeight="false" outlineLevel="0" collapsed="false">
      <c r="A22" s="17" t="s">
        <v>123</v>
      </c>
      <c r="B22" s="17" t="s">
        <v>124</v>
      </c>
      <c r="C22" s="17"/>
      <c r="D22" s="17"/>
      <c r="E22" s="17"/>
      <c r="F22" s="17"/>
    </row>
    <row r="23" customFormat="false" ht="15" hidden="false" customHeight="false" outlineLevel="0" collapsed="false">
      <c r="A23" s="27" t="s">
        <v>125</v>
      </c>
      <c r="B23" s="24" t="n">
        <f aca="false">COUNTIF('Control Library'!AA5:AA50,"Overdue")</f>
        <v>0</v>
      </c>
    </row>
    <row r="24" customFormat="false" ht="15" hidden="false" customHeight="false" outlineLevel="0" collapsed="false">
      <c r="A24" s="28" t="s">
        <v>126</v>
      </c>
      <c r="B24" s="24" t="n">
        <f aca="false">COUNTIF('Control Library'!AA5:AA50,"Due soon")</f>
        <v>0</v>
      </c>
    </row>
    <row r="25" customFormat="false" ht="15" hidden="false" customHeight="false" outlineLevel="0" collapsed="false">
      <c r="A25" s="29" t="s">
        <v>127</v>
      </c>
      <c r="B25" s="24" t="n">
        <f aca="false">COUNTIF('Control Library'!AA5:AA50,"On track")</f>
        <v>0</v>
      </c>
    </row>
    <row r="26" customFormat="false" ht="15" hidden="false" customHeight="false" outlineLevel="0" collapsed="false">
      <c r="A26" s="30" t="s">
        <v>128</v>
      </c>
      <c r="B26" s="24" t="n">
        <f aca="false">COUNTIF('Control Library'!AA5:AA50,"Not yet tested")</f>
        <v>44</v>
      </c>
    </row>
    <row r="27" customFormat="false" ht="15" hidden="false" customHeight="false" outlineLevel="0" collapsed="false">
      <c r="A27" s="27" t="s">
        <v>129</v>
      </c>
      <c r="B27" s="24" t="n">
        <f aca="false">COUNTIF('Control Library'!W5:W50,"Ineffective")</f>
        <v>0</v>
      </c>
    </row>
    <row r="30" customFormat="false" ht="27.75" hidden="false" customHeight="true" outlineLevel="0" collapsed="false">
      <c r="A30" s="11" t="s">
        <v>61</v>
      </c>
      <c r="B30" s="11"/>
      <c r="C30" s="11"/>
      <c r="D30" s="11"/>
      <c r="E30" s="11"/>
      <c r="F30" s="11"/>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6" min="6" style="0" width="22"/>
    <col collapsed="false" customWidth="true" hidden="false" outlineLevel="0" max="8" min="7" style="0" width="14"/>
    <col collapsed="false" customWidth="true" hidden="false" outlineLevel="0" max="9" min="9" style="0" width="22"/>
    <col collapsed="false" customWidth="true" hidden="false" outlineLevel="0" max="10" min="10" style="0" width="50"/>
    <col collapsed="false" customWidth="true" hidden="false" outlineLevel="0" max="11" min="11" style="0" width="40"/>
    <col collapsed="false" customWidth="true" hidden="false" outlineLevel="0" max="12" min="12" style="0" width="44"/>
    <col collapsed="false" customWidth="true" hidden="false" outlineLevel="0" max="13" min="13" style="0" width="18"/>
    <col collapsed="false" customWidth="true" hidden="false" outlineLevel="0" max="14" min="14" style="0" width="16"/>
    <col collapsed="false" customWidth="true" hidden="false" outlineLevel="0" max="15" min="15" style="0" width="30"/>
    <col collapsed="false" customWidth="true" hidden="false" outlineLevel="0" max="17" min="16" style="0" width="10"/>
    <col collapsed="false" customWidth="true" hidden="false" outlineLevel="0" max="19" min="18" style="0" width="16"/>
    <col collapsed="false" customWidth="true" hidden="false" outlineLevel="0" max="20" min="20" style="0" width="22"/>
    <col collapsed="false" customWidth="true" hidden="false" outlineLevel="0" max="21" min="21" style="0" width="12"/>
    <col collapsed="false" customWidth="true" hidden="false" outlineLevel="0" max="22" min="22" style="0" width="10"/>
    <col collapsed="false" customWidth="true" hidden="false" outlineLevel="0" max="23" min="23" style="0" width="14"/>
    <col collapsed="false" customWidth="true" hidden="false" outlineLevel="0" max="24" min="24" style="0" width="30"/>
    <col collapsed="false" customWidth="true" hidden="false" outlineLevel="0" max="26" min="25" style="0" width="12"/>
    <col collapsed="false" customWidth="true" hidden="false" outlineLevel="0" max="27" min="27" style="0" width="14"/>
  </cols>
  <sheetData>
    <row r="1" customFormat="false" ht="30" hidden="false" customHeight="true" outlineLevel="0" collapsed="false">
      <c r="A1" s="31" t="s">
        <v>130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row>
    <row r="2" customFormat="false" ht="15" hidden="false" customHeight="false" outlineLevel="0" collapsed="false">
      <c r="A2" s="3" t="s">
        <v>131</v>
      </c>
    </row>
    <row r="4" customFormat="false" ht="45" hidden="false" customHeight="true" outlineLevel="0" collapsed="false">
      <c r="A4" s="33" t="s">
        <v>132</v>
      </c>
      <c r="B4" s="33" t="s">
        <v>133</v>
      </c>
      <c r="C4" s="33" t="s">
        <v>134</v>
      </c>
      <c r="D4" s="33" t="s">
        <v>135</v>
      </c>
      <c r="E4" s="33" t="s">
        <v>136</v>
      </c>
      <c r="F4" s="33" t="s">
        <v>137</v>
      </c>
      <c r="G4" s="33" t="s">
        <v>138</v>
      </c>
      <c r="H4" s="33" t="s">
        <v>139</v>
      </c>
      <c r="I4" s="33" t="s">
        <v>140</v>
      </c>
      <c r="J4" s="33" t="s">
        <v>141</v>
      </c>
      <c r="K4" s="33" t="s">
        <v>142</v>
      </c>
      <c r="L4" s="33" t="s">
        <v>143</v>
      </c>
      <c r="M4" s="33" t="s">
        <v>144</v>
      </c>
      <c r="N4" s="33" t="s">
        <v>145</v>
      </c>
      <c r="O4" s="33" t="s">
        <v>146</v>
      </c>
      <c r="P4" s="33" t="s">
        <v>147</v>
      </c>
      <c r="Q4" s="34" t="s">
        <v>148</v>
      </c>
      <c r="R4" s="34" t="s">
        <v>149</v>
      </c>
      <c r="S4" s="34" t="s">
        <v>150</v>
      </c>
      <c r="T4" s="34" t="s">
        <v>151</v>
      </c>
      <c r="U4" s="34" t="s">
        <v>152</v>
      </c>
      <c r="V4" s="34" t="s">
        <v>153</v>
      </c>
      <c r="W4" s="34" t="s">
        <v>154</v>
      </c>
      <c r="X4" s="34" t="s">
        <v>155</v>
      </c>
      <c r="Y4" s="34" t="s">
        <v>156</v>
      </c>
      <c r="Z4" s="35" t="s">
        <v>157</v>
      </c>
      <c r="AA4" s="35" t="s">
        <v>158</v>
      </c>
    </row>
    <row r="5" customFormat="false" ht="46.25" hidden="false" customHeight="false" outlineLevel="0" collapsed="false">
      <c r="A5" s="36" t="s">
        <v>159</v>
      </c>
      <c r="B5" s="6" t="s">
        <v>160</v>
      </c>
      <c r="C5" s="6" t="s">
        <v>112</v>
      </c>
      <c r="D5" s="37" t="s">
        <v>108</v>
      </c>
      <c r="E5" s="6" t="s">
        <v>161</v>
      </c>
      <c r="F5" s="6" t="s">
        <v>162</v>
      </c>
      <c r="G5" s="37" t="s">
        <v>163</v>
      </c>
      <c r="H5" s="37" t="s">
        <v>164</v>
      </c>
      <c r="I5" s="6" t="s">
        <v>165</v>
      </c>
      <c r="J5" s="6" t="s">
        <v>166</v>
      </c>
      <c r="K5" s="6" t="s">
        <v>167</v>
      </c>
      <c r="L5" s="6" t="s">
        <v>168</v>
      </c>
      <c r="M5" s="6" t="s">
        <v>169</v>
      </c>
      <c r="N5" s="6" t="s">
        <v>170</v>
      </c>
      <c r="O5" s="6"/>
      <c r="P5" s="37" t="n">
        <v>33</v>
      </c>
      <c r="Q5" s="38" t="s">
        <v>171</v>
      </c>
      <c r="R5" s="38"/>
      <c r="S5" s="39"/>
      <c r="T5" s="39"/>
      <c r="U5" s="40"/>
      <c r="V5" s="41" t="n">
        <v>3</v>
      </c>
      <c r="W5" s="38"/>
      <c r="X5" s="39"/>
      <c r="Y5" s="40"/>
      <c r="Z5" s="42" t="str">
        <f aca="false">IF(OR(U5="",V5=""),"",EDATE(U5,V5))</f>
        <v/>
      </c>
      <c r="AA5" s="43" t="str">
        <f aca="true">IF(OR(Q5="No",R5="Not applicable"),"Not applicable",IF(U5="",IF(V5="","Event-driven: set date","Not yet tested"),IF(Z5="","Event-driven",IF(Z5&lt;TODAY(),"Overdue",IF(Z5-TODAY()&lt;=30,"Due soon","On track")))))</f>
        <v>Not yet tested</v>
      </c>
    </row>
    <row r="6" customFormat="false" ht="46.25" hidden="false" customHeight="false" outlineLevel="0" collapsed="false">
      <c r="A6" s="36" t="s">
        <v>172</v>
      </c>
      <c r="B6" s="44" t="s">
        <v>173</v>
      </c>
      <c r="C6" s="44" t="s">
        <v>112</v>
      </c>
      <c r="D6" s="45" t="s">
        <v>108</v>
      </c>
      <c r="E6" s="44" t="s">
        <v>174</v>
      </c>
      <c r="F6" s="44" t="s">
        <v>175</v>
      </c>
      <c r="G6" s="45" t="s">
        <v>176</v>
      </c>
      <c r="H6" s="45" t="s">
        <v>164</v>
      </c>
      <c r="I6" s="44" t="s">
        <v>177</v>
      </c>
      <c r="J6" s="44" t="s">
        <v>178</v>
      </c>
      <c r="K6" s="44" t="s">
        <v>179</v>
      </c>
      <c r="L6" s="44" t="s">
        <v>180</v>
      </c>
      <c r="M6" s="44" t="s">
        <v>181</v>
      </c>
      <c r="N6" s="44" t="s">
        <v>170</v>
      </c>
      <c r="O6" s="44"/>
      <c r="P6" s="45" t="n">
        <v>16</v>
      </c>
      <c r="Q6" s="38" t="s">
        <v>171</v>
      </c>
      <c r="R6" s="38"/>
      <c r="S6" s="39"/>
      <c r="T6" s="39"/>
      <c r="U6" s="40"/>
      <c r="V6" s="41" t="n">
        <v>3</v>
      </c>
      <c r="W6" s="38"/>
      <c r="X6" s="39"/>
      <c r="Y6" s="40"/>
      <c r="Z6" s="42" t="str">
        <f aca="false">IF(OR(U6="",V6=""),"",EDATE(U6,V6))</f>
        <v/>
      </c>
      <c r="AA6" s="43" t="str">
        <f aca="true">IF(OR(Q6="No",R6="Not applicable"),"Not applicable",IF(U6="",IF(V6="","Event-driven: set date","Not yet tested"),IF(Z6="","Event-driven",IF(Z6&lt;TODAY(),"Overdue",IF(Z6-TODAY()&lt;=30,"Due soon","On track")))))</f>
        <v>Not yet tested</v>
      </c>
    </row>
    <row r="7" customFormat="false" ht="46.25" hidden="false" customHeight="false" outlineLevel="0" collapsed="false">
      <c r="A7" s="36" t="s">
        <v>182</v>
      </c>
      <c r="B7" s="6" t="s">
        <v>183</v>
      </c>
      <c r="C7" s="6" t="s">
        <v>112</v>
      </c>
      <c r="D7" s="37" t="s">
        <v>109</v>
      </c>
      <c r="E7" s="6" t="s">
        <v>184</v>
      </c>
      <c r="F7" s="6" t="s">
        <v>185</v>
      </c>
      <c r="G7" s="37" t="s">
        <v>176</v>
      </c>
      <c r="H7" s="37" t="s">
        <v>164</v>
      </c>
      <c r="I7" s="6" t="s">
        <v>177</v>
      </c>
      <c r="J7" s="6" t="s">
        <v>186</v>
      </c>
      <c r="K7" s="6" t="s">
        <v>187</v>
      </c>
      <c r="L7" s="6" t="s">
        <v>188</v>
      </c>
      <c r="M7" s="6" t="s">
        <v>189</v>
      </c>
      <c r="N7" s="6" t="s">
        <v>170</v>
      </c>
      <c r="O7" s="6"/>
      <c r="P7" s="37" t="n">
        <v>6</v>
      </c>
      <c r="Q7" s="38" t="s">
        <v>171</v>
      </c>
      <c r="R7" s="38"/>
      <c r="S7" s="39"/>
      <c r="T7" s="39"/>
      <c r="U7" s="40"/>
      <c r="V7" s="41" t="n">
        <v>3</v>
      </c>
      <c r="W7" s="38"/>
      <c r="X7" s="39"/>
      <c r="Y7" s="40"/>
      <c r="Z7" s="42" t="str">
        <f aca="false">IF(OR(U7="",V7=""),"",EDATE(U7,V7))</f>
        <v/>
      </c>
      <c r="AA7" s="43" t="str">
        <f aca="true">IF(OR(Q7="No",R7="Not applicable"),"Not applicable",IF(U7="",IF(V7="","Event-driven: set date","Not yet tested"),IF(Z7="","Event-driven",IF(Z7&lt;TODAY(),"Overdue",IF(Z7-TODAY()&lt;=30,"Due soon","On track")))))</f>
        <v>Not yet tested</v>
      </c>
    </row>
    <row r="8" customFormat="false" ht="46.25" hidden="false" customHeight="false" outlineLevel="0" collapsed="false">
      <c r="A8" s="36" t="s">
        <v>190</v>
      </c>
      <c r="B8" s="44" t="s">
        <v>191</v>
      </c>
      <c r="C8" s="44" t="s">
        <v>112</v>
      </c>
      <c r="D8" s="45" t="s">
        <v>109</v>
      </c>
      <c r="E8" s="44" t="s">
        <v>192</v>
      </c>
      <c r="F8" s="44" t="s">
        <v>193</v>
      </c>
      <c r="G8" s="45" t="s">
        <v>176</v>
      </c>
      <c r="H8" s="45" t="s">
        <v>164</v>
      </c>
      <c r="I8" s="44" t="s">
        <v>194</v>
      </c>
      <c r="J8" s="44" t="s">
        <v>195</v>
      </c>
      <c r="K8" s="44" t="s">
        <v>196</v>
      </c>
      <c r="L8" s="44" t="s">
        <v>197</v>
      </c>
      <c r="M8" s="44" t="s">
        <v>198</v>
      </c>
      <c r="N8" s="44" t="s">
        <v>170</v>
      </c>
      <c r="O8" s="44"/>
      <c r="P8" s="45" t="n">
        <v>18</v>
      </c>
      <c r="Q8" s="38" t="s">
        <v>171</v>
      </c>
      <c r="R8" s="38"/>
      <c r="S8" s="39"/>
      <c r="T8" s="39"/>
      <c r="U8" s="40"/>
      <c r="V8" s="41" t="n">
        <v>3</v>
      </c>
      <c r="W8" s="38"/>
      <c r="X8" s="39"/>
      <c r="Y8" s="40"/>
      <c r="Z8" s="42" t="str">
        <f aca="false">IF(OR(U8="",V8=""),"",EDATE(U8,V8))</f>
        <v/>
      </c>
      <c r="AA8" s="43" t="str">
        <f aca="true">IF(OR(Q8="No",R8="Not applicable"),"Not applicable",IF(U8="",IF(V8="","Event-driven: set date","Not yet tested"),IF(Z8="","Event-driven",IF(Z8&lt;TODAY(),"Overdue",IF(Z8-TODAY()&lt;=30,"Due soon","On track")))))</f>
        <v>Not yet tested</v>
      </c>
    </row>
    <row r="9" customFormat="false" ht="46.25" hidden="false" customHeight="false" outlineLevel="0" collapsed="false">
      <c r="A9" s="36" t="s">
        <v>199</v>
      </c>
      <c r="B9" s="6" t="s">
        <v>200</v>
      </c>
      <c r="C9" s="6" t="s">
        <v>113</v>
      </c>
      <c r="D9" s="37" t="s">
        <v>108</v>
      </c>
      <c r="E9" s="6" t="s">
        <v>201</v>
      </c>
      <c r="F9" s="6" t="s">
        <v>202</v>
      </c>
      <c r="G9" s="37" t="s">
        <v>176</v>
      </c>
      <c r="H9" s="37" t="s">
        <v>164</v>
      </c>
      <c r="I9" s="6" t="s">
        <v>203</v>
      </c>
      <c r="J9" s="6" t="s">
        <v>204</v>
      </c>
      <c r="K9" s="6" t="s">
        <v>205</v>
      </c>
      <c r="L9" s="6" t="s">
        <v>206</v>
      </c>
      <c r="M9" s="6" t="s">
        <v>207</v>
      </c>
      <c r="N9" s="6" t="s">
        <v>208</v>
      </c>
      <c r="O9" s="6"/>
      <c r="P9" s="37" t="n">
        <v>52</v>
      </c>
      <c r="Q9" s="38" t="s">
        <v>171</v>
      </c>
      <c r="R9" s="38"/>
      <c r="S9" s="39"/>
      <c r="T9" s="39"/>
      <c r="U9" s="40"/>
      <c r="V9" s="41" t="n">
        <v>3</v>
      </c>
      <c r="W9" s="38"/>
      <c r="X9" s="39"/>
      <c r="Y9" s="40"/>
      <c r="Z9" s="42" t="str">
        <f aca="false">IF(OR(U9="",V9=""),"",EDATE(U9,V9))</f>
        <v/>
      </c>
      <c r="AA9" s="43" t="str">
        <f aca="true">IF(OR(Q9="No",R9="Not applicable"),"Not applicable",IF(U9="",IF(V9="","Event-driven: set date","Not yet tested"),IF(Z9="","Event-driven",IF(Z9&lt;TODAY(),"Overdue",IF(Z9-TODAY()&lt;=30,"Due soon","On track")))))</f>
        <v>Not yet tested</v>
      </c>
    </row>
    <row r="10" customFormat="false" ht="57.45" hidden="false" customHeight="false" outlineLevel="0" collapsed="false">
      <c r="A10" s="36" t="s">
        <v>209</v>
      </c>
      <c r="B10" s="44" t="s">
        <v>210</v>
      </c>
      <c r="C10" s="44" t="s">
        <v>114</v>
      </c>
      <c r="D10" s="45" t="s">
        <v>108</v>
      </c>
      <c r="E10" s="44" t="s">
        <v>211</v>
      </c>
      <c r="F10" s="44" t="s">
        <v>212</v>
      </c>
      <c r="G10" s="45" t="s">
        <v>213</v>
      </c>
      <c r="H10" s="45" t="s">
        <v>164</v>
      </c>
      <c r="I10" s="44" t="s">
        <v>214</v>
      </c>
      <c r="J10" s="44" t="s">
        <v>215</v>
      </c>
      <c r="K10" s="44" t="s">
        <v>216</v>
      </c>
      <c r="L10" s="44" t="s">
        <v>217</v>
      </c>
      <c r="M10" s="44" t="s">
        <v>218</v>
      </c>
      <c r="N10" s="44" t="s">
        <v>170</v>
      </c>
      <c r="O10" s="44"/>
      <c r="P10" s="45" t="n">
        <v>15</v>
      </c>
      <c r="Q10" s="38" t="s">
        <v>171</v>
      </c>
      <c r="R10" s="38"/>
      <c r="S10" s="39"/>
      <c r="T10" s="39"/>
      <c r="U10" s="40"/>
      <c r="V10" s="41" t="n">
        <v>3</v>
      </c>
      <c r="W10" s="38"/>
      <c r="X10" s="39"/>
      <c r="Y10" s="40"/>
      <c r="Z10" s="42" t="str">
        <f aca="false">IF(OR(U10="",V10=""),"",EDATE(U10,V10))</f>
        <v/>
      </c>
      <c r="AA10" s="43" t="str">
        <f aca="true">IF(OR(Q10="No",R10="Not applicable"),"Not applicable",IF(U10="",IF(V10="","Event-driven: set date","Not yet tested"),IF(Z10="","Event-driven",IF(Z10&lt;TODAY(),"Overdue",IF(Z10-TODAY()&lt;=30,"Due soon","On track")))))</f>
        <v>Not yet tested</v>
      </c>
    </row>
    <row r="11" customFormat="false" ht="46.25" hidden="false" customHeight="false" outlineLevel="0" collapsed="false">
      <c r="A11" s="36" t="s">
        <v>219</v>
      </c>
      <c r="B11" s="6" t="s">
        <v>220</v>
      </c>
      <c r="C11" s="6" t="s">
        <v>115</v>
      </c>
      <c r="D11" s="37" t="s">
        <v>109</v>
      </c>
      <c r="E11" s="6" t="s">
        <v>221</v>
      </c>
      <c r="F11" s="6" t="s">
        <v>222</v>
      </c>
      <c r="G11" s="37" t="s">
        <v>163</v>
      </c>
      <c r="H11" s="37" t="s">
        <v>223</v>
      </c>
      <c r="I11" s="6" t="s">
        <v>224</v>
      </c>
      <c r="J11" s="6" t="s">
        <v>225</v>
      </c>
      <c r="K11" s="6" t="s">
        <v>226</v>
      </c>
      <c r="L11" s="6" t="s">
        <v>227</v>
      </c>
      <c r="M11" s="6" t="s">
        <v>228</v>
      </c>
      <c r="N11" s="6" t="s">
        <v>229</v>
      </c>
      <c r="O11" s="6"/>
      <c r="P11" s="37" t="n">
        <v>15</v>
      </c>
      <c r="Q11" s="38" t="s">
        <v>171</v>
      </c>
      <c r="R11" s="38"/>
      <c r="S11" s="39"/>
      <c r="T11" s="39"/>
      <c r="U11" s="40"/>
      <c r="V11" s="41" t="n">
        <v>12</v>
      </c>
      <c r="W11" s="38"/>
      <c r="X11" s="39"/>
      <c r="Y11" s="40"/>
      <c r="Z11" s="42" t="str">
        <f aca="false">IF(OR(U11="",V11=""),"",EDATE(U11,V11))</f>
        <v/>
      </c>
      <c r="AA11" s="43" t="str">
        <f aca="true">IF(OR(Q11="No",R11="Not applicable"),"Not applicable",IF(U11="",IF(V11="","Event-driven: set date","Not yet tested"),IF(Z11="","Event-driven",IF(Z11&lt;TODAY(),"Overdue",IF(Z11-TODAY()&lt;=30,"Due soon","On track")))))</f>
        <v>Not yet tested</v>
      </c>
    </row>
    <row r="12" customFormat="false" ht="46.25" hidden="false" customHeight="false" outlineLevel="0" collapsed="false">
      <c r="A12" s="36" t="s">
        <v>230</v>
      </c>
      <c r="B12" s="44" t="s">
        <v>231</v>
      </c>
      <c r="C12" s="44" t="s">
        <v>116</v>
      </c>
      <c r="D12" s="45" t="s">
        <v>108</v>
      </c>
      <c r="E12" s="44" t="s">
        <v>232</v>
      </c>
      <c r="F12" s="44" t="s">
        <v>162</v>
      </c>
      <c r="G12" s="45" t="s">
        <v>233</v>
      </c>
      <c r="H12" s="45" t="s">
        <v>164</v>
      </c>
      <c r="I12" s="44" t="s">
        <v>234</v>
      </c>
      <c r="J12" s="44" t="s">
        <v>235</v>
      </c>
      <c r="K12" s="44" t="s">
        <v>236</v>
      </c>
      <c r="L12" s="44" t="s">
        <v>237</v>
      </c>
      <c r="M12" s="44" t="s">
        <v>169</v>
      </c>
      <c r="N12" s="44" t="s">
        <v>238</v>
      </c>
      <c r="O12" s="44"/>
      <c r="P12" s="45" t="n">
        <v>23</v>
      </c>
      <c r="Q12" s="38" t="s">
        <v>171</v>
      </c>
      <c r="R12" s="38"/>
      <c r="S12" s="39"/>
      <c r="T12" s="39"/>
      <c r="U12" s="40"/>
      <c r="V12" s="41" t="n">
        <v>6</v>
      </c>
      <c r="W12" s="38"/>
      <c r="X12" s="39"/>
      <c r="Y12" s="40"/>
      <c r="Z12" s="42" t="str">
        <f aca="false">IF(OR(U12="",V12=""),"",EDATE(U12,V12))</f>
        <v/>
      </c>
      <c r="AA12" s="43" t="str">
        <f aca="true">IF(OR(Q12="No",R12="Not applicable"),"Not applicable",IF(U12="",IF(V12="","Event-driven: set date","Not yet tested"),IF(Z12="","Event-driven",IF(Z12&lt;TODAY(),"Overdue",IF(Z12-TODAY()&lt;=30,"Due soon","On track")))))</f>
        <v>Not yet tested</v>
      </c>
    </row>
    <row r="13" customFormat="false" ht="46.25" hidden="false" customHeight="false" outlineLevel="0" collapsed="false">
      <c r="A13" s="36" t="s">
        <v>239</v>
      </c>
      <c r="B13" s="6" t="s">
        <v>240</v>
      </c>
      <c r="C13" s="6" t="s">
        <v>116</v>
      </c>
      <c r="D13" s="37" t="s">
        <v>109</v>
      </c>
      <c r="E13" s="6" t="s">
        <v>241</v>
      </c>
      <c r="F13" s="6" t="s">
        <v>162</v>
      </c>
      <c r="G13" s="37" t="s">
        <v>242</v>
      </c>
      <c r="H13" s="37" t="s">
        <v>164</v>
      </c>
      <c r="I13" s="6" t="s">
        <v>243</v>
      </c>
      <c r="J13" s="6" t="s">
        <v>244</v>
      </c>
      <c r="K13" s="6" t="s">
        <v>245</v>
      </c>
      <c r="L13" s="6" t="s">
        <v>246</v>
      </c>
      <c r="M13" s="6" t="s">
        <v>247</v>
      </c>
      <c r="N13" s="6" t="s">
        <v>238</v>
      </c>
      <c r="O13" s="6"/>
      <c r="P13" s="37" t="n">
        <v>22</v>
      </c>
      <c r="Q13" s="38" t="s">
        <v>171</v>
      </c>
      <c r="R13" s="38"/>
      <c r="S13" s="39"/>
      <c r="T13" s="39"/>
      <c r="U13" s="40"/>
      <c r="V13" s="41" t="n">
        <v>6</v>
      </c>
      <c r="W13" s="38"/>
      <c r="X13" s="39"/>
      <c r="Y13" s="40"/>
      <c r="Z13" s="42" t="str">
        <f aca="false">IF(OR(U13="",V13=""),"",EDATE(U13,V13))</f>
        <v/>
      </c>
      <c r="AA13" s="43" t="str">
        <f aca="true">IF(OR(Q13="No",R13="Not applicable"),"Not applicable",IF(U13="",IF(V13="","Event-driven: set date","Not yet tested"),IF(Z13="","Event-driven",IF(Z13&lt;TODAY(),"Overdue",IF(Z13-TODAY()&lt;=30,"Due soon","On track")))))</f>
        <v>Not yet tested</v>
      </c>
    </row>
    <row r="14" customFormat="false" ht="46.25" hidden="false" customHeight="false" outlineLevel="0" collapsed="false">
      <c r="A14" s="36" t="s">
        <v>248</v>
      </c>
      <c r="B14" s="44" t="s">
        <v>249</v>
      </c>
      <c r="C14" s="44" t="s">
        <v>112</v>
      </c>
      <c r="D14" s="45" t="s">
        <v>109</v>
      </c>
      <c r="E14" s="44" t="s">
        <v>250</v>
      </c>
      <c r="F14" s="44" t="s">
        <v>175</v>
      </c>
      <c r="G14" s="45" t="s">
        <v>176</v>
      </c>
      <c r="H14" s="45" t="s">
        <v>164</v>
      </c>
      <c r="I14" s="44" t="s">
        <v>251</v>
      </c>
      <c r="J14" s="44" t="s">
        <v>252</v>
      </c>
      <c r="K14" s="44" t="s">
        <v>253</v>
      </c>
      <c r="L14" s="44" t="s">
        <v>254</v>
      </c>
      <c r="M14" s="44" t="s">
        <v>181</v>
      </c>
      <c r="N14" s="44" t="s">
        <v>170</v>
      </c>
      <c r="O14" s="44"/>
      <c r="P14" s="45" t="n">
        <v>28</v>
      </c>
      <c r="Q14" s="38" t="s">
        <v>171</v>
      </c>
      <c r="R14" s="38"/>
      <c r="S14" s="39"/>
      <c r="T14" s="39"/>
      <c r="U14" s="40"/>
      <c r="V14" s="41" t="n">
        <v>3</v>
      </c>
      <c r="W14" s="38"/>
      <c r="X14" s="39"/>
      <c r="Y14" s="40"/>
      <c r="Z14" s="42" t="str">
        <f aca="false">IF(OR(U14="",V14=""),"",EDATE(U14,V14))</f>
        <v/>
      </c>
      <c r="AA14" s="43" t="str">
        <f aca="true">IF(OR(Q14="No",R14="Not applicable"),"Not applicable",IF(U14="",IF(V14="","Event-driven: set date","Not yet tested"),IF(Z14="","Event-driven",IF(Z14&lt;TODAY(),"Overdue",IF(Z14-TODAY()&lt;=30,"Due soon","On track")))))</f>
        <v>Not yet tested</v>
      </c>
    </row>
    <row r="15" customFormat="false" ht="46.25" hidden="false" customHeight="false" outlineLevel="0" collapsed="false">
      <c r="A15" s="36" t="s">
        <v>255</v>
      </c>
      <c r="B15" s="6" t="s">
        <v>256</v>
      </c>
      <c r="C15" s="6" t="s">
        <v>115</v>
      </c>
      <c r="D15" s="37" t="s">
        <v>108</v>
      </c>
      <c r="E15" s="6" t="s">
        <v>257</v>
      </c>
      <c r="F15" s="6" t="s">
        <v>222</v>
      </c>
      <c r="G15" s="37" t="s">
        <v>163</v>
      </c>
      <c r="H15" s="37" t="s">
        <v>164</v>
      </c>
      <c r="I15" s="6" t="s">
        <v>258</v>
      </c>
      <c r="J15" s="6" t="s">
        <v>259</v>
      </c>
      <c r="K15" s="6" t="s">
        <v>260</v>
      </c>
      <c r="L15" s="6" t="s">
        <v>261</v>
      </c>
      <c r="M15" s="6" t="s">
        <v>262</v>
      </c>
      <c r="N15" s="6" t="s">
        <v>170</v>
      </c>
      <c r="O15" s="6"/>
      <c r="P15" s="37" t="n">
        <v>19</v>
      </c>
      <c r="Q15" s="38" t="s">
        <v>171</v>
      </c>
      <c r="R15" s="38"/>
      <c r="S15" s="39"/>
      <c r="T15" s="39"/>
      <c r="U15" s="40"/>
      <c r="V15" s="41" t="n">
        <v>3</v>
      </c>
      <c r="W15" s="38"/>
      <c r="X15" s="39"/>
      <c r="Y15" s="40"/>
      <c r="Z15" s="42" t="str">
        <f aca="false">IF(OR(U15="",V15=""),"",EDATE(U15,V15))</f>
        <v/>
      </c>
      <c r="AA15" s="43" t="str">
        <f aca="true">IF(OR(Q15="No",R15="Not applicable"),"Not applicable",IF(U15="",IF(V15="","Event-driven: set date","Not yet tested"),IF(Z15="","Event-driven",IF(Z15&lt;TODAY(),"Overdue",IF(Z15-TODAY()&lt;=30,"Due soon","On track")))))</f>
        <v>Not yet tested</v>
      </c>
    </row>
    <row r="16" customFormat="false" ht="57.45" hidden="false" customHeight="false" outlineLevel="0" collapsed="false">
      <c r="A16" s="36" t="s">
        <v>263</v>
      </c>
      <c r="B16" s="44" t="s">
        <v>264</v>
      </c>
      <c r="C16" s="44" t="s">
        <v>115</v>
      </c>
      <c r="D16" s="45" t="s">
        <v>108</v>
      </c>
      <c r="E16" s="44" t="s">
        <v>265</v>
      </c>
      <c r="F16" s="44" t="s">
        <v>162</v>
      </c>
      <c r="G16" s="45" t="s">
        <v>163</v>
      </c>
      <c r="H16" s="45" t="s">
        <v>164</v>
      </c>
      <c r="I16" s="44" t="s">
        <v>266</v>
      </c>
      <c r="J16" s="44" t="s">
        <v>267</v>
      </c>
      <c r="K16" s="44" t="s">
        <v>268</v>
      </c>
      <c r="L16" s="44" t="s">
        <v>269</v>
      </c>
      <c r="M16" s="44" t="s">
        <v>270</v>
      </c>
      <c r="N16" s="44" t="s">
        <v>271</v>
      </c>
      <c r="O16" s="44"/>
      <c r="P16" s="45" t="n">
        <v>8</v>
      </c>
      <c r="Q16" s="38" t="s">
        <v>171</v>
      </c>
      <c r="R16" s="38"/>
      <c r="S16" s="39"/>
      <c r="T16" s="39"/>
      <c r="U16" s="40"/>
      <c r="V16" s="41" t="n">
        <v>12</v>
      </c>
      <c r="W16" s="38"/>
      <c r="X16" s="39"/>
      <c r="Y16" s="40"/>
      <c r="Z16" s="42" t="str">
        <f aca="false">IF(OR(U16="",V16=""),"",EDATE(U16,V16))</f>
        <v/>
      </c>
      <c r="AA16" s="43" t="str">
        <f aca="true">IF(OR(Q16="No",R16="Not applicable"),"Not applicable",IF(U16="",IF(V16="","Event-driven: set date","Not yet tested"),IF(Z16="","Event-driven",IF(Z16&lt;TODAY(),"Overdue",IF(Z16-TODAY()&lt;=30,"Due soon","On track")))))</f>
        <v>Not yet tested</v>
      </c>
    </row>
    <row r="17" customFormat="false" ht="46.25" hidden="false" customHeight="false" outlineLevel="0" collapsed="false">
      <c r="A17" s="36" t="s">
        <v>272</v>
      </c>
      <c r="B17" s="6" t="s">
        <v>273</v>
      </c>
      <c r="C17" s="6" t="s">
        <v>115</v>
      </c>
      <c r="D17" s="37" t="s">
        <v>108</v>
      </c>
      <c r="E17" s="6" t="s">
        <v>274</v>
      </c>
      <c r="F17" s="6" t="s">
        <v>275</v>
      </c>
      <c r="G17" s="37" t="s">
        <v>213</v>
      </c>
      <c r="H17" s="37" t="s">
        <v>164</v>
      </c>
      <c r="I17" s="6" t="s">
        <v>276</v>
      </c>
      <c r="J17" s="6" t="s">
        <v>277</v>
      </c>
      <c r="K17" s="6" t="s">
        <v>278</v>
      </c>
      <c r="L17" s="6" t="s">
        <v>279</v>
      </c>
      <c r="M17" s="6" t="s">
        <v>280</v>
      </c>
      <c r="N17" s="6" t="s">
        <v>281</v>
      </c>
      <c r="O17" s="6"/>
      <c r="P17" s="37" t="n">
        <v>41</v>
      </c>
      <c r="Q17" s="38" t="s">
        <v>171</v>
      </c>
      <c r="R17" s="38"/>
      <c r="S17" s="39"/>
      <c r="T17" s="39"/>
      <c r="U17" s="40"/>
      <c r="V17" s="41" t="n">
        <v>12</v>
      </c>
      <c r="W17" s="38"/>
      <c r="X17" s="39"/>
      <c r="Y17" s="40"/>
      <c r="Z17" s="42" t="str">
        <f aca="false">IF(OR(U17="",V17=""),"",EDATE(U17,V17))</f>
        <v/>
      </c>
      <c r="AA17" s="43" t="str">
        <f aca="true">IF(OR(Q17="No",R17="Not applicable"),"Not applicable",IF(U17="",IF(V17="","Event-driven: set date","Not yet tested"),IF(Z17="","Event-driven",IF(Z17&lt;TODAY(),"Overdue",IF(Z17-TODAY()&lt;=30,"Due soon","On track")))))</f>
        <v>Not yet tested</v>
      </c>
    </row>
    <row r="18" customFormat="false" ht="57.45" hidden="false" customHeight="false" outlineLevel="0" collapsed="false">
      <c r="A18" s="36" t="s">
        <v>282</v>
      </c>
      <c r="B18" s="44" t="s">
        <v>283</v>
      </c>
      <c r="C18" s="44" t="s">
        <v>115</v>
      </c>
      <c r="D18" s="45" t="s">
        <v>108</v>
      </c>
      <c r="E18" s="44" t="s">
        <v>284</v>
      </c>
      <c r="F18" s="44" t="s">
        <v>285</v>
      </c>
      <c r="G18" s="45" t="s">
        <v>163</v>
      </c>
      <c r="H18" s="45" t="s">
        <v>223</v>
      </c>
      <c r="I18" s="44" t="s">
        <v>286</v>
      </c>
      <c r="J18" s="44" t="s">
        <v>287</v>
      </c>
      <c r="K18" s="44" t="s">
        <v>288</v>
      </c>
      <c r="L18" s="44" t="s">
        <v>289</v>
      </c>
      <c r="M18" s="44" t="s">
        <v>290</v>
      </c>
      <c r="N18" s="44" t="s">
        <v>229</v>
      </c>
      <c r="O18" s="44"/>
      <c r="P18" s="45" t="n">
        <v>25</v>
      </c>
      <c r="Q18" s="38" t="s">
        <v>171</v>
      </c>
      <c r="R18" s="38"/>
      <c r="S18" s="39"/>
      <c r="T18" s="39"/>
      <c r="U18" s="40"/>
      <c r="V18" s="41" t="n">
        <v>12</v>
      </c>
      <c r="W18" s="38"/>
      <c r="X18" s="39"/>
      <c r="Y18" s="40"/>
      <c r="Z18" s="42" t="str">
        <f aca="false">IF(OR(U18="",V18=""),"",EDATE(U18,V18))</f>
        <v/>
      </c>
      <c r="AA18" s="43" t="str">
        <f aca="true">IF(OR(Q18="No",R18="Not applicable"),"Not applicable",IF(U18="",IF(V18="","Event-driven: set date","Not yet tested"),IF(Z18="","Event-driven",IF(Z18&lt;TODAY(),"Overdue",IF(Z18-TODAY()&lt;=30,"Due soon","On track")))))</f>
        <v>Not yet tested</v>
      </c>
    </row>
    <row r="19" customFormat="false" ht="91" hidden="false" customHeight="false" outlineLevel="0" collapsed="false">
      <c r="A19" s="36" t="s">
        <v>291</v>
      </c>
      <c r="B19" s="6" t="s">
        <v>292</v>
      </c>
      <c r="C19" s="6" t="s">
        <v>117</v>
      </c>
      <c r="D19" s="37" t="s">
        <v>108</v>
      </c>
      <c r="E19" s="6" t="s">
        <v>293</v>
      </c>
      <c r="F19" s="6" t="s">
        <v>294</v>
      </c>
      <c r="G19" s="37" t="s">
        <v>176</v>
      </c>
      <c r="H19" s="37" t="s">
        <v>164</v>
      </c>
      <c r="I19" s="6" t="s">
        <v>295</v>
      </c>
      <c r="J19" s="6" t="s">
        <v>296</v>
      </c>
      <c r="K19" s="6" t="s">
        <v>297</v>
      </c>
      <c r="L19" s="6" t="s">
        <v>298</v>
      </c>
      <c r="M19" s="6" t="s">
        <v>299</v>
      </c>
      <c r="N19" s="6" t="s">
        <v>238</v>
      </c>
      <c r="O19" s="6"/>
      <c r="P19" s="37" t="n">
        <v>44</v>
      </c>
      <c r="Q19" s="38" t="s">
        <v>171</v>
      </c>
      <c r="R19" s="38"/>
      <c r="S19" s="39"/>
      <c r="T19" s="39"/>
      <c r="U19" s="40"/>
      <c r="V19" s="41" t="n">
        <v>6</v>
      </c>
      <c r="W19" s="38"/>
      <c r="X19" s="39"/>
      <c r="Y19" s="40"/>
      <c r="Z19" s="42" t="str">
        <f aca="false">IF(OR(U19="",V19=""),"",EDATE(U19,V19))</f>
        <v/>
      </c>
      <c r="AA19" s="43" t="str">
        <f aca="true">IF(OR(Q19="No",R19="Not applicable"),"Not applicable",IF(U19="",IF(V19="","Event-driven: set date","Not yet tested"),IF(Z19="","Event-driven",IF(Z19&lt;TODAY(),"Overdue",IF(Z19-TODAY()&lt;=30,"Due soon","On track")))))</f>
        <v>Not yet tested</v>
      </c>
    </row>
    <row r="20" customFormat="false" ht="124.6" hidden="false" customHeight="false" outlineLevel="0" collapsed="false">
      <c r="A20" s="36" t="s">
        <v>300</v>
      </c>
      <c r="B20" s="44" t="s">
        <v>301</v>
      </c>
      <c r="C20" s="44" t="s">
        <v>117</v>
      </c>
      <c r="D20" s="45" t="s">
        <v>108</v>
      </c>
      <c r="E20" s="44" t="s">
        <v>302</v>
      </c>
      <c r="F20" s="44" t="s">
        <v>294</v>
      </c>
      <c r="G20" s="45" t="s">
        <v>176</v>
      </c>
      <c r="H20" s="45" t="s">
        <v>164</v>
      </c>
      <c r="I20" s="44" t="s">
        <v>303</v>
      </c>
      <c r="J20" s="44" t="s">
        <v>304</v>
      </c>
      <c r="K20" s="44" t="s">
        <v>305</v>
      </c>
      <c r="L20" s="44" t="s">
        <v>306</v>
      </c>
      <c r="M20" s="44" t="s">
        <v>299</v>
      </c>
      <c r="N20" s="44" t="s">
        <v>170</v>
      </c>
      <c r="O20" s="44"/>
      <c r="P20" s="45" t="n">
        <v>51</v>
      </c>
      <c r="Q20" s="38" t="s">
        <v>171</v>
      </c>
      <c r="R20" s="38"/>
      <c r="S20" s="39"/>
      <c r="T20" s="39"/>
      <c r="U20" s="40"/>
      <c r="V20" s="41" t="n">
        <v>3</v>
      </c>
      <c r="W20" s="38"/>
      <c r="X20" s="39"/>
      <c r="Y20" s="40"/>
      <c r="Z20" s="42" t="str">
        <f aca="false">IF(OR(U20="",V20=""),"",EDATE(U20,V20))</f>
        <v/>
      </c>
      <c r="AA20" s="43" t="str">
        <f aca="true">IF(OR(Q20="No",R20="Not applicable"),"Not applicable",IF(U20="",IF(V20="","Event-driven: set date","Not yet tested"),IF(Z20="","Event-driven",IF(Z20&lt;TODAY(),"Overdue",IF(Z20-TODAY()&lt;=30,"Due soon","On track")))))</f>
        <v>Not yet tested</v>
      </c>
    </row>
    <row r="21" customFormat="false" ht="46.25" hidden="false" customHeight="false" outlineLevel="0" collapsed="false">
      <c r="A21" s="36" t="s">
        <v>307</v>
      </c>
      <c r="B21" s="6" t="s">
        <v>308</v>
      </c>
      <c r="C21" s="6" t="s">
        <v>118</v>
      </c>
      <c r="D21" s="37" t="s">
        <v>108</v>
      </c>
      <c r="E21" s="6" t="s">
        <v>309</v>
      </c>
      <c r="F21" s="6" t="s">
        <v>294</v>
      </c>
      <c r="G21" s="37" t="s">
        <v>176</v>
      </c>
      <c r="H21" s="37" t="s">
        <v>164</v>
      </c>
      <c r="I21" s="6" t="s">
        <v>310</v>
      </c>
      <c r="J21" s="6" t="s">
        <v>311</v>
      </c>
      <c r="K21" s="6" t="s">
        <v>312</v>
      </c>
      <c r="L21" s="6" t="s">
        <v>313</v>
      </c>
      <c r="M21" s="6" t="s">
        <v>314</v>
      </c>
      <c r="N21" s="6" t="s">
        <v>238</v>
      </c>
      <c r="O21" s="6"/>
      <c r="P21" s="37" t="n">
        <v>34</v>
      </c>
      <c r="Q21" s="38" t="s">
        <v>171</v>
      </c>
      <c r="R21" s="38"/>
      <c r="S21" s="39"/>
      <c r="T21" s="39"/>
      <c r="U21" s="40"/>
      <c r="V21" s="41" t="n">
        <v>6</v>
      </c>
      <c r="W21" s="38"/>
      <c r="X21" s="39"/>
      <c r="Y21" s="40"/>
      <c r="Z21" s="42" t="str">
        <f aca="false">IF(OR(U21="",V21=""),"",EDATE(U21,V21))</f>
        <v/>
      </c>
      <c r="AA21" s="43" t="str">
        <f aca="true">IF(OR(Q21="No",R21="Not applicable"),"Not applicable",IF(U21="",IF(V21="","Event-driven: set date","Not yet tested"),IF(Z21="","Event-driven",IF(Z21&lt;TODAY(),"Overdue",IF(Z21-TODAY()&lt;=30,"Due soon","On track")))))</f>
        <v>Not yet tested</v>
      </c>
    </row>
    <row r="22" customFormat="false" ht="46.25" hidden="false" customHeight="false" outlineLevel="0" collapsed="false">
      <c r="A22" s="36" t="s">
        <v>315</v>
      </c>
      <c r="B22" s="44" t="s">
        <v>316</v>
      </c>
      <c r="C22" s="44" t="s">
        <v>118</v>
      </c>
      <c r="D22" s="45" t="s">
        <v>108</v>
      </c>
      <c r="E22" s="44" t="s">
        <v>317</v>
      </c>
      <c r="F22" s="44" t="s">
        <v>318</v>
      </c>
      <c r="G22" s="45" t="s">
        <v>176</v>
      </c>
      <c r="H22" s="45" t="s">
        <v>164</v>
      </c>
      <c r="I22" s="44" t="s">
        <v>319</v>
      </c>
      <c r="J22" s="44" t="s">
        <v>320</v>
      </c>
      <c r="K22" s="44" t="s">
        <v>321</v>
      </c>
      <c r="L22" s="44" t="s">
        <v>322</v>
      </c>
      <c r="M22" s="44" t="s">
        <v>323</v>
      </c>
      <c r="N22" s="44" t="s">
        <v>170</v>
      </c>
      <c r="O22" s="44"/>
      <c r="P22" s="45" t="n">
        <v>10</v>
      </c>
      <c r="Q22" s="38" t="s">
        <v>171</v>
      </c>
      <c r="R22" s="38"/>
      <c r="S22" s="39"/>
      <c r="T22" s="39"/>
      <c r="U22" s="40"/>
      <c r="V22" s="41" t="n">
        <v>3</v>
      </c>
      <c r="W22" s="38"/>
      <c r="X22" s="39"/>
      <c r="Y22" s="40"/>
      <c r="Z22" s="42" t="str">
        <f aca="false">IF(OR(U22="",V22=""),"",EDATE(U22,V22))</f>
        <v/>
      </c>
      <c r="AA22" s="43" t="str">
        <f aca="true">IF(OR(Q22="No",R22="Not applicable"),"Not applicable",IF(U22="",IF(V22="","Event-driven: set date","Not yet tested"),IF(Z22="","Event-driven",IF(Z22&lt;TODAY(),"Overdue",IF(Z22-TODAY()&lt;=30,"Due soon","On track")))))</f>
        <v>Not yet tested</v>
      </c>
    </row>
    <row r="23" customFormat="false" ht="113.4" hidden="false" customHeight="false" outlineLevel="0" collapsed="false">
      <c r="A23" s="36" t="s">
        <v>324</v>
      </c>
      <c r="B23" s="6" t="s">
        <v>325</v>
      </c>
      <c r="C23" s="6" t="s">
        <v>118</v>
      </c>
      <c r="D23" s="37" t="s">
        <v>109</v>
      </c>
      <c r="E23" s="6" t="s">
        <v>326</v>
      </c>
      <c r="F23" s="6" t="s">
        <v>318</v>
      </c>
      <c r="G23" s="37" t="s">
        <v>176</v>
      </c>
      <c r="H23" s="37" t="s">
        <v>164</v>
      </c>
      <c r="I23" s="6" t="s">
        <v>327</v>
      </c>
      <c r="J23" s="6" t="s">
        <v>328</v>
      </c>
      <c r="K23" s="6" t="s">
        <v>329</v>
      </c>
      <c r="L23" s="6" t="s">
        <v>330</v>
      </c>
      <c r="M23" s="6" t="s">
        <v>323</v>
      </c>
      <c r="N23" s="6" t="s">
        <v>170</v>
      </c>
      <c r="O23" s="6"/>
      <c r="P23" s="37" t="n">
        <v>15</v>
      </c>
      <c r="Q23" s="38" t="s">
        <v>171</v>
      </c>
      <c r="R23" s="38"/>
      <c r="S23" s="39"/>
      <c r="T23" s="39"/>
      <c r="U23" s="40"/>
      <c r="V23" s="41" t="n">
        <v>3</v>
      </c>
      <c r="W23" s="38"/>
      <c r="X23" s="39"/>
      <c r="Y23" s="40"/>
      <c r="Z23" s="42" t="str">
        <f aca="false">IF(OR(U23="",V23=""),"",EDATE(U23,V23))</f>
        <v/>
      </c>
      <c r="AA23" s="43" t="str">
        <f aca="true">IF(OR(Q23="No",R23="Not applicable"),"Not applicable",IF(U23="",IF(V23="","Event-driven: set date","Not yet tested"),IF(Z23="","Event-driven",IF(Z23&lt;TODAY(),"Overdue",IF(Z23-TODAY()&lt;=30,"Due soon","On track")))))</f>
        <v>Not yet tested</v>
      </c>
    </row>
    <row r="24" customFormat="false" ht="79.85" hidden="false" customHeight="false" outlineLevel="0" collapsed="false">
      <c r="A24" s="36" t="s">
        <v>331</v>
      </c>
      <c r="B24" s="44" t="s">
        <v>332</v>
      </c>
      <c r="C24" s="44" t="s">
        <v>113</v>
      </c>
      <c r="D24" s="45" t="s">
        <v>108</v>
      </c>
      <c r="E24" s="44" t="s">
        <v>333</v>
      </c>
      <c r="F24" s="44" t="s">
        <v>334</v>
      </c>
      <c r="G24" s="45" t="s">
        <v>176</v>
      </c>
      <c r="H24" s="45" t="s">
        <v>164</v>
      </c>
      <c r="I24" s="44" t="s">
        <v>335</v>
      </c>
      <c r="J24" s="44" t="s">
        <v>336</v>
      </c>
      <c r="K24" s="44" t="s">
        <v>337</v>
      </c>
      <c r="L24" s="44" t="s">
        <v>338</v>
      </c>
      <c r="M24" s="44" t="s">
        <v>207</v>
      </c>
      <c r="N24" s="44" t="s">
        <v>208</v>
      </c>
      <c r="O24" s="44"/>
      <c r="P24" s="45" t="n">
        <v>13</v>
      </c>
      <c r="Q24" s="38" t="s">
        <v>171</v>
      </c>
      <c r="R24" s="38"/>
      <c r="S24" s="39"/>
      <c r="T24" s="39"/>
      <c r="U24" s="40"/>
      <c r="V24" s="41" t="n">
        <v>3</v>
      </c>
      <c r="W24" s="38"/>
      <c r="X24" s="39"/>
      <c r="Y24" s="40"/>
      <c r="Z24" s="42" t="str">
        <f aca="false">IF(OR(U24="",V24=""),"",EDATE(U24,V24))</f>
        <v/>
      </c>
      <c r="AA24" s="43" t="str">
        <f aca="true">IF(OR(Q24="No",R24="Not applicable"),"Not applicable",IF(U24="",IF(V24="","Event-driven: set date","Not yet tested"),IF(Z24="","Event-driven",IF(Z24&lt;TODAY(),"Overdue",IF(Z24-TODAY()&lt;=30,"Due soon","On track")))))</f>
        <v>Not yet tested</v>
      </c>
    </row>
    <row r="25" customFormat="false" ht="46.25" hidden="false" customHeight="false" outlineLevel="0" collapsed="false">
      <c r="A25" s="36" t="s">
        <v>339</v>
      </c>
      <c r="B25" s="6" t="s">
        <v>340</v>
      </c>
      <c r="C25" s="6" t="s">
        <v>113</v>
      </c>
      <c r="D25" s="37" t="s">
        <v>109</v>
      </c>
      <c r="E25" s="6" t="s">
        <v>341</v>
      </c>
      <c r="F25" s="6" t="s">
        <v>342</v>
      </c>
      <c r="G25" s="37" t="s">
        <v>176</v>
      </c>
      <c r="H25" s="37" t="s">
        <v>164</v>
      </c>
      <c r="I25" s="6" t="s">
        <v>343</v>
      </c>
      <c r="J25" s="6" t="s">
        <v>344</v>
      </c>
      <c r="K25" s="6" t="s">
        <v>345</v>
      </c>
      <c r="L25" s="6" t="s">
        <v>346</v>
      </c>
      <c r="M25" s="6" t="s">
        <v>181</v>
      </c>
      <c r="N25" s="6" t="s">
        <v>238</v>
      </c>
      <c r="O25" s="6"/>
      <c r="P25" s="37" t="n">
        <v>28</v>
      </c>
      <c r="Q25" s="38" t="s">
        <v>171</v>
      </c>
      <c r="R25" s="38"/>
      <c r="S25" s="39"/>
      <c r="T25" s="39"/>
      <c r="U25" s="40"/>
      <c r="V25" s="41" t="n">
        <v>6</v>
      </c>
      <c r="W25" s="38"/>
      <c r="X25" s="39"/>
      <c r="Y25" s="40"/>
      <c r="Z25" s="42" t="str">
        <f aca="false">IF(OR(U25="",V25=""),"",EDATE(U25,V25))</f>
        <v/>
      </c>
      <c r="AA25" s="43" t="str">
        <f aca="true">IF(OR(Q25="No",R25="Not applicable"),"Not applicable",IF(U25="",IF(V25="","Event-driven: set date","Not yet tested"),IF(Z25="","Event-driven",IF(Z25&lt;TODAY(),"Overdue",IF(Z25-TODAY()&lt;=30,"Due soon","On track")))))</f>
        <v>Not yet tested</v>
      </c>
    </row>
    <row r="26" customFormat="false" ht="46.25" hidden="false" customHeight="false" outlineLevel="0" collapsed="false">
      <c r="A26" s="36" t="s">
        <v>347</v>
      </c>
      <c r="B26" s="44" t="s">
        <v>348</v>
      </c>
      <c r="C26" s="44" t="s">
        <v>114</v>
      </c>
      <c r="D26" s="45" t="s">
        <v>108</v>
      </c>
      <c r="E26" s="44" t="s">
        <v>349</v>
      </c>
      <c r="F26" s="44" t="s">
        <v>350</v>
      </c>
      <c r="G26" s="45" t="s">
        <v>213</v>
      </c>
      <c r="H26" s="45" t="s">
        <v>164</v>
      </c>
      <c r="I26" s="44" t="s">
        <v>351</v>
      </c>
      <c r="J26" s="44" t="s">
        <v>352</v>
      </c>
      <c r="K26" s="44" t="s">
        <v>353</v>
      </c>
      <c r="L26" s="44" t="s">
        <v>354</v>
      </c>
      <c r="M26" s="44" t="s">
        <v>355</v>
      </c>
      <c r="N26" s="44" t="s">
        <v>238</v>
      </c>
      <c r="O26" s="44"/>
      <c r="P26" s="45" t="n">
        <v>18</v>
      </c>
      <c r="Q26" s="38" t="s">
        <v>171</v>
      </c>
      <c r="R26" s="38"/>
      <c r="S26" s="39"/>
      <c r="T26" s="39"/>
      <c r="U26" s="40"/>
      <c r="V26" s="41" t="n">
        <v>6</v>
      </c>
      <c r="W26" s="38"/>
      <c r="X26" s="39"/>
      <c r="Y26" s="40"/>
      <c r="Z26" s="42" t="str">
        <f aca="false">IF(OR(U26="",V26=""),"",EDATE(U26,V26))</f>
        <v/>
      </c>
      <c r="AA26" s="43" t="str">
        <f aca="true">IF(OR(Q26="No",R26="Not applicable"),"Not applicable",IF(U26="",IF(V26="","Event-driven: set date","Not yet tested"),IF(Z26="","Event-driven",IF(Z26&lt;TODAY(),"Overdue",IF(Z26-TODAY()&lt;=30,"Due soon","On track")))))</f>
        <v>Not yet tested</v>
      </c>
    </row>
    <row r="27" customFormat="false" ht="46.25" hidden="false" customHeight="false" outlineLevel="0" collapsed="false">
      <c r="A27" s="36" t="s">
        <v>356</v>
      </c>
      <c r="B27" s="6" t="s">
        <v>357</v>
      </c>
      <c r="C27" s="6" t="s">
        <v>114</v>
      </c>
      <c r="D27" s="37" t="s">
        <v>108</v>
      </c>
      <c r="E27" s="6" t="s">
        <v>358</v>
      </c>
      <c r="F27" s="6" t="s">
        <v>212</v>
      </c>
      <c r="G27" s="37" t="s">
        <v>213</v>
      </c>
      <c r="H27" s="37" t="s">
        <v>164</v>
      </c>
      <c r="I27" s="6" t="s">
        <v>359</v>
      </c>
      <c r="J27" s="6" t="s">
        <v>360</v>
      </c>
      <c r="K27" s="6" t="s">
        <v>361</v>
      </c>
      <c r="L27" s="6" t="s">
        <v>362</v>
      </c>
      <c r="M27" s="6" t="s">
        <v>323</v>
      </c>
      <c r="N27" s="6" t="s">
        <v>238</v>
      </c>
      <c r="O27" s="6"/>
      <c r="P27" s="37" t="n">
        <v>7</v>
      </c>
      <c r="Q27" s="38" t="s">
        <v>171</v>
      </c>
      <c r="R27" s="38"/>
      <c r="S27" s="39"/>
      <c r="T27" s="39"/>
      <c r="U27" s="40"/>
      <c r="V27" s="41" t="n">
        <v>6</v>
      </c>
      <c r="W27" s="38"/>
      <c r="X27" s="39"/>
      <c r="Y27" s="40"/>
      <c r="Z27" s="42" t="str">
        <f aca="false">IF(OR(U27="",V27=""),"",EDATE(U27,V27))</f>
        <v/>
      </c>
      <c r="AA27" s="43" t="str">
        <f aca="true">IF(OR(Q27="No",R27="Not applicable"),"Not applicable",IF(U27="",IF(V27="","Event-driven: set date","Not yet tested"),IF(Z27="","Event-driven",IF(Z27&lt;TODAY(),"Overdue",IF(Z27-TODAY()&lt;=30,"Due soon","On track")))))</f>
        <v>Not yet tested</v>
      </c>
    </row>
    <row r="28" customFormat="false" ht="68.65" hidden="false" customHeight="false" outlineLevel="0" collapsed="false">
      <c r="A28" s="36" t="s">
        <v>363</v>
      </c>
      <c r="B28" s="44" t="s">
        <v>364</v>
      </c>
      <c r="C28" s="44" t="s">
        <v>114</v>
      </c>
      <c r="D28" s="45" t="s">
        <v>108</v>
      </c>
      <c r="E28" s="44" t="s">
        <v>365</v>
      </c>
      <c r="F28" s="44" t="s">
        <v>366</v>
      </c>
      <c r="G28" s="45" t="s">
        <v>176</v>
      </c>
      <c r="H28" s="45" t="s">
        <v>164</v>
      </c>
      <c r="I28" s="44" t="s">
        <v>367</v>
      </c>
      <c r="J28" s="44" t="s">
        <v>368</v>
      </c>
      <c r="K28" s="44" t="s">
        <v>369</v>
      </c>
      <c r="L28" s="44" t="s">
        <v>370</v>
      </c>
      <c r="M28" s="44" t="s">
        <v>218</v>
      </c>
      <c r="N28" s="44" t="s">
        <v>170</v>
      </c>
      <c r="O28" s="44"/>
      <c r="P28" s="45" t="n">
        <v>16</v>
      </c>
      <c r="Q28" s="38" t="s">
        <v>171</v>
      </c>
      <c r="R28" s="38"/>
      <c r="S28" s="39"/>
      <c r="T28" s="39"/>
      <c r="U28" s="40"/>
      <c r="V28" s="41" t="n">
        <v>3</v>
      </c>
      <c r="W28" s="38"/>
      <c r="X28" s="39"/>
      <c r="Y28" s="40"/>
      <c r="Z28" s="42" t="str">
        <f aca="false">IF(OR(U28="",V28=""),"",EDATE(U28,V28))</f>
        <v/>
      </c>
      <c r="AA28" s="43" t="str">
        <f aca="true">IF(OR(Q28="No",R28="Not applicable"),"Not applicable",IF(U28="",IF(V28="","Event-driven: set date","Not yet tested"),IF(Z28="","Event-driven",IF(Z28&lt;TODAY(),"Overdue",IF(Z28-TODAY()&lt;=30,"Due soon","On track")))))</f>
        <v>Not yet tested</v>
      </c>
    </row>
    <row r="29" customFormat="false" ht="35.05" hidden="false" customHeight="false" outlineLevel="0" collapsed="false">
      <c r="A29" s="36" t="s">
        <v>371</v>
      </c>
      <c r="B29" s="6" t="s">
        <v>372</v>
      </c>
      <c r="C29" s="6" t="s">
        <v>114</v>
      </c>
      <c r="D29" s="37" t="s">
        <v>108</v>
      </c>
      <c r="E29" s="6" t="s">
        <v>373</v>
      </c>
      <c r="F29" s="6" t="s">
        <v>212</v>
      </c>
      <c r="G29" s="37" t="s">
        <v>242</v>
      </c>
      <c r="H29" s="37" t="s">
        <v>164</v>
      </c>
      <c r="I29" s="6" t="s">
        <v>374</v>
      </c>
      <c r="J29" s="6" t="s">
        <v>375</v>
      </c>
      <c r="K29" s="6" t="s">
        <v>376</v>
      </c>
      <c r="L29" s="6" t="s">
        <v>377</v>
      </c>
      <c r="M29" s="6" t="s">
        <v>378</v>
      </c>
      <c r="N29" s="6" t="s">
        <v>238</v>
      </c>
      <c r="O29" s="6"/>
      <c r="P29" s="37" t="n">
        <v>11</v>
      </c>
      <c r="Q29" s="38" t="s">
        <v>171</v>
      </c>
      <c r="R29" s="38"/>
      <c r="S29" s="39"/>
      <c r="T29" s="39"/>
      <c r="U29" s="40"/>
      <c r="V29" s="41" t="n">
        <v>6</v>
      </c>
      <c r="W29" s="38"/>
      <c r="X29" s="39"/>
      <c r="Y29" s="40"/>
      <c r="Z29" s="42" t="str">
        <f aca="false">IF(OR(U29="",V29=""),"",EDATE(U29,V29))</f>
        <v/>
      </c>
      <c r="AA29" s="43" t="str">
        <f aca="true">IF(OR(Q29="No",R29="Not applicable"),"Not applicable",IF(U29="",IF(V29="","Event-driven: set date","Not yet tested"),IF(Z29="","Event-driven",IF(Z29&lt;TODAY(),"Overdue",IF(Z29-TODAY()&lt;=30,"Due soon","On track")))))</f>
        <v>Not yet tested</v>
      </c>
    </row>
    <row r="30" customFormat="false" ht="102.2" hidden="false" customHeight="false" outlineLevel="0" collapsed="false">
      <c r="A30" s="36" t="s">
        <v>379</v>
      </c>
      <c r="B30" s="44" t="s">
        <v>380</v>
      </c>
      <c r="C30" s="44" t="s">
        <v>114</v>
      </c>
      <c r="D30" s="45" t="s">
        <v>109</v>
      </c>
      <c r="E30" s="44" t="s">
        <v>381</v>
      </c>
      <c r="F30" s="44" t="s">
        <v>350</v>
      </c>
      <c r="G30" s="45" t="s">
        <v>176</v>
      </c>
      <c r="H30" s="45" t="s">
        <v>164</v>
      </c>
      <c r="I30" s="44" t="s">
        <v>382</v>
      </c>
      <c r="J30" s="44" t="s">
        <v>383</v>
      </c>
      <c r="K30" s="44" t="s">
        <v>384</v>
      </c>
      <c r="L30" s="44" t="s">
        <v>385</v>
      </c>
      <c r="M30" s="44" t="s">
        <v>323</v>
      </c>
      <c r="N30" s="44" t="s">
        <v>238</v>
      </c>
      <c r="O30" s="44"/>
      <c r="P30" s="45" t="n">
        <v>9</v>
      </c>
      <c r="Q30" s="38" t="s">
        <v>171</v>
      </c>
      <c r="R30" s="38"/>
      <c r="S30" s="39"/>
      <c r="T30" s="39"/>
      <c r="U30" s="40"/>
      <c r="V30" s="41" t="n">
        <v>6</v>
      </c>
      <c r="W30" s="38"/>
      <c r="X30" s="39"/>
      <c r="Y30" s="40"/>
      <c r="Z30" s="42" t="str">
        <f aca="false">IF(OR(U30="",V30=""),"",EDATE(U30,V30))</f>
        <v/>
      </c>
      <c r="AA30" s="43" t="str">
        <f aca="true">IF(OR(Q30="No",R30="Not applicable"),"Not applicable",IF(U30="",IF(V30="","Event-driven: set date","Not yet tested"),IF(Z30="","Event-driven",IF(Z30&lt;TODAY(),"Overdue",IF(Z30-TODAY()&lt;=30,"Due soon","On track")))))</f>
        <v>Not yet tested</v>
      </c>
    </row>
    <row r="31" customFormat="false" ht="46.25" hidden="false" customHeight="false" outlineLevel="0" collapsed="false">
      <c r="A31" s="36" t="s">
        <v>386</v>
      </c>
      <c r="B31" s="6" t="s">
        <v>387</v>
      </c>
      <c r="C31" s="6" t="s">
        <v>114</v>
      </c>
      <c r="D31" s="37" t="s">
        <v>108</v>
      </c>
      <c r="E31" s="6" t="s">
        <v>388</v>
      </c>
      <c r="F31" s="6" t="s">
        <v>212</v>
      </c>
      <c r="G31" s="37" t="s">
        <v>233</v>
      </c>
      <c r="H31" s="37" t="s">
        <v>164</v>
      </c>
      <c r="I31" s="6" t="s">
        <v>389</v>
      </c>
      <c r="J31" s="6" t="s">
        <v>390</v>
      </c>
      <c r="K31" s="6" t="s">
        <v>391</v>
      </c>
      <c r="L31" s="6" t="s">
        <v>392</v>
      </c>
      <c r="M31" s="6" t="s">
        <v>393</v>
      </c>
      <c r="N31" s="6" t="s">
        <v>238</v>
      </c>
      <c r="O31" s="6"/>
      <c r="P31" s="37" t="n">
        <v>11</v>
      </c>
      <c r="Q31" s="38" t="s">
        <v>171</v>
      </c>
      <c r="R31" s="38"/>
      <c r="S31" s="39"/>
      <c r="T31" s="39"/>
      <c r="U31" s="40"/>
      <c r="V31" s="41" t="n">
        <v>6</v>
      </c>
      <c r="W31" s="38"/>
      <c r="X31" s="39"/>
      <c r="Y31" s="40"/>
      <c r="Z31" s="42" t="str">
        <f aca="false">IF(OR(U31="",V31=""),"",EDATE(U31,V31))</f>
        <v/>
      </c>
      <c r="AA31" s="43" t="str">
        <f aca="true">IF(OR(Q31="No",R31="Not applicable"),"Not applicable",IF(U31="",IF(V31="","Event-driven: set date","Not yet tested"),IF(Z31="","Event-driven",IF(Z31&lt;TODAY(),"Overdue",IF(Z31-TODAY()&lt;=30,"Due soon","On track")))))</f>
        <v>Not yet tested</v>
      </c>
    </row>
    <row r="32" customFormat="false" ht="46.25" hidden="false" customHeight="false" outlineLevel="0" collapsed="false">
      <c r="A32" s="36" t="s">
        <v>394</v>
      </c>
      <c r="B32" s="44" t="s">
        <v>395</v>
      </c>
      <c r="C32" s="44" t="s">
        <v>119</v>
      </c>
      <c r="D32" s="45" t="s">
        <v>109</v>
      </c>
      <c r="E32" s="44" t="s">
        <v>396</v>
      </c>
      <c r="F32" s="44" t="s">
        <v>202</v>
      </c>
      <c r="G32" s="45" t="s">
        <v>233</v>
      </c>
      <c r="H32" s="45" t="s">
        <v>397</v>
      </c>
      <c r="I32" s="44" t="s">
        <v>398</v>
      </c>
      <c r="J32" s="44" t="s">
        <v>399</v>
      </c>
      <c r="K32" s="44" t="s">
        <v>400</v>
      </c>
      <c r="L32" s="44" t="s">
        <v>401</v>
      </c>
      <c r="M32" s="44" t="s">
        <v>402</v>
      </c>
      <c r="N32" s="44" t="s">
        <v>238</v>
      </c>
      <c r="O32" s="44"/>
      <c r="P32" s="45" t="n">
        <v>19</v>
      </c>
      <c r="Q32" s="38" t="s">
        <v>171</v>
      </c>
      <c r="R32" s="38"/>
      <c r="S32" s="39"/>
      <c r="T32" s="39"/>
      <c r="U32" s="40"/>
      <c r="V32" s="41" t="n">
        <v>6</v>
      </c>
      <c r="W32" s="38"/>
      <c r="X32" s="39"/>
      <c r="Y32" s="40"/>
      <c r="Z32" s="42" t="str">
        <f aca="false">IF(OR(U32="",V32=""),"",EDATE(U32,V32))</f>
        <v/>
      </c>
      <c r="AA32" s="43" t="str">
        <f aca="true">IF(OR(Q32="No",R32="Not applicable"),"Not applicable",IF(U32="",IF(V32="","Event-driven: set date","Not yet tested"),IF(Z32="","Event-driven",IF(Z32&lt;TODAY(),"Overdue",IF(Z32-TODAY()&lt;=30,"Due soon","On track")))))</f>
        <v>Not yet tested</v>
      </c>
    </row>
    <row r="33" customFormat="false" ht="124.6" hidden="false" customHeight="false" outlineLevel="0" collapsed="false">
      <c r="A33" s="36" t="s">
        <v>403</v>
      </c>
      <c r="B33" s="6" t="s">
        <v>404</v>
      </c>
      <c r="C33" s="6" t="s">
        <v>119</v>
      </c>
      <c r="D33" s="37" t="s">
        <v>109</v>
      </c>
      <c r="E33" s="6" t="s">
        <v>405</v>
      </c>
      <c r="F33" s="6" t="s">
        <v>406</v>
      </c>
      <c r="G33" s="37" t="s">
        <v>176</v>
      </c>
      <c r="H33" s="37" t="s">
        <v>164</v>
      </c>
      <c r="I33" s="6" t="s">
        <v>398</v>
      </c>
      <c r="J33" s="6" t="s">
        <v>407</v>
      </c>
      <c r="K33" s="6" t="s">
        <v>408</v>
      </c>
      <c r="L33" s="6" t="s">
        <v>409</v>
      </c>
      <c r="M33" s="6" t="s">
        <v>410</v>
      </c>
      <c r="N33" s="6" t="s">
        <v>411</v>
      </c>
      <c r="O33" s="6"/>
      <c r="P33" s="37" t="n">
        <v>18</v>
      </c>
      <c r="Q33" s="38" t="s">
        <v>171</v>
      </c>
      <c r="R33" s="38"/>
      <c r="S33" s="39"/>
      <c r="T33" s="39"/>
      <c r="U33" s="40"/>
      <c r="V33" s="41"/>
      <c r="W33" s="38"/>
      <c r="X33" s="39"/>
      <c r="Y33" s="40"/>
      <c r="Z33" s="42" t="str">
        <f aca="false">IF(OR(U33="",V33=""),"",EDATE(U33,V33))</f>
        <v/>
      </c>
      <c r="AA33" s="43" t="str">
        <f aca="true">IF(OR(Q33="No",R33="Not applicable"),"Not applicable",IF(U33="",IF(V33="","Event-driven: set date","Not yet tested"),IF(Z33="","Event-driven",IF(Z33&lt;TODAY(),"Overdue",IF(Z33-TODAY()&lt;=30,"Due soon","On track")))))</f>
        <v>Event-driven: set date</v>
      </c>
    </row>
    <row r="34" customFormat="false" ht="46.25" hidden="false" customHeight="false" outlineLevel="0" collapsed="false">
      <c r="A34" s="36" t="s">
        <v>412</v>
      </c>
      <c r="B34" s="44" t="s">
        <v>413</v>
      </c>
      <c r="C34" s="44" t="s">
        <v>119</v>
      </c>
      <c r="D34" s="45" t="s">
        <v>109</v>
      </c>
      <c r="E34" s="44" t="s">
        <v>414</v>
      </c>
      <c r="F34" s="44" t="s">
        <v>406</v>
      </c>
      <c r="G34" s="45" t="s">
        <v>233</v>
      </c>
      <c r="H34" s="45" t="s">
        <v>397</v>
      </c>
      <c r="I34" s="44" t="s">
        <v>398</v>
      </c>
      <c r="J34" s="44" t="s">
        <v>415</v>
      </c>
      <c r="K34" s="44" t="s">
        <v>416</v>
      </c>
      <c r="L34" s="44" t="s">
        <v>417</v>
      </c>
      <c r="M34" s="44" t="s">
        <v>418</v>
      </c>
      <c r="N34" s="44" t="s">
        <v>238</v>
      </c>
      <c r="O34" s="44"/>
      <c r="P34" s="45" t="n">
        <v>16</v>
      </c>
      <c r="Q34" s="38" t="s">
        <v>171</v>
      </c>
      <c r="R34" s="38"/>
      <c r="S34" s="39"/>
      <c r="T34" s="39"/>
      <c r="U34" s="40"/>
      <c r="V34" s="41" t="n">
        <v>6</v>
      </c>
      <c r="W34" s="38"/>
      <c r="X34" s="39"/>
      <c r="Y34" s="40"/>
      <c r="Z34" s="42" t="str">
        <f aca="false">IF(OR(U34="",V34=""),"",EDATE(U34,V34))</f>
        <v/>
      </c>
      <c r="AA34" s="43" t="str">
        <f aca="true">IF(OR(Q34="No",R34="Not applicable"),"Not applicable",IF(U34="",IF(V34="","Event-driven: set date","Not yet tested"),IF(Z34="","Event-driven",IF(Z34&lt;TODAY(),"Overdue",IF(Z34-TODAY()&lt;=30,"Due soon","On track")))))</f>
        <v>Not yet tested</v>
      </c>
    </row>
    <row r="35" customFormat="false" ht="79.85" hidden="false" customHeight="false" outlineLevel="0" collapsed="false">
      <c r="A35" s="36" t="s">
        <v>419</v>
      </c>
      <c r="B35" s="6" t="s">
        <v>420</v>
      </c>
      <c r="C35" s="6" t="s">
        <v>120</v>
      </c>
      <c r="D35" s="37" t="s">
        <v>109</v>
      </c>
      <c r="E35" s="6" t="s">
        <v>421</v>
      </c>
      <c r="F35" s="6" t="s">
        <v>422</v>
      </c>
      <c r="G35" s="37" t="s">
        <v>176</v>
      </c>
      <c r="H35" s="37" t="s">
        <v>164</v>
      </c>
      <c r="I35" s="6" t="s">
        <v>423</v>
      </c>
      <c r="J35" s="6" t="s">
        <v>424</v>
      </c>
      <c r="K35" s="6" t="s">
        <v>425</v>
      </c>
      <c r="L35" s="6" t="s">
        <v>426</v>
      </c>
      <c r="M35" s="6" t="s">
        <v>198</v>
      </c>
      <c r="N35" s="6" t="s">
        <v>170</v>
      </c>
      <c r="O35" s="6"/>
      <c r="P35" s="37" t="n">
        <v>24</v>
      </c>
      <c r="Q35" s="38" t="s">
        <v>171</v>
      </c>
      <c r="R35" s="38"/>
      <c r="S35" s="39"/>
      <c r="T35" s="39"/>
      <c r="U35" s="40"/>
      <c r="V35" s="41" t="n">
        <v>3</v>
      </c>
      <c r="W35" s="38"/>
      <c r="X35" s="39"/>
      <c r="Y35" s="40"/>
      <c r="Z35" s="42" t="str">
        <f aca="false">IF(OR(U35="",V35=""),"",EDATE(U35,V35))</f>
        <v/>
      </c>
      <c r="AA35" s="43" t="str">
        <f aca="true">IF(OR(Q35="No",R35="Not applicable"),"Not applicable",IF(U35="",IF(V35="","Event-driven: set date","Not yet tested"),IF(Z35="","Event-driven",IF(Z35&lt;TODAY(),"Overdue",IF(Z35-TODAY()&lt;=30,"Due soon","On track")))))</f>
        <v>Not yet tested</v>
      </c>
    </row>
    <row r="36" customFormat="false" ht="46.25" hidden="false" customHeight="false" outlineLevel="0" collapsed="false">
      <c r="A36" s="36" t="s">
        <v>427</v>
      </c>
      <c r="B36" s="44" t="s">
        <v>428</v>
      </c>
      <c r="C36" s="44" t="s">
        <v>120</v>
      </c>
      <c r="D36" s="45" t="s">
        <v>109</v>
      </c>
      <c r="E36" s="44" t="s">
        <v>429</v>
      </c>
      <c r="F36" s="44" t="s">
        <v>406</v>
      </c>
      <c r="G36" s="45" t="s">
        <v>233</v>
      </c>
      <c r="H36" s="45" t="s">
        <v>397</v>
      </c>
      <c r="I36" s="44" t="s">
        <v>430</v>
      </c>
      <c r="J36" s="44" t="s">
        <v>431</v>
      </c>
      <c r="K36" s="44" t="s">
        <v>432</v>
      </c>
      <c r="L36" s="44" t="s">
        <v>433</v>
      </c>
      <c r="M36" s="44" t="s">
        <v>393</v>
      </c>
      <c r="N36" s="44" t="s">
        <v>238</v>
      </c>
      <c r="O36" s="44"/>
      <c r="P36" s="45" t="n">
        <v>27</v>
      </c>
      <c r="Q36" s="38" t="s">
        <v>171</v>
      </c>
      <c r="R36" s="38"/>
      <c r="S36" s="39"/>
      <c r="T36" s="39"/>
      <c r="U36" s="40"/>
      <c r="V36" s="41" t="n">
        <v>6</v>
      </c>
      <c r="W36" s="38"/>
      <c r="X36" s="39"/>
      <c r="Y36" s="40"/>
      <c r="Z36" s="42" t="str">
        <f aca="false">IF(OR(U36="",V36=""),"",EDATE(U36,V36))</f>
        <v/>
      </c>
      <c r="AA36" s="43" t="str">
        <f aca="true">IF(OR(Q36="No",R36="Not applicable"),"Not applicable",IF(U36="",IF(V36="","Event-driven: set date","Not yet tested"),IF(Z36="","Event-driven",IF(Z36&lt;TODAY(),"Overdue",IF(Z36-TODAY()&lt;=30,"Due soon","On track")))))</f>
        <v>Not yet tested</v>
      </c>
    </row>
    <row r="37" customFormat="false" ht="46.25" hidden="false" customHeight="false" outlineLevel="0" collapsed="false">
      <c r="A37" s="36" t="s">
        <v>434</v>
      </c>
      <c r="B37" s="6" t="s">
        <v>435</v>
      </c>
      <c r="C37" s="6" t="s">
        <v>121</v>
      </c>
      <c r="D37" s="37" t="s">
        <v>108</v>
      </c>
      <c r="E37" s="6" t="s">
        <v>436</v>
      </c>
      <c r="F37" s="6" t="s">
        <v>437</v>
      </c>
      <c r="G37" s="37" t="s">
        <v>176</v>
      </c>
      <c r="H37" s="37" t="s">
        <v>164</v>
      </c>
      <c r="I37" s="6" t="s">
        <v>438</v>
      </c>
      <c r="J37" s="6" t="s">
        <v>439</v>
      </c>
      <c r="K37" s="6" t="s">
        <v>440</v>
      </c>
      <c r="L37" s="6" t="s">
        <v>441</v>
      </c>
      <c r="M37" s="6" t="s">
        <v>355</v>
      </c>
      <c r="N37" s="6" t="s">
        <v>442</v>
      </c>
      <c r="O37" s="6"/>
      <c r="P37" s="37" t="n">
        <v>7</v>
      </c>
      <c r="Q37" s="38" t="s">
        <v>171</v>
      </c>
      <c r="R37" s="38"/>
      <c r="S37" s="39"/>
      <c r="T37" s="39"/>
      <c r="U37" s="40"/>
      <c r="V37" s="41" t="n">
        <v>12</v>
      </c>
      <c r="W37" s="38"/>
      <c r="X37" s="39"/>
      <c r="Y37" s="40"/>
      <c r="Z37" s="42" t="str">
        <f aca="false">IF(OR(U37="",V37=""),"",EDATE(U37,V37))</f>
        <v/>
      </c>
      <c r="AA37" s="43" t="str">
        <f aca="true">IF(OR(Q37="No",R37="Not applicable"),"Not applicable",IF(U37="",IF(V37="","Event-driven: set date","Not yet tested"),IF(Z37="","Event-driven",IF(Z37&lt;TODAY(),"Overdue",IF(Z37-TODAY()&lt;=30,"Due soon","On track")))))</f>
        <v>Not yet tested</v>
      </c>
    </row>
    <row r="38" customFormat="false" ht="91" hidden="false" customHeight="false" outlineLevel="0" collapsed="false">
      <c r="A38" s="36" t="s">
        <v>443</v>
      </c>
      <c r="B38" s="44" t="s">
        <v>444</v>
      </c>
      <c r="C38" s="44" t="s">
        <v>121</v>
      </c>
      <c r="D38" s="45" t="s">
        <v>109</v>
      </c>
      <c r="E38" s="44" t="s">
        <v>445</v>
      </c>
      <c r="F38" s="44" t="s">
        <v>318</v>
      </c>
      <c r="G38" s="45" t="s">
        <v>176</v>
      </c>
      <c r="H38" s="45" t="s">
        <v>164</v>
      </c>
      <c r="I38" s="44" t="s">
        <v>446</v>
      </c>
      <c r="J38" s="44" t="s">
        <v>447</v>
      </c>
      <c r="K38" s="44" t="s">
        <v>448</v>
      </c>
      <c r="L38" s="44" t="s">
        <v>449</v>
      </c>
      <c r="M38" s="44" t="s">
        <v>450</v>
      </c>
      <c r="N38" s="44" t="s">
        <v>451</v>
      </c>
      <c r="O38" s="44"/>
      <c r="P38" s="45" t="n">
        <v>36</v>
      </c>
      <c r="Q38" s="38" t="s">
        <v>171</v>
      </c>
      <c r="R38" s="38"/>
      <c r="S38" s="39"/>
      <c r="T38" s="39"/>
      <c r="U38" s="40"/>
      <c r="V38" s="41"/>
      <c r="W38" s="38"/>
      <c r="X38" s="39"/>
      <c r="Y38" s="40"/>
      <c r="Z38" s="42" t="str">
        <f aca="false">IF(OR(U38="",V38=""),"",EDATE(U38,V38))</f>
        <v/>
      </c>
      <c r="AA38" s="43" t="str">
        <f aca="true">IF(OR(Q38="No",R38="Not applicable"),"Not applicable",IF(U38="",IF(V38="","Event-driven: set date","Not yet tested"),IF(Z38="","Event-driven",IF(Z38&lt;TODAY(),"Overdue",IF(Z38-TODAY()&lt;=30,"Due soon","On track")))))</f>
        <v>Event-driven: set date</v>
      </c>
    </row>
    <row r="39" customFormat="false" ht="57.45" hidden="false" customHeight="false" outlineLevel="0" collapsed="false">
      <c r="A39" s="36" t="s">
        <v>452</v>
      </c>
      <c r="B39" s="6" t="s">
        <v>453</v>
      </c>
      <c r="C39" s="6" t="s">
        <v>116</v>
      </c>
      <c r="D39" s="37" t="s">
        <v>108</v>
      </c>
      <c r="E39" s="6" t="s">
        <v>454</v>
      </c>
      <c r="F39" s="6" t="s">
        <v>222</v>
      </c>
      <c r="G39" s="37" t="s">
        <v>242</v>
      </c>
      <c r="H39" s="37" t="s">
        <v>164</v>
      </c>
      <c r="I39" s="6" t="s">
        <v>455</v>
      </c>
      <c r="J39" s="6" t="s">
        <v>456</v>
      </c>
      <c r="K39" s="6" t="s">
        <v>457</v>
      </c>
      <c r="L39" s="6" t="s">
        <v>458</v>
      </c>
      <c r="M39" s="6" t="s">
        <v>459</v>
      </c>
      <c r="N39" s="6" t="s">
        <v>460</v>
      </c>
      <c r="O39" s="6"/>
      <c r="P39" s="37" t="n">
        <v>40</v>
      </c>
      <c r="Q39" s="38" t="s">
        <v>171</v>
      </c>
      <c r="R39" s="38"/>
      <c r="S39" s="39"/>
      <c r="T39" s="39"/>
      <c r="U39" s="40"/>
      <c r="V39" s="41" t="n">
        <v>12</v>
      </c>
      <c r="W39" s="38"/>
      <c r="X39" s="39"/>
      <c r="Y39" s="40"/>
      <c r="Z39" s="42" t="str">
        <f aca="false">IF(OR(U39="",V39=""),"",EDATE(U39,V39))</f>
        <v/>
      </c>
      <c r="AA39" s="43" t="str">
        <f aca="true">IF(OR(Q39="No",R39="Not applicable"),"Not applicable",IF(U39="",IF(V39="","Event-driven: set date","Not yet tested"),IF(Z39="","Event-driven",IF(Z39&lt;TODAY(),"Overdue",IF(Z39-TODAY()&lt;=30,"Due soon","On track")))))</f>
        <v>Not yet tested</v>
      </c>
    </row>
    <row r="40" customFormat="false" ht="46.25" hidden="false" customHeight="false" outlineLevel="0" collapsed="false">
      <c r="A40" s="36" t="s">
        <v>461</v>
      </c>
      <c r="B40" s="44" t="s">
        <v>462</v>
      </c>
      <c r="C40" s="44" t="s">
        <v>122</v>
      </c>
      <c r="D40" s="45" t="s">
        <v>108</v>
      </c>
      <c r="E40" s="44" t="s">
        <v>463</v>
      </c>
      <c r="F40" s="44" t="s">
        <v>294</v>
      </c>
      <c r="G40" s="45" t="s">
        <v>233</v>
      </c>
      <c r="H40" s="45" t="s">
        <v>164</v>
      </c>
      <c r="I40" s="44" t="s">
        <v>464</v>
      </c>
      <c r="J40" s="44" t="s">
        <v>465</v>
      </c>
      <c r="K40" s="44" t="s">
        <v>466</v>
      </c>
      <c r="L40" s="44" t="s">
        <v>467</v>
      </c>
      <c r="M40" s="44" t="s">
        <v>468</v>
      </c>
      <c r="N40" s="44" t="s">
        <v>170</v>
      </c>
      <c r="O40" s="44"/>
      <c r="P40" s="45" t="n">
        <v>30</v>
      </c>
      <c r="Q40" s="38" t="s">
        <v>171</v>
      </c>
      <c r="R40" s="38"/>
      <c r="S40" s="39"/>
      <c r="T40" s="39"/>
      <c r="U40" s="40"/>
      <c r="V40" s="41" t="n">
        <v>3</v>
      </c>
      <c r="W40" s="38"/>
      <c r="X40" s="39"/>
      <c r="Y40" s="40"/>
      <c r="Z40" s="42" t="str">
        <f aca="false">IF(OR(U40="",V40=""),"",EDATE(U40,V40))</f>
        <v/>
      </c>
      <c r="AA40" s="43" t="str">
        <f aca="true">IF(OR(Q40="No",R40="Not applicable"),"Not applicable",IF(U40="",IF(V40="","Event-driven: set date","Not yet tested"),IF(Z40="","Event-driven",IF(Z40&lt;TODAY(),"Overdue",IF(Z40-TODAY()&lt;=30,"Due soon","On track")))))</f>
        <v>Not yet tested</v>
      </c>
    </row>
    <row r="41" customFormat="false" ht="68.65" hidden="false" customHeight="false" outlineLevel="0" collapsed="false">
      <c r="A41" s="36" t="s">
        <v>469</v>
      </c>
      <c r="B41" s="6" t="s">
        <v>470</v>
      </c>
      <c r="C41" s="6" t="s">
        <v>115</v>
      </c>
      <c r="D41" s="37" t="s">
        <v>109</v>
      </c>
      <c r="E41" s="6" t="s">
        <v>471</v>
      </c>
      <c r="F41" s="6" t="s">
        <v>222</v>
      </c>
      <c r="G41" s="37" t="s">
        <v>213</v>
      </c>
      <c r="H41" s="37" t="s">
        <v>164</v>
      </c>
      <c r="I41" s="6" t="s">
        <v>472</v>
      </c>
      <c r="J41" s="6" t="s">
        <v>473</v>
      </c>
      <c r="K41" s="6" t="s">
        <v>474</v>
      </c>
      <c r="L41" s="6" t="s">
        <v>475</v>
      </c>
      <c r="M41" s="6" t="s">
        <v>476</v>
      </c>
      <c r="N41" s="6" t="s">
        <v>170</v>
      </c>
      <c r="O41" s="6"/>
      <c r="P41" s="37" t="n">
        <v>10</v>
      </c>
      <c r="Q41" s="38" t="s">
        <v>171</v>
      </c>
      <c r="R41" s="38"/>
      <c r="S41" s="39"/>
      <c r="T41" s="39"/>
      <c r="U41" s="40"/>
      <c r="V41" s="41" t="n">
        <v>3</v>
      </c>
      <c r="W41" s="38"/>
      <c r="X41" s="39"/>
      <c r="Y41" s="40"/>
      <c r="Z41" s="42" t="str">
        <f aca="false">IF(OR(U41="",V41=""),"",EDATE(U41,V41))</f>
        <v/>
      </c>
      <c r="AA41" s="43" t="str">
        <f aca="true">IF(OR(Q41="No",R41="Not applicable"),"Not applicable",IF(U41="",IF(V41="","Event-driven: set date","Not yet tested"),IF(Z41="","Event-driven",IF(Z41&lt;TODAY(),"Overdue",IF(Z41-TODAY()&lt;=30,"Due soon","On track")))))</f>
        <v>Not yet tested</v>
      </c>
    </row>
    <row r="42" customFormat="false" ht="57.45" hidden="false" customHeight="false" outlineLevel="0" collapsed="false">
      <c r="A42" s="36" t="s">
        <v>477</v>
      </c>
      <c r="B42" s="44" t="s">
        <v>478</v>
      </c>
      <c r="C42" s="44" t="s">
        <v>121</v>
      </c>
      <c r="D42" s="45" t="s">
        <v>109</v>
      </c>
      <c r="E42" s="44" t="s">
        <v>479</v>
      </c>
      <c r="F42" s="44" t="s">
        <v>222</v>
      </c>
      <c r="G42" s="45" t="s">
        <v>242</v>
      </c>
      <c r="H42" s="45" t="s">
        <v>164</v>
      </c>
      <c r="I42" s="44" t="s">
        <v>480</v>
      </c>
      <c r="J42" s="44" t="s">
        <v>481</v>
      </c>
      <c r="K42" s="44" t="s">
        <v>482</v>
      </c>
      <c r="L42" s="44" t="s">
        <v>483</v>
      </c>
      <c r="M42" s="44" t="s">
        <v>484</v>
      </c>
      <c r="N42" s="44" t="s">
        <v>170</v>
      </c>
      <c r="O42" s="44"/>
      <c r="P42" s="45" t="n">
        <v>17</v>
      </c>
      <c r="Q42" s="38" t="s">
        <v>171</v>
      </c>
      <c r="R42" s="38"/>
      <c r="S42" s="39"/>
      <c r="T42" s="39"/>
      <c r="U42" s="40"/>
      <c r="V42" s="41" t="n">
        <v>3</v>
      </c>
      <c r="W42" s="38"/>
      <c r="X42" s="39"/>
      <c r="Y42" s="40"/>
      <c r="Z42" s="42" t="str">
        <f aca="false">IF(OR(U42="",V42=""),"",EDATE(U42,V42))</f>
        <v/>
      </c>
      <c r="AA42" s="43" t="str">
        <f aca="true">IF(OR(Q42="No",R42="Not applicable"),"Not applicable",IF(U42="",IF(V42="","Event-driven: set date","Not yet tested"),IF(Z42="","Event-driven",IF(Z42&lt;TODAY(),"Overdue",IF(Z42-TODAY()&lt;=30,"Due soon","On track")))))</f>
        <v>Not yet tested</v>
      </c>
    </row>
    <row r="43" customFormat="false" ht="57.45" hidden="false" customHeight="false" outlineLevel="0" collapsed="false">
      <c r="A43" s="36" t="s">
        <v>485</v>
      </c>
      <c r="B43" s="6" t="s">
        <v>486</v>
      </c>
      <c r="C43" s="6" t="s">
        <v>113</v>
      </c>
      <c r="D43" s="37" t="s">
        <v>109</v>
      </c>
      <c r="E43" s="6" t="s">
        <v>487</v>
      </c>
      <c r="F43" s="6" t="s">
        <v>488</v>
      </c>
      <c r="G43" s="37" t="s">
        <v>176</v>
      </c>
      <c r="H43" s="37" t="s">
        <v>164</v>
      </c>
      <c r="I43" s="6" t="s">
        <v>489</v>
      </c>
      <c r="J43" s="6" t="s">
        <v>490</v>
      </c>
      <c r="K43" s="6" t="s">
        <v>491</v>
      </c>
      <c r="L43" s="6" t="s">
        <v>492</v>
      </c>
      <c r="M43" s="6" t="s">
        <v>493</v>
      </c>
      <c r="N43" s="6" t="s">
        <v>208</v>
      </c>
      <c r="O43" s="6"/>
      <c r="P43" s="37" t="n">
        <v>9</v>
      </c>
      <c r="Q43" s="38" t="s">
        <v>171</v>
      </c>
      <c r="R43" s="38"/>
      <c r="S43" s="39"/>
      <c r="T43" s="39"/>
      <c r="U43" s="40"/>
      <c r="V43" s="41" t="n">
        <v>3</v>
      </c>
      <c r="W43" s="38"/>
      <c r="X43" s="39"/>
      <c r="Y43" s="40"/>
      <c r="Z43" s="42" t="str">
        <f aca="false">IF(OR(U43="",V43=""),"",EDATE(U43,V43))</f>
        <v/>
      </c>
      <c r="AA43" s="43" t="str">
        <f aca="true">IF(OR(Q43="No",R43="Not applicable"),"Not applicable",IF(U43="",IF(V43="","Event-driven: set date","Not yet tested"),IF(Z43="","Event-driven",IF(Z43&lt;TODAY(),"Overdue",IF(Z43-TODAY()&lt;=30,"Due soon","On track")))))</f>
        <v>Not yet tested</v>
      </c>
    </row>
    <row r="44" customFormat="false" ht="68.65" hidden="false" customHeight="false" outlineLevel="0" collapsed="false">
      <c r="A44" s="36" t="s">
        <v>494</v>
      </c>
      <c r="B44" s="44" t="s">
        <v>495</v>
      </c>
      <c r="C44" s="44" t="s">
        <v>120</v>
      </c>
      <c r="D44" s="45" t="s">
        <v>109</v>
      </c>
      <c r="E44" s="44" t="s">
        <v>496</v>
      </c>
      <c r="F44" s="44" t="s">
        <v>497</v>
      </c>
      <c r="G44" s="45" t="s">
        <v>233</v>
      </c>
      <c r="H44" s="45" t="s">
        <v>164</v>
      </c>
      <c r="I44" s="44" t="s">
        <v>498</v>
      </c>
      <c r="J44" s="44" t="s">
        <v>499</v>
      </c>
      <c r="K44" s="44" t="s">
        <v>500</v>
      </c>
      <c r="L44" s="44" t="s">
        <v>501</v>
      </c>
      <c r="M44" s="44" t="s">
        <v>502</v>
      </c>
      <c r="N44" s="44" t="s">
        <v>238</v>
      </c>
      <c r="O44" s="44"/>
      <c r="P44" s="45" t="n">
        <v>13</v>
      </c>
      <c r="Q44" s="38" t="s">
        <v>171</v>
      </c>
      <c r="R44" s="38"/>
      <c r="S44" s="39"/>
      <c r="T44" s="39"/>
      <c r="U44" s="40"/>
      <c r="V44" s="41" t="n">
        <v>6</v>
      </c>
      <c r="W44" s="38"/>
      <c r="X44" s="39"/>
      <c r="Y44" s="40"/>
      <c r="Z44" s="42" t="str">
        <f aca="false">IF(OR(U44="",V44=""),"",EDATE(U44,V44))</f>
        <v/>
      </c>
      <c r="AA44" s="43" t="str">
        <f aca="true">IF(OR(Q44="No",R44="Not applicable"),"Not applicable",IF(U44="",IF(V44="","Event-driven: set date","Not yet tested"),IF(Z44="","Event-driven",IF(Z44&lt;TODAY(),"Overdue",IF(Z44-TODAY()&lt;=30,"Due soon","On track")))))</f>
        <v>Not yet tested</v>
      </c>
    </row>
    <row r="45" customFormat="false" ht="158.2" hidden="false" customHeight="false" outlineLevel="0" collapsed="false">
      <c r="A45" s="36" t="s">
        <v>503</v>
      </c>
      <c r="B45" s="6" t="s">
        <v>504</v>
      </c>
      <c r="C45" s="6" t="s">
        <v>121</v>
      </c>
      <c r="D45" s="37" t="s">
        <v>109</v>
      </c>
      <c r="E45" s="6" t="s">
        <v>505</v>
      </c>
      <c r="F45" s="6" t="s">
        <v>437</v>
      </c>
      <c r="G45" s="37" t="s">
        <v>176</v>
      </c>
      <c r="H45" s="37" t="s">
        <v>164</v>
      </c>
      <c r="I45" s="6" t="s">
        <v>506</v>
      </c>
      <c r="J45" s="6" t="s">
        <v>507</v>
      </c>
      <c r="K45" s="6" t="s">
        <v>508</v>
      </c>
      <c r="L45" s="6" t="s">
        <v>509</v>
      </c>
      <c r="M45" s="6" t="s">
        <v>510</v>
      </c>
      <c r="N45" s="6" t="s">
        <v>511</v>
      </c>
      <c r="O45" s="6"/>
      <c r="P45" s="37" t="n">
        <v>3</v>
      </c>
      <c r="Q45" s="38" t="s">
        <v>171</v>
      </c>
      <c r="R45" s="38"/>
      <c r="S45" s="39"/>
      <c r="T45" s="39"/>
      <c r="U45" s="40"/>
      <c r="V45" s="41" t="n">
        <v>12</v>
      </c>
      <c r="W45" s="38"/>
      <c r="X45" s="39"/>
      <c r="Y45" s="40"/>
      <c r="Z45" s="42" t="str">
        <f aca="false">IF(OR(U45="",V45=""),"",EDATE(U45,V45))</f>
        <v/>
      </c>
      <c r="AA45" s="43" t="str">
        <f aca="true">IF(OR(Q45="No",R45="Not applicable"),"Not applicable",IF(U45="",IF(V45="","Event-driven: set date","Not yet tested"),IF(Z45="","Event-driven",IF(Z45&lt;TODAY(),"Overdue",IF(Z45-TODAY()&lt;=30,"Due soon","On track")))))</f>
        <v>Not yet tested</v>
      </c>
    </row>
    <row r="46" customFormat="false" ht="113.4" hidden="false" customHeight="false" outlineLevel="0" collapsed="false">
      <c r="A46" s="36" t="s">
        <v>512</v>
      </c>
      <c r="B46" s="44" t="s">
        <v>513</v>
      </c>
      <c r="C46" s="44" t="s">
        <v>115</v>
      </c>
      <c r="D46" s="45" t="s">
        <v>109</v>
      </c>
      <c r="E46" s="44" t="s">
        <v>514</v>
      </c>
      <c r="F46" s="44" t="s">
        <v>497</v>
      </c>
      <c r="G46" s="45" t="s">
        <v>213</v>
      </c>
      <c r="H46" s="45" t="s">
        <v>164</v>
      </c>
      <c r="I46" s="44" t="s">
        <v>515</v>
      </c>
      <c r="J46" s="44" t="s">
        <v>516</v>
      </c>
      <c r="K46" s="44" t="s">
        <v>517</v>
      </c>
      <c r="L46" s="44" t="s">
        <v>518</v>
      </c>
      <c r="M46" s="44" t="s">
        <v>519</v>
      </c>
      <c r="N46" s="44" t="s">
        <v>520</v>
      </c>
      <c r="O46" s="44"/>
      <c r="P46" s="45" t="n">
        <v>1</v>
      </c>
      <c r="Q46" s="38" t="s">
        <v>171</v>
      </c>
      <c r="R46" s="38"/>
      <c r="S46" s="39"/>
      <c r="T46" s="39"/>
      <c r="U46" s="40"/>
      <c r="V46" s="41" t="n">
        <v>12</v>
      </c>
      <c r="W46" s="38"/>
      <c r="X46" s="39"/>
      <c r="Y46" s="40"/>
      <c r="Z46" s="42" t="str">
        <f aca="false">IF(OR(U46="",V46=""),"",EDATE(U46,V46))</f>
        <v/>
      </c>
      <c r="AA46" s="43" t="str">
        <f aca="true">IF(OR(Q46="No",R46="Not applicable"),"Not applicable",IF(U46="",IF(V46="","Event-driven: set date","Not yet tested"),IF(Z46="","Event-driven",IF(Z46&lt;TODAY(),"Overdue",IF(Z46-TODAY()&lt;=30,"Due soon","On track")))))</f>
        <v>Not yet tested</v>
      </c>
    </row>
    <row r="47" customFormat="false" ht="68.65" hidden="false" customHeight="false" outlineLevel="0" collapsed="false">
      <c r="A47" s="36" t="s">
        <v>521</v>
      </c>
      <c r="B47" s="6" t="s">
        <v>522</v>
      </c>
      <c r="C47" s="6" t="s">
        <v>115</v>
      </c>
      <c r="D47" s="37" t="s">
        <v>109</v>
      </c>
      <c r="E47" s="6" t="s">
        <v>523</v>
      </c>
      <c r="F47" s="6" t="s">
        <v>222</v>
      </c>
      <c r="G47" s="37" t="s">
        <v>242</v>
      </c>
      <c r="H47" s="37" t="s">
        <v>164</v>
      </c>
      <c r="I47" s="6" t="s">
        <v>524</v>
      </c>
      <c r="J47" s="6" t="s">
        <v>525</v>
      </c>
      <c r="K47" s="6" t="s">
        <v>526</v>
      </c>
      <c r="L47" s="6" t="s">
        <v>527</v>
      </c>
      <c r="M47" s="6" t="s">
        <v>528</v>
      </c>
      <c r="N47" s="6" t="s">
        <v>170</v>
      </c>
      <c r="O47" s="6"/>
      <c r="P47" s="37" t="n">
        <v>1</v>
      </c>
      <c r="Q47" s="38" t="s">
        <v>171</v>
      </c>
      <c r="R47" s="38"/>
      <c r="S47" s="39"/>
      <c r="T47" s="39"/>
      <c r="U47" s="40"/>
      <c r="V47" s="41" t="n">
        <v>3</v>
      </c>
      <c r="W47" s="38"/>
      <c r="X47" s="39"/>
      <c r="Y47" s="40"/>
      <c r="Z47" s="42" t="str">
        <f aca="false">IF(OR(U47="",V47=""),"",EDATE(U47,V47))</f>
        <v/>
      </c>
      <c r="AA47" s="43" t="str">
        <f aca="true">IF(OR(Q47="No",R47="Not applicable"),"Not applicable",IF(U47="",IF(V47="","Event-driven: set date","Not yet tested"),IF(Z47="","Event-driven",IF(Z47&lt;TODAY(),"Overdue",IF(Z47-TODAY()&lt;=30,"Due soon","On track")))))</f>
        <v>Not yet tested</v>
      </c>
    </row>
    <row r="48" customFormat="false" ht="68.65" hidden="false" customHeight="false" outlineLevel="0" collapsed="false">
      <c r="A48" s="36" t="s">
        <v>529</v>
      </c>
      <c r="B48" s="44" t="s">
        <v>530</v>
      </c>
      <c r="C48" s="44" t="s">
        <v>115</v>
      </c>
      <c r="D48" s="45" t="s">
        <v>109</v>
      </c>
      <c r="E48" s="44" t="s">
        <v>531</v>
      </c>
      <c r="F48" s="44" t="s">
        <v>162</v>
      </c>
      <c r="G48" s="45" t="s">
        <v>176</v>
      </c>
      <c r="H48" s="45" t="s">
        <v>164</v>
      </c>
      <c r="I48" s="44" t="s">
        <v>532</v>
      </c>
      <c r="J48" s="44" t="s">
        <v>533</v>
      </c>
      <c r="K48" s="44" t="s">
        <v>534</v>
      </c>
      <c r="L48" s="44" t="s">
        <v>535</v>
      </c>
      <c r="M48" s="44" t="s">
        <v>536</v>
      </c>
      <c r="N48" s="44" t="s">
        <v>537</v>
      </c>
      <c r="O48" s="44"/>
      <c r="P48" s="45" t="n">
        <v>1</v>
      </c>
      <c r="Q48" s="38" t="s">
        <v>171</v>
      </c>
      <c r="R48" s="38"/>
      <c r="S48" s="39"/>
      <c r="T48" s="39"/>
      <c r="U48" s="40"/>
      <c r="V48" s="41" t="n">
        <v>12</v>
      </c>
      <c r="W48" s="38"/>
      <c r="X48" s="39"/>
      <c r="Y48" s="40"/>
      <c r="Z48" s="42" t="str">
        <f aca="false">IF(OR(U48="",V48=""),"",EDATE(U48,V48))</f>
        <v/>
      </c>
      <c r="AA48" s="43" t="str">
        <f aca="true">IF(OR(Q48="No",R48="Not applicable"),"Not applicable",IF(U48="",IF(V48="","Event-driven: set date","Not yet tested"),IF(Z48="","Event-driven",IF(Z48&lt;TODAY(),"Overdue",IF(Z48-TODAY()&lt;=30,"Due soon","On track")))))</f>
        <v>Not yet tested</v>
      </c>
    </row>
    <row r="49" customFormat="false" ht="169.4" hidden="false" customHeight="false" outlineLevel="0" collapsed="false">
      <c r="A49" s="36" t="s">
        <v>538</v>
      </c>
      <c r="B49" s="6" t="s">
        <v>539</v>
      </c>
      <c r="C49" s="6" t="s">
        <v>115</v>
      </c>
      <c r="D49" s="37" t="s">
        <v>109</v>
      </c>
      <c r="E49" s="6" t="s">
        <v>540</v>
      </c>
      <c r="F49" s="6" t="s">
        <v>437</v>
      </c>
      <c r="G49" s="37" t="s">
        <v>213</v>
      </c>
      <c r="H49" s="37" t="s">
        <v>164</v>
      </c>
      <c r="I49" s="6" t="s">
        <v>541</v>
      </c>
      <c r="J49" s="6" t="s">
        <v>542</v>
      </c>
      <c r="K49" s="6" t="s">
        <v>543</v>
      </c>
      <c r="L49" s="6" t="s">
        <v>544</v>
      </c>
      <c r="M49" s="6" t="s">
        <v>545</v>
      </c>
      <c r="N49" s="6" t="s">
        <v>546</v>
      </c>
      <c r="O49" s="6" t="s">
        <v>547</v>
      </c>
      <c r="P49" s="37" t="n">
        <v>3</v>
      </c>
      <c r="Q49" s="38" t="s">
        <v>171</v>
      </c>
      <c r="R49" s="38"/>
      <c r="S49" s="39"/>
      <c r="T49" s="39"/>
      <c r="U49" s="40"/>
      <c r="V49" s="41" t="n">
        <v>6</v>
      </c>
      <c r="W49" s="38"/>
      <c r="X49" s="39"/>
      <c r="Y49" s="40"/>
      <c r="Z49" s="42" t="str">
        <f aca="false">IF(OR(U49="",V49=""),"",EDATE(U49,V49))</f>
        <v/>
      </c>
      <c r="AA49" s="43" t="str">
        <f aca="true">IF(OR(Q49="No",R49="Not applicable"),"Not applicable",IF(U49="",IF(V49="","Event-driven: set date","Not yet tested"),IF(Z49="","Event-driven",IF(Z49&lt;TODAY(),"Overdue",IF(Z49-TODAY()&lt;=30,"Due soon","On track")))))</f>
        <v>Not yet tested</v>
      </c>
    </row>
    <row r="50" customFormat="false" ht="124.6" hidden="false" customHeight="false" outlineLevel="0" collapsed="false">
      <c r="A50" s="36" t="s">
        <v>548</v>
      </c>
      <c r="B50" s="44" t="s">
        <v>549</v>
      </c>
      <c r="C50" s="44" t="s">
        <v>115</v>
      </c>
      <c r="D50" s="45" t="s">
        <v>109</v>
      </c>
      <c r="E50" s="44" t="s">
        <v>550</v>
      </c>
      <c r="F50" s="44" t="s">
        <v>551</v>
      </c>
      <c r="G50" s="45" t="s">
        <v>213</v>
      </c>
      <c r="H50" s="45" t="s">
        <v>164</v>
      </c>
      <c r="I50" s="44" t="s">
        <v>552</v>
      </c>
      <c r="J50" s="44" t="s">
        <v>553</v>
      </c>
      <c r="K50" s="44" t="s">
        <v>554</v>
      </c>
      <c r="L50" s="44" t="s">
        <v>555</v>
      </c>
      <c r="M50" s="44" t="s">
        <v>528</v>
      </c>
      <c r="N50" s="44" t="s">
        <v>556</v>
      </c>
      <c r="O50" s="44" t="s">
        <v>557</v>
      </c>
      <c r="P50" s="45" t="n">
        <v>4</v>
      </c>
      <c r="Q50" s="38" t="s">
        <v>171</v>
      </c>
      <c r="R50" s="38"/>
      <c r="S50" s="39"/>
      <c r="T50" s="39"/>
      <c r="U50" s="40"/>
      <c r="V50" s="41" t="n">
        <v>12</v>
      </c>
      <c r="W50" s="38"/>
      <c r="X50" s="39"/>
      <c r="Y50" s="40"/>
      <c r="Z50" s="42" t="str">
        <f aca="false">IF(OR(U50="",V50=""),"",EDATE(U50,V50))</f>
        <v/>
      </c>
      <c r="AA50" s="43" t="str">
        <f aca="true">IF(OR(Q50="No",R50="Not applicable"),"Not applicable",IF(U50="",IF(V50="","Event-driven: set date","Not yet tested"),IF(Z50="","Event-driven",IF(Z50&lt;TODAY(),"Overdue",IF(Z50-TODAY()&lt;=30,"Due soon","On track")))))</f>
        <v>Not yet tested</v>
      </c>
    </row>
  </sheetData>
  <autoFilter ref="A4:AA50"/>
  <conditionalFormatting sqref="R5:R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W5:W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AA5:AA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P50">
    <cfRule type="expression" priority="18" aboveAverage="0" equalAverage="0" bottom="0" percent="0" rank="0" text="" dxfId="25">
      <formula>$Q5="No"</formula>
    </cfRule>
  </conditionalFormatting>
  <dataValidations count="5">
    <dataValidation allowBlank="true" error="Choose a value from the list (edit the Lists sheet to change the options)." errorStyle="warning" operator="between" showDropDown="false" showErrorMessage="true" showInputMessage="false" sqref="Q5:Q50" type="list">
      <formula1>Lists!$B$2:$B$3</formula1>
      <formula2>0</formula2>
    </dataValidation>
    <dataValidation allowBlank="true" error="Choose a value from the list (edit the Lists sheet to change the options)." errorStyle="warning" operator="between" showDropDown="false" showErrorMessage="true" showInputMessage="false" sqref="R5:R50" type="list">
      <formula1>Lists!$A$2:$A$6</formula1>
      <formula2>0</formula2>
    </dataValidation>
    <dataValidation allowBlank="true" error="Choose a value from the list (edit the Lists sheet to change the options)." errorStyle="warning" operator="between" showDropDown="false" showErrorMessage="true" showInputMessage="false" sqref="W5:W50" type="list">
      <formula1>Lists!$C$2:$C$5</formula1>
      <formula2>0</formula2>
    </dataValidation>
    <dataValidation allowBlank="true" error="Enter a date (for example 2026-10-17)." errorStyle="warning" operator="greaterThan" showDropDown="false" showErrorMessage="true" showInputMessage="false" sqref="U5:U50" type="date">
      <formula1>DATE(2000,1,1)</formula1>
      <formula2>0</formula2>
    </dataValidation>
    <dataValidation allowBlank="true" error="Enter a date (for example 2026-10-17)." errorStyle="warning" operator="greaterThan" showDropDown="false" showErrorMessage="true" showInputMessage="false" sqref="Y5:Y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2"/>
    <col collapsed="false" customWidth="true" hidden="false" outlineLevel="0" max="3" min="3" style="0" width="9"/>
    <col collapsed="false" customWidth="true" hidden="false" outlineLevel="0" max="8" min="4" style="0" width="12"/>
  </cols>
  <sheetData>
    <row r="1" customFormat="false" ht="30" hidden="false" customHeight="true" outlineLevel="0" collapsed="false">
      <c r="A1" s="15" t="s">
        <v>558</v>
      </c>
      <c r="B1" s="16"/>
      <c r="C1" s="16"/>
      <c r="D1" s="16"/>
      <c r="E1" s="16"/>
      <c r="F1" s="16"/>
      <c r="G1" s="16"/>
      <c r="H1" s="16"/>
    </row>
    <row r="2" customFormat="false" ht="15" hidden="false" customHeight="false" outlineLevel="0" collapsed="false">
      <c r="A2" s="3" t="s">
        <v>559</v>
      </c>
    </row>
    <row r="4" customFormat="false" ht="23.85" hidden="false" customHeight="false" outlineLevel="0" collapsed="false">
      <c r="A4" s="17" t="s">
        <v>560</v>
      </c>
      <c r="B4" s="17" t="s">
        <v>561</v>
      </c>
      <c r="C4" s="17" t="s">
        <v>562</v>
      </c>
      <c r="D4" s="17" t="s">
        <v>563</v>
      </c>
      <c r="E4" s="17" t="s">
        <v>564</v>
      </c>
      <c r="F4" s="17" t="s">
        <v>565</v>
      </c>
      <c r="G4" s="17" t="s">
        <v>566</v>
      </c>
      <c r="H4" s="17" t="s">
        <v>567</v>
      </c>
    </row>
    <row r="5" customFormat="false" ht="15" hidden="false" customHeight="false" outlineLevel="0" collapsed="false">
      <c r="A5" s="46" t="s">
        <v>568</v>
      </c>
      <c r="B5" s="47" t="s">
        <v>569</v>
      </c>
      <c r="C5" s="26" t="n">
        <f aca="false">COUNTIF('Framework Crosswalk'!$A$5:$A$895,A5)</f>
        <v>24</v>
      </c>
      <c r="D5" s="26" t="n">
        <f aca="false">C5-COUNTIFS('Framework Crosswalk'!$A$5:$A$895,A5,'Framework Crosswalk'!$K$5:$K$895,"No wiki control")</f>
        <v>24</v>
      </c>
      <c r="E5" s="26" t="n">
        <f aca="false">COUNTIFS('Framework Crosswalk'!$A$5:$A$895,A5,'Framework Crosswalk'!$K$5:$K$895,"Fully covered")</f>
        <v>0</v>
      </c>
      <c r="F5" s="26" t="n">
        <f aca="false">COUNTIFS('Framework Crosswalk'!$A$5:$A$895,A5,'Framework Crosswalk'!$K$5:$K$895,"Partly covered")</f>
        <v>0</v>
      </c>
      <c r="G5" s="26" t="n">
        <f aca="false">COUNTIFS('Framework Crosswalk'!$A$5:$A$895,A5,'Framework Crosswalk'!$K$5:$K$895,"Not covered")</f>
        <v>24</v>
      </c>
      <c r="H5" s="48" t="n">
        <f aca="false">IF(D5=0,"",E5/D5)</f>
        <v>0</v>
      </c>
    </row>
    <row r="6" customFormat="false" ht="15" hidden="false" customHeight="false" outlineLevel="0" collapsed="false">
      <c r="A6" s="46" t="s">
        <v>570</v>
      </c>
      <c r="B6" s="47" t="s">
        <v>569</v>
      </c>
      <c r="C6" s="26" t="n">
        <f aca="false">COUNTIF('Framework Crosswalk'!$A$5:$A$895,A6)</f>
        <v>25</v>
      </c>
      <c r="D6" s="26" t="n">
        <f aca="false">C6-COUNTIFS('Framework Crosswalk'!$A$5:$A$895,A6,'Framework Crosswalk'!$K$5:$K$895,"No wiki control")</f>
        <v>25</v>
      </c>
      <c r="E6" s="26" t="n">
        <f aca="false">COUNTIFS('Framework Crosswalk'!$A$5:$A$895,A6,'Framework Crosswalk'!$K$5:$K$895,"Fully covered")</f>
        <v>0</v>
      </c>
      <c r="F6" s="26" t="n">
        <f aca="false">COUNTIFS('Framework Crosswalk'!$A$5:$A$895,A6,'Framework Crosswalk'!$K$5:$K$895,"Partly covered")</f>
        <v>0</v>
      </c>
      <c r="G6" s="26" t="n">
        <f aca="false">COUNTIFS('Framework Crosswalk'!$A$5:$A$895,A6,'Framework Crosswalk'!$K$5:$K$895,"Not covered")</f>
        <v>25</v>
      </c>
      <c r="H6" s="48" t="n">
        <f aca="false">IF(D6=0,"",E6/D6)</f>
        <v>0</v>
      </c>
    </row>
    <row r="7" customFormat="false" ht="15" hidden="false" customHeight="false" outlineLevel="0" collapsed="false">
      <c r="A7" s="46" t="s">
        <v>571</v>
      </c>
      <c r="B7" s="47" t="s">
        <v>569</v>
      </c>
      <c r="C7" s="26" t="n">
        <f aca="false">COUNTIF('Framework Crosswalk'!$A$5:$A$895,A7)</f>
        <v>55</v>
      </c>
      <c r="D7" s="26" t="n">
        <f aca="false">C7-COUNTIFS('Framework Crosswalk'!$A$5:$A$895,A7,'Framework Crosswalk'!$K$5:$K$895,"No wiki control")</f>
        <v>55</v>
      </c>
      <c r="E7" s="26" t="n">
        <f aca="false">COUNTIFS('Framework Crosswalk'!$A$5:$A$895,A7,'Framework Crosswalk'!$K$5:$K$895,"Fully covered")</f>
        <v>0</v>
      </c>
      <c r="F7" s="26" t="n">
        <f aca="false">COUNTIFS('Framework Crosswalk'!$A$5:$A$895,A7,'Framework Crosswalk'!$K$5:$K$895,"Partly covered")</f>
        <v>0</v>
      </c>
      <c r="G7" s="26" t="n">
        <f aca="false">COUNTIFS('Framework Crosswalk'!$A$5:$A$895,A7,'Framework Crosswalk'!$K$5:$K$895,"Not covered")</f>
        <v>55</v>
      </c>
      <c r="H7" s="48" t="n">
        <f aca="false">IF(D7=0,"",E7/D7)</f>
        <v>0</v>
      </c>
    </row>
    <row r="8" customFormat="false" ht="15" hidden="false" customHeight="false" outlineLevel="0" collapsed="false">
      <c r="A8" s="46" t="s">
        <v>572</v>
      </c>
      <c r="B8" s="47" t="s">
        <v>569</v>
      </c>
      <c r="C8" s="26" t="n">
        <f aca="false">COUNTIF('Framework Crosswalk'!$A$5:$A$895,A8)</f>
        <v>72</v>
      </c>
      <c r="D8" s="26" t="n">
        <f aca="false">C8-COUNTIFS('Framework Crosswalk'!$A$5:$A$895,A8,'Framework Crosswalk'!$K$5:$K$895,"No wiki control")</f>
        <v>47</v>
      </c>
      <c r="E8" s="26" t="n">
        <f aca="false">COUNTIFS('Framework Crosswalk'!$A$5:$A$895,A8,'Framework Crosswalk'!$K$5:$K$895,"Fully covered")</f>
        <v>0</v>
      </c>
      <c r="F8" s="26" t="n">
        <f aca="false">COUNTIFS('Framework Crosswalk'!$A$5:$A$895,A8,'Framework Crosswalk'!$K$5:$K$895,"Partly covered")</f>
        <v>0</v>
      </c>
      <c r="G8" s="26" t="n">
        <f aca="false">COUNTIFS('Framework Crosswalk'!$A$5:$A$895,A8,'Framework Crosswalk'!$K$5:$K$895,"Not covered")</f>
        <v>47</v>
      </c>
      <c r="H8" s="48" t="n">
        <f aca="false">IF(D8=0,"",E8/D8)</f>
        <v>0</v>
      </c>
    </row>
    <row r="9" customFormat="false" ht="15" hidden="false" customHeight="false" outlineLevel="0" collapsed="false">
      <c r="A9" s="46" t="s">
        <v>573</v>
      </c>
      <c r="B9" s="47" t="s">
        <v>569</v>
      </c>
      <c r="C9" s="26" t="n">
        <f aca="false">COUNTIF('Framework Crosswalk'!$A$5:$A$895,A9)</f>
        <v>12</v>
      </c>
      <c r="D9" s="26" t="n">
        <f aca="false">C9-COUNTIFS('Framework Crosswalk'!$A$5:$A$895,A9,'Framework Crosswalk'!$K$5:$K$895,"No wiki control")</f>
        <v>12</v>
      </c>
      <c r="E9" s="26" t="n">
        <f aca="false">COUNTIFS('Framework Crosswalk'!$A$5:$A$895,A9,'Framework Crosswalk'!$K$5:$K$895,"Fully covered")</f>
        <v>0</v>
      </c>
      <c r="F9" s="26" t="n">
        <f aca="false">COUNTIFS('Framework Crosswalk'!$A$5:$A$895,A9,'Framework Crosswalk'!$K$5:$K$895,"Partly covered")</f>
        <v>0</v>
      </c>
      <c r="G9" s="26" t="n">
        <f aca="false">COUNTIFS('Framework Crosswalk'!$A$5:$A$895,A9,'Framework Crosswalk'!$K$5:$K$895,"Not covered")</f>
        <v>12</v>
      </c>
      <c r="H9" s="48" t="n">
        <f aca="false">IF(D9=0,"",E9/D9)</f>
        <v>0</v>
      </c>
    </row>
    <row r="10" customFormat="false" ht="15" hidden="false" customHeight="false" outlineLevel="0" collapsed="false">
      <c r="A10" s="46" t="s">
        <v>574</v>
      </c>
      <c r="B10" s="47" t="s">
        <v>569</v>
      </c>
      <c r="C10" s="26" t="n">
        <f aca="false">COUNTIF('Framework Crosswalk'!$A$5:$A$895,A10)</f>
        <v>20</v>
      </c>
      <c r="D10" s="26" t="n">
        <f aca="false">C10-COUNTIFS('Framework Crosswalk'!$A$5:$A$895,A10,'Framework Crosswalk'!$K$5:$K$895,"No wiki control")</f>
        <v>18</v>
      </c>
      <c r="E10" s="26" t="n">
        <f aca="false">COUNTIFS('Framework Crosswalk'!$A$5:$A$895,A10,'Framework Crosswalk'!$K$5:$K$895,"Fully covered")</f>
        <v>0</v>
      </c>
      <c r="F10" s="26" t="n">
        <f aca="false">COUNTIFS('Framework Crosswalk'!$A$5:$A$895,A10,'Framework Crosswalk'!$K$5:$K$895,"Partly covered")</f>
        <v>0</v>
      </c>
      <c r="G10" s="26" t="n">
        <f aca="false">COUNTIFS('Framework Crosswalk'!$A$5:$A$895,A10,'Framework Crosswalk'!$K$5:$K$895,"Not covered")</f>
        <v>18</v>
      </c>
      <c r="H10" s="48" t="n">
        <f aca="false">IF(D10=0,"",E10/D10)</f>
        <v>0</v>
      </c>
    </row>
    <row r="11" customFormat="false" ht="15" hidden="false" customHeight="false" outlineLevel="0" collapsed="false">
      <c r="A11" s="30" t="s">
        <v>575</v>
      </c>
      <c r="B11" s="49" t="s">
        <v>576</v>
      </c>
      <c r="C11" s="26" t="n">
        <f aca="false">COUNTIF('Framework Crosswalk'!$A$5:$A$895,A11)</f>
        <v>10</v>
      </c>
      <c r="D11" s="26" t="n">
        <f aca="false">C11-COUNTIFS('Framework Crosswalk'!$A$5:$A$895,A11,'Framework Crosswalk'!$K$5:$K$895,"No wiki control")</f>
        <v>10</v>
      </c>
      <c r="E11" s="26" t="n">
        <f aca="false">COUNTIFS('Framework Crosswalk'!$A$5:$A$895,A11,'Framework Crosswalk'!$K$5:$K$895,"Fully covered")</f>
        <v>0</v>
      </c>
      <c r="F11" s="26" t="n">
        <f aca="false">COUNTIFS('Framework Crosswalk'!$A$5:$A$895,A11,'Framework Crosswalk'!$K$5:$K$895,"Partly covered")</f>
        <v>0</v>
      </c>
      <c r="G11" s="26" t="n">
        <f aca="false">COUNTIFS('Framework Crosswalk'!$A$5:$A$895,A11,'Framework Crosswalk'!$K$5:$K$895,"Not covered")</f>
        <v>10</v>
      </c>
      <c r="H11" s="48" t="n">
        <f aca="false">IF(D11=0,"",E11/D11)</f>
        <v>0</v>
      </c>
    </row>
    <row r="12" customFormat="false" ht="15" hidden="false" customHeight="false" outlineLevel="0" collapsed="false">
      <c r="A12" s="30" t="s">
        <v>577</v>
      </c>
      <c r="B12" s="49" t="s">
        <v>576</v>
      </c>
      <c r="C12" s="26" t="n">
        <f aca="false">COUNTIF('Framework Crosswalk'!$A$5:$A$895,A12)</f>
        <v>10</v>
      </c>
      <c r="D12" s="26" t="n">
        <f aca="false">C12-COUNTIFS('Framework Crosswalk'!$A$5:$A$895,A12,'Framework Crosswalk'!$K$5:$K$895,"No wiki control")</f>
        <v>10</v>
      </c>
      <c r="E12" s="26" t="n">
        <f aca="false">COUNTIFS('Framework Crosswalk'!$A$5:$A$895,A12,'Framework Crosswalk'!$K$5:$K$895,"Fully covered")</f>
        <v>0</v>
      </c>
      <c r="F12" s="26" t="n">
        <f aca="false">COUNTIFS('Framework Crosswalk'!$A$5:$A$895,A12,'Framework Crosswalk'!$K$5:$K$895,"Partly covered")</f>
        <v>0</v>
      </c>
      <c r="G12" s="26" t="n">
        <f aca="false">COUNTIFS('Framework Crosswalk'!$A$5:$A$895,A12,'Framework Crosswalk'!$K$5:$K$895,"Not covered")</f>
        <v>10</v>
      </c>
      <c r="H12" s="48" t="n">
        <f aca="false">IF(D12=0,"",E12/D12)</f>
        <v>0</v>
      </c>
    </row>
    <row r="13" customFormat="false" ht="15" hidden="false" customHeight="false" outlineLevel="0" collapsed="false">
      <c r="A13" s="30" t="s">
        <v>578</v>
      </c>
      <c r="B13" s="49" t="s">
        <v>576</v>
      </c>
      <c r="C13" s="26" t="n">
        <f aca="false">COUNTIF('Framework Crosswalk'!$A$5:$A$895,A13)</f>
        <v>10</v>
      </c>
      <c r="D13" s="26" t="n">
        <f aca="false">C13-COUNTIFS('Framework Crosswalk'!$A$5:$A$895,A13,'Framework Crosswalk'!$K$5:$K$895,"No wiki control")</f>
        <v>10</v>
      </c>
      <c r="E13" s="26" t="n">
        <f aca="false">COUNTIFS('Framework Crosswalk'!$A$5:$A$895,A13,'Framework Crosswalk'!$K$5:$K$895,"Fully covered")</f>
        <v>0</v>
      </c>
      <c r="F13" s="26" t="n">
        <f aca="false">COUNTIFS('Framework Crosswalk'!$A$5:$A$895,A13,'Framework Crosswalk'!$K$5:$K$895,"Partly covered")</f>
        <v>0</v>
      </c>
      <c r="G13" s="26" t="n">
        <f aca="false">COUNTIFS('Framework Crosswalk'!$A$5:$A$895,A13,'Framework Crosswalk'!$K$5:$K$895,"Not covered")</f>
        <v>10</v>
      </c>
      <c r="H13" s="48" t="n">
        <f aca="false">IF(D13=0,"",E13/D13)</f>
        <v>0</v>
      </c>
    </row>
    <row r="14" customFormat="false" ht="15" hidden="false" customHeight="false" outlineLevel="0" collapsed="false">
      <c r="A14" s="30" t="s">
        <v>579</v>
      </c>
      <c r="B14" s="49" t="s">
        <v>576</v>
      </c>
      <c r="C14" s="26" t="n">
        <f aca="false">COUNTIF('Framework Crosswalk'!$A$5:$A$895,A14)</f>
        <v>55</v>
      </c>
      <c r="D14" s="26" t="n">
        <f aca="false">C14-COUNTIFS('Framework Crosswalk'!$A$5:$A$895,A14,'Framework Crosswalk'!$K$5:$K$895,"No wiki control")</f>
        <v>55</v>
      </c>
      <c r="E14" s="26" t="n">
        <f aca="false">COUNTIFS('Framework Crosswalk'!$A$5:$A$895,A14,'Framework Crosswalk'!$K$5:$K$895,"Fully covered")</f>
        <v>0</v>
      </c>
      <c r="F14" s="26" t="n">
        <f aca="false">COUNTIFS('Framework Crosswalk'!$A$5:$A$895,A14,'Framework Crosswalk'!$K$5:$K$895,"Partly covered")</f>
        <v>0</v>
      </c>
      <c r="G14" s="26" t="n">
        <f aca="false">COUNTIFS('Framework Crosswalk'!$A$5:$A$895,A14,'Framework Crosswalk'!$K$5:$K$895,"Not covered")</f>
        <v>55</v>
      </c>
      <c r="H14" s="48" t="n">
        <f aca="false">IF(D14=0,"",E14/D14)</f>
        <v>0</v>
      </c>
    </row>
    <row r="15" customFormat="false" ht="15" hidden="false" customHeight="false" outlineLevel="0" collapsed="false">
      <c r="A15" s="30" t="s">
        <v>580</v>
      </c>
      <c r="B15" s="49" t="s">
        <v>576</v>
      </c>
      <c r="C15" s="26" t="n">
        <f aca="false">COUNTIF('Framework Crosswalk'!$A$5:$A$895,A15)</f>
        <v>32</v>
      </c>
      <c r="D15" s="26" t="n">
        <f aca="false">C15-COUNTIFS('Framework Crosswalk'!$A$5:$A$895,A15,'Framework Crosswalk'!$K$5:$K$895,"No wiki control")</f>
        <v>32</v>
      </c>
      <c r="E15" s="26" t="n">
        <f aca="false">COUNTIFS('Framework Crosswalk'!$A$5:$A$895,A15,'Framework Crosswalk'!$K$5:$K$895,"Fully covered")</f>
        <v>0</v>
      </c>
      <c r="F15" s="26" t="n">
        <f aca="false">COUNTIFS('Framework Crosswalk'!$A$5:$A$895,A15,'Framework Crosswalk'!$K$5:$K$895,"Partly covered")</f>
        <v>0</v>
      </c>
      <c r="G15" s="26" t="n">
        <f aca="false">COUNTIFS('Framework Crosswalk'!$A$5:$A$895,A15,'Framework Crosswalk'!$K$5:$K$895,"Not covered")</f>
        <v>32</v>
      </c>
      <c r="H15" s="48" t="n">
        <f aca="false">IF(D15=0,"",E15/D15)</f>
        <v>0</v>
      </c>
    </row>
    <row r="16" customFormat="false" ht="15" hidden="false" customHeight="false" outlineLevel="0" collapsed="false">
      <c r="A16" s="30" t="s">
        <v>581</v>
      </c>
      <c r="B16" s="49" t="s">
        <v>576</v>
      </c>
      <c r="C16" s="26" t="n">
        <f aca="false">COUNTIF('Framework Crosswalk'!$A$5:$A$895,A16)</f>
        <v>26</v>
      </c>
      <c r="D16" s="26" t="n">
        <f aca="false">C16-COUNTIFS('Framework Crosswalk'!$A$5:$A$895,A16,'Framework Crosswalk'!$K$5:$K$895,"No wiki control")</f>
        <v>25</v>
      </c>
      <c r="E16" s="26" t="n">
        <f aca="false">COUNTIFS('Framework Crosswalk'!$A$5:$A$895,A16,'Framework Crosswalk'!$K$5:$K$895,"Fully covered")</f>
        <v>0</v>
      </c>
      <c r="F16" s="26" t="n">
        <f aca="false">COUNTIFS('Framework Crosswalk'!$A$5:$A$895,A16,'Framework Crosswalk'!$K$5:$K$895,"Partly covered")</f>
        <v>0</v>
      </c>
      <c r="G16" s="26" t="n">
        <f aca="false">COUNTIFS('Framework Crosswalk'!$A$5:$A$895,A16,'Framework Crosswalk'!$K$5:$K$895,"Not covered")</f>
        <v>25</v>
      </c>
      <c r="H16" s="48" t="n">
        <f aca="false">IF(D16=0,"",E16/D16)</f>
        <v>0</v>
      </c>
    </row>
    <row r="17" customFormat="false" ht="15" hidden="false" customHeight="false" outlineLevel="0" collapsed="false">
      <c r="A17" s="50" t="s">
        <v>582</v>
      </c>
      <c r="B17" s="51" t="s">
        <v>583</v>
      </c>
      <c r="C17" s="26" t="n">
        <f aca="false">COUNTIF('Framework Crosswalk'!$A$5:$A$895,A17)</f>
        <v>38</v>
      </c>
      <c r="D17" s="26" t="n">
        <f aca="false">C17-COUNTIFS('Framework Crosswalk'!$A$5:$A$895,A17,'Framework Crosswalk'!$K$5:$K$895,"No wiki control")</f>
        <v>33</v>
      </c>
      <c r="E17" s="26" t="n">
        <f aca="false">COUNTIFS('Framework Crosswalk'!$A$5:$A$895,A17,'Framework Crosswalk'!$K$5:$K$895,"Fully covered")</f>
        <v>0</v>
      </c>
      <c r="F17" s="26" t="n">
        <f aca="false">COUNTIFS('Framework Crosswalk'!$A$5:$A$895,A17,'Framework Crosswalk'!$K$5:$K$895,"Partly covered")</f>
        <v>0</v>
      </c>
      <c r="G17" s="26" t="n">
        <f aca="false">COUNTIFS('Framework Crosswalk'!$A$5:$A$895,A17,'Framework Crosswalk'!$K$5:$K$895,"Not covered")</f>
        <v>33</v>
      </c>
      <c r="H17" s="48" t="n">
        <f aca="false">IF(D17=0,"",E17/D17)</f>
        <v>0</v>
      </c>
    </row>
    <row r="18" customFormat="false" ht="15" hidden="false" customHeight="false" outlineLevel="0" collapsed="false">
      <c r="A18" s="50" t="s">
        <v>584</v>
      </c>
      <c r="B18" s="51" t="s">
        <v>583</v>
      </c>
      <c r="C18" s="26" t="n">
        <f aca="false">COUNTIF('Framework Crosswalk'!$A$5:$A$895,A18)</f>
        <v>9</v>
      </c>
      <c r="D18" s="26" t="n">
        <f aca="false">C18-COUNTIFS('Framework Crosswalk'!$A$5:$A$895,A18,'Framework Crosswalk'!$K$5:$K$895,"No wiki control")</f>
        <v>9</v>
      </c>
      <c r="E18" s="26" t="n">
        <f aca="false">COUNTIFS('Framework Crosswalk'!$A$5:$A$895,A18,'Framework Crosswalk'!$K$5:$K$895,"Fully covered")</f>
        <v>0</v>
      </c>
      <c r="F18" s="26" t="n">
        <f aca="false">COUNTIFS('Framework Crosswalk'!$A$5:$A$895,A18,'Framework Crosswalk'!$K$5:$K$895,"Partly covered")</f>
        <v>0</v>
      </c>
      <c r="G18" s="26" t="n">
        <f aca="false">COUNTIFS('Framework Crosswalk'!$A$5:$A$895,A18,'Framework Crosswalk'!$K$5:$K$895,"Not covered")</f>
        <v>9</v>
      </c>
      <c r="H18" s="48" t="n">
        <f aca="false">IF(D18=0,"",E18/D18)</f>
        <v>0</v>
      </c>
    </row>
    <row r="19" customFormat="false" ht="15" hidden="false" customHeight="false" outlineLevel="0" collapsed="false">
      <c r="A19" s="50" t="s">
        <v>585</v>
      </c>
      <c r="B19" s="51" t="s">
        <v>583</v>
      </c>
      <c r="C19" s="26" t="n">
        <f aca="false">COUNTIF('Framework Crosswalk'!$A$5:$A$895,A19)</f>
        <v>93</v>
      </c>
      <c r="D19" s="26" t="n">
        <f aca="false">C19-COUNTIFS('Framework Crosswalk'!$A$5:$A$895,A19,'Framework Crosswalk'!$K$5:$K$895,"No wiki control")</f>
        <v>65</v>
      </c>
      <c r="E19" s="26" t="n">
        <f aca="false">COUNTIFS('Framework Crosswalk'!$A$5:$A$895,A19,'Framework Crosswalk'!$K$5:$K$895,"Fully covered")</f>
        <v>0</v>
      </c>
      <c r="F19" s="26" t="n">
        <f aca="false">COUNTIFS('Framework Crosswalk'!$A$5:$A$895,A19,'Framework Crosswalk'!$K$5:$K$895,"Partly covered")</f>
        <v>0</v>
      </c>
      <c r="G19" s="26" t="n">
        <f aca="false">COUNTIFS('Framework Crosswalk'!$A$5:$A$895,A19,'Framework Crosswalk'!$K$5:$K$895,"Not covered")</f>
        <v>65</v>
      </c>
      <c r="H19" s="48" t="n">
        <f aca="false">IF(D19=0,"",E19/D19)</f>
        <v>0</v>
      </c>
    </row>
    <row r="20" customFormat="false" ht="15" hidden="false" customHeight="false" outlineLevel="0" collapsed="false">
      <c r="A20" s="50" t="s">
        <v>586</v>
      </c>
      <c r="B20" s="51" t="s">
        <v>583</v>
      </c>
      <c r="C20" s="26" t="n">
        <f aca="false">COUNTIF('Framework Crosswalk'!$A$5:$A$895,A20)</f>
        <v>3</v>
      </c>
      <c r="D20" s="26" t="n">
        <f aca="false">C20-COUNTIFS('Framework Crosswalk'!$A$5:$A$895,A20,'Framework Crosswalk'!$K$5:$K$895,"No wiki control")</f>
        <v>3</v>
      </c>
      <c r="E20" s="26" t="n">
        <f aca="false">COUNTIFS('Framework Crosswalk'!$A$5:$A$895,A20,'Framework Crosswalk'!$K$5:$K$895,"Fully covered")</f>
        <v>0</v>
      </c>
      <c r="F20" s="26" t="n">
        <f aca="false">COUNTIFS('Framework Crosswalk'!$A$5:$A$895,A20,'Framework Crosswalk'!$K$5:$K$895,"Partly covered")</f>
        <v>0</v>
      </c>
      <c r="G20" s="26" t="n">
        <f aca="false">COUNTIFS('Framework Crosswalk'!$A$5:$A$895,A20,'Framework Crosswalk'!$K$5:$K$895,"Not covered")</f>
        <v>3</v>
      </c>
      <c r="H20" s="48" t="n">
        <f aca="false">IF(D20=0,"",E20/D20)</f>
        <v>0</v>
      </c>
    </row>
    <row r="21" customFormat="false" ht="15" hidden="false" customHeight="false" outlineLevel="0" collapsed="false">
      <c r="A21" s="50" t="s">
        <v>587</v>
      </c>
      <c r="B21" s="51" t="s">
        <v>583</v>
      </c>
      <c r="C21" s="26" t="n">
        <f aca="false">COUNTIF('Framework Crosswalk'!$A$5:$A$895,A21)</f>
        <v>4</v>
      </c>
      <c r="D21" s="26" t="n">
        <f aca="false">C21-COUNTIFS('Framework Crosswalk'!$A$5:$A$895,A21,'Framework Crosswalk'!$K$5:$K$895,"No wiki control")</f>
        <v>1</v>
      </c>
      <c r="E21" s="26" t="n">
        <f aca="false">COUNTIFS('Framework Crosswalk'!$A$5:$A$895,A21,'Framework Crosswalk'!$K$5:$K$895,"Fully covered")</f>
        <v>0</v>
      </c>
      <c r="F21" s="26" t="n">
        <f aca="false">COUNTIFS('Framework Crosswalk'!$A$5:$A$895,A21,'Framework Crosswalk'!$K$5:$K$895,"Partly covered")</f>
        <v>0</v>
      </c>
      <c r="G21" s="26" t="n">
        <f aca="false">COUNTIFS('Framework Crosswalk'!$A$5:$A$895,A21,'Framework Crosswalk'!$K$5:$K$895,"Not covered")</f>
        <v>1</v>
      </c>
      <c r="H21" s="48" t="n">
        <f aca="false">IF(D21=0,"",E21/D21)</f>
        <v>0</v>
      </c>
    </row>
    <row r="22" customFormat="false" ht="15" hidden="false" customHeight="false" outlineLevel="0" collapsed="false">
      <c r="A22" s="50" t="s">
        <v>588</v>
      </c>
      <c r="B22" s="51" t="s">
        <v>583</v>
      </c>
      <c r="C22" s="26" t="n">
        <f aca="false">COUNTIF('Framework Crosswalk'!$A$5:$A$895,A22)</f>
        <v>9</v>
      </c>
      <c r="D22" s="26" t="n">
        <f aca="false">C22-COUNTIFS('Framework Crosswalk'!$A$5:$A$895,A22,'Framework Crosswalk'!$K$5:$K$895,"No wiki control")</f>
        <v>8</v>
      </c>
      <c r="E22" s="26" t="n">
        <f aca="false">COUNTIFS('Framework Crosswalk'!$A$5:$A$895,A22,'Framework Crosswalk'!$K$5:$K$895,"Fully covered")</f>
        <v>0</v>
      </c>
      <c r="F22" s="26" t="n">
        <f aca="false">COUNTIFS('Framework Crosswalk'!$A$5:$A$895,A22,'Framework Crosswalk'!$K$5:$K$895,"Partly covered")</f>
        <v>0</v>
      </c>
      <c r="G22" s="26" t="n">
        <f aca="false">COUNTIFS('Framework Crosswalk'!$A$5:$A$895,A22,'Framework Crosswalk'!$K$5:$K$895,"Not covered")</f>
        <v>8</v>
      </c>
      <c r="H22" s="48" t="n">
        <f aca="false">IF(D22=0,"",E22/D22)</f>
        <v>0</v>
      </c>
    </row>
    <row r="23" customFormat="false" ht="15" hidden="false" customHeight="false" outlineLevel="0" collapsed="false">
      <c r="A23" s="50" t="s">
        <v>589</v>
      </c>
      <c r="B23" s="51" t="s">
        <v>583</v>
      </c>
      <c r="C23" s="26" t="n">
        <f aca="false">COUNTIF('Framework Crosswalk'!$A$5:$A$895,A23)</f>
        <v>5</v>
      </c>
      <c r="D23" s="26" t="n">
        <f aca="false">C23-COUNTIFS('Framework Crosswalk'!$A$5:$A$895,A23,'Framework Crosswalk'!$K$5:$K$895,"No wiki control")</f>
        <v>4</v>
      </c>
      <c r="E23" s="26" t="n">
        <f aca="false">COUNTIFS('Framework Crosswalk'!$A$5:$A$895,A23,'Framework Crosswalk'!$K$5:$K$895,"Fully covered")</f>
        <v>0</v>
      </c>
      <c r="F23" s="26" t="n">
        <f aca="false">COUNTIFS('Framework Crosswalk'!$A$5:$A$895,A23,'Framework Crosswalk'!$K$5:$K$895,"Partly covered")</f>
        <v>0</v>
      </c>
      <c r="G23" s="26" t="n">
        <f aca="false">COUNTIFS('Framework Crosswalk'!$A$5:$A$895,A23,'Framework Crosswalk'!$K$5:$K$895,"Not covered")</f>
        <v>4</v>
      </c>
      <c r="H23" s="48" t="n">
        <f aca="false">IF(D23=0,"",E23/D23)</f>
        <v>0</v>
      </c>
    </row>
    <row r="24" customFormat="false" ht="15" hidden="false" customHeight="false" outlineLevel="0" collapsed="false">
      <c r="A24" s="50" t="s">
        <v>590</v>
      </c>
      <c r="B24" s="51" t="s">
        <v>583</v>
      </c>
      <c r="C24" s="26" t="n">
        <f aca="false">COUNTIF('Framework Crosswalk'!$A$5:$A$895,A24)</f>
        <v>7</v>
      </c>
      <c r="D24" s="26" t="n">
        <f aca="false">C24-COUNTIFS('Framework Crosswalk'!$A$5:$A$895,A24,'Framework Crosswalk'!$K$5:$K$895,"No wiki control")</f>
        <v>6</v>
      </c>
      <c r="E24" s="26" t="n">
        <f aca="false">COUNTIFS('Framework Crosswalk'!$A$5:$A$895,A24,'Framework Crosswalk'!$K$5:$K$895,"Fully covered")</f>
        <v>0</v>
      </c>
      <c r="F24" s="26" t="n">
        <f aca="false">COUNTIFS('Framework Crosswalk'!$A$5:$A$895,A24,'Framework Crosswalk'!$K$5:$K$895,"Partly covered")</f>
        <v>0</v>
      </c>
      <c r="G24" s="26" t="n">
        <f aca="false">COUNTIFS('Framework Crosswalk'!$A$5:$A$895,A24,'Framework Crosswalk'!$K$5:$K$895,"Not covered")</f>
        <v>6</v>
      </c>
      <c r="H24" s="48" t="n">
        <f aca="false">IF(D24=0,"",E24/D24)</f>
        <v>0</v>
      </c>
    </row>
    <row r="25" customFormat="false" ht="15" hidden="false" customHeight="false" outlineLevel="0" collapsed="false">
      <c r="A25" s="50" t="s">
        <v>591</v>
      </c>
      <c r="B25" s="51" t="s">
        <v>583</v>
      </c>
      <c r="C25" s="26" t="n">
        <f aca="false">COUNTIF('Framework Crosswalk'!$A$5:$A$895,A25)</f>
        <v>7</v>
      </c>
      <c r="D25" s="26" t="n">
        <f aca="false">C25-COUNTIFS('Framework Crosswalk'!$A$5:$A$895,A25,'Framework Crosswalk'!$K$5:$K$895,"No wiki control")</f>
        <v>6</v>
      </c>
      <c r="E25" s="26" t="n">
        <f aca="false">COUNTIFS('Framework Crosswalk'!$A$5:$A$895,A25,'Framework Crosswalk'!$K$5:$K$895,"Fully covered")</f>
        <v>0</v>
      </c>
      <c r="F25" s="26" t="n">
        <f aca="false">COUNTIFS('Framework Crosswalk'!$A$5:$A$895,A25,'Framework Crosswalk'!$K$5:$K$895,"Partly covered")</f>
        <v>0</v>
      </c>
      <c r="G25" s="26" t="n">
        <f aca="false">COUNTIFS('Framework Crosswalk'!$A$5:$A$895,A25,'Framework Crosswalk'!$K$5:$K$895,"Not covered")</f>
        <v>6</v>
      </c>
      <c r="H25" s="48" t="n">
        <f aca="false">IF(D25=0,"",E25/D25)</f>
        <v>0</v>
      </c>
    </row>
    <row r="26" customFormat="false" ht="15" hidden="false" customHeight="false" outlineLevel="0" collapsed="false">
      <c r="A26" s="50" t="s">
        <v>592</v>
      </c>
      <c r="B26" s="51" t="s">
        <v>583</v>
      </c>
      <c r="C26" s="26" t="n">
        <f aca="false">COUNTIF('Framework Crosswalk'!$A$5:$A$895,A26)</f>
        <v>8</v>
      </c>
      <c r="D26" s="26" t="n">
        <f aca="false">C26-COUNTIFS('Framework Crosswalk'!$A$5:$A$895,A26,'Framework Crosswalk'!$K$5:$K$895,"No wiki control")</f>
        <v>8</v>
      </c>
      <c r="E26" s="26" t="n">
        <f aca="false">COUNTIFS('Framework Crosswalk'!$A$5:$A$895,A26,'Framework Crosswalk'!$K$5:$K$895,"Fully covered")</f>
        <v>0</v>
      </c>
      <c r="F26" s="26" t="n">
        <f aca="false">COUNTIFS('Framework Crosswalk'!$A$5:$A$895,A26,'Framework Crosswalk'!$K$5:$K$895,"Partly covered")</f>
        <v>0</v>
      </c>
      <c r="G26" s="26" t="n">
        <f aca="false">COUNTIFS('Framework Crosswalk'!$A$5:$A$895,A26,'Framework Crosswalk'!$K$5:$K$895,"Not covered")</f>
        <v>8</v>
      </c>
      <c r="H26" s="48" t="n">
        <f aca="false">IF(D26=0,"",E26/D26)</f>
        <v>0</v>
      </c>
    </row>
    <row r="27" customFormat="false" ht="15" hidden="false" customHeight="false" outlineLevel="0" collapsed="false">
      <c r="A27" s="50" t="s">
        <v>593</v>
      </c>
      <c r="B27" s="51" t="s">
        <v>583</v>
      </c>
      <c r="C27" s="26" t="n">
        <f aca="false">COUNTIF('Framework Crosswalk'!$A$5:$A$895,A27)</f>
        <v>4</v>
      </c>
      <c r="D27" s="26" t="n">
        <f aca="false">C27-COUNTIFS('Framework Crosswalk'!$A$5:$A$895,A27,'Framework Crosswalk'!$K$5:$K$895,"No wiki control")</f>
        <v>3</v>
      </c>
      <c r="E27" s="26" t="n">
        <f aca="false">COUNTIFS('Framework Crosswalk'!$A$5:$A$895,A27,'Framework Crosswalk'!$K$5:$K$895,"Fully covered")</f>
        <v>0</v>
      </c>
      <c r="F27" s="26" t="n">
        <f aca="false">COUNTIFS('Framework Crosswalk'!$A$5:$A$895,A27,'Framework Crosswalk'!$K$5:$K$895,"Partly covered")</f>
        <v>0</v>
      </c>
      <c r="G27" s="26" t="n">
        <f aca="false">COUNTIFS('Framework Crosswalk'!$A$5:$A$895,A27,'Framework Crosswalk'!$K$5:$K$895,"Not covered")</f>
        <v>3</v>
      </c>
      <c r="H27" s="48" t="n">
        <f aca="false">IF(D27=0,"",E27/D27)</f>
        <v>0</v>
      </c>
    </row>
    <row r="28" customFormat="false" ht="15" hidden="false" customHeight="false" outlineLevel="0" collapsed="false">
      <c r="A28" s="50" t="s">
        <v>594</v>
      </c>
      <c r="B28" s="51" t="s">
        <v>583</v>
      </c>
      <c r="C28" s="26" t="n">
        <f aca="false">COUNTIF('Framework Crosswalk'!$A$5:$A$895,A28)</f>
        <v>4</v>
      </c>
      <c r="D28" s="26" t="n">
        <f aca="false">C28-COUNTIFS('Framework Crosswalk'!$A$5:$A$895,A28,'Framework Crosswalk'!$K$5:$K$895,"No wiki control")</f>
        <v>1</v>
      </c>
      <c r="E28" s="26" t="n">
        <f aca="false">COUNTIFS('Framework Crosswalk'!$A$5:$A$895,A28,'Framework Crosswalk'!$K$5:$K$895,"Fully covered")</f>
        <v>0</v>
      </c>
      <c r="F28" s="26" t="n">
        <f aca="false">COUNTIFS('Framework Crosswalk'!$A$5:$A$895,A28,'Framework Crosswalk'!$K$5:$K$895,"Partly covered")</f>
        <v>0</v>
      </c>
      <c r="G28" s="26" t="n">
        <f aca="false">COUNTIFS('Framework Crosswalk'!$A$5:$A$895,A28,'Framework Crosswalk'!$K$5:$K$895,"Not covered")</f>
        <v>1</v>
      </c>
      <c r="H28" s="48" t="n">
        <f aca="false">IF(D28=0,"",E28/D28)</f>
        <v>0</v>
      </c>
    </row>
    <row r="29" customFormat="false" ht="15" hidden="false" customHeight="false" outlineLevel="0" collapsed="false">
      <c r="A29" s="50" t="s">
        <v>595</v>
      </c>
      <c r="B29" s="51" t="s">
        <v>583</v>
      </c>
      <c r="C29" s="26" t="n">
        <f aca="false">COUNTIF('Framework Crosswalk'!$A$5:$A$895,A29)</f>
        <v>7</v>
      </c>
      <c r="D29" s="26" t="n">
        <f aca="false">C29-COUNTIFS('Framework Crosswalk'!$A$5:$A$895,A29,'Framework Crosswalk'!$K$5:$K$895,"No wiki control")</f>
        <v>4</v>
      </c>
      <c r="E29" s="26" t="n">
        <f aca="false">COUNTIFS('Framework Crosswalk'!$A$5:$A$895,A29,'Framework Crosswalk'!$K$5:$K$895,"Fully covered")</f>
        <v>0</v>
      </c>
      <c r="F29" s="26" t="n">
        <f aca="false">COUNTIFS('Framework Crosswalk'!$A$5:$A$895,A29,'Framework Crosswalk'!$K$5:$K$895,"Partly covered")</f>
        <v>0</v>
      </c>
      <c r="G29" s="26" t="n">
        <f aca="false">COUNTIFS('Framework Crosswalk'!$A$5:$A$895,A29,'Framework Crosswalk'!$K$5:$K$895,"Not covered")</f>
        <v>4</v>
      </c>
      <c r="H29" s="48" t="n">
        <f aca="false">IF(D29=0,"",E29/D29)</f>
        <v>0</v>
      </c>
    </row>
    <row r="30" customFormat="false" ht="15" hidden="false" customHeight="false" outlineLevel="0" collapsed="false">
      <c r="A30" s="52" t="s">
        <v>596</v>
      </c>
      <c r="B30" s="53" t="s">
        <v>597</v>
      </c>
      <c r="C30" s="26" t="n">
        <f aca="false">COUNTIF('Framework Crosswalk'!$A$5:$A$895,A30)</f>
        <v>22</v>
      </c>
      <c r="D30" s="26" t="n">
        <f aca="false">C30-COUNTIFS('Framework Crosswalk'!$A$5:$A$895,A30,'Framework Crosswalk'!$K$5:$K$895,"No wiki control")</f>
        <v>21</v>
      </c>
      <c r="E30" s="26" t="n">
        <f aca="false">COUNTIFS('Framework Crosswalk'!$A$5:$A$895,A30,'Framework Crosswalk'!$K$5:$K$895,"Fully covered")</f>
        <v>0</v>
      </c>
      <c r="F30" s="26" t="n">
        <f aca="false">COUNTIFS('Framework Crosswalk'!$A$5:$A$895,A30,'Framework Crosswalk'!$K$5:$K$895,"Partly covered")</f>
        <v>0</v>
      </c>
      <c r="G30" s="26" t="n">
        <f aca="false">COUNTIFS('Framework Crosswalk'!$A$5:$A$895,A30,'Framework Crosswalk'!$K$5:$K$895,"Not covered")</f>
        <v>21</v>
      </c>
      <c r="H30" s="48" t="n">
        <f aca="false">IF(D30=0,"",E30/D30)</f>
        <v>0</v>
      </c>
    </row>
    <row r="31" customFormat="false" ht="15" hidden="false" customHeight="false" outlineLevel="0" collapsed="false">
      <c r="A31" s="52" t="s">
        <v>598</v>
      </c>
      <c r="B31" s="53" t="s">
        <v>597</v>
      </c>
      <c r="C31" s="26" t="n">
        <f aca="false">COUNTIF('Framework Crosswalk'!$A$5:$A$895,A31)</f>
        <v>18</v>
      </c>
      <c r="D31" s="26" t="n">
        <f aca="false">C31-COUNTIFS('Framework Crosswalk'!$A$5:$A$895,A31,'Framework Crosswalk'!$K$5:$K$895,"No wiki control")</f>
        <v>18</v>
      </c>
      <c r="E31" s="26" t="n">
        <f aca="false">COUNTIFS('Framework Crosswalk'!$A$5:$A$895,A31,'Framework Crosswalk'!$K$5:$K$895,"Fully covered")</f>
        <v>0</v>
      </c>
      <c r="F31" s="26" t="n">
        <f aca="false">COUNTIFS('Framework Crosswalk'!$A$5:$A$895,A31,'Framework Crosswalk'!$K$5:$K$895,"Partly covered")</f>
        <v>0</v>
      </c>
      <c r="G31" s="26" t="n">
        <f aca="false">COUNTIFS('Framework Crosswalk'!$A$5:$A$895,A31,'Framework Crosswalk'!$K$5:$K$895,"Not covered")</f>
        <v>18</v>
      </c>
      <c r="H31" s="48" t="n">
        <f aca="false">IF(D31=0,"",E31/D31)</f>
        <v>0</v>
      </c>
    </row>
    <row r="32" customFormat="false" ht="15" hidden="false" customHeight="false" outlineLevel="0" collapsed="false">
      <c r="A32" s="52" t="s">
        <v>599</v>
      </c>
      <c r="B32" s="53" t="s">
        <v>597</v>
      </c>
      <c r="C32" s="26" t="n">
        <f aca="false">COUNTIF('Framework Crosswalk'!$A$5:$A$895,A32)</f>
        <v>61</v>
      </c>
      <c r="D32" s="26" t="n">
        <f aca="false">C32-COUNTIFS('Framework Crosswalk'!$A$5:$A$895,A32,'Framework Crosswalk'!$K$5:$K$895,"No wiki control")</f>
        <v>38</v>
      </c>
      <c r="E32" s="26" t="n">
        <f aca="false">COUNTIFS('Framework Crosswalk'!$A$5:$A$895,A32,'Framework Crosswalk'!$K$5:$K$895,"Fully covered")</f>
        <v>0</v>
      </c>
      <c r="F32" s="26" t="n">
        <f aca="false">COUNTIFS('Framework Crosswalk'!$A$5:$A$895,A32,'Framework Crosswalk'!$K$5:$K$895,"Partly covered")</f>
        <v>0</v>
      </c>
      <c r="G32" s="26" t="n">
        <f aca="false">COUNTIFS('Framework Crosswalk'!$A$5:$A$895,A32,'Framework Crosswalk'!$K$5:$K$895,"Not covered")</f>
        <v>38</v>
      </c>
      <c r="H32" s="48" t="n">
        <f aca="false">IF(D32=0,"",E32/D32)</f>
        <v>0</v>
      </c>
    </row>
    <row r="33" customFormat="false" ht="15" hidden="false" customHeight="false" outlineLevel="0" collapsed="false">
      <c r="A33" s="54" t="s">
        <v>600</v>
      </c>
      <c r="B33" s="55" t="s">
        <v>601</v>
      </c>
      <c r="C33" s="26" t="n">
        <f aca="false">COUNTIF('Framework Crosswalk'!$A$5:$A$895,A33)</f>
        <v>5</v>
      </c>
      <c r="D33" s="26" t="n">
        <f aca="false">C33-COUNTIFS('Framework Crosswalk'!$A$5:$A$895,A33,'Framework Crosswalk'!$K$5:$K$895,"No wiki control")</f>
        <v>5</v>
      </c>
      <c r="E33" s="26" t="n">
        <f aca="false">COUNTIFS('Framework Crosswalk'!$A$5:$A$895,A33,'Framework Crosswalk'!$K$5:$K$895,"Fully covered")</f>
        <v>0</v>
      </c>
      <c r="F33" s="26" t="n">
        <f aca="false">COUNTIFS('Framework Crosswalk'!$A$5:$A$895,A33,'Framework Crosswalk'!$K$5:$K$895,"Partly covered")</f>
        <v>0</v>
      </c>
      <c r="G33" s="26" t="n">
        <f aca="false">COUNTIFS('Framework Crosswalk'!$A$5:$A$895,A33,'Framework Crosswalk'!$K$5:$K$895,"Not covered")</f>
        <v>5</v>
      </c>
      <c r="H33" s="48" t="n">
        <f aca="false">IF(D33=0,"",E33/D33)</f>
        <v>0</v>
      </c>
    </row>
    <row r="34" customFormat="false" ht="15" hidden="false" customHeight="false" outlineLevel="0" collapsed="false">
      <c r="A34" s="54" t="s">
        <v>602</v>
      </c>
      <c r="B34" s="55" t="s">
        <v>601</v>
      </c>
      <c r="C34" s="26" t="n">
        <f aca="false">COUNTIF('Framework Crosswalk'!$A$5:$A$895,A34)</f>
        <v>7</v>
      </c>
      <c r="D34" s="26" t="n">
        <f aca="false">C34-COUNTIFS('Framework Crosswalk'!$A$5:$A$895,A34,'Framework Crosswalk'!$K$5:$K$895,"No wiki control")</f>
        <v>6</v>
      </c>
      <c r="E34" s="26" t="n">
        <f aca="false">COUNTIFS('Framework Crosswalk'!$A$5:$A$895,A34,'Framework Crosswalk'!$K$5:$K$895,"Fully covered")</f>
        <v>0</v>
      </c>
      <c r="F34" s="26" t="n">
        <f aca="false">COUNTIFS('Framework Crosswalk'!$A$5:$A$895,A34,'Framework Crosswalk'!$K$5:$K$895,"Partly covered")</f>
        <v>0</v>
      </c>
      <c r="G34" s="26" t="n">
        <f aca="false">COUNTIFS('Framework Crosswalk'!$A$5:$A$895,A34,'Framework Crosswalk'!$K$5:$K$895,"Not covered")</f>
        <v>6</v>
      </c>
      <c r="H34" s="48" t="n">
        <f aca="false">IF(D34=0,"",E34/D34)</f>
        <v>0</v>
      </c>
    </row>
    <row r="35" customFormat="false" ht="15" hidden="false" customHeight="false" outlineLevel="0" collapsed="false">
      <c r="A35" s="54" t="s">
        <v>603</v>
      </c>
      <c r="B35" s="55" t="s">
        <v>601</v>
      </c>
      <c r="C35" s="26" t="n">
        <f aca="false">COUNTIF('Framework Crosswalk'!$A$5:$A$895,A35)</f>
        <v>10</v>
      </c>
      <c r="D35" s="26" t="n">
        <f aca="false">C35-COUNTIFS('Framework Crosswalk'!$A$5:$A$895,A35,'Framework Crosswalk'!$K$5:$K$895,"No wiki control")</f>
        <v>9</v>
      </c>
      <c r="E35" s="26" t="n">
        <f aca="false">COUNTIFS('Framework Crosswalk'!$A$5:$A$895,A35,'Framework Crosswalk'!$K$5:$K$895,"Fully covered")</f>
        <v>0</v>
      </c>
      <c r="F35" s="26" t="n">
        <f aca="false">COUNTIFS('Framework Crosswalk'!$A$5:$A$895,A35,'Framework Crosswalk'!$K$5:$K$895,"Partly covered")</f>
        <v>0</v>
      </c>
      <c r="G35" s="26" t="n">
        <f aca="false">COUNTIFS('Framework Crosswalk'!$A$5:$A$895,A35,'Framework Crosswalk'!$K$5:$K$895,"Not covered")</f>
        <v>9</v>
      </c>
      <c r="H35" s="48" t="n">
        <f aca="false">IF(D35=0,"",E35/D35)</f>
        <v>0</v>
      </c>
    </row>
    <row r="36" customFormat="false" ht="15" hidden="false" customHeight="false" outlineLevel="0" collapsed="false">
      <c r="A36" s="54" t="s">
        <v>604</v>
      </c>
      <c r="B36" s="55" t="s">
        <v>601</v>
      </c>
      <c r="C36" s="26" t="n">
        <f aca="false">COUNTIF('Framework Crosswalk'!$A$5:$A$895,A36)</f>
        <v>5</v>
      </c>
      <c r="D36" s="26" t="n">
        <f aca="false">C36-COUNTIFS('Framework Crosswalk'!$A$5:$A$895,A36,'Framework Crosswalk'!$K$5:$K$895,"No wiki control")</f>
        <v>4</v>
      </c>
      <c r="E36" s="26" t="n">
        <f aca="false">COUNTIFS('Framework Crosswalk'!$A$5:$A$895,A36,'Framework Crosswalk'!$K$5:$K$895,"Fully covered")</f>
        <v>0</v>
      </c>
      <c r="F36" s="26" t="n">
        <f aca="false">COUNTIFS('Framework Crosswalk'!$A$5:$A$895,A36,'Framework Crosswalk'!$K$5:$K$895,"Partly covered")</f>
        <v>0</v>
      </c>
      <c r="G36" s="26" t="n">
        <f aca="false">COUNTIFS('Framework Crosswalk'!$A$5:$A$895,A36,'Framework Crosswalk'!$K$5:$K$895,"Not covered")</f>
        <v>4</v>
      </c>
      <c r="H36" s="48" t="n">
        <f aca="false">IF(D36=0,"",E36/D36)</f>
        <v>0</v>
      </c>
    </row>
    <row r="37" customFormat="false" ht="15" hidden="false" customHeight="false" outlineLevel="0" collapsed="false">
      <c r="A37" s="56" t="s">
        <v>605</v>
      </c>
      <c r="B37" s="39" t="s">
        <v>606</v>
      </c>
      <c r="C37" s="26" t="n">
        <f aca="false">COUNTIF('Framework Crosswalk'!$A$5:$A$895,A37)</f>
        <v>12</v>
      </c>
      <c r="D37" s="26" t="n">
        <f aca="false">C37-COUNTIFS('Framework Crosswalk'!$A$5:$A$895,A37,'Framework Crosswalk'!$K$5:$K$895,"No wiki control")</f>
        <v>10</v>
      </c>
      <c r="E37" s="26" t="n">
        <f aca="false">COUNTIFS('Framework Crosswalk'!$A$5:$A$895,A37,'Framework Crosswalk'!$K$5:$K$895,"Fully covered")</f>
        <v>0</v>
      </c>
      <c r="F37" s="26" t="n">
        <f aca="false">COUNTIFS('Framework Crosswalk'!$A$5:$A$895,A37,'Framework Crosswalk'!$K$5:$K$895,"Partly covered")</f>
        <v>0</v>
      </c>
      <c r="G37" s="26" t="n">
        <f aca="false">COUNTIFS('Framework Crosswalk'!$A$5:$A$895,A37,'Framework Crosswalk'!$K$5:$K$895,"Not covered")</f>
        <v>10</v>
      </c>
      <c r="H37" s="48" t="n">
        <f aca="false">IF(D37=0,"",E37/D37)</f>
        <v>0</v>
      </c>
    </row>
    <row r="38" customFormat="false" ht="15" hidden="false" customHeight="false" outlineLevel="0" collapsed="false">
      <c r="A38" s="56" t="s">
        <v>607</v>
      </c>
      <c r="B38" s="39" t="s">
        <v>606</v>
      </c>
      <c r="C38" s="26" t="n">
        <f aca="false">COUNTIF('Framework Crosswalk'!$A$5:$A$895,A38)</f>
        <v>11</v>
      </c>
      <c r="D38" s="26" t="n">
        <f aca="false">C38-COUNTIFS('Framework Crosswalk'!$A$5:$A$895,A38,'Framework Crosswalk'!$K$5:$K$895,"No wiki control")</f>
        <v>8</v>
      </c>
      <c r="E38" s="26" t="n">
        <f aca="false">COUNTIFS('Framework Crosswalk'!$A$5:$A$895,A38,'Framework Crosswalk'!$K$5:$K$895,"Fully covered")</f>
        <v>0</v>
      </c>
      <c r="F38" s="26" t="n">
        <f aca="false">COUNTIFS('Framework Crosswalk'!$A$5:$A$895,A38,'Framework Crosswalk'!$K$5:$K$895,"Partly covered")</f>
        <v>0</v>
      </c>
      <c r="G38" s="26" t="n">
        <f aca="false">COUNTIFS('Framework Crosswalk'!$A$5:$A$895,A38,'Framework Crosswalk'!$K$5:$K$895,"Not covered")</f>
        <v>8</v>
      </c>
      <c r="H38" s="48" t="n">
        <f aca="false">IF(D38=0,"",E38/D38)</f>
        <v>0</v>
      </c>
    </row>
    <row r="39" customFormat="false" ht="15" hidden="false" customHeight="false" outlineLevel="0" collapsed="false">
      <c r="A39" s="57" t="s">
        <v>608</v>
      </c>
      <c r="B39" s="58" t="s">
        <v>609</v>
      </c>
      <c r="C39" s="26" t="n">
        <f aca="false">COUNTIF('Framework Crosswalk'!$A$5:$A$895,A39)</f>
        <v>14</v>
      </c>
      <c r="D39" s="26" t="n">
        <f aca="false">C39-COUNTIFS('Framework Crosswalk'!$A$5:$A$895,A39,'Framework Crosswalk'!$K$5:$K$895,"No wiki control")</f>
        <v>14</v>
      </c>
      <c r="E39" s="26" t="n">
        <f aca="false">COUNTIFS('Framework Crosswalk'!$A$5:$A$895,A39,'Framework Crosswalk'!$K$5:$K$895,"Fully covered")</f>
        <v>0</v>
      </c>
      <c r="F39" s="26" t="n">
        <f aca="false">COUNTIFS('Framework Crosswalk'!$A$5:$A$895,A39,'Framework Crosswalk'!$K$5:$K$895,"Partly covered")</f>
        <v>0</v>
      </c>
      <c r="G39" s="26" t="n">
        <f aca="false">COUNTIFS('Framework Crosswalk'!$A$5:$A$895,A39,'Framework Crosswalk'!$K$5:$K$895,"Not covered")</f>
        <v>14</v>
      </c>
      <c r="H39" s="48" t="n">
        <f aca="false">IF(D39=0,"",E39/D39)</f>
        <v>0</v>
      </c>
    </row>
    <row r="40" customFormat="false" ht="15" hidden="false" customHeight="false" outlineLevel="0" collapsed="false">
      <c r="A40" s="57" t="s">
        <v>610</v>
      </c>
      <c r="B40" s="58" t="s">
        <v>609</v>
      </c>
      <c r="C40" s="26" t="n">
        <f aca="false">COUNTIF('Framework Crosswalk'!$A$5:$A$895,A40)</f>
        <v>33</v>
      </c>
      <c r="D40" s="26" t="n">
        <f aca="false">C40-COUNTIFS('Framework Crosswalk'!$A$5:$A$895,A40,'Framework Crosswalk'!$K$5:$K$895,"No wiki control")</f>
        <v>26</v>
      </c>
      <c r="E40" s="26" t="n">
        <f aca="false">COUNTIFS('Framework Crosswalk'!$A$5:$A$895,A40,'Framework Crosswalk'!$K$5:$K$895,"Fully covered")</f>
        <v>0</v>
      </c>
      <c r="F40" s="26" t="n">
        <f aca="false">COUNTIFS('Framework Crosswalk'!$A$5:$A$895,A40,'Framework Crosswalk'!$K$5:$K$895,"Partly covered")</f>
        <v>0</v>
      </c>
      <c r="G40" s="26" t="n">
        <f aca="false">COUNTIFS('Framework Crosswalk'!$A$5:$A$895,A40,'Framework Crosswalk'!$K$5:$K$895,"Not covered")</f>
        <v>26</v>
      </c>
      <c r="H40" s="48" t="n">
        <f aca="false">IF(D40=0,"",E40/D40)</f>
        <v>0</v>
      </c>
    </row>
    <row r="41" customFormat="false" ht="15" hidden="false" customHeight="false" outlineLevel="0" collapsed="false">
      <c r="A41" s="57" t="s">
        <v>611</v>
      </c>
      <c r="B41" s="58" t="s">
        <v>609</v>
      </c>
      <c r="C41" s="26" t="n">
        <f aca="false">COUNTIF('Framework Crosswalk'!$A$5:$A$895,A41)</f>
        <v>23</v>
      </c>
      <c r="D41" s="26" t="n">
        <f aca="false">C41-COUNTIFS('Framework Crosswalk'!$A$5:$A$895,A41,'Framework Crosswalk'!$K$5:$K$895,"No wiki control")</f>
        <v>21</v>
      </c>
      <c r="E41" s="26" t="n">
        <f aca="false">COUNTIFS('Framework Crosswalk'!$A$5:$A$895,A41,'Framework Crosswalk'!$K$5:$K$895,"Fully covered")</f>
        <v>0</v>
      </c>
      <c r="F41" s="26" t="n">
        <f aca="false">COUNTIFS('Framework Crosswalk'!$A$5:$A$895,A41,'Framework Crosswalk'!$K$5:$K$895,"Partly covered")</f>
        <v>0</v>
      </c>
      <c r="G41" s="26" t="n">
        <f aca="false">COUNTIFS('Framework Crosswalk'!$A$5:$A$895,A41,'Framework Crosswalk'!$K$5:$K$895,"Not covered")</f>
        <v>21</v>
      </c>
      <c r="H41" s="48" t="n">
        <f aca="false">IF(D41=0,"",E41/D41)</f>
        <v>0</v>
      </c>
    </row>
    <row r="42" customFormat="false" ht="15" hidden="false" customHeight="false" outlineLevel="0" collapsed="false">
      <c r="A42" s="57" t="s">
        <v>612</v>
      </c>
      <c r="B42" s="58" t="s">
        <v>609</v>
      </c>
      <c r="C42" s="26" t="n">
        <f aca="false">COUNTIF('Framework Crosswalk'!$A$5:$A$895,A42)</f>
        <v>13</v>
      </c>
      <c r="D42" s="26" t="n">
        <f aca="false">C42-COUNTIFS('Framework Crosswalk'!$A$5:$A$895,A42,'Framework Crosswalk'!$K$5:$K$895,"No wiki control")</f>
        <v>12</v>
      </c>
      <c r="E42" s="26" t="n">
        <f aca="false">COUNTIFS('Framework Crosswalk'!$A$5:$A$895,A42,'Framework Crosswalk'!$K$5:$K$895,"Fully covered")</f>
        <v>0</v>
      </c>
      <c r="F42" s="26" t="n">
        <f aca="false">COUNTIFS('Framework Crosswalk'!$A$5:$A$895,A42,'Framework Crosswalk'!$K$5:$K$895,"Partly covered")</f>
        <v>0</v>
      </c>
      <c r="G42" s="26" t="n">
        <f aca="false">COUNTIFS('Framework Crosswalk'!$A$5:$A$895,A42,'Framework Crosswalk'!$K$5:$K$895,"Not covered")</f>
        <v>12</v>
      </c>
      <c r="H42" s="48" t="n">
        <f aca="false">IF(D42=0,"",E42/D42)</f>
        <v>0</v>
      </c>
    </row>
    <row r="43" customFormat="false" ht="15" hidden="false" customHeight="false" outlineLevel="0" collapsed="false">
      <c r="A43" s="57" t="s">
        <v>613</v>
      </c>
      <c r="B43" s="58" t="s">
        <v>609</v>
      </c>
      <c r="C43" s="26" t="n">
        <f aca="false">COUNTIF('Framework Crosswalk'!$A$5:$A$895,A43)</f>
        <v>17</v>
      </c>
      <c r="D43" s="26" t="n">
        <f aca="false">C43-COUNTIFS('Framework Crosswalk'!$A$5:$A$895,A43,'Framework Crosswalk'!$K$5:$K$895,"No wiki control")</f>
        <v>13</v>
      </c>
      <c r="E43" s="26" t="n">
        <f aca="false">COUNTIFS('Framework Crosswalk'!$A$5:$A$895,A43,'Framework Crosswalk'!$K$5:$K$895,"Fully covered")</f>
        <v>0</v>
      </c>
      <c r="F43" s="26" t="n">
        <f aca="false">COUNTIFS('Framework Crosswalk'!$A$5:$A$895,A43,'Framework Crosswalk'!$K$5:$K$895,"Partly covered")</f>
        <v>0</v>
      </c>
      <c r="G43" s="26" t="n">
        <f aca="false">COUNTIFS('Framework Crosswalk'!$A$5:$A$895,A43,'Framework Crosswalk'!$K$5:$K$895,"Not covered")</f>
        <v>13</v>
      </c>
      <c r="H43" s="48" t="n">
        <f aca="false">IF(D43=0,"",E43/D43)</f>
        <v>0</v>
      </c>
    </row>
    <row r="44" customFormat="false" ht="15" hidden="false" customHeight="false" outlineLevel="0" collapsed="false">
      <c r="A44" s="57" t="s">
        <v>614</v>
      </c>
      <c r="B44" s="58" t="s">
        <v>609</v>
      </c>
      <c r="C44" s="26" t="n">
        <f aca="false">COUNTIF('Framework Crosswalk'!$A$5:$A$895,A44)</f>
        <v>10</v>
      </c>
      <c r="D44" s="26" t="n">
        <f aca="false">C44-COUNTIFS('Framework Crosswalk'!$A$5:$A$895,A44,'Framework Crosswalk'!$K$5:$K$895,"No wiki control")</f>
        <v>9</v>
      </c>
      <c r="E44" s="26" t="n">
        <f aca="false">COUNTIFS('Framework Crosswalk'!$A$5:$A$895,A44,'Framework Crosswalk'!$K$5:$K$895,"Fully covered")</f>
        <v>0</v>
      </c>
      <c r="F44" s="26" t="n">
        <f aca="false">COUNTIFS('Framework Crosswalk'!$A$5:$A$895,A44,'Framework Crosswalk'!$K$5:$K$895,"Partly covered")</f>
        <v>0</v>
      </c>
      <c r="G44" s="26" t="n">
        <f aca="false">COUNTIFS('Framework Crosswalk'!$A$5:$A$895,A44,'Framework Crosswalk'!$K$5:$K$895,"Not covered")</f>
        <v>9</v>
      </c>
      <c r="H44" s="48" t="n">
        <f aca="false">IF(D44=0,"",E44/D44)</f>
        <v>0</v>
      </c>
    </row>
    <row r="45" customFormat="false" ht="15" hidden="false" customHeight="false" outlineLevel="0" collapsed="false">
      <c r="A45" s="57" t="s">
        <v>615</v>
      </c>
      <c r="B45" s="58" t="s">
        <v>609</v>
      </c>
      <c r="C45" s="26" t="n">
        <f aca="false">COUNTIF('Framework Crosswalk'!$A$5:$A$895,A45)</f>
        <v>4</v>
      </c>
      <c r="D45" s="26" t="n">
        <f aca="false">C45-COUNTIFS('Framework Crosswalk'!$A$5:$A$895,A45,'Framework Crosswalk'!$K$5:$K$895,"No wiki control")</f>
        <v>4</v>
      </c>
      <c r="E45" s="26" t="n">
        <f aca="false">COUNTIFS('Framework Crosswalk'!$A$5:$A$895,A45,'Framework Crosswalk'!$K$5:$K$895,"Fully covered")</f>
        <v>0</v>
      </c>
      <c r="F45" s="26" t="n">
        <f aca="false">COUNTIFS('Framework Crosswalk'!$A$5:$A$895,A45,'Framework Crosswalk'!$K$5:$K$895,"Partly covered")</f>
        <v>0</v>
      </c>
      <c r="G45" s="26" t="n">
        <f aca="false">COUNTIFS('Framework Crosswalk'!$A$5:$A$895,A45,'Framework Crosswalk'!$K$5:$K$895,"Not covered")</f>
        <v>4</v>
      </c>
      <c r="H45" s="48" t="n">
        <f aca="false">IF(D45=0,"",E45/D45)</f>
        <v>0</v>
      </c>
    </row>
    <row r="46" customFormat="false" ht="15" hidden="false" customHeight="false" outlineLevel="0" collapsed="false">
      <c r="A46" s="57" t="s">
        <v>616</v>
      </c>
      <c r="B46" s="58" t="s">
        <v>609</v>
      </c>
      <c r="C46" s="26" t="n">
        <f aca="false">COUNTIF('Framework Crosswalk'!$A$5:$A$895,A46)</f>
        <v>8</v>
      </c>
      <c r="D46" s="26" t="n">
        <f aca="false">C46-COUNTIFS('Framework Crosswalk'!$A$5:$A$895,A46,'Framework Crosswalk'!$K$5:$K$895,"No wiki control")</f>
        <v>7</v>
      </c>
      <c r="E46" s="26" t="n">
        <f aca="false">COUNTIFS('Framework Crosswalk'!$A$5:$A$895,A46,'Framework Crosswalk'!$K$5:$K$895,"Fully covered")</f>
        <v>0</v>
      </c>
      <c r="F46" s="26" t="n">
        <f aca="false">COUNTIFS('Framework Crosswalk'!$A$5:$A$895,A46,'Framework Crosswalk'!$K$5:$K$895,"Partly covered")</f>
        <v>0</v>
      </c>
      <c r="G46" s="26" t="n">
        <f aca="false">COUNTIFS('Framework Crosswalk'!$A$5:$A$895,A46,'Framework Crosswalk'!$K$5:$K$895,"Not covered")</f>
        <v>7</v>
      </c>
      <c r="H46" s="48" t="n">
        <f aca="false">IF(D46=0,"",E46/D46)</f>
        <v>0</v>
      </c>
    </row>
    <row r="47" customFormat="false" ht="15" hidden="false" customHeight="false" outlineLevel="0" collapsed="false">
      <c r="A47" s="57" t="s">
        <v>617</v>
      </c>
      <c r="B47" s="58" t="s">
        <v>609</v>
      </c>
      <c r="C47" s="26" t="n">
        <f aca="false">COUNTIF('Framework Crosswalk'!$A$5:$A$895,A47)</f>
        <v>9</v>
      </c>
      <c r="D47" s="26" t="n">
        <f aca="false">C47-COUNTIFS('Framework Crosswalk'!$A$5:$A$895,A47,'Framework Crosswalk'!$K$5:$K$895,"No wiki control")</f>
        <v>8</v>
      </c>
      <c r="E47" s="26" t="n">
        <f aca="false">COUNTIFS('Framework Crosswalk'!$A$5:$A$895,A47,'Framework Crosswalk'!$K$5:$K$895,"Fully covered")</f>
        <v>0</v>
      </c>
      <c r="F47" s="26" t="n">
        <f aca="false">COUNTIFS('Framework Crosswalk'!$A$5:$A$895,A47,'Framework Crosswalk'!$K$5:$K$895,"Partly covered")</f>
        <v>0</v>
      </c>
      <c r="G47" s="26" t="n">
        <f aca="false">COUNTIFS('Framework Crosswalk'!$A$5:$A$895,A47,'Framework Crosswalk'!$K$5:$K$895,"Not covered")</f>
        <v>8</v>
      </c>
      <c r="H47" s="48" t="n">
        <f aca="false">IF(D47=0,"",E47/D47)</f>
        <v>0</v>
      </c>
    </row>
    <row r="48" customFormat="false" ht="15" hidden="false" customHeight="false" outlineLevel="0" collapsed="false">
      <c r="A48" s="57" t="s">
        <v>618</v>
      </c>
      <c r="B48" s="58" t="s">
        <v>609</v>
      </c>
      <c r="C48" s="26" t="n">
        <f aca="false">COUNTIF('Framework Crosswalk'!$A$5:$A$895,A48)</f>
        <v>12</v>
      </c>
      <c r="D48" s="26" t="n">
        <f aca="false">C48-COUNTIFS('Framework Crosswalk'!$A$5:$A$895,A48,'Framework Crosswalk'!$K$5:$K$895,"No wiki control")</f>
        <v>11</v>
      </c>
      <c r="E48" s="26" t="n">
        <f aca="false">COUNTIFS('Framework Crosswalk'!$A$5:$A$895,A48,'Framework Crosswalk'!$K$5:$K$895,"Fully covered")</f>
        <v>0</v>
      </c>
      <c r="F48" s="26" t="n">
        <f aca="false">COUNTIFS('Framework Crosswalk'!$A$5:$A$895,A48,'Framework Crosswalk'!$K$5:$K$895,"Partly covered")</f>
        <v>0</v>
      </c>
      <c r="G48" s="26" t="n">
        <f aca="false">COUNTIFS('Framework Crosswalk'!$A$5:$A$895,A48,'Framework Crosswalk'!$K$5:$K$895,"Not covered")</f>
        <v>11</v>
      </c>
      <c r="H48" s="48" t="n">
        <f aca="false">IF(D48=0,"",E48/D48)</f>
        <v>0</v>
      </c>
    </row>
    <row r="49" customFormat="false" ht="15" hidden="false" customHeight="false" outlineLevel="0" collapsed="false">
      <c r="A49" s="57" t="s">
        <v>619</v>
      </c>
      <c r="B49" s="58" t="s">
        <v>609</v>
      </c>
      <c r="C49" s="26" t="n">
        <f aca="false">COUNTIF('Framework Crosswalk'!$A$5:$A$895,A49)</f>
        <v>6</v>
      </c>
      <c r="D49" s="26" t="n">
        <f aca="false">C49-COUNTIFS('Framework Crosswalk'!$A$5:$A$895,A49,'Framework Crosswalk'!$K$5:$K$895,"No wiki control")</f>
        <v>6</v>
      </c>
      <c r="E49" s="26" t="n">
        <f aca="false">COUNTIFS('Framework Crosswalk'!$A$5:$A$895,A49,'Framework Crosswalk'!$K$5:$K$895,"Fully covered")</f>
        <v>0</v>
      </c>
      <c r="F49" s="26" t="n">
        <f aca="false">COUNTIFS('Framework Crosswalk'!$A$5:$A$895,A49,'Framework Crosswalk'!$K$5:$K$895,"Partly covered")</f>
        <v>0</v>
      </c>
      <c r="G49" s="26" t="n">
        <f aca="false">COUNTIFS('Framework Crosswalk'!$A$5:$A$895,A49,'Framework Crosswalk'!$K$5:$K$895,"Not covered")</f>
        <v>6</v>
      </c>
      <c r="H49" s="48" t="n">
        <f aca="false">IF(D49=0,"",E49/D49)</f>
        <v>0</v>
      </c>
    </row>
    <row r="50" customFormat="false" ht="15" hidden="false" customHeight="false" outlineLevel="0" collapsed="false">
      <c r="A50" s="57" t="s">
        <v>620</v>
      </c>
      <c r="B50" s="58" t="s">
        <v>609</v>
      </c>
      <c r="C50" s="26" t="n">
        <f aca="false">COUNTIF('Framework Crosswalk'!$A$5:$A$895,A50)</f>
        <v>34</v>
      </c>
      <c r="D50" s="26" t="n">
        <f aca="false">C50-COUNTIFS('Framework Crosswalk'!$A$5:$A$895,A50,'Framework Crosswalk'!$K$5:$K$895,"No wiki control")</f>
        <v>34</v>
      </c>
      <c r="E50" s="26" t="n">
        <f aca="false">COUNTIFS('Framework Crosswalk'!$A$5:$A$895,A50,'Framework Crosswalk'!$K$5:$K$895,"Fully covered")</f>
        <v>0</v>
      </c>
      <c r="F50" s="26" t="n">
        <f aca="false">COUNTIFS('Framework Crosswalk'!$A$5:$A$895,A50,'Framework Crosswalk'!$K$5:$K$895,"Partly covered")</f>
        <v>0</v>
      </c>
      <c r="G50" s="26" t="n">
        <f aca="false">COUNTIFS('Framework Crosswalk'!$A$5:$A$895,A50,'Framework Crosswalk'!$K$5:$K$895,"Not covered")</f>
        <v>34</v>
      </c>
      <c r="H50" s="48" t="n">
        <f aca="false">IF(D50=0,"",E50/D50)</f>
        <v>0</v>
      </c>
    </row>
    <row r="51" customFormat="false" ht="15" hidden="false" customHeight="false" outlineLevel="0" collapsed="false">
      <c r="A51" s="57" t="s">
        <v>621</v>
      </c>
      <c r="B51" s="58" t="s">
        <v>609</v>
      </c>
      <c r="C51" s="26" t="n">
        <f aca="false">COUNTIF('Framework Crosswalk'!$A$5:$A$895,A51)</f>
        <v>8</v>
      </c>
      <c r="D51" s="26" t="n">
        <f aca="false">C51-COUNTIFS('Framework Crosswalk'!$A$5:$A$895,A51,'Framework Crosswalk'!$K$5:$K$895,"No wiki control")</f>
        <v>6</v>
      </c>
      <c r="E51" s="26" t="n">
        <f aca="false">COUNTIFS('Framework Crosswalk'!$A$5:$A$895,A51,'Framework Crosswalk'!$K$5:$K$895,"Fully covered")</f>
        <v>0</v>
      </c>
      <c r="F51" s="26" t="n">
        <f aca="false">COUNTIFS('Framework Crosswalk'!$A$5:$A$895,A51,'Framework Crosswalk'!$K$5:$K$895,"Partly covered")</f>
        <v>0</v>
      </c>
      <c r="G51" s="26" t="n">
        <f aca="false">COUNTIFS('Framework Crosswalk'!$A$5:$A$895,A51,'Framework Crosswalk'!$K$5:$K$895,"Not covered")</f>
        <v>6</v>
      </c>
      <c r="H51" s="48" t="n">
        <f aca="false">IF(D51=0,"",E51/D51)</f>
        <v>0</v>
      </c>
    </row>
  </sheetData>
  <conditionalFormatting sqref="H5:H51">
    <cfRule type="dataBar" priority="2">
      <dataBar showValue="1" minLength="10" maxLength="90">
        <cfvo type="num" val="0"/>
        <cfvo type="num" val="1"/>
        <color rgb="FF63BE7B"/>
      </dataBar>
      <extLst>
        <ext xmlns:x14="http://schemas.microsoft.com/office/spreadsheetml/2009/9/main" uri="{B025F937-C7B1-47D3-B67F-A62EFF666E3E}">
          <x14:id>{7A4D42A4-CBF1-4F98-9E6A-801EA526971F}</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A4D42A4-CBF1-4F98-9E6A-801EA526971F}">
            <x14:dataBar minLength="10" maxLength="90" axisPosition="none" gradient="true">
              <x14:cfvo type="num">
                <xm:f>0</xm:f>
              </x14:cfvo>
              <x14:cfvo type="num">
                <xm:f>1</xm:f>
              </x14:cfvo>
              <x14:negativeFillColor rgb="FF63BE7B"/>
              <x14:axisColor rgb="FF000000"/>
            </x14:dataBar>
          </x14:cfRule>
          <xm:sqref>H5:H51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8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8"/>
    <col collapsed="false" customWidth="true" hidden="false" outlineLevel="0" max="4" min="4" style="0" width="42"/>
    <col collapsed="false" customWidth="true" hidden="false" outlineLevel="0" max="5" min="5" style="0" width="34"/>
    <col collapsed="false" customWidth="true" hidden="false" outlineLevel="0" max="6" min="6" style="0" width="18"/>
    <col collapsed="false" customWidth="true" hidden="false" outlineLevel="0" max="7" min="7" style="0" width="26"/>
    <col collapsed="false" customWidth="true" hidden="false" outlineLevel="0" max="8" min="8" style="0" width="16"/>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30"/>
  </cols>
  <sheetData>
    <row r="1" customFormat="false" ht="30" hidden="false" customHeight="true" outlineLevel="0" collapsed="false">
      <c r="A1" s="59" t="s">
        <v>40</v>
      </c>
      <c r="B1" s="60"/>
      <c r="C1" s="60"/>
      <c r="D1" s="60"/>
      <c r="E1" s="60"/>
      <c r="F1" s="60"/>
      <c r="G1" s="60"/>
      <c r="H1" s="60"/>
      <c r="I1" s="60"/>
      <c r="J1" s="60"/>
      <c r="K1" s="60"/>
      <c r="L1" s="60"/>
    </row>
    <row r="2" customFormat="false" ht="15" hidden="false" customHeight="false" outlineLevel="0" collapsed="false">
      <c r="A2" s="3" t="s">
        <v>622</v>
      </c>
    </row>
    <row r="4" customFormat="false" ht="31.5" hidden="false" customHeight="true" outlineLevel="0" collapsed="false">
      <c r="A4" s="61" t="s">
        <v>560</v>
      </c>
      <c r="B4" s="61" t="s">
        <v>561</v>
      </c>
      <c r="C4" s="61" t="s">
        <v>623</v>
      </c>
      <c r="D4" s="61" t="s">
        <v>624</v>
      </c>
      <c r="E4" s="61" t="s">
        <v>625</v>
      </c>
      <c r="F4" s="61" t="s">
        <v>626</v>
      </c>
      <c r="G4" s="61" t="s">
        <v>627</v>
      </c>
      <c r="H4" s="61" t="s">
        <v>628</v>
      </c>
      <c r="I4" s="35" t="s">
        <v>629</v>
      </c>
      <c r="J4" s="35" t="s">
        <v>630</v>
      </c>
      <c r="K4" s="35" t="s">
        <v>38</v>
      </c>
      <c r="L4" s="61" t="s">
        <v>631</v>
      </c>
    </row>
    <row r="5" customFormat="false" ht="23.85" hidden="false" customHeight="false" outlineLevel="0" collapsed="false">
      <c r="A5" s="47" t="s">
        <v>568</v>
      </c>
      <c r="B5" s="47" t="s">
        <v>569</v>
      </c>
      <c r="C5" s="5" t="s">
        <v>632</v>
      </c>
      <c r="D5" s="6" t="s">
        <v>633</v>
      </c>
      <c r="E5" s="6" t="s">
        <v>634</v>
      </c>
      <c r="F5" s="6" t="s">
        <v>635</v>
      </c>
      <c r="G5" s="6" t="s">
        <v>636</v>
      </c>
      <c r="H5" s="6" t="s">
        <v>637</v>
      </c>
      <c r="I5" s="26" t="n">
        <v>4</v>
      </c>
      <c r="J5" s="26"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5" s="43" t="str">
        <f aca="false">IF(I5=0,"No wiki control",IF(J5=I5,"Fully covered",IF(J5=0,"Not covered","Partly covered")))</f>
        <v>Not covered</v>
      </c>
      <c r="L5" s="9" t="s">
        <v>638</v>
      </c>
    </row>
    <row r="6" customFormat="false" ht="23.85" hidden="false" customHeight="false" outlineLevel="0" collapsed="false">
      <c r="A6" s="47" t="s">
        <v>568</v>
      </c>
      <c r="B6" s="47" t="s">
        <v>569</v>
      </c>
      <c r="C6" s="5" t="s">
        <v>639</v>
      </c>
      <c r="D6" s="6" t="s">
        <v>640</v>
      </c>
      <c r="E6" s="6" t="s">
        <v>641</v>
      </c>
      <c r="F6" s="6" t="s">
        <v>635</v>
      </c>
      <c r="G6" s="6" t="s">
        <v>642</v>
      </c>
      <c r="H6" s="6" t="s">
        <v>637</v>
      </c>
      <c r="I6" s="26" t="n">
        <v>5</v>
      </c>
      <c r="J6"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6" s="43" t="str">
        <f aca="false">IF(I6=0,"No wiki control",IF(J6=I6,"Fully covered",IF(J6=0,"Not covered","Partly covered")))</f>
        <v>Not covered</v>
      </c>
      <c r="L6" s="9" t="s">
        <v>638</v>
      </c>
    </row>
    <row r="7" customFormat="false" ht="23.85" hidden="false" customHeight="false" outlineLevel="0" collapsed="false">
      <c r="A7" s="47" t="s">
        <v>568</v>
      </c>
      <c r="B7" s="47" t="s">
        <v>569</v>
      </c>
      <c r="C7" s="5" t="s">
        <v>643</v>
      </c>
      <c r="D7" s="6" t="s">
        <v>644</v>
      </c>
      <c r="E7" s="6" t="s">
        <v>641</v>
      </c>
      <c r="F7" s="6" t="s">
        <v>635</v>
      </c>
      <c r="G7" s="6" t="s">
        <v>642</v>
      </c>
      <c r="H7" s="6" t="s">
        <v>637</v>
      </c>
      <c r="I7" s="26" t="n">
        <v>5</v>
      </c>
      <c r="J7"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 s="43" t="str">
        <f aca="false">IF(I7=0,"No wiki control",IF(J7=I7,"Fully covered",IF(J7=0,"Not covered","Partly covered")))</f>
        <v>Not covered</v>
      </c>
      <c r="L7" s="9" t="s">
        <v>638</v>
      </c>
    </row>
    <row r="8" customFormat="false" ht="23.85" hidden="false" customHeight="false" outlineLevel="0" collapsed="false">
      <c r="A8" s="47" t="s">
        <v>568</v>
      </c>
      <c r="B8" s="47" t="s">
        <v>569</v>
      </c>
      <c r="C8" s="5" t="s">
        <v>645</v>
      </c>
      <c r="D8" s="6" t="s">
        <v>646</v>
      </c>
      <c r="E8" s="6" t="s">
        <v>494</v>
      </c>
      <c r="F8" s="6" t="s">
        <v>635</v>
      </c>
      <c r="G8" s="6" t="s">
        <v>647</v>
      </c>
      <c r="H8" s="6" t="s">
        <v>637</v>
      </c>
      <c r="I8" s="26" t="n">
        <v>1</v>
      </c>
      <c r="J8" s="26" t="n">
        <f aca="false">COUNTIFS('Control Library'!$A$5:$A$50,"AI-CTRL-040",'Control Library'!$R$5:$R$50,"Implemented")</f>
        <v>0</v>
      </c>
      <c r="K8" s="43" t="str">
        <f aca="false">IF(I8=0,"No wiki control",IF(J8=I8,"Fully covered",IF(J8=0,"Not covered","Partly covered")))</f>
        <v>Not covered</v>
      </c>
      <c r="L8" s="9" t="s">
        <v>638</v>
      </c>
    </row>
    <row r="9" customFormat="false" ht="23.85" hidden="false" customHeight="false" outlineLevel="0" collapsed="false">
      <c r="A9" s="47" t="s">
        <v>568</v>
      </c>
      <c r="B9" s="47" t="s">
        <v>569</v>
      </c>
      <c r="C9" s="5" t="s">
        <v>648</v>
      </c>
      <c r="D9" s="6" t="s">
        <v>649</v>
      </c>
      <c r="E9" s="6" t="s">
        <v>650</v>
      </c>
      <c r="F9" s="6" t="s">
        <v>635</v>
      </c>
      <c r="G9" s="6" t="s">
        <v>651</v>
      </c>
      <c r="H9" s="6" t="s">
        <v>652</v>
      </c>
      <c r="I9" s="26" t="n">
        <v>4</v>
      </c>
      <c r="J9"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9" s="43" t="str">
        <f aca="false">IF(I9=0,"No wiki control",IF(J9=I9,"Fully covered",IF(J9=0,"Not covered","Partly covered")))</f>
        <v>Not covered</v>
      </c>
      <c r="L9" s="9" t="s">
        <v>638</v>
      </c>
    </row>
    <row r="10" customFormat="false" ht="23.85" hidden="false" customHeight="false" outlineLevel="0" collapsed="false">
      <c r="A10" s="47" t="s">
        <v>568</v>
      </c>
      <c r="B10" s="47" t="s">
        <v>569</v>
      </c>
      <c r="C10" s="5" t="s">
        <v>653</v>
      </c>
      <c r="D10" s="6" t="s">
        <v>654</v>
      </c>
      <c r="E10" s="6" t="s">
        <v>655</v>
      </c>
      <c r="F10" s="6" t="s">
        <v>635</v>
      </c>
      <c r="G10" s="6" t="s">
        <v>656</v>
      </c>
      <c r="H10" s="6" t="s">
        <v>637</v>
      </c>
      <c r="I10" s="26" t="n">
        <v>4</v>
      </c>
      <c r="J10" s="26" t="n">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f>
        <v>0</v>
      </c>
      <c r="K10" s="43" t="str">
        <f aca="false">IF(I10=0,"No wiki control",IF(J10=I10,"Fully covered",IF(J10=0,"Not covered","Partly covered")))</f>
        <v>Not covered</v>
      </c>
      <c r="L10" s="9" t="s">
        <v>638</v>
      </c>
    </row>
    <row r="11" customFormat="false" ht="23.85" hidden="false" customHeight="false" outlineLevel="0" collapsed="false">
      <c r="A11" s="47" t="s">
        <v>568</v>
      </c>
      <c r="B11" s="47" t="s">
        <v>569</v>
      </c>
      <c r="C11" s="5" t="s">
        <v>657</v>
      </c>
      <c r="D11" s="6" t="s">
        <v>658</v>
      </c>
      <c r="E11" s="6" t="s">
        <v>659</v>
      </c>
      <c r="F11" s="6" t="s">
        <v>635</v>
      </c>
      <c r="G11" s="6" t="s">
        <v>660</v>
      </c>
      <c r="H11" s="6" t="s">
        <v>637</v>
      </c>
      <c r="I11" s="26" t="n">
        <v>3</v>
      </c>
      <c r="J11" s="26" t="n">
        <f aca="false">COUNTIFS('Control Library'!$A$5:$A$50,"AI-CTRL-008",'Control Library'!$R$5:$R$50,"Implemented")+COUNTIFS('Control Library'!$A$5:$A$50,"AI-CTRL-038",'Control Library'!$R$5:$R$50,"Implemented")+COUNTIFS('Control Library'!$A$5:$A$50,"AI-CTRL-041",'Control Library'!$R$5:$R$50,"Implemented")</f>
        <v>0</v>
      </c>
      <c r="K11" s="43" t="str">
        <f aca="false">IF(I11=0,"No wiki control",IF(J11=I11,"Fully covered",IF(J11=0,"Not covered","Partly covered")))</f>
        <v>Not covered</v>
      </c>
      <c r="L11" s="9" t="s">
        <v>638</v>
      </c>
    </row>
    <row r="12" customFormat="false" ht="23.85" hidden="false" customHeight="false" outlineLevel="0" collapsed="false">
      <c r="A12" s="47" t="s">
        <v>568</v>
      </c>
      <c r="B12" s="47" t="s">
        <v>569</v>
      </c>
      <c r="C12" s="5" t="s">
        <v>661</v>
      </c>
      <c r="D12" s="6" t="s">
        <v>662</v>
      </c>
      <c r="E12" s="6" t="s">
        <v>650</v>
      </c>
      <c r="F12" s="6" t="s">
        <v>635</v>
      </c>
      <c r="G12" s="6" t="s">
        <v>651</v>
      </c>
      <c r="H12" s="6" t="s">
        <v>652</v>
      </c>
      <c r="I12" s="26" t="n">
        <v>4</v>
      </c>
      <c r="J12"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12" s="43" t="str">
        <f aca="false">IF(I12=0,"No wiki control",IF(J12=I12,"Fully covered",IF(J12=0,"Not covered","Partly covered")))</f>
        <v>Not covered</v>
      </c>
      <c r="L12" s="9" t="s">
        <v>638</v>
      </c>
    </row>
    <row r="13" customFormat="false" ht="23.85" hidden="false" customHeight="false" outlineLevel="0" collapsed="false">
      <c r="A13" s="47" t="s">
        <v>568</v>
      </c>
      <c r="B13" s="47" t="s">
        <v>569</v>
      </c>
      <c r="C13" s="5" t="s">
        <v>663</v>
      </c>
      <c r="D13" s="6" t="s">
        <v>664</v>
      </c>
      <c r="E13" s="6" t="s">
        <v>665</v>
      </c>
      <c r="F13" s="6" t="s">
        <v>635</v>
      </c>
      <c r="G13" s="6" t="s">
        <v>666</v>
      </c>
      <c r="H13" s="6" t="s">
        <v>637</v>
      </c>
      <c r="I13" s="26" t="n">
        <v>3</v>
      </c>
      <c r="J13" s="26" t="n">
        <f aca="false">COUNTIFS('Control Library'!$A$5:$A$50,"AI-CTRL-017",'Control Library'!$R$5:$R$50,"Implemented")+COUNTIFS('Control Library'!$A$5:$A$50,"AI-CTRL-019",'Control Library'!$R$5:$R$50,"Implemented")+COUNTIFS('Control Library'!$A$5:$A$50,"AI-CTRL-034",'Control Library'!$R$5:$R$50,"Implemented")</f>
        <v>0</v>
      </c>
      <c r="K13" s="43" t="str">
        <f aca="false">IF(I13=0,"No wiki control",IF(J13=I13,"Fully covered",IF(J13=0,"Not covered","Partly covered")))</f>
        <v>Not covered</v>
      </c>
      <c r="L13" s="9" t="s">
        <v>638</v>
      </c>
    </row>
    <row r="14" customFormat="false" ht="23.85" hidden="false" customHeight="false" outlineLevel="0" collapsed="false">
      <c r="A14" s="47" t="s">
        <v>568</v>
      </c>
      <c r="B14" s="47" t="s">
        <v>569</v>
      </c>
      <c r="C14" s="5" t="s">
        <v>667</v>
      </c>
      <c r="D14" s="6" t="s">
        <v>668</v>
      </c>
      <c r="E14" s="6" t="s">
        <v>669</v>
      </c>
      <c r="F14" s="6" t="s">
        <v>635</v>
      </c>
      <c r="G14" s="6" t="s">
        <v>670</v>
      </c>
      <c r="H14" s="6" t="s">
        <v>637</v>
      </c>
      <c r="I14" s="26" t="n">
        <v>3</v>
      </c>
      <c r="J14" s="26" t="n">
        <f aca="false">COUNTIFS('Control Library'!$A$5:$A$50,"AI-CTRL-034",'Control Library'!$R$5:$R$50,"Implemented")+COUNTIFS('Control Library'!$A$5:$A$50,"AI-CTRL-035",'Control Library'!$R$5:$R$50,"Implemented")+COUNTIFS('Control Library'!$A$5:$A$50,"AI-CTRL-039",'Control Library'!$R$5:$R$50,"Implemented")</f>
        <v>0</v>
      </c>
      <c r="K14" s="43" t="str">
        <f aca="false">IF(I14=0,"No wiki control",IF(J14=I14,"Fully covered",IF(J14=0,"Not covered","Partly covered")))</f>
        <v>Not covered</v>
      </c>
      <c r="L14" s="9" t="s">
        <v>638</v>
      </c>
    </row>
    <row r="15" customFormat="false" ht="23.85" hidden="false" customHeight="false" outlineLevel="0" collapsed="false">
      <c r="A15" s="47" t="s">
        <v>568</v>
      </c>
      <c r="B15" s="47" t="s">
        <v>569</v>
      </c>
      <c r="C15" s="5" t="s">
        <v>671</v>
      </c>
      <c r="D15" s="6" t="s">
        <v>672</v>
      </c>
      <c r="E15" s="6" t="s">
        <v>673</v>
      </c>
      <c r="F15" s="6" t="s">
        <v>635</v>
      </c>
      <c r="G15" s="6" t="s">
        <v>674</v>
      </c>
      <c r="H15" s="6" t="s">
        <v>637</v>
      </c>
      <c r="I15" s="26" t="n">
        <v>4</v>
      </c>
      <c r="J15" s="26"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5" s="43" t="str">
        <f aca="false">IF(I15=0,"No wiki control",IF(J15=I15,"Fully covered",IF(J15=0,"Not covered","Partly covered")))</f>
        <v>Not covered</v>
      </c>
      <c r="L15" s="9" t="s">
        <v>638</v>
      </c>
    </row>
    <row r="16" customFormat="false" ht="57.45" hidden="false" customHeight="false" outlineLevel="0" collapsed="false">
      <c r="A16" s="47" t="s">
        <v>568</v>
      </c>
      <c r="B16" s="47" t="s">
        <v>569</v>
      </c>
      <c r="C16" s="5" t="s">
        <v>675</v>
      </c>
      <c r="D16" s="6" t="s">
        <v>676</v>
      </c>
      <c r="E16" s="6" t="s">
        <v>677</v>
      </c>
      <c r="F16" s="6" t="s">
        <v>635</v>
      </c>
      <c r="G16" s="6" t="s">
        <v>678</v>
      </c>
      <c r="H16" s="6" t="s">
        <v>652</v>
      </c>
      <c r="I16" s="26" t="n">
        <v>13</v>
      </c>
      <c r="J16" s="26"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Library'!$A$5:$A$50,"AI-CTRL-017",'Control Library'!$R$5:$R$50,"Implemented")+COUNTIFS('Control Library'!$A$5:$A$50,"AI-CTRL-021",'Control Library'!$R$5:$R$50,"Implemented")+COUNTIFS('Control Library'!$A$5:$A$50,"AI-CTRL-032",'Control Library'!$R$5:$R$50,"Implemented")+COUNTIFS('Control Library'!$A$5:$A$50,"AI-CTRL-042",'Control Library'!$R$5:$R$50,"Implemented")+COUNTIFS('Control Library'!$A$5:$A$50,"AI-CTRL-043",'Control Library'!$R$5:$R$50,"Implemented")</f>
        <v>0</v>
      </c>
      <c r="K16" s="43" t="str">
        <f aca="false">IF(I16=0,"No wiki control",IF(J16=I16,"Fully covered",IF(J16=0,"Not covered","Partly covered")))</f>
        <v>Not covered</v>
      </c>
      <c r="L16" s="9" t="s">
        <v>638</v>
      </c>
    </row>
    <row r="17" customFormat="false" ht="35.05" hidden="false" customHeight="false" outlineLevel="0" collapsed="false">
      <c r="A17" s="47" t="s">
        <v>568</v>
      </c>
      <c r="B17" s="47" t="s">
        <v>569</v>
      </c>
      <c r="C17" s="5" t="s">
        <v>679</v>
      </c>
      <c r="D17" s="6" t="s">
        <v>680</v>
      </c>
      <c r="E17" s="6" t="s">
        <v>681</v>
      </c>
      <c r="F17" s="6" t="s">
        <v>635</v>
      </c>
      <c r="G17" s="6" t="s">
        <v>682</v>
      </c>
      <c r="H17" s="6" t="s">
        <v>683</v>
      </c>
      <c r="I17" s="26" t="n">
        <v>8</v>
      </c>
      <c r="J17" s="26" t="n">
        <f aca="false">COUNTIFS('Control Library'!$A$5:$A$50,"AI-CTRL-012",'Control Library'!$R$5:$R$50,"Implemented")+COUNTIFS('Control Library'!$A$5:$A$50,"AI-CTRL-013",'Control Library'!$R$5:$R$50,"Implemented")+COUNTIFS('Control Library'!$A$5:$A$50,"AI-CTRL-023",'Control Library'!$R$5:$R$50,"Implemented")+COUNTIFS('Control Library'!$A$5:$A$50,"AI-CTRL-037",'Control Library'!$R$5:$R$50,"Implemented")+COUNTIFS('Control Library'!$A$5:$A$50,"AI-CTRL-038",'Control Library'!$R$5:$R$50,"Implemented")+COUNTIFS('Control Library'!$A$5:$A$50,"AI-CTRL-042",'Control Library'!$R$5:$R$50,"Implemented")+COUNTIFS('Control Library'!$A$5:$A$50,"AI-CTRL-044",'Control Library'!$R$5:$R$50,"Implemented")+COUNTIFS('Control Library'!$A$5:$A$50,"AI-CTRL-045",'Control Library'!$R$5:$R$50,"Implemented")</f>
        <v>0</v>
      </c>
      <c r="K17" s="43" t="str">
        <f aca="false">IF(I17=0,"No wiki control",IF(J17=I17,"Fully covered",IF(J17=0,"Not covered","Partly covered")))</f>
        <v>Not covered</v>
      </c>
      <c r="L17" s="9" t="s">
        <v>638</v>
      </c>
    </row>
    <row r="18" customFormat="false" ht="23.85" hidden="false" customHeight="false" outlineLevel="0" collapsed="false">
      <c r="A18" s="47" t="s">
        <v>568</v>
      </c>
      <c r="B18" s="47" t="s">
        <v>569</v>
      </c>
      <c r="C18" s="5" t="s">
        <v>684</v>
      </c>
      <c r="D18" s="6" t="s">
        <v>685</v>
      </c>
      <c r="E18" s="6" t="s">
        <v>686</v>
      </c>
      <c r="F18" s="6" t="s">
        <v>635</v>
      </c>
      <c r="G18" s="6" t="s">
        <v>552</v>
      </c>
      <c r="H18" s="6" t="s">
        <v>637</v>
      </c>
      <c r="I18" s="26" t="n">
        <v>5</v>
      </c>
      <c r="J18"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f>
        <v>0</v>
      </c>
      <c r="K18" s="43" t="str">
        <f aca="false">IF(I18=0,"No wiki control",IF(J18=I18,"Fully covered",IF(J18=0,"Not covered","Partly covered")))</f>
        <v>Not covered</v>
      </c>
      <c r="L18" s="9" t="s">
        <v>638</v>
      </c>
    </row>
    <row r="19" customFormat="false" ht="23.85" hidden="false" customHeight="false" outlineLevel="0" collapsed="false">
      <c r="A19" s="47" t="s">
        <v>568</v>
      </c>
      <c r="B19" s="47" t="s">
        <v>569</v>
      </c>
      <c r="C19" s="5" t="s">
        <v>687</v>
      </c>
      <c r="D19" s="6" t="s">
        <v>688</v>
      </c>
      <c r="E19" s="6" t="s">
        <v>689</v>
      </c>
      <c r="F19" s="6" t="s">
        <v>635</v>
      </c>
      <c r="G19" s="6" t="s">
        <v>319</v>
      </c>
      <c r="H19" s="6" t="s">
        <v>652</v>
      </c>
      <c r="I19" s="26" t="n">
        <v>5</v>
      </c>
      <c r="J19" s="26" t="n">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f>
        <v>0</v>
      </c>
      <c r="K19" s="43" t="str">
        <f aca="false">IF(I19=0,"No wiki control",IF(J19=I19,"Fully covered",IF(J19=0,"Not covered","Partly covered")))</f>
        <v>Not covered</v>
      </c>
      <c r="L19" s="9" t="s">
        <v>638</v>
      </c>
    </row>
    <row r="20" customFormat="false" ht="46.25" hidden="false" customHeight="false" outlineLevel="0" collapsed="false">
      <c r="A20" s="47" t="s">
        <v>568</v>
      </c>
      <c r="B20" s="47" t="s">
        <v>569</v>
      </c>
      <c r="C20" s="5" t="s">
        <v>690</v>
      </c>
      <c r="D20" s="6" t="s">
        <v>691</v>
      </c>
      <c r="E20" s="6" t="s">
        <v>692</v>
      </c>
      <c r="F20" s="6" t="s">
        <v>635</v>
      </c>
      <c r="G20" s="6" t="s">
        <v>398</v>
      </c>
      <c r="H20" s="6" t="s">
        <v>652</v>
      </c>
      <c r="I20" s="26" t="n">
        <v>10</v>
      </c>
      <c r="J20"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0" s="43" t="str">
        <f aca="false">IF(I20=0,"No wiki control",IF(J20=I20,"Fully covered",IF(J20=0,"Not covered","Partly covered")))</f>
        <v>Not covered</v>
      </c>
      <c r="L20" s="9" t="s">
        <v>638</v>
      </c>
    </row>
    <row r="21" customFormat="false" ht="46.25" hidden="false" customHeight="false" outlineLevel="0" collapsed="false">
      <c r="A21" s="47" t="s">
        <v>568</v>
      </c>
      <c r="B21" s="47" t="s">
        <v>569</v>
      </c>
      <c r="C21" s="5" t="s">
        <v>693</v>
      </c>
      <c r="D21" s="6" t="s">
        <v>694</v>
      </c>
      <c r="E21" s="6" t="s">
        <v>692</v>
      </c>
      <c r="F21" s="6" t="s">
        <v>635</v>
      </c>
      <c r="G21" s="6" t="s">
        <v>398</v>
      </c>
      <c r="H21" s="6" t="s">
        <v>652</v>
      </c>
      <c r="I21" s="26" t="n">
        <v>10</v>
      </c>
      <c r="J21"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1" s="43" t="str">
        <f aca="false">IF(I21=0,"No wiki control",IF(J21=I21,"Fully covered",IF(J21=0,"Not covered","Partly covered")))</f>
        <v>Not covered</v>
      </c>
      <c r="L21" s="9" t="s">
        <v>638</v>
      </c>
    </row>
    <row r="22" customFormat="false" ht="35.05" hidden="false" customHeight="false" outlineLevel="0" collapsed="false">
      <c r="A22" s="47" t="s">
        <v>568</v>
      </c>
      <c r="B22" s="47" t="s">
        <v>569</v>
      </c>
      <c r="C22" s="5" t="s">
        <v>695</v>
      </c>
      <c r="D22" s="6" t="s">
        <v>696</v>
      </c>
      <c r="E22" s="6" t="s">
        <v>697</v>
      </c>
      <c r="F22" s="6" t="s">
        <v>635</v>
      </c>
      <c r="G22" s="6" t="s">
        <v>698</v>
      </c>
      <c r="H22" s="6" t="s">
        <v>637</v>
      </c>
      <c r="I22" s="26" t="n">
        <v>7</v>
      </c>
      <c r="J22" s="26" t="n">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22" s="43" t="str">
        <f aca="false">IF(I22=0,"No wiki control",IF(J22=I22,"Fully covered",IF(J22=0,"Not covered","Partly covered")))</f>
        <v>Not covered</v>
      </c>
      <c r="L22" s="9" t="s">
        <v>638</v>
      </c>
    </row>
    <row r="23" customFormat="false" ht="57.45" hidden="false" customHeight="false" outlineLevel="0" collapsed="false">
      <c r="A23" s="47" t="s">
        <v>568</v>
      </c>
      <c r="B23" s="47" t="s">
        <v>569</v>
      </c>
      <c r="C23" s="5" t="s">
        <v>699</v>
      </c>
      <c r="D23" s="6" t="s">
        <v>700</v>
      </c>
      <c r="E23" s="6" t="s">
        <v>701</v>
      </c>
      <c r="F23" s="6" t="s">
        <v>635</v>
      </c>
      <c r="G23" s="6" t="s">
        <v>702</v>
      </c>
      <c r="H23" s="6" t="s">
        <v>652</v>
      </c>
      <c r="I23" s="26" t="n">
        <v>12</v>
      </c>
      <c r="J23" s="26"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23" s="43" t="str">
        <f aca="false">IF(I23=0,"No wiki control",IF(J23=I23,"Fully covered",IF(J23=0,"Not covered","Partly covered")))</f>
        <v>Not covered</v>
      </c>
      <c r="L23" s="9" t="s">
        <v>638</v>
      </c>
    </row>
    <row r="24" customFormat="false" ht="23.85" hidden="false" customHeight="false" outlineLevel="0" collapsed="false">
      <c r="A24" s="47" t="s">
        <v>568</v>
      </c>
      <c r="B24" s="47" t="s">
        <v>569</v>
      </c>
      <c r="C24" s="5" t="s">
        <v>703</v>
      </c>
      <c r="D24" s="6" t="s">
        <v>704</v>
      </c>
      <c r="E24" s="6" t="s">
        <v>705</v>
      </c>
      <c r="F24" s="6" t="s">
        <v>635</v>
      </c>
      <c r="G24" s="6" t="s">
        <v>706</v>
      </c>
      <c r="H24" s="6" t="s">
        <v>637</v>
      </c>
      <c r="I24" s="26" t="n">
        <v>4</v>
      </c>
      <c r="J24" s="26" t="n">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f>
        <v>0</v>
      </c>
      <c r="K24" s="43" t="str">
        <f aca="false">IF(I24=0,"No wiki control",IF(J24=I24,"Fully covered",IF(J24=0,"Not covered","Partly covered")))</f>
        <v>Not covered</v>
      </c>
      <c r="L24" s="9" t="s">
        <v>638</v>
      </c>
    </row>
    <row r="25" customFormat="false" ht="46.25" hidden="false" customHeight="false" outlineLevel="0" collapsed="false">
      <c r="A25" s="47" t="s">
        <v>568</v>
      </c>
      <c r="B25" s="47" t="s">
        <v>569</v>
      </c>
      <c r="C25" s="5" t="s">
        <v>707</v>
      </c>
      <c r="D25" s="6" t="s">
        <v>708</v>
      </c>
      <c r="E25" s="6" t="s">
        <v>692</v>
      </c>
      <c r="F25" s="6" t="s">
        <v>635</v>
      </c>
      <c r="G25" s="6" t="s">
        <v>709</v>
      </c>
      <c r="H25" s="6" t="s">
        <v>637</v>
      </c>
      <c r="I25" s="26" t="n">
        <v>10</v>
      </c>
      <c r="J25"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5" s="43" t="str">
        <f aca="false">IF(I25=0,"No wiki control",IF(J25=I25,"Fully covered",IF(J25=0,"Not covered","Partly covered")))</f>
        <v>Not covered</v>
      </c>
      <c r="L25" s="9" t="s">
        <v>638</v>
      </c>
    </row>
    <row r="26" customFormat="false" ht="23.85" hidden="false" customHeight="false" outlineLevel="0" collapsed="false">
      <c r="A26" s="47" t="s">
        <v>568</v>
      </c>
      <c r="B26" s="47" t="s">
        <v>569</v>
      </c>
      <c r="C26" s="5" t="s">
        <v>710</v>
      </c>
      <c r="D26" s="6" t="s">
        <v>711</v>
      </c>
      <c r="E26" s="6" t="s">
        <v>712</v>
      </c>
      <c r="F26" s="6" t="s">
        <v>635</v>
      </c>
      <c r="G26" s="6" t="s">
        <v>713</v>
      </c>
      <c r="H26" s="6" t="s">
        <v>637</v>
      </c>
      <c r="I26" s="26" t="n">
        <v>3</v>
      </c>
      <c r="J26" s="26" t="n">
        <f aca="false">COUNTIFS('Control Library'!$A$5:$A$50,"AI-CTRL-025",'Control Library'!$R$5:$R$50,"Implemented")+COUNTIFS('Control Library'!$A$5:$A$50,"AI-CTRL-026",'Control Library'!$R$5:$R$50,"Implemented")+COUNTIFS('Control Library'!$A$5:$A$50,"AI-CTRL-027",'Control Library'!$R$5:$R$50,"Implemented")</f>
        <v>0</v>
      </c>
      <c r="K26" s="43" t="str">
        <f aca="false">IF(I26=0,"No wiki control",IF(J26=I26,"Fully covered",IF(J26=0,"Not covered","Partly covered")))</f>
        <v>Not covered</v>
      </c>
      <c r="L26" s="9" t="s">
        <v>638</v>
      </c>
    </row>
    <row r="27" customFormat="false" ht="23.85" hidden="false" customHeight="false" outlineLevel="0" collapsed="false">
      <c r="A27" s="47" t="s">
        <v>568</v>
      </c>
      <c r="B27" s="47" t="s">
        <v>569</v>
      </c>
      <c r="C27" s="5" t="s">
        <v>714</v>
      </c>
      <c r="D27" s="6" t="s">
        <v>715</v>
      </c>
      <c r="E27" s="6" t="s">
        <v>716</v>
      </c>
      <c r="F27" s="6" t="s">
        <v>635</v>
      </c>
      <c r="G27" s="6" t="s">
        <v>717</v>
      </c>
      <c r="H27" s="6" t="s">
        <v>637</v>
      </c>
      <c r="I27" s="26" t="n">
        <v>4</v>
      </c>
      <c r="J27" s="26" t="n">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f>
        <v>0</v>
      </c>
      <c r="K27" s="43" t="str">
        <f aca="false">IF(I27=0,"No wiki control",IF(J27=I27,"Fully covered",IF(J27=0,"Not covered","Partly covered")))</f>
        <v>Not covered</v>
      </c>
      <c r="L27" s="9" t="s">
        <v>638</v>
      </c>
    </row>
    <row r="28" customFormat="false" ht="23.85" hidden="false" customHeight="false" outlineLevel="0" collapsed="false">
      <c r="A28" s="47" t="s">
        <v>568</v>
      </c>
      <c r="B28" s="47" t="s">
        <v>569</v>
      </c>
      <c r="C28" s="5" t="s">
        <v>718</v>
      </c>
      <c r="D28" s="6" t="s">
        <v>719</v>
      </c>
      <c r="E28" s="6" t="s">
        <v>720</v>
      </c>
      <c r="F28" s="6" t="s">
        <v>635</v>
      </c>
      <c r="G28" s="6" t="s">
        <v>721</v>
      </c>
      <c r="H28" s="6" t="s">
        <v>637</v>
      </c>
      <c r="I28" s="26" t="n">
        <v>2</v>
      </c>
      <c r="J28" s="26" t="n">
        <f aca="false">COUNTIFS('Control Library'!$A$5:$A$50,"AI-CTRL-024",'Control Library'!$R$5:$R$50,"Implemented")+COUNTIFS('Control Library'!$A$5:$A$50,"AI-CTRL-031",'Control Library'!$R$5:$R$50,"Implemented")</f>
        <v>0</v>
      </c>
      <c r="K28" s="43" t="str">
        <f aca="false">IF(I28=0,"No wiki control",IF(J28=I28,"Fully covered",IF(J28=0,"Not covered","Partly covered")))</f>
        <v>Not covered</v>
      </c>
      <c r="L28" s="9" t="s">
        <v>638</v>
      </c>
    </row>
    <row r="29" customFormat="false" ht="23.85" hidden="false" customHeight="false" outlineLevel="0" collapsed="false">
      <c r="A29" s="47" t="s">
        <v>570</v>
      </c>
      <c r="B29" s="47" t="s">
        <v>569</v>
      </c>
      <c r="C29" s="5" t="s">
        <v>722</v>
      </c>
      <c r="D29" s="6" t="s">
        <v>723</v>
      </c>
      <c r="E29" s="6" t="s">
        <v>724</v>
      </c>
      <c r="F29" s="6" t="s">
        <v>725</v>
      </c>
      <c r="G29" s="6" t="s">
        <v>726</v>
      </c>
      <c r="H29" s="6"/>
      <c r="I29" s="26" t="n">
        <v>3</v>
      </c>
      <c r="J29" s="26" t="n">
        <f aca="false">COUNTIFS('Control Library'!$A$5:$A$50,"AI-CTRL-002",'Control Library'!$R$5:$R$50,"Implemented")+COUNTIFS('Control Library'!$A$5:$A$50,"AI-CTRL-003",'Control Library'!$R$5:$R$50,"Implemented")+COUNTIFS('Control Library'!$A$5:$A$50,"AI-CTRL-017",'Control Library'!$R$5:$R$50,"Implemented")</f>
        <v>0</v>
      </c>
      <c r="K29" s="43" t="str">
        <f aca="false">IF(I29=0,"No wiki control",IF(J29=I29,"Fully covered",IF(J29=0,"Not covered","Partly covered")))</f>
        <v>Not covered</v>
      </c>
      <c r="L29" s="9" t="s">
        <v>638</v>
      </c>
    </row>
    <row r="30" customFormat="false" ht="23.85" hidden="false" customHeight="false" outlineLevel="0" collapsed="false">
      <c r="A30" s="47" t="s">
        <v>570</v>
      </c>
      <c r="B30" s="47" t="s">
        <v>569</v>
      </c>
      <c r="C30" s="5" t="s">
        <v>727</v>
      </c>
      <c r="D30" s="6" t="s">
        <v>728</v>
      </c>
      <c r="E30" s="6" t="s">
        <v>729</v>
      </c>
      <c r="F30" s="6" t="s">
        <v>725</v>
      </c>
      <c r="G30" s="6" t="s">
        <v>234</v>
      </c>
      <c r="H30" s="6"/>
      <c r="I30" s="26" t="n">
        <v>2</v>
      </c>
      <c r="J30" s="26" t="n">
        <f aca="false">COUNTIFS('Control Library'!$A$5:$A$50,"AI-CTRL-008",'Control Library'!$R$5:$R$50,"Implemented")+COUNTIFS('Control Library'!$A$5:$A$50,"AI-CTRL-009",'Control Library'!$R$5:$R$50,"Implemented")</f>
        <v>0</v>
      </c>
      <c r="K30" s="43" t="str">
        <f aca="false">IF(I30=0,"No wiki control",IF(J30=I30,"Fully covered",IF(J30=0,"Not covered","Partly covered")))</f>
        <v>Not covered</v>
      </c>
      <c r="L30" s="9" t="s">
        <v>638</v>
      </c>
    </row>
    <row r="31" customFormat="false" ht="23.85" hidden="false" customHeight="false" outlineLevel="0" collapsed="false">
      <c r="A31" s="47" t="s">
        <v>570</v>
      </c>
      <c r="B31" s="47" t="s">
        <v>569</v>
      </c>
      <c r="C31" s="5" t="s">
        <v>730</v>
      </c>
      <c r="D31" s="6" t="s">
        <v>731</v>
      </c>
      <c r="E31" s="6" t="s">
        <v>461</v>
      </c>
      <c r="F31" s="6" t="s">
        <v>725</v>
      </c>
      <c r="G31" s="6" t="s">
        <v>464</v>
      </c>
      <c r="H31" s="6"/>
      <c r="I31" s="26" t="n">
        <v>1</v>
      </c>
      <c r="J31" s="26" t="n">
        <f aca="false">COUNTIFS('Control Library'!$A$5:$A$50,"AI-CTRL-036",'Control Library'!$R$5:$R$50,"Implemented")</f>
        <v>0</v>
      </c>
      <c r="K31" s="43" t="str">
        <f aca="false">IF(I31=0,"No wiki control",IF(J31=I31,"Fully covered",IF(J31=0,"Not covered","Partly covered")))</f>
        <v>Not covered</v>
      </c>
      <c r="L31" s="9" t="s">
        <v>638</v>
      </c>
    </row>
    <row r="32" customFormat="false" ht="35.05" hidden="false" customHeight="false" outlineLevel="0" collapsed="false">
      <c r="A32" s="47" t="s">
        <v>570</v>
      </c>
      <c r="B32" s="47" t="s">
        <v>569</v>
      </c>
      <c r="C32" s="5" t="s">
        <v>732</v>
      </c>
      <c r="D32" s="6" t="s">
        <v>733</v>
      </c>
      <c r="E32" s="6" t="s">
        <v>734</v>
      </c>
      <c r="F32" s="6" t="s">
        <v>725</v>
      </c>
      <c r="G32" s="6" t="s">
        <v>735</v>
      </c>
      <c r="H32" s="6"/>
      <c r="I32" s="26" t="n">
        <v>2</v>
      </c>
      <c r="J32" s="26" t="n">
        <f aca="false">COUNTIFS('Control Library'!$A$5:$A$50,"AI-CTRL-034",'Control Library'!$R$5:$R$50,"Implemented")+COUNTIFS('Control Library'!$A$5:$A$50,"AI-CTRL-045",'Control Library'!$R$5:$R$50,"Implemented")</f>
        <v>0</v>
      </c>
      <c r="K32" s="43" t="str">
        <f aca="false">IF(I32=0,"No wiki control",IF(J32=I32,"Fully covered",IF(J32=0,"Not covered","Partly covered")))</f>
        <v>Not covered</v>
      </c>
      <c r="L32" s="9" t="s">
        <v>638</v>
      </c>
    </row>
    <row r="33" customFormat="false" ht="23.85" hidden="false" customHeight="false" outlineLevel="0" collapsed="false">
      <c r="A33" s="47" t="s">
        <v>570</v>
      </c>
      <c r="B33" s="47" t="s">
        <v>569</v>
      </c>
      <c r="C33" s="5" t="s">
        <v>736</v>
      </c>
      <c r="D33" s="6" t="s">
        <v>737</v>
      </c>
      <c r="E33" s="6" t="s">
        <v>485</v>
      </c>
      <c r="F33" s="6" t="s">
        <v>725</v>
      </c>
      <c r="G33" s="6" t="s">
        <v>489</v>
      </c>
      <c r="H33" s="6"/>
      <c r="I33" s="26" t="n">
        <v>1</v>
      </c>
      <c r="J33" s="26" t="n">
        <f aca="false">COUNTIFS('Control Library'!$A$5:$A$50,"AI-CTRL-039",'Control Library'!$R$5:$R$50,"Implemented")</f>
        <v>0</v>
      </c>
      <c r="K33" s="43" t="str">
        <f aca="false">IF(I33=0,"No wiki control",IF(J33=I33,"Fully covered",IF(J33=0,"Not covered","Partly covered")))</f>
        <v>Not covered</v>
      </c>
      <c r="L33" s="9" t="s">
        <v>638</v>
      </c>
    </row>
    <row r="34" customFormat="false" ht="23.85" hidden="false" customHeight="false" outlineLevel="0" collapsed="false">
      <c r="A34" s="47" t="s">
        <v>570</v>
      </c>
      <c r="B34" s="47" t="s">
        <v>569</v>
      </c>
      <c r="C34" s="5" t="s">
        <v>738</v>
      </c>
      <c r="D34" s="6" t="s">
        <v>739</v>
      </c>
      <c r="E34" s="6" t="s">
        <v>740</v>
      </c>
      <c r="F34" s="6" t="s">
        <v>725</v>
      </c>
      <c r="G34" s="6" t="s">
        <v>741</v>
      </c>
      <c r="H34" s="6"/>
      <c r="I34" s="26" t="n">
        <v>2</v>
      </c>
      <c r="J34" s="26" t="n">
        <f aca="false">COUNTIFS('Control Library'!$A$5:$A$50,"AI-CTRL-034",'Control Library'!$R$5:$R$50,"Implemented")+COUNTIFS('Control Library'!$A$5:$A$50,"AI-CTRL-039",'Control Library'!$R$5:$R$50,"Implemented")</f>
        <v>0</v>
      </c>
      <c r="K34" s="43" t="str">
        <f aca="false">IF(I34=0,"No wiki control",IF(J34=I34,"Fully covered",IF(J34=0,"Not covered","Partly covered")))</f>
        <v>Not covered</v>
      </c>
      <c r="L34" s="9" t="s">
        <v>638</v>
      </c>
    </row>
    <row r="35" customFormat="false" ht="23.85" hidden="false" customHeight="false" outlineLevel="0" collapsed="false">
      <c r="A35" s="47" t="s">
        <v>570</v>
      </c>
      <c r="B35" s="47" t="s">
        <v>569</v>
      </c>
      <c r="C35" s="5" t="s">
        <v>742</v>
      </c>
      <c r="D35" s="6" t="s">
        <v>743</v>
      </c>
      <c r="E35" s="6" t="s">
        <v>315</v>
      </c>
      <c r="F35" s="6" t="s">
        <v>725</v>
      </c>
      <c r="G35" s="6" t="s">
        <v>319</v>
      </c>
      <c r="H35" s="6"/>
      <c r="I35" s="26" t="n">
        <v>1</v>
      </c>
      <c r="J35" s="26" t="n">
        <f aca="false">COUNTIFS('Control Library'!$A$5:$A$50,"AI-CTRL-018",'Control Library'!$R$5:$R$50,"Implemented")</f>
        <v>0</v>
      </c>
      <c r="K35" s="43" t="str">
        <f aca="false">IF(I35=0,"No wiki control",IF(J35=I35,"Fully covered",IF(J35=0,"Not covered","Partly covered")))</f>
        <v>Not covered</v>
      </c>
      <c r="L35" s="9" t="s">
        <v>638</v>
      </c>
    </row>
    <row r="36" customFormat="false" ht="23.85" hidden="false" customHeight="false" outlineLevel="0" collapsed="false">
      <c r="A36" s="47" t="s">
        <v>570</v>
      </c>
      <c r="B36" s="47" t="s">
        <v>569</v>
      </c>
      <c r="C36" s="5" t="s">
        <v>744</v>
      </c>
      <c r="D36" s="6" t="s">
        <v>745</v>
      </c>
      <c r="E36" s="6" t="s">
        <v>659</v>
      </c>
      <c r="F36" s="6" t="s">
        <v>725</v>
      </c>
      <c r="G36" s="6" t="s">
        <v>746</v>
      </c>
      <c r="H36" s="6"/>
      <c r="I36" s="26" t="n">
        <v>3</v>
      </c>
      <c r="J36" s="26" t="n">
        <f aca="false">COUNTIFS('Control Library'!$A$5:$A$50,"AI-CTRL-008",'Control Library'!$R$5:$R$50,"Implemented")+COUNTIFS('Control Library'!$A$5:$A$50,"AI-CTRL-038",'Control Library'!$R$5:$R$50,"Implemented")+COUNTIFS('Control Library'!$A$5:$A$50,"AI-CTRL-041",'Control Library'!$R$5:$R$50,"Implemented")</f>
        <v>0</v>
      </c>
      <c r="K36" s="43" t="str">
        <f aca="false">IF(I36=0,"No wiki control",IF(J36=I36,"Fully covered",IF(J36=0,"Not covered","Partly covered")))</f>
        <v>Not covered</v>
      </c>
      <c r="L36" s="9" t="s">
        <v>638</v>
      </c>
    </row>
    <row r="37" customFormat="false" ht="23.85" hidden="false" customHeight="false" outlineLevel="0" collapsed="false">
      <c r="A37" s="47" t="s">
        <v>570</v>
      </c>
      <c r="B37" s="47" t="s">
        <v>569</v>
      </c>
      <c r="C37" s="5" t="s">
        <v>747</v>
      </c>
      <c r="D37" s="6" t="s">
        <v>748</v>
      </c>
      <c r="E37" s="6" t="s">
        <v>324</v>
      </c>
      <c r="F37" s="6" t="s">
        <v>725</v>
      </c>
      <c r="G37" s="6" t="s">
        <v>327</v>
      </c>
      <c r="H37" s="6"/>
      <c r="I37" s="26" t="n">
        <v>1</v>
      </c>
      <c r="J37" s="26" t="n">
        <f aca="false">COUNTIFS('Control Library'!$A$5:$A$50,"AI-CTRL-019",'Control Library'!$R$5:$R$50,"Implemented")</f>
        <v>0</v>
      </c>
      <c r="K37" s="43" t="str">
        <f aca="false">IF(I37=0,"No wiki control",IF(J37=I37,"Fully covered",IF(J37=0,"Not covered","Partly covered")))</f>
        <v>Not covered</v>
      </c>
      <c r="L37" s="9" t="s">
        <v>638</v>
      </c>
    </row>
    <row r="38" customFormat="false" ht="23.85" hidden="false" customHeight="false" outlineLevel="0" collapsed="false">
      <c r="A38" s="47" t="s">
        <v>570</v>
      </c>
      <c r="B38" s="47" t="s">
        <v>569</v>
      </c>
      <c r="C38" s="5" t="s">
        <v>749</v>
      </c>
      <c r="D38" s="6" t="s">
        <v>750</v>
      </c>
      <c r="E38" s="6" t="s">
        <v>751</v>
      </c>
      <c r="F38" s="6" t="s">
        <v>725</v>
      </c>
      <c r="G38" s="6" t="s">
        <v>335</v>
      </c>
      <c r="H38" s="6"/>
      <c r="I38" s="26" t="n">
        <v>2</v>
      </c>
      <c r="J38" s="26" t="n">
        <f aca="false">COUNTIFS('Control Library'!$A$5:$A$50,"AI-CTRL-005",'Control Library'!$R$5:$R$50,"Implemented")+COUNTIFS('Control Library'!$A$5:$A$50,"AI-CTRL-020",'Control Library'!$R$5:$R$50,"Implemented")</f>
        <v>0</v>
      </c>
      <c r="K38" s="43" t="str">
        <f aca="false">IF(I38=0,"No wiki control",IF(J38=I38,"Fully covered",IF(J38=0,"Not covered","Partly covered")))</f>
        <v>Not covered</v>
      </c>
      <c r="L38" s="9" t="s">
        <v>638</v>
      </c>
    </row>
    <row r="39" customFormat="false" ht="23.85" hidden="false" customHeight="false" outlineLevel="0" collapsed="false">
      <c r="A39" s="47" t="s">
        <v>570</v>
      </c>
      <c r="B39" s="47" t="s">
        <v>569</v>
      </c>
      <c r="C39" s="5" t="s">
        <v>752</v>
      </c>
      <c r="D39" s="6" t="s">
        <v>753</v>
      </c>
      <c r="E39" s="6" t="s">
        <v>754</v>
      </c>
      <c r="F39" s="6" t="s">
        <v>725</v>
      </c>
      <c r="G39" s="6" t="s">
        <v>755</v>
      </c>
      <c r="H39" s="6"/>
      <c r="I39" s="26" t="n">
        <v>2</v>
      </c>
      <c r="J39" s="26" t="n">
        <f aca="false">COUNTIFS('Control Library'!$A$5:$A$50,"AI-CTRL-033",'Control Library'!$R$5:$R$50,"Implemented")+COUNTIFS('Control Library'!$A$5:$A$50,"AI-CTRL-034",'Control Library'!$R$5:$R$50,"Implemented")</f>
        <v>0</v>
      </c>
      <c r="K39" s="43" t="str">
        <f aca="false">IF(I39=0,"No wiki control",IF(J39=I39,"Fully covered",IF(J39=0,"Not covered","Partly covered")))</f>
        <v>Not covered</v>
      </c>
      <c r="L39" s="9" t="s">
        <v>638</v>
      </c>
    </row>
    <row r="40" customFormat="false" ht="23.85" hidden="false" customHeight="false" outlineLevel="0" collapsed="false">
      <c r="A40" s="47" t="s">
        <v>570</v>
      </c>
      <c r="B40" s="47" t="s">
        <v>569</v>
      </c>
      <c r="C40" s="5" t="s">
        <v>756</v>
      </c>
      <c r="D40" s="6" t="s">
        <v>757</v>
      </c>
      <c r="E40" s="6" t="s">
        <v>758</v>
      </c>
      <c r="F40" s="6" t="s">
        <v>725</v>
      </c>
      <c r="G40" s="6" t="s">
        <v>759</v>
      </c>
      <c r="H40" s="6"/>
      <c r="I40" s="26" t="n">
        <v>2</v>
      </c>
      <c r="J40" s="26" t="n">
        <f aca="false">COUNTIFS('Control Library'!$A$5:$A$50,"AI-CTRL-017",'Control Library'!$R$5:$R$50,"Implemented")+COUNTIFS('Control Library'!$A$5:$A$50,"AI-CTRL-019",'Control Library'!$R$5:$R$50,"Implemented")</f>
        <v>0</v>
      </c>
      <c r="K40" s="43" t="str">
        <f aca="false">IF(I40=0,"No wiki control",IF(J40=I40,"Fully covered",IF(J40=0,"Not covered","Partly covered")))</f>
        <v>Not covered</v>
      </c>
      <c r="L40" s="9" t="s">
        <v>638</v>
      </c>
    </row>
    <row r="41" customFormat="false" ht="23.85" hidden="false" customHeight="false" outlineLevel="0" collapsed="false">
      <c r="A41" s="47" t="s">
        <v>570</v>
      </c>
      <c r="B41" s="47" t="s">
        <v>569</v>
      </c>
      <c r="C41" s="5" t="s">
        <v>760</v>
      </c>
      <c r="D41" s="6" t="s">
        <v>761</v>
      </c>
      <c r="E41" s="6" t="s">
        <v>762</v>
      </c>
      <c r="F41" s="6" t="s">
        <v>725</v>
      </c>
      <c r="G41" s="6" t="s">
        <v>763</v>
      </c>
      <c r="H41" s="6"/>
      <c r="I41" s="26" t="n">
        <v>3</v>
      </c>
      <c r="J41" s="26" t="n">
        <f aca="false">COUNTIFS('Control Library'!$A$5:$A$50,"AI-CTRL-013",'Control Library'!$R$5:$R$50,"Implemented")+COUNTIFS('Control Library'!$A$5:$A$50,"AI-CTRL-014",'Control Library'!$R$5:$R$50,"Implemented")+COUNTIFS('Control Library'!$A$5:$A$50,"AI-CTRL-046",'Control Library'!$R$5:$R$50,"Implemented")</f>
        <v>0</v>
      </c>
      <c r="K41" s="43" t="str">
        <f aca="false">IF(I41=0,"No wiki control",IF(J41=I41,"Fully covered",IF(J41=0,"Not covered","Partly covered")))</f>
        <v>Not covered</v>
      </c>
      <c r="L41" s="9" t="s">
        <v>638</v>
      </c>
    </row>
    <row r="42" customFormat="false" ht="23.85" hidden="false" customHeight="false" outlineLevel="0" collapsed="false">
      <c r="A42" s="47" t="s">
        <v>570</v>
      </c>
      <c r="B42" s="47" t="s">
        <v>569</v>
      </c>
      <c r="C42" s="5" t="s">
        <v>764</v>
      </c>
      <c r="D42" s="6" t="s">
        <v>765</v>
      </c>
      <c r="E42" s="6" t="s">
        <v>766</v>
      </c>
      <c r="F42" s="6" t="s">
        <v>725</v>
      </c>
      <c r="G42" s="6" t="s">
        <v>767</v>
      </c>
      <c r="H42" s="6"/>
      <c r="I42" s="26" t="n">
        <v>2</v>
      </c>
      <c r="J42" s="26" t="n">
        <f aca="false">COUNTIFS('Control Library'!$A$5:$A$50,"AI-CTRL-036",'Control Library'!$R$5:$R$50,"Implemented")+COUNTIFS('Control Library'!$A$5:$A$50,"AI-CTRL-040",'Control Library'!$R$5:$R$50,"Implemented")</f>
        <v>0</v>
      </c>
      <c r="K42" s="43" t="str">
        <f aca="false">IF(I42=0,"No wiki control",IF(J42=I42,"Fully covered",IF(J42=0,"Not covered","Partly covered")))</f>
        <v>Not covered</v>
      </c>
      <c r="L42" s="9" t="s">
        <v>638</v>
      </c>
    </row>
    <row r="43" customFormat="false" ht="23.85" hidden="false" customHeight="false" outlineLevel="0" collapsed="false">
      <c r="A43" s="47" t="s">
        <v>570</v>
      </c>
      <c r="B43" s="47" t="s">
        <v>569</v>
      </c>
      <c r="C43" s="5" t="s">
        <v>768</v>
      </c>
      <c r="D43" s="6" t="s">
        <v>769</v>
      </c>
      <c r="E43" s="6" t="s">
        <v>770</v>
      </c>
      <c r="F43" s="6" t="s">
        <v>725</v>
      </c>
      <c r="G43" s="6" t="s">
        <v>771</v>
      </c>
      <c r="H43" s="6"/>
      <c r="I43" s="26" t="n">
        <v>2</v>
      </c>
      <c r="J43" s="26" t="n">
        <f aca="false">COUNTIFS('Control Library'!$A$5:$A$50,"AI-CTRL-031",'Control Library'!$R$5:$R$50,"Implemented")+COUNTIFS('Control Library'!$A$5:$A$50,"AI-CTRL-034",'Control Library'!$R$5:$R$50,"Implemented")</f>
        <v>0</v>
      </c>
      <c r="K43" s="43" t="str">
        <f aca="false">IF(I43=0,"No wiki control",IF(J43=I43,"Fully covered",IF(J43=0,"Not covered","Partly covered")))</f>
        <v>Not covered</v>
      </c>
      <c r="L43" s="9" t="s">
        <v>638</v>
      </c>
    </row>
    <row r="44" customFormat="false" ht="23.85" hidden="false" customHeight="false" outlineLevel="0" collapsed="false">
      <c r="A44" s="47" t="s">
        <v>570</v>
      </c>
      <c r="B44" s="47" t="s">
        <v>569</v>
      </c>
      <c r="C44" s="5" t="s">
        <v>772</v>
      </c>
      <c r="D44" s="6" t="s">
        <v>773</v>
      </c>
      <c r="E44" s="6" t="s">
        <v>774</v>
      </c>
      <c r="F44" s="6" t="s">
        <v>725</v>
      </c>
      <c r="G44" s="6" t="s">
        <v>303</v>
      </c>
      <c r="H44" s="6"/>
      <c r="I44" s="26" t="n">
        <v>2</v>
      </c>
      <c r="J44" s="26" t="n">
        <f aca="false">COUNTIFS('Control Library'!$A$5:$A$50,"AI-CTRL-016",'Control Library'!$R$5:$R$50,"Implemented")+COUNTIFS('Control Library'!$A$5:$A$50,"AI-CTRL-018",'Control Library'!$R$5:$R$50,"Implemented")</f>
        <v>0</v>
      </c>
      <c r="K44" s="43" t="str">
        <f aca="false">IF(I44=0,"No wiki control",IF(J44=I44,"Fully covered",IF(J44=0,"Not covered","Partly covered")))</f>
        <v>Not covered</v>
      </c>
      <c r="L44" s="9" t="s">
        <v>638</v>
      </c>
    </row>
    <row r="45" customFormat="false" ht="23.85" hidden="false" customHeight="false" outlineLevel="0" collapsed="false">
      <c r="A45" s="47" t="s">
        <v>570</v>
      </c>
      <c r="B45" s="47" t="s">
        <v>569</v>
      </c>
      <c r="C45" s="5" t="s">
        <v>775</v>
      </c>
      <c r="D45" s="6" t="s">
        <v>776</v>
      </c>
      <c r="E45" s="6" t="s">
        <v>777</v>
      </c>
      <c r="F45" s="6" t="s">
        <v>725</v>
      </c>
      <c r="G45" s="6" t="s">
        <v>778</v>
      </c>
      <c r="H45" s="6"/>
      <c r="I45" s="26" t="n">
        <v>2</v>
      </c>
      <c r="J45" s="26" t="n">
        <f aca="false">COUNTIFS('Control Library'!$A$5:$A$50,"AI-CTRL-017",'Control Library'!$R$5:$R$50,"Implemented")+COUNTIFS('Control Library'!$A$5:$A$50,"AI-CTRL-032",'Control Library'!$R$5:$R$50,"Implemented")</f>
        <v>0</v>
      </c>
      <c r="K45" s="43" t="str">
        <f aca="false">IF(I45=0,"No wiki control",IF(J45=I45,"Fully covered",IF(J45=0,"Not covered","Partly covered")))</f>
        <v>Not covered</v>
      </c>
      <c r="L45" s="9" t="s">
        <v>638</v>
      </c>
    </row>
    <row r="46" customFormat="false" ht="23.85" hidden="false" customHeight="false" outlineLevel="0" collapsed="false">
      <c r="A46" s="47" t="s">
        <v>570</v>
      </c>
      <c r="B46" s="47" t="s">
        <v>569</v>
      </c>
      <c r="C46" s="5" t="s">
        <v>779</v>
      </c>
      <c r="D46" s="6" t="s">
        <v>780</v>
      </c>
      <c r="E46" s="6" t="s">
        <v>199</v>
      </c>
      <c r="F46" s="6" t="s">
        <v>725</v>
      </c>
      <c r="G46" s="6" t="s">
        <v>203</v>
      </c>
      <c r="H46" s="6"/>
      <c r="I46" s="26" t="n">
        <v>1</v>
      </c>
      <c r="J46" s="26" t="n">
        <f aca="false">COUNTIFS('Control Library'!$A$5:$A$50,"AI-CTRL-005",'Control Library'!$R$5:$R$50,"Implemented")</f>
        <v>0</v>
      </c>
      <c r="K46" s="43" t="str">
        <f aca="false">IF(I46=0,"No wiki control",IF(J46=I46,"Fully covered",IF(J46=0,"Not covered","Partly covered")))</f>
        <v>Not covered</v>
      </c>
      <c r="L46" s="9" t="s">
        <v>638</v>
      </c>
    </row>
    <row r="47" customFormat="false" ht="23.85" hidden="false" customHeight="false" outlineLevel="0" collapsed="false">
      <c r="A47" s="47" t="s">
        <v>570</v>
      </c>
      <c r="B47" s="47" t="s">
        <v>569</v>
      </c>
      <c r="C47" s="5" t="s">
        <v>781</v>
      </c>
      <c r="D47" s="6" t="s">
        <v>782</v>
      </c>
      <c r="E47" s="6" t="s">
        <v>783</v>
      </c>
      <c r="F47" s="6" t="s">
        <v>725</v>
      </c>
      <c r="G47" s="6" t="s">
        <v>784</v>
      </c>
      <c r="H47" s="6"/>
      <c r="I47" s="26" t="n">
        <v>2</v>
      </c>
      <c r="J47" s="26" t="n">
        <f aca="false">COUNTIFS('Control Library'!$A$5:$A$50,"AI-CTRL-016",'Control Library'!$R$5:$R$50,"Implemented")+COUNTIFS('Control Library'!$A$5:$A$50,"AI-CTRL-022",'Control Library'!$R$5:$R$50,"Implemented")</f>
        <v>0</v>
      </c>
      <c r="K47" s="43" t="str">
        <f aca="false">IF(I47=0,"No wiki control",IF(J47=I47,"Fully covered",IF(J47=0,"Not covered","Partly covered")))</f>
        <v>Not covered</v>
      </c>
      <c r="L47" s="9" t="s">
        <v>638</v>
      </c>
    </row>
    <row r="48" customFormat="false" ht="23.85" hidden="false" customHeight="false" outlineLevel="0" collapsed="false">
      <c r="A48" s="47" t="s">
        <v>570</v>
      </c>
      <c r="B48" s="47" t="s">
        <v>569</v>
      </c>
      <c r="C48" s="5" t="s">
        <v>785</v>
      </c>
      <c r="D48" s="6" t="s">
        <v>786</v>
      </c>
      <c r="E48" s="6" t="s">
        <v>787</v>
      </c>
      <c r="F48" s="6" t="s">
        <v>725</v>
      </c>
      <c r="G48" s="6" t="s">
        <v>788</v>
      </c>
      <c r="H48" s="6"/>
      <c r="I48" s="26" t="n">
        <v>3</v>
      </c>
      <c r="J48" s="26" t="n">
        <f aca="false">COUNTIFS('Control Library'!$A$5:$A$50,"AI-CTRL-020",'Control Library'!$R$5:$R$50,"Implemented")+COUNTIFS('Control Library'!$A$5:$A$50,"AI-CTRL-022",'Control Library'!$R$5:$R$50,"Implemented")+COUNTIFS('Control Library'!$A$5:$A$50,"AI-CTRL-024",'Control Library'!$R$5:$R$50,"Implemented")</f>
        <v>0</v>
      </c>
      <c r="K48" s="43" t="str">
        <f aca="false">IF(I48=0,"No wiki control",IF(J48=I48,"Fully covered",IF(J48=0,"Not covered","Partly covered")))</f>
        <v>Not covered</v>
      </c>
      <c r="L48" s="9" t="s">
        <v>638</v>
      </c>
    </row>
    <row r="49" customFormat="false" ht="23.85" hidden="false" customHeight="false" outlineLevel="0" collapsed="false">
      <c r="A49" s="47" t="s">
        <v>570</v>
      </c>
      <c r="B49" s="47" t="s">
        <v>569</v>
      </c>
      <c r="C49" s="5" t="s">
        <v>789</v>
      </c>
      <c r="D49" s="6" t="s">
        <v>790</v>
      </c>
      <c r="E49" s="6" t="s">
        <v>363</v>
      </c>
      <c r="F49" s="6" t="s">
        <v>725</v>
      </c>
      <c r="G49" s="6" t="s">
        <v>367</v>
      </c>
      <c r="H49" s="6"/>
      <c r="I49" s="26" t="n">
        <v>1</v>
      </c>
      <c r="J49" s="26" t="n">
        <f aca="false">COUNTIFS('Control Library'!$A$5:$A$50,"AI-CTRL-024",'Control Library'!$R$5:$R$50,"Implemented")</f>
        <v>0</v>
      </c>
      <c r="K49" s="43" t="str">
        <f aca="false">IF(I49=0,"No wiki control",IF(J49=I49,"Fully covered",IF(J49=0,"Not covered","Partly covered")))</f>
        <v>Not covered</v>
      </c>
      <c r="L49" s="9" t="s">
        <v>638</v>
      </c>
    </row>
    <row r="50" customFormat="false" ht="23.85" hidden="false" customHeight="false" outlineLevel="0" collapsed="false">
      <c r="A50" s="47" t="s">
        <v>570</v>
      </c>
      <c r="B50" s="47" t="s">
        <v>569</v>
      </c>
      <c r="C50" s="5" t="s">
        <v>791</v>
      </c>
      <c r="D50" s="6" t="s">
        <v>792</v>
      </c>
      <c r="E50" s="6" t="s">
        <v>793</v>
      </c>
      <c r="F50" s="6" t="s">
        <v>725</v>
      </c>
      <c r="G50" s="6" t="s">
        <v>389</v>
      </c>
      <c r="H50" s="6"/>
      <c r="I50" s="26" t="n">
        <v>2</v>
      </c>
      <c r="J50" s="26" t="n">
        <f aca="false">COUNTIFS('Control Library'!$A$5:$A$50,"AI-CTRL-006",'Control Library'!$R$5:$R$50,"Implemented")+COUNTIFS('Control Library'!$A$5:$A$50,"AI-CTRL-027",'Control Library'!$R$5:$R$50,"Implemented")</f>
        <v>0</v>
      </c>
      <c r="K50" s="43" t="str">
        <f aca="false">IF(I50=0,"No wiki control",IF(J50=I50,"Fully covered",IF(J50=0,"Not covered","Partly covered")))</f>
        <v>Not covered</v>
      </c>
      <c r="L50" s="9" t="s">
        <v>638</v>
      </c>
    </row>
    <row r="51" customFormat="false" ht="23.85" hidden="false" customHeight="false" outlineLevel="0" collapsed="false">
      <c r="A51" s="47" t="s">
        <v>570</v>
      </c>
      <c r="B51" s="47" t="s">
        <v>569</v>
      </c>
      <c r="C51" s="5" t="s">
        <v>794</v>
      </c>
      <c r="D51" s="6" t="s">
        <v>795</v>
      </c>
      <c r="E51" s="6" t="s">
        <v>796</v>
      </c>
      <c r="F51" s="6" t="s">
        <v>725</v>
      </c>
      <c r="G51" s="6" t="s">
        <v>797</v>
      </c>
      <c r="H51" s="6"/>
      <c r="I51" s="26" t="n">
        <v>2</v>
      </c>
      <c r="J51" s="26" t="n">
        <f aca="false">COUNTIFS('Control Library'!$A$5:$A$50,"AI-CTRL-015",'Control Library'!$R$5:$R$50,"Implemented")+COUNTIFS('Control Library'!$A$5:$A$50,"AI-CTRL-016",'Control Library'!$R$5:$R$50,"Implemented")</f>
        <v>0</v>
      </c>
      <c r="K51" s="43" t="str">
        <f aca="false">IF(I51=0,"No wiki control",IF(J51=I51,"Fully covered",IF(J51=0,"Not covered","Partly covered")))</f>
        <v>Not covered</v>
      </c>
      <c r="L51" s="9" t="s">
        <v>638</v>
      </c>
    </row>
    <row r="52" customFormat="false" ht="23.85" hidden="false" customHeight="false" outlineLevel="0" collapsed="false">
      <c r="A52" s="47" t="s">
        <v>570</v>
      </c>
      <c r="B52" s="47" t="s">
        <v>569</v>
      </c>
      <c r="C52" s="5" t="s">
        <v>798</v>
      </c>
      <c r="D52" s="6" t="s">
        <v>799</v>
      </c>
      <c r="E52" s="6" t="s">
        <v>800</v>
      </c>
      <c r="F52" s="6" t="s">
        <v>725</v>
      </c>
      <c r="G52" s="6" t="s">
        <v>541</v>
      </c>
      <c r="H52" s="6"/>
      <c r="I52" s="26" t="n">
        <v>2</v>
      </c>
      <c r="J52" s="26" t="n">
        <f aca="false">COUNTIFS('Control Library'!$A$5:$A$50,"AI-CTRL-023",'Control Library'!$R$5:$R$50,"Implemented")+COUNTIFS('Control Library'!$A$5:$A$50,"AI-CTRL-045",'Control Library'!$R$5:$R$50,"Implemented")</f>
        <v>0</v>
      </c>
      <c r="K52" s="43" t="str">
        <f aca="false">IF(I52=0,"No wiki control",IF(J52=I52,"Fully covered",IF(J52=0,"Not covered","Partly covered")))</f>
        <v>Not covered</v>
      </c>
      <c r="L52" s="9" t="s">
        <v>638</v>
      </c>
    </row>
    <row r="53" customFormat="false" ht="23.85" hidden="false" customHeight="false" outlineLevel="0" collapsed="false">
      <c r="A53" s="47" t="s">
        <v>570</v>
      </c>
      <c r="B53" s="47" t="s">
        <v>569</v>
      </c>
      <c r="C53" s="5" t="s">
        <v>801</v>
      </c>
      <c r="D53" s="6" t="s">
        <v>802</v>
      </c>
      <c r="E53" s="6" t="s">
        <v>720</v>
      </c>
      <c r="F53" s="6" t="s">
        <v>725</v>
      </c>
      <c r="G53" s="6" t="s">
        <v>803</v>
      </c>
      <c r="H53" s="6"/>
      <c r="I53" s="26" t="n">
        <v>2</v>
      </c>
      <c r="J53" s="26" t="n">
        <f aca="false">COUNTIFS('Control Library'!$A$5:$A$50,"AI-CTRL-024",'Control Library'!$R$5:$R$50,"Implemented")+COUNTIFS('Control Library'!$A$5:$A$50,"AI-CTRL-031",'Control Library'!$R$5:$R$50,"Implemented")</f>
        <v>0</v>
      </c>
      <c r="K53" s="43" t="str">
        <f aca="false">IF(I53=0,"No wiki control",IF(J53=I53,"Fully covered",IF(J53=0,"Not covered","Partly covered")))</f>
        <v>Not covered</v>
      </c>
      <c r="L53" s="9" t="s">
        <v>638</v>
      </c>
    </row>
    <row r="54" customFormat="false" ht="23.85" hidden="false" customHeight="false" outlineLevel="0" collapsed="false">
      <c r="A54" s="47" t="s">
        <v>571</v>
      </c>
      <c r="B54" s="47" t="s">
        <v>569</v>
      </c>
      <c r="C54" s="5" t="s">
        <v>804</v>
      </c>
      <c r="D54" s="6" t="s">
        <v>805</v>
      </c>
      <c r="E54" s="6" t="s">
        <v>477</v>
      </c>
      <c r="F54" s="6" t="s">
        <v>725</v>
      </c>
      <c r="G54" s="6" t="s">
        <v>806</v>
      </c>
      <c r="H54" s="6" t="s">
        <v>652</v>
      </c>
      <c r="I54" s="26" t="n">
        <v>1</v>
      </c>
      <c r="J54" s="26" t="n">
        <f aca="false">COUNTIFS('Control Library'!$A$5:$A$50,"AI-CTRL-038",'Control Library'!$R$5:$R$50,"Implemented")</f>
        <v>0</v>
      </c>
      <c r="K54" s="43" t="str">
        <f aca="false">IF(I54=0,"No wiki control",IF(J54=I54,"Fully covered",IF(J54=0,"Not covered","Partly covered")))</f>
        <v>Not covered</v>
      </c>
      <c r="L54" s="9" t="s">
        <v>807</v>
      </c>
    </row>
    <row r="55" customFormat="false" ht="35.05" hidden="false" customHeight="false" outlineLevel="0" collapsed="false">
      <c r="A55" s="47" t="s">
        <v>571</v>
      </c>
      <c r="B55" s="47" t="s">
        <v>569</v>
      </c>
      <c r="C55" s="5" t="s">
        <v>808</v>
      </c>
      <c r="D55" s="6" t="s">
        <v>809</v>
      </c>
      <c r="E55" s="6" t="s">
        <v>810</v>
      </c>
      <c r="F55" s="6" t="s">
        <v>635</v>
      </c>
      <c r="G55" s="6" t="s">
        <v>258</v>
      </c>
      <c r="H55" s="6" t="s">
        <v>652</v>
      </c>
      <c r="I55" s="26" t="n">
        <v>7</v>
      </c>
      <c r="J55" s="26" t="n">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Library'!$R$5:$R$50,"Implemented")+COUNTIFS('Control Library'!$A$5:$A$50,"AI-CTRL-045",'Control Library'!$R$5:$R$50,"Implemented")</f>
        <v>0</v>
      </c>
      <c r="K55" s="43" t="str">
        <f aca="false">IF(I55=0,"No wiki control",IF(J55=I55,"Fully covered",IF(J55=0,"Not covered","Partly covered")))</f>
        <v>Not covered</v>
      </c>
      <c r="L55" s="9" t="s">
        <v>807</v>
      </c>
    </row>
    <row r="56" customFormat="false" ht="23.85" hidden="false" customHeight="false" outlineLevel="0" collapsed="false">
      <c r="A56" s="47" t="s">
        <v>571</v>
      </c>
      <c r="B56" s="47" t="s">
        <v>569</v>
      </c>
      <c r="C56" s="5" t="s">
        <v>811</v>
      </c>
      <c r="D56" s="6" t="s">
        <v>812</v>
      </c>
      <c r="E56" s="6" t="s">
        <v>263</v>
      </c>
      <c r="F56" s="6" t="s">
        <v>725</v>
      </c>
      <c r="G56" s="6" t="s">
        <v>165</v>
      </c>
      <c r="H56" s="6" t="s">
        <v>652</v>
      </c>
      <c r="I56" s="26" t="n">
        <v>1</v>
      </c>
      <c r="J56" s="26" t="n">
        <f aca="false">COUNTIFS('Control Library'!$A$5:$A$50,"AI-CTRL-012",'Control Library'!$R$5:$R$50,"Implemented")</f>
        <v>0</v>
      </c>
      <c r="K56" s="43" t="str">
        <f aca="false">IF(I56=0,"No wiki control",IF(J56=I56,"Fully covered",IF(J56=0,"Not covered","Partly covered")))</f>
        <v>Not covered</v>
      </c>
      <c r="L56" s="9" t="s">
        <v>807</v>
      </c>
    </row>
    <row r="57" customFormat="false" ht="35.05" hidden="false" customHeight="false" outlineLevel="0" collapsed="false">
      <c r="A57" s="47" t="s">
        <v>571</v>
      </c>
      <c r="B57" s="47" t="s">
        <v>569</v>
      </c>
      <c r="C57" s="5" t="s">
        <v>813</v>
      </c>
      <c r="D57" s="6" t="s">
        <v>814</v>
      </c>
      <c r="E57" s="6" t="s">
        <v>512</v>
      </c>
      <c r="F57" s="6" t="s">
        <v>725</v>
      </c>
      <c r="G57" s="6"/>
      <c r="H57" s="6" t="s">
        <v>652</v>
      </c>
      <c r="I57" s="26" t="n">
        <v>1</v>
      </c>
      <c r="J57" s="26" t="n">
        <f aca="false">COUNTIFS('Control Library'!$A$5:$A$50,"AI-CTRL-042",'Control Library'!$R$5:$R$50,"Implemented")</f>
        <v>0</v>
      </c>
      <c r="K57" s="43" t="str">
        <f aca="false">IF(I57=0,"No wiki control",IF(J57=I57,"Fully covered",IF(J57=0,"Not covered","Partly covered")))</f>
        <v>Not covered</v>
      </c>
      <c r="L57" s="9" t="s">
        <v>807</v>
      </c>
    </row>
    <row r="58" customFormat="false" ht="35.05" hidden="false" customHeight="false" outlineLevel="0" collapsed="false">
      <c r="A58" s="47" t="s">
        <v>571</v>
      </c>
      <c r="B58" s="47" t="s">
        <v>569</v>
      </c>
      <c r="C58" s="5" t="s">
        <v>815</v>
      </c>
      <c r="D58" s="6" t="s">
        <v>816</v>
      </c>
      <c r="E58" s="6" t="s">
        <v>817</v>
      </c>
      <c r="F58" s="6" t="s">
        <v>635</v>
      </c>
      <c r="G58" s="6" t="s">
        <v>818</v>
      </c>
      <c r="H58" s="6" t="s">
        <v>652</v>
      </c>
      <c r="I58" s="26" t="n">
        <v>6</v>
      </c>
      <c r="J58" s="26" t="n">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58" s="43" t="str">
        <f aca="false">IF(I58=0,"No wiki control",IF(J58=I58,"Fully covered",IF(J58=0,"Not covered","Partly covered")))</f>
        <v>Not covered</v>
      </c>
      <c r="L58" s="9" t="s">
        <v>807</v>
      </c>
    </row>
    <row r="59" customFormat="false" ht="23.85" hidden="false" customHeight="false" outlineLevel="0" collapsed="false">
      <c r="A59" s="47" t="s">
        <v>571</v>
      </c>
      <c r="B59" s="47" t="s">
        <v>569</v>
      </c>
      <c r="C59" s="5" t="s">
        <v>819</v>
      </c>
      <c r="D59" s="6" t="s">
        <v>820</v>
      </c>
      <c r="E59" s="6" t="s">
        <v>821</v>
      </c>
      <c r="F59" s="6" t="s">
        <v>635</v>
      </c>
      <c r="G59" s="6" t="s">
        <v>822</v>
      </c>
      <c r="H59" s="6" t="s">
        <v>637</v>
      </c>
      <c r="I59" s="26" t="n">
        <v>2</v>
      </c>
      <c r="J59" s="26" t="n">
        <f aca="false">COUNTIFS('Control Library'!$A$5:$A$50,"AI-CTRL-011",'Control Library'!$R$5:$R$50,"Implemented")+COUNTIFS('Control Library'!$A$5:$A$50,"AI-CTRL-037",'Control Library'!$R$5:$R$50,"Implemented")</f>
        <v>0</v>
      </c>
      <c r="K59" s="43" t="str">
        <f aca="false">IF(I59=0,"No wiki control",IF(J59=I59,"Fully covered",IF(J59=0,"Not covered","Partly covered")))</f>
        <v>Not covered</v>
      </c>
      <c r="L59" s="9" t="s">
        <v>807</v>
      </c>
    </row>
    <row r="60" customFormat="false" ht="23.85" hidden="false" customHeight="false" outlineLevel="0" collapsed="false">
      <c r="A60" s="47" t="s">
        <v>571</v>
      </c>
      <c r="B60" s="47" t="s">
        <v>569</v>
      </c>
      <c r="C60" s="5" t="s">
        <v>823</v>
      </c>
      <c r="D60" s="6" t="s">
        <v>824</v>
      </c>
      <c r="E60" s="6" t="s">
        <v>821</v>
      </c>
      <c r="F60" s="6" t="s">
        <v>635</v>
      </c>
      <c r="G60" s="6" t="s">
        <v>822</v>
      </c>
      <c r="H60" s="6" t="s">
        <v>652</v>
      </c>
      <c r="I60" s="26" t="n">
        <v>2</v>
      </c>
      <c r="J60" s="26" t="n">
        <f aca="false">COUNTIFS('Control Library'!$A$5:$A$50,"AI-CTRL-011",'Control Library'!$R$5:$R$50,"Implemented")+COUNTIFS('Control Library'!$A$5:$A$50,"AI-CTRL-037",'Control Library'!$R$5:$R$50,"Implemented")</f>
        <v>0</v>
      </c>
      <c r="K60" s="43" t="str">
        <f aca="false">IF(I60=0,"No wiki control",IF(J60=I60,"Fully covered",IF(J60=0,"Not covered","Partly covered")))</f>
        <v>Not covered</v>
      </c>
      <c r="L60" s="9" t="s">
        <v>807</v>
      </c>
    </row>
    <row r="61" customFormat="false" ht="35.05" hidden="false" customHeight="false" outlineLevel="0" collapsed="false">
      <c r="A61" s="47" t="s">
        <v>571</v>
      </c>
      <c r="B61" s="47" t="s">
        <v>569</v>
      </c>
      <c r="C61" s="5" t="s">
        <v>825</v>
      </c>
      <c r="D61" s="6" t="s">
        <v>826</v>
      </c>
      <c r="E61" s="6" t="s">
        <v>650</v>
      </c>
      <c r="F61" s="6" t="s">
        <v>635</v>
      </c>
      <c r="G61" s="6" t="s">
        <v>827</v>
      </c>
      <c r="H61" s="6" t="s">
        <v>652</v>
      </c>
      <c r="I61" s="26" t="n">
        <v>4</v>
      </c>
      <c r="J61"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61" s="43" t="str">
        <f aca="false">IF(I61=0,"No wiki control",IF(J61=I61,"Fully covered",IF(J61=0,"Not covered","Partly covered")))</f>
        <v>Not covered</v>
      </c>
      <c r="L61" s="9" t="s">
        <v>807</v>
      </c>
    </row>
    <row r="62" customFormat="false" ht="23.85" hidden="false" customHeight="false" outlineLevel="0" collapsed="false">
      <c r="A62" s="47" t="s">
        <v>571</v>
      </c>
      <c r="B62" s="47" t="s">
        <v>569</v>
      </c>
      <c r="C62" s="5" t="s">
        <v>828</v>
      </c>
      <c r="D62" s="6" t="s">
        <v>829</v>
      </c>
      <c r="E62" s="6" t="s">
        <v>830</v>
      </c>
      <c r="F62" s="6" t="s">
        <v>635</v>
      </c>
      <c r="G62" s="6" t="s">
        <v>831</v>
      </c>
      <c r="H62" s="6" t="s">
        <v>637</v>
      </c>
      <c r="I62" s="26" t="n">
        <v>4</v>
      </c>
      <c r="J62" s="26" t="n">
        <f aca="false">COUNTIFS('Control Library'!$A$5:$A$50,"AI-CTRL-011",'Control Library'!$R$5:$R$50,"Implemented")+COUNTIFS('Control Library'!$A$5:$A$50,"AI-CTRL-014",'Control Library'!$R$5:$R$50,"Implemented")+COUNTIFS('Control Library'!$A$5:$A$50,"AI-CTRL-036",'Control Library'!$R$5:$R$50,"Implemented")+COUNTIFS('Control Library'!$A$5:$A$50,"AI-CTRL-037",'Control Library'!$R$5:$R$50,"Implemented")</f>
        <v>0</v>
      </c>
      <c r="K62" s="43" t="str">
        <f aca="false">IF(I62=0,"No wiki control",IF(J62=I62,"Fully covered",IF(J62=0,"Not covered","Partly covered")))</f>
        <v>Not covered</v>
      </c>
      <c r="L62" s="9" t="s">
        <v>807</v>
      </c>
    </row>
    <row r="63" customFormat="false" ht="91" hidden="false" customHeight="false" outlineLevel="0" collapsed="false">
      <c r="A63" s="47" t="s">
        <v>571</v>
      </c>
      <c r="B63" s="47" t="s">
        <v>569</v>
      </c>
      <c r="C63" s="5" t="s">
        <v>832</v>
      </c>
      <c r="D63" s="6" t="s">
        <v>833</v>
      </c>
      <c r="E63" s="6" t="s">
        <v>834</v>
      </c>
      <c r="F63" s="6" t="s">
        <v>635</v>
      </c>
      <c r="G63" s="6" t="s">
        <v>835</v>
      </c>
      <c r="H63" s="6" t="s">
        <v>652</v>
      </c>
      <c r="I63" s="26" t="n">
        <v>19</v>
      </c>
      <c r="J63" s="26" t="n">
        <f aca="false">COUNTIFS('Control Library'!$A$5:$A$50,"AI-CTRL-002",'Control Library'!$R$5:$R$50,"Implemented")+COUNTIFS('Control Library'!$A$5:$A$50,"AI-CTRL-003",'Control Library'!$R$5:$R$50,"Implemented")+COUNTIFS('Control Library'!$A$5:$A$50,"AI-CTRL-005",'Control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Library'!$A$5:$A$50,"AI-CTRL-032",'Control Library'!$R$5:$R$50,"Implemented")+COUNTIFS('Control Library'!$A$5:$A$50,"AI-CTRL-037",'Control Library'!$R$5:$R$50,"Implemented")+COUNTIFS('Control Library'!$A$5:$A$50,"AI-CTRL-038",'Control Library'!$R$5:$R$50,"Implemented")+COUNTIFS('Control Library'!$A$5:$A$50,"AI-CTRL-042",'Control Library'!$R$5:$R$50,"Implemented")+COUNTIFS('Control Library'!$A$5:$A$50,"AI-CTRL-043",'Control Library'!$R$5:$R$50,"Implemented")+COUNTIFS('Control Library'!$A$5:$A$50,"AI-CTRL-045",'Control Library'!$R$5:$R$50,"Implemented")</f>
        <v>0</v>
      </c>
      <c r="K63" s="43" t="str">
        <f aca="false">IF(I63=0,"No wiki control",IF(J63=I63,"Fully covered",IF(J63=0,"Not covered","Partly covered")))</f>
        <v>Not covered</v>
      </c>
      <c r="L63" s="9" t="s">
        <v>807</v>
      </c>
    </row>
    <row r="64" customFormat="false" ht="23.85" hidden="false" customHeight="false" outlineLevel="0" collapsed="false">
      <c r="A64" s="47" t="s">
        <v>571</v>
      </c>
      <c r="B64" s="47" t="s">
        <v>569</v>
      </c>
      <c r="C64" s="5" t="s">
        <v>836</v>
      </c>
      <c r="D64" s="6" t="s">
        <v>837</v>
      </c>
      <c r="E64" s="6" t="s">
        <v>665</v>
      </c>
      <c r="F64" s="6" t="s">
        <v>635</v>
      </c>
      <c r="G64" s="6" t="s">
        <v>666</v>
      </c>
      <c r="H64" s="6" t="s">
        <v>637</v>
      </c>
      <c r="I64" s="26" t="n">
        <v>3</v>
      </c>
      <c r="J64" s="26" t="n">
        <f aca="false">COUNTIFS('Control Library'!$A$5:$A$50,"AI-CTRL-017",'Control Library'!$R$5:$R$50,"Implemented")+COUNTIFS('Control Library'!$A$5:$A$50,"AI-CTRL-019",'Control Library'!$R$5:$R$50,"Implemented")+COUNTIFS('Control Library'!$A$5:$A$50,"AI-CTRL-034",'Control Library'!$R$5:$R$50,"Implemented")</f>
        <v>0</v>
      </c>
      <c r="K64" s="43" t="str">
        <f aca="false">IF(I64=0,"No wiki control",IF(J64=I64,"Fully covered",IF(J64=0,"Not covered","Partly covered")))</f>
        <v>Not covered</v>
      </c>
      <c r="L64" s="9" t="s">
        <v>807</v>
      </c>
    </row>
    <row r="65" customFormat="false" ht="35.05" hidden="false" customHeight="false" outlineLevel="0" collapsed="false">
      <c r="A65" s="47" t="s">
        <v>571</v>
      </c>
      <c r="B65" s="47" t="s">
        <v>569</v>
      </c>
      <c r="C65" s="5" t="s">
        <v>838</v>
      </c>
      <c r="D65" s="6" t="s">
        <v>839</v>
      </c>
      <c r="E65" s="6" t="s">
        <v>840</v>
      </c>
      <c r="F65" s="6" t="s">
        <v>635</v>
      </c>
      <c r="G65" s="6" t="s">
        <v>841</v>
      </c>
      <c r="H65" s="6" t="s">
        <v>652</v>
      </c>
      <c r="I65" s="26" t="n">
        <v>6</v>
      </c>
      <c r="J65" s="26" t="n">
        <f aca="false">COUNTIFS('Control Library'!$A$5:$A$50,"AI-CTRL-008",'Control Library'!$R$5:$R$50,"Implemented")+COUNTIFS('Control Library'!$A$5:$A$50,"AI-CTRL-025",'Control Library'!$R$5:$R$50,"Implemented")+COUNTIFS('Control Library'!$A$5:$A$50,"AI-CTRL-026",'Control Library'!$R$5:$R$50,"Implemented")+COUNTIFS('Control Library'!$A$5:$A$50,"AI-CTRL-027",'Control Library'!$R$5:$R$50,"Implemented")+COUNTIFS('Control Library'!$A$5:$A$50,"AI-CTRL-035",'Control Library'!$R$5:$R$50,"Implemented")+COUNTIFS('Control Library'!$A$5:$A$50,"AI-CTRL-038",'Control Library'!$R$5:$R$50,"Implemented")</f>
        <v>0</v>
      </c>
      <c r="K65" s="43" t="str">
        <f aca="false">IF(I65=0,"No wiki control",IF(J65=I65,"Fully covered",IF(J65=0,"Not covered","Partly covered")))</f>
        <v>Not covered</v>
      </c>
      <c r="L65" s="9" t="s">
        <v>807</v>
      </c>
    </row>
    <row r="66" customFormat="false" ht="23.85" hidden="false" customHeight="false" outlineLevel="0" collapsed="false">
      <c r="A66" s="47" t="s">
        <v>571</v>
      </c>
      <c r="B66" s="47" t="s">
        <v>569</v>
      </c>
      <c r="C66" s="5" t="s">
        <v>842</v>
      </c>
      <c r="D66" s="6" t="s">
        <v>843</v>
      </c>
      <c r="E66" s="6" t="s">
        <v>403</v>
      </c>
      <c r="F66" s="6" t="s">
        <v>725</v>
      </c>
      <c r="G66" s="6" t="s">
        <v>844</v>
      </c>
      <c r="H66" s="6" t="s">
        <v>652</v>
      </c>
      <c r="I66" s="26" t="n">
        <v>1</v>
      </c>
      <c r="J66" s="26" t="n">
        <f aca="false">COUNTIFS('Control Library'!$A$5:$A$50,"AI-CTRL-029",'Control Library'!$R$5:$R$50,"Implemented")</f>
        <v>0</v>
      </c>
      <c r="K66" s="43" t="str">
        <f aca="false">IF(I66=0,"No wiki control",IF(J66=I66,"Fully covered",IF(J66=0,"Not covered","Partly covered")))</f>
        <v>Not covered</v>
      </c>
      <c r="L66" s="9" t="s">
        <v>807</v>
      </c>
    </row>
    <row r="67" customFormat="false" ht="35.05" hidden="false" customHeight="false" outlineLevel="0" collapsed="false">
      <c r="A67" s="47" t="s">
        <v>571</v>
      </c>
      <c r="B67" s="47" t="s">
        <v>569</v>
      </c>
      <c r="C67" s="5" t="s">
        <v>845</v>
      </c>
      <c r="D67" s="6" t="s">
        <v>846</v>
      </c>
      <c r="E67" s="6" t="s">
        <v>847</v>
      </c>
      <c r="F67" s="6" t="s">
        <v>635</v>
      </c>
      <c r="G67" s="6" t="s">
        <v>848</v>
      </c>
      <c r="H67" s="6" t="s">
        <v>637</v>
      </c>
      <c r="I67" s="26" t="n">
        <v>7</v>
      </c>
      <c r="J67"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67" s="43" t="str">
        <f aca="false">IF(I67=0,"No wiki control",IF(J67=I67,"Fully covered",IF(J67=0,"Not covered","Partly covered")))</f>
        <v>Not covered</v>
      </c>
      <c r="L67" s="9" t="s">
        <v>807</v>
      </c>
    </row>
    <row r="68" customFormat="false" ht="35.05" hidden="false" customHeight="false" outlineLevel="0" collapsed="false">
      <c r="A68" s="47" t="s">
        <v>571</v>
      </c>
      <c r="B68" s="47" t="s">
        <v>569</v>
      </c>
      <c r="C68" s="5" t="s">
        <v>849</v>
      </c>
      <c r="D68" s="6" t="s">
        <v>850</v>
      </c>
      <c r="E68" s="6" t="s">
        <v>851</v>
      </c>
      <c r="F68" s="6" t="s">
        <v>635</v>
      </c>
      <c r="G68" s="6" t="s">
        <v>852</v>
      </c>
      <c r="H68" s="6" t="s">
        <v>637</v>
      </c>
      <c r="I68" s="26" t="n">
        <v>7</v>
      </c>
      <c r="J68" s="26" t="n">
        <f aca="false">COUNTIFS('Control Library'!$A$5:$A$50,"AI-CTRL-033",'Control Library'!$R$5:$R$50,"Implemented")+COUNTIFS('Control Library'!$A$5:$A$50,"AI-CTRL-034",'Control Library'!$R$5:$R$50,"Implemented")+COUNTIFS('Control Library'!$A$5:$A$50,"AI-CTRL-038",'Control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68" s="43" t="str">
        <f aca="false">IF(I68=0,"No wiki control",IF(J68=I68,"Fully covered",IF(J68=0,"Not covered","Partly covered")))</f>
        <v>Not covered</v>
      </c>
      <c r="L68" s="9" t="s">
        <v>807</v>
      </c>
    </row>
    <row r="69" customFormat="false" ht="23.85" hidden="false" customHeight="false" outlineLevel="0" collapsed="false">
      <c r="A69" s="47" t="s">
        <v>571</v>
      </c>
      <c r="B69" s="47" t="s">
        <v>569</v>
      </c>
      <c r="C69" s="5" t="s">
        <v>853</v>
      </c>
      <c r="D69" s="6" t="s">
        <v>854</v>
      </c>
      <c r="E69" s="6" t="s">
        <v>412</v>
      </c>
      <c r="F69" s="6" t="s">
        <v>725</v>
      </c>
      <c r="G69" s="6" t="s">
        <v>398</v>
      </c>
      <c r="H69" s="6" t="s">
        <v>652</v>
      </c>
      <c r="I69" s="26" t="n">
        <v>1</v>
      </c>
      <c r="J69" s="26" t="n">
        <f aca="false">COUNTIFS('Control Library'!$A$5:$A$50,"AI-CTRL-030",'Control Library'!$R$5:$R$50,"Implemented")</f>
        <v>0</v>
      </c>
      <c r="K69" s="43" t="str">
        <f aca="false">IF(I69=0,"No wiki control",IF(J69=I69,"Fully covered",IF(J69=0,"Not covered","Partly covered")))</f>
        <v>Not covered</v>
      </c>
      <c r="L69" s="9" t="s">
        <v>807</v>
      </c>
    </row>
    <row r="70" customFormat="false" ht="23.85" hidden="false" customHeight="false" outlineLevel="0" collapsed="false">
      <c r="A70" s="47" t="s">
        <v>571</v>
      </c>
      <c r="B70" s="47" t="s">
        <v>569</v>
      </c>
      <c r="C70" s="5" t="s">
        <v>855</v>
      </c>
      <c r="D70" s="6" t="s">
        <v>856</v>
      </c>
      <c r="E70" s="6" t="s">
        <v>659</v>
      </c>
      <c r="F70" s="6" t="s">
        <v>635</v>
      </c>
      <c r="G70" s="6" t="s">
        <v>660</v>
      </c>
      <c r="H70" s="6" t="s">
        <v>637</v>
      </c>
      <c r="I70" s="26" t="n">
        <v>3</v>
      </c>
      <c r="J70" s="26" t="n">
        <f aca="false">COUNTIFS('Control Library'!$A$5:$A$50,"AI-CTRL-008",'Control Library'!$R$5:$R$50,"Implemented")+COUNTIFS('Control Library'!$A$5:$A$50,"AI-CTRL-038",'Control Library'!$R$5:$R$50,"Implemented")+COUNTIFS('Control Library'!$A$5:$A$50,"AI-CTRL-041",'Control Library'!$R$5:$R$50,"Implemented")</f>
        <v>0</v>
      </c>
      <c r="K70" s="43" t="str">
        <f aca="false">IF(I70=0,"No wiki control",IF(J70=I70,"Fully covered",IF(J70=0,"Not covered","Partly covered")))</f>
        <v>Not covered</v>
      </c>
      <c r="L70" s="9" t="s">
        <v>807</v>
      </c>
    </row>
    <row r="71" customFormat="false" ht="35.05" hidden="false" customHeight="false" outlineLevel="0" collapsed="false">
      <c r="A71" s="47" t="s">
        <v>571</v>
      </c>
      <c r="B71" s="47" t="s">
        <v>569</v>
      </c>
      <c r="C71" s="5" t="s">
        <v>857</v>
      </c>
      <c r="D71" s="6" t="s">
        <v>858</v>
      </c>
      <c r="E71" s="6" t="s">
        <v>859</v>
      </c>
      <c r="F71" s="6" t="s">
        <v>635</v>
      </c>
      <c r="G71" s="6" t="s">
        <v>860</v>
      </c>
      <c r="H71" s="6" t="s">
        <v>652</v>
      </c>
      <c r="I71" s="26" t="n">
        <v>6</v>
      </c>
      <c r="J71" s="26" t="n">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Library'!$A$5:$A$50,"AI-CTRL-041",'Control Library'!$R$5:$R$50,"Implemented")+COUNTIFS('Control Library'!$A$5:$A$50,"AI-CTRL-043",'Control Library'!$R$5:$R$50,"Implemented")</f>
        <v>0</v>
      </c>
      <c r="K71" s="43" t="str">
        <f aca="false">IF(I71=0,"No wiki control",IF(J71=I71,"Fully covered",IF(J71=0,"Not covered","Partly covered")))</f>
        <v>Not covered</v>
      </c>
      <c r="L71" s="9" t="s">
        <v>807</v>
      </c>
    </row>
    <row r="72" customFormat="false" ht="35.05" hidden="false" customHeight="false" outlineLevel="0" collapsed="false">
      <c r="A72" s="47" t="s">
        <v>571</v>
      </c>
      <c r="B72" s="47" t="s">
        <v>569</v>
      </c>
      <c r="C72" s="5" t="s">
        <v>861</v>
      </c>
      <c r="D72" s="6" t="s">
        <v>862</v>
      </c>
      <c r="E72" s="6" t="s">
        <v>863</v>
      </c>
      <c r="F72" s="6" t="s">
        <v>635</v>
      </c>
      <c r="G72" s="6" t="s">
        <v>864</v>
      </c>
      <c r="H72" s="6" t="s">
        <v>637</v>
      </c>
      <c r="I72" s="26" t="n">
        <v>7</v>
      </c>
      <c r="J72" s="26" t="n">
        <f aca="false">COUNTIFS('Control Library'!$A$5:$A$50,"AI-CTRL-014",'Control Library'!$R$5:$R$50,"Implemented")+COUNTIFS('Control Library'!$A$5:$A$50,"AI-CTRL-017",'Control Library'!$R$5:$R$50,"Implemented")+COUNTIFS('Control Library'!$A$5:$A$50,"AI-CTRL-019",'Control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2" s="43" t="str">
        <f aca="false">IF(I72=0,"No wiki control",IF(J72=I72,"Fully covered",IF(J72=0,"Not covered","Partly covered")))</f>
        <v>Not covered</v>
      </c>
      <c r="L72" s="9" t="s">
        <v>807</v>
      </c>
    </row>
    <row r="73" customFormat="false" ht="46.25" hidden="false" customHeight="false" outlineLevel="0" collapsed="false">
      <c r="A73" s="47" t="s">
        <v>571</v>
      </c>
      <c r="B73" s="47" t="s">
        <v>569</v>
      </c>
      <c r="C73" s="5" t="s">
        <v>865</v>
      </c>
      <c r="D73" s="6" t="s">
        <v>866</v>
      </c>
      <c r="E73" s="6" t="s">
        <v>867</v>
      </c>
      <c r="F73" s="6" t="s">
        <v>635</v>
      </c>
      <c r="G73" s="6" t="s">
        <v>868</v>
      </c>
      <c r="H73" s="6" t="s">
        <v>637</v>
      </c>
      <c r="I73" s="26" t="n">
        <v>9</v>
      </c>
      <c r="J73" s="26" t="n">
        <f aca="false">COUNTIFS('Control Library'!$A$5:$A$50,"AI-CTRL-004",'Control Library'!$R$5:$R$50,"Implemented")+COUNTIFS('Control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Library'!$A$5:$A$50,"AI-CTRL-027",'Control Library'!$R$5:$R$50,"Implemented")</f>
        <v>0</v>
      </c>
      <c r="K73" s="43" t="str">
        <f aca="false">IF(I73=0,"No wiki control",IF(J73=I73,"Fully covered",IF(J73=0,"Not covered","Partly covered")))</f>
        <v>Not covered</v>
      </c>
      <c r="L73" s="9" t="s">
        <v>807</v>
      </c>
    </row>
    <row r="74" customFormat="false" ht="23.85" hidden="false" customHeight="false" outlineLevel="0" collapsed="false">
      <c r="A74" s="47" t="s">
        <v>571</v>
      </c>
      <c r="B74" s="47" t="s">
        <v>569</v>
      </c>
      <c r="C74" s="5" t="s">
        <v>869</v>
      </c>
      <c r="D74" s="6" t="s">
        <v>870</v>
      </c>
      <c r="E74" s="6" t="s">
        <v>871</v>
      </c>
      <c r="F74" s="6" t="s">
        <v>725</v>
      </c>
      <c r="G74" s="6" t="s">
        <v>872</v>
      </c>
      <c r="H74" s="6" t="s">
        <v>637</v>
      </c>
      <c r="I74" s="26" t="n">
        <v>2</v>
      </c>
      <c r="J74" s="26" t="n">
        <f aca="false">COUNTIFS('Control Library'!$A$5:$A$50,"AI-CTRL-019",'Control Library'!$R$5:$R$50,"Implemented")+COUNTIFS('Control Library'!$A$5:$A$50,"AI-CTRL-029",'Control Library'!$R$5:$R$50,"Implemented")</f>
        <v>0</v>
      </c>
      <c r="K74" s="43" t="str">
        <f aca="false">IF(I74=0,"No wiki control",IF(J74=I74,"Fully covered",IF(J74=0,"Not covered","Partly covered")))</f>
        <v>Not covered</v>
      </c>
      <c r="L74" s="9" t="s">
        <v>807</v>
      </c>
    </row>
    <row r="75" customFormat="false" ht="35.05" hidden="false" customHeight="false" outlineLevel="0" collapsed="false">
      <c r="A75" s="47" t="s">
        <v>571</v>
      </c>
      <c r="B75" s="47" t="s">
        <v>569</v>
      </c>
      <c r="C75" s="5" t="s">
        <v>873</v>
      </c>
      <c r="D75" s="6" t="s">
        <v>874</v>
      </c>
      <c r="E75" s="6" t="s">
        <v>875</v>
      </c>
      <c r="F75" s="6" t="s">
        <v>635</v>
      </c>
      <c r="G75" s="6" t="s">
        <v>876</v>
      </c>
      <c r="H75" s="6" t="s">
        <v>637</v>
      </c>
      <c r="I75" s="26" t="n">
        <v>8</v>
      </c>
      <c r="J75" s="26" t="n">
        <f aca="false">COUNTIFS('Control Library'!$A$5:$A$50,"AI-CTRL-005",'Control Library'!$R$5:$R$50,"Implemented")+COUNTIFS('Control Library'!$A$5:$A$50,"AI-CTRL-008",'Control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75" s="43" t="str">
        <f aca="false">IF(I75=0,"No wiki control",IF(J75=I75,"Fully covered",IF(J75=0,"Not covered","Partly covered")))</f>
        <v>Not covered</v>
      </c>
      <c r="L75" s="9" t="s">
        <v>807</v>
      </c>
    </row>
    <row r="76" customFormat="false" ht="23.85" hidden="false" customHeight="false" outlineLevel="0" collapsed="false">
      <c r="A76" s="47" t="s">
        <v>571</v>
      </c>
      <c r="B76" s="47" t="s">
        <v>569</v>
      </c>
      <c r="C76" s="5" t="s">
        <v>877</v>
      </c>
      <c r="D76" s="6" t="s">
        <v>878</v>
      </c>
      <c r="E76" s="6" t="s">
        <v>394</v>
      </c>
      <c r="F76" s="6" t="s">
        <v>725</v>
      </c>
      <c r="G76" s="6" t="s">
        <v>398</v>
      </c>
      <c r="H76" s="6" t="s">
        <v>652</v>
      </c>
      <c r="I76" s="26" t="n">
        <v>1</v>
      </c>
      <c r="J76" s="26" t="n">
        <f aca="false">COUNTIFS('Control Library'!$A$5:$A$50,"AI-CTRL-028",'Control Library'!$R$5:$R$50,"Implemented")</f>
        <v>0</v>
      </c>
      <c r="K76" s="43" t="str">
        <f aca="false">IF(I76=0,"No wiki control",IF(J76=I76,"Fully covered",IF(J76=0,"Not covered","Partly covered")))</f>
        <v>Not covered</v>
      </c>
      <c r="L76" s="9" t="s">
        <v>807</v>
      </c>
    </row>
    <row r="77" customFormat="false" ht="68.65" hidden="false" customHeight="false" outlineLevel="0" collapsed="false">
      <c r="A77" s="47" t="s">
        <v>571</v>
      </c>
      <c r="B77" s="47" t="s">
        <v>569</v>
      </c>
      <c r="C77" s="5" t="s">
        <v>879</v>
      </c>
      <c r="D77" s="6" t="s">
        <v>880</v>
      </c>
      <c r="E77" s="6" t="s">
        <v>881</v>
      </c>
      <c r="F77" s="6" t="s">
        <v>635</v>
      </c>
      <c r="G77" s="6" t="s">
        <v>882</v>
      </c>
      <c r="H77" s="6" t="s">
        <v>637</v>
      </c>
      <c r="I77" s="26" t="n">
        <v>16</v>
      </c>
      <c r="J77" s="26" t="n">
        <f aca="false">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77" s="43" t="str">
        <f aca="false">IF(I77=0,"No wiki control",IF(J77=I77,"Fully covered",IF(J77=0,"Not covered","Partly covered")))</f>
        <v>Not covered</v>
      </c>
      <c r="L77" s="9" t="s">
        <v>807</v>
      </c>
    </row>
    <row r="78" customFormat="false" ht="57.45" hidden="false" customHeight="false" outlineLevel="0" collapsed="false">
      <c r="A78" s="47" t="s">
        <v>571</v>
      </c>
      <c r="B78" s="47" t="s">
        <v>569</v>
      </c>
      <c r="C78" s="5" t="s">
        <v>883</v>
      </c>
      <c r="D78" s="6" t="s">
        <v>884</v>
      </c>
      <c r="E78" s="6" t="s">
        <v>885</v>
      </c>
      <c r="F78" s="6" t="s">
        <v>635</v>
      </c>
      <c r="G78" s="6" t="s">
        <v>886</v>
      </c>
      <c r="H78" s="6" t="s">
        <v>637</v>
      </c>
      <c r="I78" s="26" t="n">
        <v>11</v>
      </c>
      <c r="J78" s="26" t="n">
        <f aca="false">COUNTIFS('Control Library'!$A$5:$A$50,"AI-CTRL-004",'Control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78" s="43" t="str">
        <f aca="false">IF(I78=0,"No wiki control",IF(J78=I78,"Fully covered",IF(J78=0,"Not covered","Partly covered")))</f>
        <v>Not covered</v>
      </c>
      <c r="L78" s="9" t="s">
        <v>807</v>
      </c>
    </row>
    <row r="79" customFormat="false" ht="35.05" hidden="false" customHeight="false" outlineLevel="0" collapsed="false">
      <c r="A79" s="47" t="s">
        <v>571</v>
      </c>
      <c r="B79" s="47" t="s">
        <v>569</v>
      </c>
      <c r="C79" s="5" t="s">
        <v>887</v>
      </c>
      <c r="D79" s="6" t="s">
        <v>888</v>
      </c>
      <c r="E79" s="6" t="s">
        <v>889</v>
      </c>
      <c r="F79" s="6" t="s">
        <v>635</v>
      </c>
      <c r="G79" s="6" t="s">
        <v>890</v>
      </c>
      <c r="H79" s="6" t="s">
        <v>637</v>
      </c>
      <c r="I79" s="26" t="n">
        <v>7</v>
      </c>
      <c r="J79" s="26"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Library'!$R$5:$R$50,"Implemented")+COUNTIFS('Control Library'!$A$5:$A$50,"AI-CTRL-045",'Control Library'!$R$5:$R$50,"Implemented")</f>
        <v>0</v>
      </c>
      <c r="K79" s="43" t="str">
        <f aca="false">IF(I79=0,"No wiki control",IF(J79=I79,"Fully covered",IF(J79=0,"Not covered","Partly covered")))</f>
        <v>Not covered</v>
      </c>
      <c r="L79" s="9" t="s">
        <v>807</v>
      </c>
    </row>
    <row r="80" customFormat="false" ht="35.05" hidden="false" customHeight="false" outlineLevel="0" collapsed="false">
      <c r="A80" s="47" t="s">
        <v>571</v>
      </c>
      <c r="B80" s="47" t="s">
        <v>569</v>
      </c>
      <c r="C80" s="5" t="s">
        <v>891</v>
      </c>
      <c r="D80" s="6" t="s">
        <v>892</v>
      </c>
      <c r="E80" s="6" t="s">
        <v>893</v>
      </c>
      <c r="F80" s="6" t="s">
        <v>635</v>
      </c>
      <c r="G80" s="6" t="s">
        <v>894</v>
      </c>
      <c r="H80" s="6" t="s">
        <v>637</v>
      </c>
      <c r="I80" s="26" t="n">
        <v>6</v>
      </c>
      <c r="J80" s="26" t="n">
        <f aca="false">COUNTIFS('Control Library'!$A$5:$A$50,"AI-CTRL-034",'Control Library'!$R$5:$R$50,"Implemented")+COUNTIFS('Control Library'!$A$5:$A$50,"AI-CTRL-035",'Control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0" s="43" t="str">
        <f aca="false">IF(I80=0,"No wiki control",IF(J80=I80,"Fully covered",IF(J80=0,"Not covered","Partly covered")))</f>
        <v>Not covered</v>
      </c>
      <c r="L80" s="9" t="s">
        <v>807</v>
      </c>
    </row>
    <row r="81" customFormat="false" ht="23.85" hidden="false" customHeight="false" outlineLevel="0" collapsed="false">
      <c r="A81" s="47" t="s">
        <v>571</v>
      </c>
      <c r="B81" s="47" t="s">
        <v>569</v>
      </c>
      <c r="C81" s="5" t="s">
        <v>895</v>
      </c>
      <c r="D81" s="6" t="s">
        <v>896</v>
      </c>
      <c r="E81" s="6" t="s">
        <v>897</v>
      </c>
      <c r="F81" s="6" t="s">
        <v>635</v>
      </c>
      <c r="G81" s="6" t="s">
        <v>898</v>
      </c>
      <c r="H81" s="6" t="s">
        <v>637</v>
      </c>
      <c r="I81" s="26" t="n">
        <v>5</v>
      </c>
      <c r="J81" s="26" t="n">
        <f aca="false">COUNTIFS('Control Library'!$A$5:$A$50,"AI-CTRL-012",'Control Library'!$R$5:$R$50,"Implemented")+COUNTIFS('Control Library'!$A$5:$A$50,"AI-CTRL-023",'Control Library'!$R$5:$R$50,"Implemented")+COUNTIFS('Control Library'!$A$5:$A$50,"AI-CTRL-039",'Control Library'!$R$5:$R$50,"Implemented")+COUNTIFS('Control Library'!$A$5:$A$50,"AI-CTRL-044",'Control Library'!$R$5:$R$50,"Implemented")+COUNTIFS('Control Library'!$A$5:$A$50,"AI-CTRL-045",'Control Library'!$R$5:$R$50,"Implemented")</f>
        <v>0</v>
      </c>
      <c r="K81" s="43" t="str">
        <f aca="false">IF(I81=0,"No wiki control",IF(J81=I81,"Fully covered",IF(J81=0,"Not covered","Partly covered")))</f>
        <v>Not covered</v>
      </c>
      <c r="L81" s="9" t="s">
        <v>807</v>
      </c>
    </row>
    <row r="82" customFormat="false" ht="23.85" hidden="false" customHeight="false" outlineLevel="0" collapsed="false">
      <c r="A82" s="47" t="s">
        <v>571</v>
      </c>
      <c r="B82" s="47" t="s">
        <v>569</v>
      </c>
      <c r="C82" s="5" t="s">
        <v>899</v>
      </c>
      <c r="D82" s="6" t="s">
        <v>900</v>
      </c>
      <c r="E82" s="6" t="s">
        <v>634</v>
      </c>
      <c r="F82" s="6" t="s">
        <v>635</v>
      </c>
      <c r="G82" s="6" t="s">
        <v>636</v>
      </c>
      <c r="H82" s="6" t="s">
        <v>652</v>
      </c>
      <c r="I82" s="26" t="n">
        <v>4</v>
      </c>
      <c r="J82" s="26"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2" s="43" t="str">
        <f aca="false">IF(I82=0,"No wiki control",IF(J82=I82,"Fully covered",IF(J82=0,"Not covered","Partly covered")))</f>
        <v>Not covered</v>
      </c>
      <c r="L82" s="9" t="s">
        <v>807</v>
      </c>
    </row>
    <row r="83" customFormat="false" ht="35.05" hidden="false" customHeight="false" outlineLevel="0" collapsed="false">
      <c r="A83" s="47" t="s">
        <v>571</v>
      </c>
      <c r="B83" s="47" t="s">
        <v>569</v>
      </c>
      <c r="C83" s="5" t="s">
        <v>901</v>
      </c>
      <c r="D83" s="6" t="s">
        <v>902</v>
      </c>
      <c r="E83" s="6" t="s">
        <v>903</v>
      </c>
      <c r="F83" s="6" t="s">
        <v>635</v>
      </c>
      <c r="G83" s="6" t="s">
        <v>904</v>
      </c>
      <c r="H83" s="6" t="s">
        <v>652</v>
      </c>
      <c r="I83" s="26" t="n">
        <v>8</v>
      </c>
      <c r="J83" s="26" t="n">
        <f aca="false">COUNTIFS('Control Library'!$A$5:$A$50,"AI-CTRL-012",'Control Library'!$R$5:$R$50,"Implemented")+COUNTIFS('Control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Library'!$A$5:$A$50,"AI-CTRL-040",'Control Library'!$R$5:$R$50,"Implemented")+COUNTIFS('Control Library'!$A$5:$A$50,"AI-CTRL-045",'Control Library'!$R$5:$R$50,"Implemented")</f>
        <v>0</v>
      </c>
      <c r="K83" s="43" t="str">
        <f aca="false">IF(I83=0,"No wiki control",IF(J83=I83,"Fully covered",IF(J83=0,"Not covered","Partly covered")))</f>
        <v>Not covered</v>
      </c>
      <c r="L83" s="9" t="s">
        <v>807</v>
      </c>
    </row>
    <row r="84" customFormat="false" ht="23.85" hidden="false" customHeight="false" outlineLevel="0" collapsed="false">
      <c r="A84" s="47" t="s">
        <v>571</v>
      </c>
      <c r="B84" s="47" t="s">
        <v>569</v>
      </c>
      <c r="C84" s="5" t="s">
        <v>905</v>
      </c>
      <c r="D84" s="6" t="s">
        <v>906</v>
      </c>
      <c r="E84" s="6" t="s">
        <v>907</v>
      </c>
      <c r="F84" s="6" t="s">
        <v>635</v>
      </c>
      <c r="G84" s="6" t="s">
        <v>908</v>
      </c>
      <c r="H84" s="6" t="s">
        <v>637</v>
      </c>
      <c r="I84" s="26" t="n">
        <v>3</v>
      </c>
      <c r="J84" s="26" t="n">
        <f aca="false">COUNTIFS('Control Library'!$A$5:$A$50,"AI-CTRL-025",'Control Library'!$R$5:$R$50,"Implemented")+COUNTIFS('Control Library'!$A$5:$A$50,"AI-CTRL-036",'Control Library'!$R$5:$R$50,"Implemented")+COUNTIFS('Control Library'!$A$5:$A$50,"AI-CTRL-040",'Control Library'!$R$5:$R$50,"Implemented")</f>
        <v>0</v>
      </c>
      <c r="K84" s="43" t="str">
        <f aca="false">IF(I84=0,"No wiki control",IF(J84=I84,"Fully covered",IF(J84=0,"Not covered","Partly covered")))</f>
        <v>Not covered</v>
      </c>
      <c r="L84" s="9" t="s">
        <v>807</v>
      </c>
    </row>
    <row r="85" customFormat="false" ht="35.05" hidden="false" customHeight="false" outlineLevel="0" collapsed="false">
      <c r="A85" s="47" t="s">
        <v>571</v>
      </c>
      <c r="B85" s="47" t="s">
        <v>569</v>
      </c>
      <c r="C85" s="5" t="s">
        <v>909</v>
      </c>
      <c r="D85" s="6" t="s">
        <v>910</v>
      </c>
      <c r="E85" s="6" t="s">
        <v>641</v>
      </c>
      <c r="F85" s="6" t="s">
        <v>635</v>
      </c>
      <c r="G85" s="6" t="s">
        <v>911</v>
      </c>
      <c r="H85" s="6" t="s">
        <v>637</v>
      </c>
      <c r="I85" s="26" t="n">
        <v>5</v>
      </c>
      <c r="J85"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85" s="43" t="str">
        <f aca="false">IF(I85=0,"No wiki control",IF(J85=I85,"Fully covered",IF(J85=0,"Not covered","Partly covered")))</f>
        <v>Not covered</v>
      </c>
      <c r="L85" s="9" t="s">
        <v>807</v>
      </c>
    </row>
    <row r="86" customFormat="false" ht="23.85" hidden="false" customHeight="false" outlineLevel="0" collapsed="false">
      <c r="A86" s="47" t="s">
        <v>571</v>
      </c>
      <c r="B86" s="47" t="s">
        <v>569</v>
      </c>
      <c r="C86" s="5" t="s">
        <v>912</v>
      </c>
      <c r="D86" s="6" t="s">
        <v>913</v>
      </c>
      <c r="E86" s="6" t="s">
        <v>452</v>
      </c>
      <c r="F86" s="6" t="s">
        <v>725</v>
      </c>
      <c r="G86" s="6" t="s">
        <v>243</v>
      </c>
      <c r="H86" s="6" t="s">
        <v>652</v>
      </c>
      <c r="I86" s="26" t="n">
        <v>1</v>
      </c>
      <c r="J86" s="26" t="n">
        <f aca="false">COUNTIFS('Control Library'!$A$5:$A$50,"AI-CTRL-035",'Control Library'!$R$5:$R$50,"Implemented")</f>
        <v>0</v>
      </c>
      <c r="K86" s="43" t="str">
        <f aca="false">IF(I86=0,"No wiki control",IF(J86=I86,"Fully covered",IF(J86=0,"Not covered","Partly covered")))</f>
        <v>Not covered</v>
      </c>
      <c r="L86" s="9" t="s">
        <v>807</v>
      </c>
    </row>
    <row r="87" customFormat="false" ht="23.85" hidden="false" customHeight="false" outlineLevel="0" collapsed="false">
      <c r="A87" s="47" t="s">
        <v>571</v>
      </c>
      <c r="B87" s="47" t="s">
        <v>569</v>
      </c>
      <c r="C87" s="5" t="s">
        <v>914</v>
      </c>
      <c r="D87" s="6" t="s">
        <v>915</v>
      </c>
      <c r="E87" s="6" t="s">
        <v>386</v>
      </c>
      <c r="F87" s="6" t="s">
        <v>725</v>
      </c>
      <c r="G87" s="6" t="s">
        <v>916</v>
      </c>
      <c r="H87" s="6" t="s">
        <v>652</v>
      </c>
      <c r="I87" s="26" t="n">
        <v>1</v>
      </c>
      <c r="J87" s="26" t="n">
        <f aca="false">COUNTIFS('Control Library'!$A$5:$A$50,"AI-CTRL-027",'Control Library'!$R$5:$R$50,"Implemented")</f>
        <v>0</v>
      </c>
      <c r="K87" s="43" t="str">
        <f aca="false">IF(I87=0,"No wiki control",IF(J87=I87,"Fully covered",IF(J87=0,"Not covered","Partly covered")))</f>
        <v>Not covered</v>
      </c>
      <c r="L87" s="9" t="s">
        <v>807</v>
      </c>
    </row>
    <row r="88" customFormat="false" ht="35.05" hidden="false" customHeight="false" outlineLevel="0" collapsed="false">
      <c r="A88" s="47" t="s">
        <v>571</v>
      </c>
      <c r="B88" s="47" t="s">
        <v>569</v>
      </c>
      <c r="C88" s="5" t="s">
        <v>917</v>
      </c>
      <c r="D88" s="6" t="s">
        <v>918</v>
      </c>
      <c r="E88" s="6" t="s">
        <v>919</v>
      </c>
      <c r="F88" s="6" t="s">
        <v>635</v>
      </c>
      <c r="G88" s="6" t="s">
        <v>920</v>
      </c>
      <c r="H88" s="6" t="s">
        <v>637</v>
      </c>
      <c r="I88" s="26" t="n">
        <v>6</v>
      </c>
      <c r="J88" s="26" t="n">
        <f aca="false">COUNTIFS('Control Library'!$A$5:$A$50,"AI-CTRL-008",'Control Library'!$R$5:$R$50,"Implemented")+COUNTIFS('Control Library'!$A$5:$A$50,"AI-CTRL-009",'Control Library'!$R$5:$R$50,"Implemented")+COUNTIFS('Control Library'!$A$5:$A$50,"AI-CTRL-015",'Control Library'!$R$5:$R$50,"Implemented")+COUNTIFS('Control Library'!$A$5:$A$50,"AI-CTRL-035",'Control Library'!$R$5:$R$50,"Implemented")+COUNTIFS('Control Library'!$A$5:$A$50,"AI-CTRL-038",'Control Library'!$R$5:$R$50,"Implemented")+COUNTIFS('Control Library'!$A$5:$A$50,"AI-CTRL-043",'Control Library'!$R$5:$R$50,"Implemented")</f>
        <v>0</v>
      </c>
      <c r="K88" s="43" t="str">
        <f aca="false">IF(I88=0,"No wiki control",IF(J88=I88,"Fully covered",IF(J88=0,"Not covered","Partly covered")))</f>
        <v>Not covered</v>
      </c>
      <c r="L88" s="9" t="s">
        <v>807</v>
      </c>
    </row>
    <row r="89" customFormat="false" ht="23.85" hidden="false" customHeight="false" outlineLevel="0" collapsed="false">
      <c r="A89" s="47" t="s">
        <v>571</v>
      </c>
      <c r="B89" s="47" t="s">
        <v>569</v>
      </c>
      <c r="C89" s="5" t="s">
        <v>921</v>
      </c>
      <c r="D89" s="6" t="s">
        <v>922</v>
      </c>
      <c r="E89" s="6" t="s">
        <v>282</v>
      </c>
      <c r="F89" s="6" t="s">
        <v>725</v>
      </c>
      <c r="G89" s="6" t="s">
        <v>923</v>
      </c>
      <c r="H89" s="6" t="s">
        <v>652</v>
      </c>
      <c r="I89" s="26" t="n">
        <v>1</v>
      </c>
      <c r="J89" s="26" t="n">
        <f aca="false">COUNTIFS('Control Library'!$A$5:$A$50,"AI-CTRL-014",'Control Library'!$R$5:$R$50,"Implemented")</f>
        <v>0</v>
      </c>
      <c r="K89" s="43" t="str">
        <f aca="false">IF(I89=0,"No wiki control",IF(J89=I89,"Fully covered",IF(J89=0,"Not covered","Partly covered")))</f>
        <v>Not covered</v>
      </c>
      <c r="L89" s="9" t="s">
        <v>807</v>
      </c>
    </row>
    <row r="90" customFormat="false" ht="35.05" hidden="false" customHeight="false" outlineLevel="0" collapsed="false">
      <c r="A90" s="47" t="s">
        <v>571</v>
      </c>
      <c r="B90" s="47" t="s">
        <v>569</v>
      </c>
      <c r="C90" s="5" t="s">
        <v>924</v>
      </c>
      <c r="D90" s="6" t="s">
        <v>925</v>
      </c>
      <c r="E90" s="6" t="s">
        <v>926</v>
      </c>
      <c r="F90" s="6" t="s">
        <v>635</v>
      </c>
      <c r="G90" s="6" t="s">
        <v>224</v>
      </c>
      <c r="H90" s="6" t="s">
        <v>637</v>
      </c>
      <c r="I90" s="26" t="n">
        <v>6</v>
      </c>
      <c r="J90" s="26" t="n">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f>
        <v>0</v>
      </c>
      <c r="K90" s="43" t="str">
        <f aca="false">IF(I90=0,"No wiki control",IF(J90=I90,"Fully covered",IF(J90=0,"Not covered","Partly covered")))</f>
        <v>Not covered</v>
      </c>
      <c r="L90" s="9" t="s">
        <v>807</v>
      </c>
    </row>
    <row r="91" customFormat="false" ht="35.05" hidden="false" customHeight="false" outlineLevel="0" collapsed="false">
      <c r="A91" s="47" t="s">
        <v>571</v>
      </c>
      <c r="B91" s="47" t="s">
        <v>569</v>
      </c>
      <c r="C91" s="5" t="s">
        <v>927</v>
      </c>
      <c r="D91" s="6" t="s">
        <v>928</v>
      </c>
      <c r="E91" s="6" t="s">
        <v>847</v>
      </c>
      <c r="F91" s="6" t="s">
        <v>635</v>
      </c>
      <c r="G91" s="6" t="s">
        <v>848</v>
      </c>
      <c r="H91" s="6" t="s">
        <v>652</v>
      </c>
      <c r="I91" s="26" t="n">
        <v>7</v>
      </c>
      <c r="J91"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91" s="43" t="str">
        <f aca="false">IF(I91=0,"No wiki control",IF(J91=I91,"Fully covered",IF(J91=0,"Not covered","Partly covered")))</f>
        <v>Not covered</v>
      </c>
      <c r="L91" s="9" t="s">
        <v>807</v>
      </c>
    </row>
    <row r="92" customFormat="false" ht="35.05" hidden="false" customHeight="false" outlineLevel="0" collapsed="false">
      <c r="A92" s="47" t="s">
        <v>571</v>
      </c>
      <c r="B92" s="47" t="s">
        <v>569</v>
      </c>
      <c r="C92" s="5" t="s">
        <v>929</v>
      </c>
      <c r="D92" s="6" t="s">
        <v>930</v>
      </c>
      <c r="E92" s="6" t="s">
        <v>931</v>
      </c>
      <c r="F92" s="6" t="s">
        <v>635</v>
      </c>
      <c r="G92" s="6" t="s">
        <v>932</v>
      </c>
      <c r="H92" s="6" t="s">
        <v>637</v>
      </c>
      <c r="I92" s="26" t="n">
        <v>7</v>
      </c>
      <c r="J92" s="26" t="n">
        <f aca="false">COUNTIFS('Control Library'!$A$5:$A$50,"AI-CTRL-011",'Control Library'!$R$5:$R$50,"Implemented")+COUNTIFS('Control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92" s="43" t="str">
        <f aca="false">IF(I92=0,"No wiki control",IF(J92=I92,"Fully covered",IF(J92=0,"Not covered","Partly covered")))</f>
        <v>Not covered</v>
      </c>
      <c r="L92" s="9" t="s">
        <v>807</v>
      </c>
    </row>
    <row r="93" customFormat="false" ht="23.85" hidden="false" customHeight="false" outlineLevel="0" collapsed="false">
      <c r="A93" s="47" t="s">
        <v>571</v>
      </c>
      <c r="B93" s="47" t="s">
        <v>569</v>
      </c>
      <c r="C93" s="5" t="s">
        <v>933</v>
      </c>
      <c r="D93" s="6" t="s">
        <v>934</v>
      </c>
      <c r="E93" s="6" t="s">
        <v>935</v>
      </c>
      <c r="F93" s="6" t="s">
        <v>635</v>
      </c>
      <c r="G93" s="6" t="s">
        <v>936</v>
      </c>
      <c r="H93" s="6" t="s">
        <v>637</v>
      </c>
      <c r="I93" s="26" t="n">
        <v>5</v>
      </c>
      <c r="J93" s="26" t="n">
        <f aca="false">COUNTIFS('Control Library'!$A$5:$A$50,"AI-CTRL-011",'Control Library'!$R$5:$R$50,"Implemented")+COUNTIFS('Control Library'!$A$5:$A$50,"AI-CTRL-014",'Control Library'!$R$5:$R$50,"Implemented")+COUNTIFS('Control Library'!$A$5:$A$50,"AI-CTRL-031",'Control Library'!$R$5:$R$50,"Implemented")+COUNTIFS('Control Library'!$A$5:$A$50,"AI-CTRL-034",'Control Library'!$R$5:$R$50,"Implemented")+COUNTIFS('Control Library'!$A$5:$A$50,"AI-CTRL-040",'Control Library'!$R$5:$R$50,"Implemented")</f>
        <v>0</v>
      </c>
      <c r="K93" s="43" t="str">
        <f aca="false">IF(I93=0,"No wiki control",IF(J93=I93,"Fully covered",IF(J93=0,"Not covered","Partly covered")))</f>
        <v>Not covered</v>
      </c>
      <c r="L93" s="9" t="s">
        <v>807</v>
      </c>
    </row>
    <row r="94" customFormat="false" ht="23.85" hidden="false" customHeight="false" outlineLevel="0" collapsed="false">
      <c r="A94" s="47" t="s">
        <v>571</v>
      </c>
      <c r="B94" s="47" t="s">
        <v>569</v>
      </c>
      <c r="C94" s="5" t="s">
        <v>937</v>
      </c>
      <c r="D94" s="6" t="s">
        <v>938</v>
      </c>
      <c r="E94" s="6" t="s">
        <v>939</v>
      </c>
      <c r="F94" s="6" t="s">
        <v>635</v>
      </c>
      <c r="G94" s="6" t="s">
        <v>940</v>
      </c>
      <c r="H94" s="6" t="s">
        <v>637</v>
      </c>
      <c r="I94" s="26" t="n">
        <v>3</v>
      </c>
      <c r="J94" s="26" t="n">
        <f aca="false">COUNTIFS('Control Library'!$A$5:$A$50,"AI-CTRL-014",'Control Library'!$R$5:$R$50,"Implemented")+COUNTIFS('Control Library'!$A$5:$A$50,"AI-CTRL-031",'Control Library'!$R$5:$R$50,"Implemented")+COUNTIFS('Control Library'!$A$5:$A$50,"AI-CTRL-040",'Control Library'!$R$5:$R$50,"Implemented")</f>
        <v>0</v>
      </c>
      <c r="K94" s="43" t="str">
        <f aca="false">IF(I94=0,"No wiki control",IF(J94=I94,"Fully covered",IF(J94=0,"Not covered","Partly covered")))</f>
        <v>Not covered</v>
      </c>
      <c r="L94" s="9" t="s">
        <v>807</v>
      </c>
    </row>
    <row r="95" customFormat="false" ht="57.45" hidden="false" customHeight="false" outlineLevel="0" collapsed="false">
      <c r="A95" s="47" t="s">
        <v>571</v>
      </c>
      <c r="B95" s="47" t="s">
        <v>569</v>
      </c>
      <c r="C95" s="5" t="s">
        <v>941</v>
      </c>
      <c r="D95" s="6" t="s">
        <v>942</v>
      </c>
      <c r="E95" s="6" t="s">
        <v>943</v>
      </c>
      <c r="F95" s="6" t="s">
        <v>635</v>
      </c>
      <c r="G95" s="6" t="s">
        <v>944</v>
      </c>
      <c r="H95" s="6" t="s">
        <v>652</v>
      </c>
      <c r="I95" s="26" t="n">
        <v>11</v>
      </c>
      <c r="J95"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f>
        <v>0</v>
      </c>
      <c r="K95" s="43" t="str">
        <f aca="false">IF(I95=0,"No wiki control",IF(J95=I95,"Fully covered",IF(J95=0,"Not covered","Partly covered")))</f>
        <v>Not covered</v>
      </c>
      <c r="L95" s="9" t="s">
        <v>807</v>
      </c>
    </row>
    <row r="96" customFormat="false" ht="23.85" hidden="false" customHeight="false" outlineLevel="0" collapsed="false">
      <c r="A96" s="47" t="s">
        <v>571</v>
      </c>
      <c r="B96" s="47" t="s">
        <v>569</v>
      </c>
      <c r="C96" s="5" t="s">
        <v>945</v>
      </c>
      <c r="D96" s="6" t="s">
        <v>946</v>
      </c>
      <c r="E96" s="6" t="s">
        <v>282</v>
      </c>
      <c r="F96" s="6" t="s">
        <v>725</v>
      </c>
      <c r="G96" s="6" t="s">
        <v>947</v>
      </c>
      <c r="H96" s="6" t="s">
        <v>652</v>
      </c>
      <c r="I96" s="26" t="n">
        <v>1</v>
      </c>
      <c r="J96" s="26" t="n">
        <f aca="false">COUNTIFS('Control Library'!$A$5:$A$50,"AI-CTRL-014",'Control Library'!$R$5:$R$50,"Implemented")</f>
        <v>0</v>
      </c>
      <c r="K96" s="43" t="str">
        <f aca="false">IF(I96=0,"No wiki control",IF(J96=I96,"Fully covered",IF(J96=0,"Not covered","Partly covered")))</f>
        <v>Not covered</v>
      </c>
      <c r="L96" s="9" t="s">
        <v>807</v>
      </c>
    </row>
    <row r="97" customFormat="false" ht="35.05" hidden="false" customHeight="false" outlineLevel="0" collapsed="false">
      <c r="A97" s="47" t="s">
        <v>571</v>
      </c>
      <c r="B97" s="47" t="s">
        <v>569</v>
      </c>
      <c r="C97" s="5" t="s">
        <v>948</v>
      </c>
      <c r="D97" s="6" t="s">
        <v>949</v>
      </c>
      <c r="E97" s="6" t="s">
        <v>950</v>
      </c>
      <c r="F97" s="6" t="s">
        <v>635</v>
      </c>
      <c r="G97" s="6" t="s">
        <v>951</v>
      </c>
      <c r="H97" s="6" t="s">
        <v>637</v>
      </c>
      <c r="I97" s="26" t="n">
        <v>3</v>
      </c>
      <c r="J97" s="26" t="n">
        <f aca="false">COUNTIFS('Control Library'!$A$5:$A$50,"AI-CTRL-040",'Control Library'!$R$5:$R$50,"Implemented")+COUNTIFS('Control Library'!$A$5:$A$50,"AI-CTRL-044",'Control Library'!$R$5:$R$50,"Implemented")+COUNTIFS('Control Library'!$A$5:$A$50,"AI-CTRL-045",'Control Library'!$R$5:$R$50,"Implemented")</f>
        <v>0</v>
      </c>
      <c r="K97" s="43" t="str">
        <f aca="false">IF(I97=0,"No wiki control",IF(J97=I97,"Fully covered",IF(J97=0,"Not covered","Partly covered")))</f>
        <v>Not covered</v>
      </c>
      <c r="L97" s="9" t="s">
        <v>807</v>
      </c>
    </row>
    <row r="98" customFormat="false" ht="23.85" hidden="false" customHeight="false" outlineLevel="0" collapsed="false">
      <c r="A98" s="47" t="s">
        <v>571</v>
      </c>
      <c r="B98" s="47" t="s">
        <v>569</v>
      </c>
      <c r="C98" s="5" t="s">
        <v>952</v>
      </c>
      <c r="D98" s="6" t="s">
        <v>953</v>
      </c>
      <c r="E98" s="6" t="s">
        <v>954</v>
      </c>
      <c r="F98" s="6" t="s">
        <v>635</v>
      </c>
      <c r="G98" s="6" t="s">
        <v>955</v>
      </c>
      <c r="H98" s="6" t="s">
        <v>637</v>
      </c>
      <c r="I98" s="26" t="n">
        <v>4</v>
      </c>
      <c r="J98" s="26" t="n">
        <f aca="false">COUNTIFS('Control Library'!$A$5:$A$50,"AI-CTRL-012",'Control Library'!$R$5:$R$50,"Implemented")+COUNTIFS('Control Library'!$A$5:$A$50,"AI-CTRL-040",'Control Library'!$R$5:$R$50,"Implemented")+COUNTIFS('Control Library'!$A$5:$A$50,"AI-CTRL-044",'Control Library'!$R$5:$R$50,"Implemented")+COUNTIFS('Control Library'!$A$5:$A$50,"AI-CTRL-045",'Control Library'!$R$5:$R$50,"Implemented")</f>
        <v>0</v>
      </c>
      <c r="K98" s="43" t="str">
        <f aca="false">IF(I98=0,"No wiki control",IF(J98=I98,"Fully covered",IF(J98=0,"Not covered","Partly covered")))</f>
        <v>Not covered</v>
      </c>
      <c r="L98" s="9" t="s">
        <v>807</v>
      </c>
    </row>
    <row r="99" customFormat="false" ht="23.85" hidden="false" customHeight="false" outlineLevel="0" collapsed="false">
      <c r="A99" s="47" t="s">
        <v>571</v>
      </c>
      <c r="B99" s="47" t="s">
        <v>569</v>
      </c>
      <c r="C99" s="5" t="s">
        <v>956</v>
      </c>
      <c r="D99" s="6" t="s">
        <v>957</v>
      </c>
      <c r="E99" s="6" t="s">
        <v>512</v>
      </c>
      <c r="F99" s="6" t="s">
        <v>725</v>
      </c>
      <c r="G99" s="6" t="s">
        <v>958</v>
      </c>
      <c r="H99" s="6" t="s">
        <v>652</v>
      </c>
      <c r="I99" s="26" t="n">
        <v>1</v>
      </c>
      <c r="J99" s="26" t="n">
        <f aca="false">COUNTIFS('Control Library'!$A$5:$A$50,"AI-CTRL-042",'Control Library'!$R$5:$R$50,"Implemented")</f>
        <v>0</v>
      </c>
      <c r="K99" s="43" t="str">
        <f aca="false">IF(I99=0,"No wiki control",IF(J99=I99,"Fully covered",IF(J99=0,"Not covered","Partly covered")))</f>
        <v>Not covered</v>
      </c>
      <c r="L99" s="9" t="s">
        <v>807</v>
      </c>
    </row>
    <row r="100" customFormat="false" ht="23.85" hidden="false" customHeight="false" outlineLevel="0" collapsed="false">
      <c r="A100" s="47" t="s">
        <v>571</v>
      </c>
      <c r="B100" s="47" t="s">
        <v>569</v>
      </c>
      <c r="C100" s="5" t="s">
        <v>959</v>
      </c>
      <c r="D100" s="6" t="s">
        <v>960</v>
      </c>
      <c r="E100" s="6" t="s">
        <v>961</v>
      </c>
      <c r="F100" s="6" t="s">
        <v>635</v>
      </c>
      <c r="G100" s="6" t="s">
        <v>962</v>
      </c>
      <c r="H100" s="6" t="s">
        <v>637</v>
      </c>
      <c r="I100" s="26" t="n">
        <v>2</v>
      </c>
      <c r="J100" s="26" t="n">
        <f aca="false">COUNTIFS('Control Library'!$A$5:$A$50,"AI-CTRL-012",'Control Library'!$R$5:$R$50,"Implemented")+COUNTIFS('Control Library'!$A$5:$A$50,"AI-CTRL-044",'Control Library'!$R$5:$R$50,"Implemented")</f>
        <v>0</v>
      </c>
      <c r="K100" s="43" t="str">
        <f aca="false">IF(I100=0,"No wiki control",IF(J100=I100,"Fully covered",IF(J100=0,"Not covered","Partly covered")))</f>
        <v>Not covered</v>
      </c>
      <c r="L100" s="9" t="s">
        <v>807</v>
      </c>
    </row>
    <row r="101" customFormat="false" ht="23.85" hidden="false" customHeight="false" outlineLevel="0" collapsed="false">
      <c r="A101" s="47" t="s">
        <v>571</v>
      </c>
      <c r="B101" s="47" t="s">
        <v>569</v>
      </c>
      <c r="C101" s="5" t="s">
        <v>963</v>
      </c>
      <c r="D101" s="6" t="s">
        <v>964</v>
      </c>
      <c r="E101" s="6" t="s">
        <v>965</v>
      </c>
      <c r="F101" s="6" t="s">
        <v>635</v>
      </c>
      <c r="G101" s="6" t="s">
        <v>966</v>
      </c>
      <c r="H101" s="6" t="s">
        <v>637</v>
      </c>
      <c r="I101" s="26" t="n">
        <v>4</v>
      </c>
      <c r="J101" s="26" t="n">
        <f aca="false">COUNTIFS('Control Library'!$A$5:$A$50,"AI-CTRL-014",'Control Library'!$R$5:$R$50,"Implemented")+COUNTIFS('Control Library'!$A$5:$A$50,"AI-CTRL-025",'Control Library'!$R$5:$R$50,"Implemented")+COUNTIFS('Control Library'!$A$5:$A$50,"AI-CTRL-036",'Control Library'!$R$5:$R$50,"Implemented")+COUNTIFS('Control Library'!$A$5:$A$50,"AI-CTRL-037",'Control Library'!$R$5:$R$50,"Implemented")</f>
        <v>0</v>
      </c>
      <c r="K101" s="43" t="str">
        <f aca="false">IF(I101=0,"No wiki control",IF(J101=I101,"Fully covered",IF(J101=0,"Not covered","Partly covered")))</f>
        <v>Not covered</v>
      </c>
      <c r="L101" s="9" t="s">
        <v>807</v>
      </c>
    </row>
    <row r="102" customFormat="false" ht="23.85" hidden="false" customHeight="false" outlineLevel="0" collapsed="false">
      <c r="A102" s="47" t="s">
        <v>571</v>
      </c>
      <c r="B102" s="47" t="s">
        <v>569</v>
      </c>
      <c r="C102" s="5" t="s">
        <v>967</v>
      </c>
      <c r="D102" s="6" t="s">
        <v>968</v>
      </c>
      <c r="E102" s="6" t="s">
        <v>969</v>
      </c>
      <c r="F102" s="6" t="s">
        <v>635</v>
      </c>
      <c r="G102" s="6" t="s">
        <v>970</v>
      </c>
      <c r="H102" s="6" t="s">
        <v>637</v>
      </c>
      <c r="I102" s="26" t="n">
        <v>3</v>
      </c>
      <c r="J102" s="26" t="n">
        <f aca="false">COUNTIFS('Control Library'!$A$5:$A$50,"AI-CTRL-014",'Control Library'!$R$5:$R$50,"Implemented")+COUNTIFS('Control Library'!$A$5:$A$50,"AI-CTRL-036",'Control Library'!$R$5:$R$50,"Implemented")+COUNTIFS('Control Library'!$A$5:$A$50,"AI-CTRL-037",'Control Library'!$R$5:$R$50,"Implemented")</f>
        <v>0</v>
      </c>
      <c r="K102" s="43" t="str">
        <f aca="false">IF(I102=0,"No wiki control",IF(J102=I102,"Fully covered",IF(J102=0,"Not covered","Partly covered")))</f>
        <v>Not covered</v>
      </c>
      <c r="L102" s="9" t="s">
        <v>807</v>
      </c>
    </row>
    <row r="103" customFormat="false" ht="35.05" hidden="false" customHeight="false" outlineLevel="0" collapsed="false">
      <c r="A103" s="47" t="s">
        <v>571</v>
      </c>
      <c r="B103" s="47" t="s">
        <v>569</v>
      </c>
      <c r="C103" s="5" t="s">
        <v>971</v>
      </c>
      <c r="D103" s="6" t="s">
        <v>972</v>
      </c>
      <c r="E103" s="6" t="s">
        <v>939</v>
      </c>
      <c r="F103" s="6" t="s">
        <v>635</v>
      </c>
      <c r="G103" s="6" t="s">
        <v>973</v>
      </c>
      <c r="H103" s="6" t="s">
        <v>652</v>
      </c>
      <c r="I103" s="26" t="n">
        <v>3</v>
      </c>
      <c r="J103" s="26" t="n">
        <f aca="false">COUNTIFS('Control Library'!$A$5:$A$50,"AI-CTRL-014",'Control Library'!$R$5:$R$50,"Implemented")+COUNTIFS('Control Library'!$A$5:$A$50,"AI-CTRL-031",'Control Library'!$R$5:$R$50,"Implemented")+COUNTIFS('Control Library'!$A$5:$A$50,"AI-CTRL-040",'Control Library'!$R$5:$R$50,"Implemented")</f>
        <v>0</v>
      </c>
      <c r="K103" s="43" t="str">
        <f aca="false">IF(I103=0,"No wiki control",IF(J103=I103,"Fully covered",IF(J103=0,"Not covered","Partly covered")))</f>
        <v>Not covered</v>
      </c>
      <c r="L103" s="9" t="s">
        <v>807</v>
      </c>
    </row>
    <row r="104" customFormat="false" ht="79.85" hidden="false" customHeight="false" outlineLevel="0" collapsed="false">
      <c r="A104" s="47" t="s">
        <v>571</v>
      </c>
      <c r="B104" s="47" t="s">
        <v>569</v>
      </c>
      <c r="C104" s="5" t="s">
        <v>974</v>
      </c>
      <c r="D104" s="6" t="s">
        <v>975</v>
      </c>
      <c r="E104" s="6" t="s">
        <v>976</v>
      </c>
      <c r="F104" s="6" t="s">
        <v>635</v>
      </c>
      <c r="G104" s="6" t="s">
        <v>977</v>
      </c>
      <c r="H104" s="6" t="s">
        <v>652</v>
      </c>
      <c r="I104" s="26" t="n">
        <v>17</v>
      </c>
      <c r="J104" s="26" t="n">
        <f aca="false">COUNTIFS('Control Library'!$A$5:$A$50,"AI-CTRL-006",'Control Library'!$R$5:$R$50,"Implemented")+COUNTIFS('Control Library'!$A$5:$A$50,"AI-CTRL-008",'Control Library'!$R$5:$R$50,"Implemented")+COUNTIFS('Control Library'!$A$5:$A$50,"AI-CTRL-009",'Control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Library'!$A$5:$A$50,"AI-CTRL-043",'Control Library'!$R$5:$R$50,"Implemented")+COUNTIFS('Control Library'!$A$5:$A$50,"AI-CTRL-045",'Control Library'!$R$5:$R$50,"Implemented")</f>
        <v>0</v>
      </c>
      <c r="K104" s="43" t="str">
        <f aca="false">IF(I104=0,"No wiki control",IF(J104=I104,"Fully covered",IF(J104=0,"Not covered","Partly covered")))</f>
        <v>Not covered</v>
      </c>
      <c r="L104" s="9" t="s">
        <v>807</v>
      </c>
    </row>
    <row r="105" customFormat="false" ht="68.65" hidden="false" customHeight="false" outlineLevel="0" collapsed="false">
      <c r="A105" s="47" t="s">
        <v>571</v>
      </c>
      <c r="B105" s="47" t="s">
        <v>569</v>
      </c>
      <c r="C105" s="5" t="s">
        <v>978</v>
      </c>
      <c r="D105" s="6" t="s">
        <v>979</v>
      </c>
      <c r="E105" s="6" t="s">
        <v>980</v>
      </c>
      <c r="F105" s="6" t="s">
        <v>635</v>
      </c>
      <c r="G105" s="6" t="s">
        <v>359</v>
      </c>
      <c r="H105" s="6" t="s">
        <v>637</v>
      </c>
      <c r="I105" s="26" t="n">
        <v>14</v>
      </c>
      <c r="J105" s="26" t="n">
        <f aca="false">COUNTIFS('Control Library'!$A$5:$A$50,"AI-CTRL-006",'Control Library'!$R$5:$R$50,"Implemented")+COUNTIFS('Control Library'!$A$5:$A$50,"AI-CTRL-012",'Control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Library'!$A$5:$A$50,"AI-CTRL-044",'Control Library'!$R$5:$R$50,"Implemented")+COUNTIFS('Control Library'!$A$5:$A$50,"AI-CTRL-045",'Control Library'!$R$5:$R$50,"Implemented")</f>
        <v>0</v>
      </c>
      <c r="K105" s="43" t="str">
        <f aca="false">IF(I105=0,"No wiki control",IF(J105=I105,"Fully covered",IF(J105=0,"Not covered","Partly covered")))</f>
        <v>Not covered</v>
      </c>
      <c r="L105" s="9" t="s">
        <v>807</v>
      </c>
    </row>
    <row r="106" customFormat="false" ht="23.85" hidden="false" customHeight="false" outlineLevel="0" collapsed="false">
      <c r="A106" s="47" t="s">
        <v>571</v>
      </c>
      <c r="B106" s="47" t="s">
        <v>569</v>
      </c>
      <c r="C106" s="5" t="s">
        <v>981</v>
      </c>
      <c r="D106" s="6" t="s">
        <v>982</v>
      </c>
      <c r="E106" s="6" t="s">
        <v>712</v>
      </c>
      <c r="F106" s="6" t="s">
        <v>635</v>
      </c>
      <c r="G106" s="6" t="s">
        <v>713</v>
      </c>
      <c r="H106" s="6" t="s">
        <v>637</v>
      </c>
      <c r="I106" s="26" t="n">
        <v>3</v>
      </c>
      <c r="J106" s="26" t="n">
        <f aca="false">COUNTIFS('Control Library'!$A$5:$A$50,"AI-CTRL-025",'Control Library'!$R$5:$R$50,"Implemented")+COUNTIFS('Control Library'!$A$5:$A$50,"AI-CTRL-026",'Control Library'!$R$5:$R$50,"Implemented")+COUNTIFS('Control Library'!$A$5:$A$50,"AI-CTRL-027",'Control Library'!$R$5:$R$50,"Implemented")</f>
        <v>0</v>
      </c>
      <c r="K106" s="43" t="str">
        <f aca="false">IF(I106=0,"No wiki control",IF(J106=I106,"Fully covered",IF(J106=0,"Not covered","Partly covered")))</f>
        <v>Not covered</v>
      </c>
      <c r="L106" s="9" t="s">
        <v>807</v>
      </c>
    </row>
    <row r="107" customFormat="false" ht="23.85" hidden="false" customHeight="false" outlineLevel="0" collapsed="false">
      <c r="A107" s="47" t="s">
        <v>571</v>
      </c>
      <c r="B107" s="47" t="s">
        <v>569</v>
      </c>
      <c r="C107" s="5" t="s">
        <v>983</v>
      </c>
      <c r="D107" s="6" t="s">
        <v>984</v>
      </c>
      <c r="E107" s="6" t="s">
        <v>673</v>
      </c>
      <c r="F107" s="6" t="s">
        <v>635</v>
      </c>
      <c r="G107" s="6" t="s">
        <v>674</v>
      </c>
      <c r="H107" s="6" t="s">
        <v>637</v>
      </c>
      <c r="I107" s="26" t="n">
        <v>4</v>
      </c>
      <c r="J107" s="26"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07" s="43" t="str">
        <f aca="false">IF(I107=0,"No wiki control",IF(J107=I107,"Fully covered",IF(J107=0,"Not covered","Partly covered")))</f>
        <v>Not covered</v>
      </c>
      <c r="L107" s="9" t="s">
        <v>807</v>
      </c>
    </row>
    <row r="108" customFormat="false" ht="68.65" hidden="false" customHeight="false" outlineLevel="0" collapsed="false">
      <c r="A108" s="47" t="s">
        <v>571</v>
      </c>
      <c r="B108" s="47" t="s">
        <v>569</v>
      </c>
      <c r="C108" s="5" t="s">
        <v>985</v>
      </c>
      <c r="D108" s="6" t="s">
        <v>986</v>
      </c>
      <c r="E108" s="6" t="s">
        <v>987</v>
      </c>
      <c r="F108" s="6" t="s">
        <v>635</v>
      </c>
      <c r="G108" s="6" t="s">
        <v>988</v>
      </c>
      <c r="H108" s="6" t="s">
        <v>637</v>
      </c>
      <c r="I108" s="26" t="n">
        <v>14</v>
      </c>
      <c r="J108" s="26" t="n">
        <f aca="false">COUNTIFS('Control Library'!$A$5:$A$50,"AI-CTRL-004",'Control Library'!$R$5:$R$50,"Implemented")+COUNTIFS('Control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Library'!$A$5:$A$50,"AI-CTRL-031",'Control Library'!$R$5:$R$50,"Implemented")+COUNTIFS('Control Library'!$A$5:$A$50,"AI-CTRL-033",'Control Library'!$R$5:$R$50,"Implemented")+COUNTIFS('Control Library'!$A$5:$A$50,"AI-CTRL-034",'Control Library'!$R$5:$R$50,"Implemented")+COUNTIFS('Control Library'!$A$5:$A$50,"AI-CTRL-045",'Control Library'!$R$5:$R$50,"Implemented")</f>
        <v>0</v>
      </c>
      <c r="K108" s="43" t="str">
        <f aca="false">IF(I108=0,"No wiki control",IF(J108=I108,"Fully covered",IF(J108=0,"Not covered","Partly covered")))</f>
        <v>Not covered</v>
      </c>
      <c r="L108" s="9" t="s">
        <v>807</v>
      </c>
    </row>
    <row r="109" customFormat="false" ht="23.85" hidden="false" customHeight="false" outlineLevel="0" collapsed="false">
      <c r="A109" s="47" t="s">
        <v>572</v>
      </c>
      <c r="B109" s="47" t="s">
        <v>569</v>
      </c>
      <c r="C109" s="5" t="s">
        <v>989</v>
      </c>
      <c r="D109" s="6" t="s">
        <v>990</v>
      </c>
      <c r="E109" s="6" t="s">
        <v>991</v>
      </c>
      <c r="F109" s="6" t="s">
        <v>725</v>
      </c>
      <c r="G109" s="6" t="s">
        <v>992</v>
      </c>
      <c r="H109" s="6"/>
      <c r="I109" s="26" t="n">
        <v>4</v>
      </c>
      <c r="J109"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f>
        <v>0</v>
      </c>
      <c r="K109" s="43" t="str">
        <f aca="false">IF(I109=0,"No wiki control",IF(J109=I109,"Fully covered",IF(J109=0,"Not covered","Partly covered")))</f>
        <v>Not covered</v>
      </c>
      <c r="L109" s="9" t="s">
        <v>993</v>
      </c>
    </row>
    <row r="110" customFormat="false" ht="23.85" hidden="false" customHeight="false" outlineLevel="0" collapsed="false">
      <c r="A110" s="47" t="s">
        <v>572</v>
      </c>
      <c r="B110" s="47" t="s">
        <v>569</v>
      </c>
      <c r="C110" s="5" t="s">
        <v>994</v>
      </c>
      <c r="D110" s="6" t="s">
        <v>263</v>
      </c>
      <c r="E110" s="6" t="s">
        <v>263</v>
      </c>
      <c r="F110" s="6" t="s">
        <v>725</v>
      </c>
      <c r="G110" s="6" t="s">
        <v>266</v>
      </c>
      <c r="H110" s="6"/>
      <c r="I110" s="26" t="n">
        <v>1</v>
      </c>
      <c r="J110" s="26" t="n">
        <f aca="false">COUNTIFS('Control Library'!$A$5:$A$50,"AI-CTRL-012",'Control Library'!$R$5:$R$50,"Implemented")</f>
        <v>0</v>
      </c>
      <c r="K110" s="43" t="str">
        <f aca="false">IF(I110=0,"No wiki control",IF(J110=I110,"Fully covered",IF(J110=0,"Not covered","Partly covered")))</f>
        <v>Not covered</v>
      </c>
      <c r="L110" s="9" t="s">
        <v>993</v>
      </c>
    </row>
    <row r="111" customFormat="false" ht="23.85" hidden="false" customHeight="false" outlineLevel="0" collapsed="false">
      <c r="A111" s="47" t="s">
        <v>572</v>
      </c>
      <c r="B111" s="47" t="s">
        <v>569</v>
      </c>
      <c r="C111" s="5" t="s">
        <v>995</v>
      </c>
      <c r="D111" s="6" t="s">
        <v>996</v>
      </c>
      <c r="E111" s="6" t="s">
        <v>821</v>
      </c>
      <c r="F111" s="6" t="s">
        <v>725</v>
      </c>
      <c r="G111" s="6" t="s">
        <v>472</v>
      </c>
      <c r="H111" s="6"/>
      <c r="I111" s="26" t="n">
        <v>2</v>
      </c>
      <c r="J111" s="26" t="n">
        <f aca="false">COUNTIFS('Control Library'!$A$5:$A$50,"AI-CTRL-011",'Control Library'!$R$5:$R$50,"Implemented")+COUNTIFS('Control Library'!$A$5:$A$50,"AI-CTRL-037",'Control Library'!$R$5:$R$50,"Implemented")</f>
        <v>0</v>
      </c>
      <c r="K111" s="43" t="str">
        <f aca="false">IF(I111=0,"No wiki control",IF(J111=I111,"Fully covered",IF(J111=0,"Not covered","Partly covered")))</f>
        <v>Not covered</v>
      </c>
      <c r="L111" s="9" t="s">
        <v>993</v>
      </c>
    </row>
    <row r="112" customFormat="false" ht="23.85" hidden="false" customHeight="false" outlineLevel="0" collapsed="false">
      <c r="A112" s="47" t="s">
        <v>572</v>
      </c>
      <c r="B112" s="47" t="s">
        <v>569</v>
      </c>
      <c r="C112" s="5" t="s">
        <v>997</v>
      </c>
      <c r="D112" s="6" t="s">
        <v>998</v>
      </c>
      <c r="E112" s="6" t="s">
        <v>999</v>
      </c>
      <c r="F112" s="6" t="s">
        <v>725</v>
      </c>
      <c r="G112" s="6" t="s">
        <v>1000</v>
      </c>
      <c r="H112" s="6"/>
      <c r="I112" s="26" t="n">
        <v>2</v>
      </c>
      <c r="J112" s="26" t="n">
        <f aca="false">COUNTIFS('Control Library'!$A$5:$A$50,"AI-CTRL-010",'Control Library'!$R$5:$R$50,"Implemented")+COUNTIFS('Control Library'!$A$5:$A$50,"AI-CTRL-012",'Control Library'!$R$5:$R$50,"Implemented")</f>
        <v>0</v>
      </c>
      <c r="K112" s="43" t="str">
        <f aca="false">IF(I112=0,"No wiki control",IF(J112=I112,"Fully covered",IF(J112=0,"Not covered","Partly covered")))</f>
        <v>Not covered</v>
      </c>
      <c r="L112" s="9" t="s">
        <v>993</v>
      </c>
    </row>
    <row r="113" customFormat="false" ht="23.85" hidden="false" customHeight="false" outlineLevel="0" collapsed="false">
      <c r="A113" s="47" t="s">
        <v>572</v>
      </c>
      <c r="B113" s="47" t="s">
        <v>569</v>
      </c>
      <c r="C113" s="5" t="s">
        <v>1001</v>
      </c>
      <c r="D113" s="6" t="s">
        <v>477</v>
      </c>
      <c r="E113" s="6" t="s">
        <v>477</v>
      </c>
      <c r="F113" s="6" t="s">
        <v>725</v>
      </c>
      <c r="G113" s="6" t="s">
        <v>480</v>
      </c>
      <c r="H113" s="6"/>
      <c r="I113" s="26" t="n">
        <v>1</v>
      </c>
      <c r="J113" s="26" t="n">
        <f aca="false">COUNTIFS('Control Library'!$A$5:$A$50,"AI-CTRL-038",'Control Library'!$R$5:$R$50,"Implemented")</f>
        <v>0</v>
      </c>
      <c r="K113" s="43" t="str">
        <f aca="false">IF(I113=0,"No wiki control",IF(J113=I113,"Fully covered",IF(J113=0,"Not covered","Partly covered")))</f>
        <v>Not covered</v>
      </c>
      <c r="L113" s="9" t="s">
        <v>993</v>
      </c>
    </row>
    <row r="114" customFormat="false" ht="23.85" hidden="false" customHeight="false" outlineLevel="0" collapsed="false">
      <c r="A114" s="47" t="s">
        <v>572</v>
      </c>
      <c r="B114" s="47" t="s">
        <v>569</v>
      </c>
      <c r="C114" s="5" t="s">
        <v>1002</v>
      </c>
      <c r="D114" s="6" t="s">
        <v>1003</v>
      </c>
      <c r="E114" s="6" t="s">
        <v>1004</v>
      </c>
      <c r="F114" s="6" t="s">
        <v>725</v>
      </c>
      <c r="G114" s="6" t="s">
        <v>1005</v>
      </c>
      <c r="H114" s="6"/>
      <c r="I114" s="26" t="n">
        <v>3</v>
      </c>
      <c r="J114" s="26" t="n">
        <f aca="false">COUNTIFS('Control Library'!$A$5:$A$50,"AI-CTRL-001",'Control Library'!$R$5:$R$50,"Implemented")+COUNTIFS('Control Library'!$A$5:$A$50,"AI-CTRL-006",'Control Library'!$R$5:$R$50,"Implemented")+COUNTIFS('Control Library'!$A$5:$A$50,"AI-CTRL-011",'Control Library'!$R$5:$R$50,"Implemented")</f>
        <v>0</v>
      </c>
      <c r="K114" s="43" t="str">
        <f aca="false">IF(I114=0,"No wiki control",IF(J114=I114,"Fully covered",IF(J114=0,"Not covered","Partly covered")))</f>
        <v>Not covered</v>
      </c>
      <c r="L114" s="9" t="s">
        <v>993</v>
      </c>
    </row>
    <row r="115" customFormat="false" ht="23.85" hidden="false" customHeight="false" outlineLevel="0" collapsed="false">
      <c r="A115" s="47" t="s">
        <v>572</v>
      </c>
      <c r="B115" s="47" t="s">
        <v>569</v>
      </c>
      <c r="C115" s="5" t="s">
        <v>1006</v>
      </c>
      <c r="D115" s="6" t="s">
        <v>255</v>
      </c>
      <c r="E115" s="6" t="s">
        <v>255</v>
      </c>
      <c r="F115" s="6" t="s">
        <v>725</v>
      </c>
      <c r="G115" s="6" t="s">
        <v>258</v>
      </c>
      <c r="H115" s="6"/>
      <c r="I115" s="26" t="n">
        <v>1</v>
      </c>
      <c r="J115" s="26" t="n">
        <f aca="false">COUNTIFS('Control Library'!$A$5:$A$50,"AI-CTRL-011",'Control Library'!$R$5:$R$50,"Implemented")</f>
        <v>0</v>
      </c>
      <c r="K115" s="43" t="str">
        <f aca="false">IF(I115=0,"No wiki control",IF(J115=I115,"Fully covered",IF(J115=0,"Not covered","Partly covered")))</f>
        <v>Not covered</v>
      </c>
      <c r="L115" s="9" t="s">
        <v>993</v>
      </c>
    </row>
    <row r="116" customFormat="false" ht="23.85" hidden="false" customHeight="false" outlineLevel="0" collapsed="false">
      <c r="A116" s="47" t="s">
        <v>572</v>
      </c>
      <c r="B116" s="47" t="s">
        <v>569</v>
      </c>
      <c r="C116" s="5" t="s">
        <v>1007</v>
      </c>
      <c r="D116" s="6" t="s">
        <v>263</v>
      </c>
      <c r="E116" s="6" t="s">
        <v>263</v>
      </c>
      <c r="F116" s="6" t="s">
        <v>725</v>
      </c>
      <c r="G116" s="6" t="s">
        <v>266</v>
      </c>
      <c r="H116" s="6"/>
      <c r="I116" s="26" t="n">
        <v>1</v>
      </c>
      <c r="J116" s="26" t="n">
        <f aca="false">COUNTIFS('Control Library'!$A$5:$A$50,"AI-CTRL-012",'Control Library'!$R$5:$R$50,"Implemented")</f>
        <v>0</v>
      </c>
      <c r="K116" s="43" t="str">
        <f aca="false">IF(I116=0,"No wiki control",IF(J116=I116,"Fully covered",IF(J116=0,"Not covered","Partly covered")))</f>
        <v>Not covered</v>
      </c>
      <c r="L116" s="9" t="s">
        <v>993</v>
      </c>
    </row>
    <row r="117" customFormat="false" ht="23.85" hidden="false" customHeight="false" outlineLevel="0" collapsed="false">
      <c r="A117" s="47" t="s">
        <v>572</v>
      </c>
      <c r="B117" s="47" t="s">
        <v>569</v>
      </c>
      <c r="C117" s="5" t="s">
        <v>1008</v>
      </c>
      <c r="D117" s="6" t="s">
        <v>1009</v>
      </c>
      <c r="E117" s="6" t="s">
        <v>961</v>
      </c>
      <c r="F117" s="6" t="s">
        <v>725</v>
      </c>
      <c r="G117" s="6" t="s">
        <v>266</v>
      </c>
      <c r="H117" s="6"/>
      <c r="I117" s="26" t="n">
        <v>2</v>
      </c>
      <c r="J117" s="26" t="n">
        <f aca="false">COUNTIFS('Control Library'!$A$5:$A$50,"AI-CTRL-012",'Control Library'!$R$5:$R$50,"Implemented")+COUNTIFS('Control Library'!$A$5:$A$50,"AI-CTRL-044",'Control Library'!$R$5:$R$50,"Implemented")</f>
        <v>0</v>
      </c>
      <c r="K117" s="43" t="str">
        <f aca="false">IF(I117=0,"No wiki control",IF(J117=I117,"Fully covered",IF(J117=0,"Not covered","Partly covered")))</f>
        <v>Not covered</v>
      </c>
      <c r="L117" s="9" t="s">
        <v>993</v>
      </c>
    </row>
    <row r="118" customFormat="false" ht="23.85" hidden="false" customHeight="false" outlineLevel="0" collapsed="false">
      <c r="A118" s="47" t="s">
        <v>572</v>
      </c>
      <c r="B118" s="47" t="s">
        <v>569</v>
      </c>
      <c r="C118" s="5" t="s">
        <v>1010</v>
      </c>
      <c r="D118" s="6" t="s">
        <v>1011</v>
      </c>
      <c r="E118" s="6"/>
      <c r="F118" s="6" t="s">
        <v>635</v>
      </c>
      <c r="G118" s="6"/>
      <c r="H118" s="6"/>
      <c r="I118" s="26" t="n">
        <v>0</v>
      </c>
      <c r="J118" s="26" t="n">
        <f aca="false">0</f>
        <v>0</v>
      </c>
      <c r="K118" s="43" t="str">
        <f aca="false">IF(I118=0,"No wiki control",IF(J118=I118,"Fully covered",IF(J118=0,"Not covered","Partly covered")))</f>
        <v>No wiki control</v>
      </c>
      <c r="L118" s="9" t="s">
        <v>993</v>
      </c>
    </row>
    <row r="119" customFormat="false" ht="23.85" hidden="false" customHeight="false" outlineLevel="0" collapsed="false">
      <c r="A119" s="47" t="s">
        <v>572</v>
      </c>
      <c r="B119" s="47" t="s">
        <v>569</v>
      </c>
      <c r="C119" s="5" t="s">
        <v>1012</v>
      </c>
      <c r="D119" s="6" t="s">
        <v>1011</v>
      </c>
      <c r="E119" s="6"/>
      <c r="F119" s="6" t="s">
        <v>635</v>
      </c>
      <c r="G119" s="6"/>
      <c r="H119" s="6"/>
      <c r="I119" s="26" t="n">
        <v>0</v>
      </c>
      <c r="J119" s="26" t="n">
        <f aca="false">0</f>
        <v>0</v>
      </c>
      <c r="K119" s="43" t="str">
        <f aca="false">IF(I119=0,"No wiki control",IF(J119=I119,"Fully covered",IF(J119=0,"Not covered","Partly covered")))</f>
        <v>No wiki control</v>
      </c>
      <c r="L119" s="9" t="s">
        <v>993</v>
      </c>
    </row>
    <row r="120" customFormat="false" ht="23.85" hidden="false" customHeight="false" outlineLevel="0" collapsed="false">
      <c r="A120" s="47" t="s">
        <v>572</v>
      </c>
      <c r="B120" s="47" t="s">
        <v>569</v>
      </c>
      <c r="C120" s="5" t="s">
        <v>1013</v>
      </c>
      <c r="D120" s="6" t="s">
        <v>1014</v>
      </c>
      <c r="E120" s="6" t="s">
        <v>800</v>
      </c>
      <c r="F120" s="6" t="s">
        <v>725</v>
      </c>
      <c r="G120" s="6" t="s">
        <v>541</v>
      </c>
      <c r="H120" s="6"/>
      <c r="I120" s="26" t="n">
        <v>2</v>
      </c>
      <c r="J120" s="26" t="n">
        <f aca="false">COUNTIFS('Control Library'!$A$5:$A$50,"AI-CTRL-023",'Control Library'!$R$5:$R$50,"Implemented")+COUNTIFS('Control Library'!$A$5:$A$50,"AI-CTRL-045",'Control Library'!$R$5:$R$50,"Implemented")</f>
        <v>0</v>
      </c>
      <c r="K120" s="43" t="str">
        <f aca="false">IF(I120=0,"No wiki control",IF(J120=I120,"Fully covered",IF(J120=0,"Not covered","Partly covered")))</f>
        <v>Not covered</v>
      </c>
      <c r="L120" s="9" t="s">
        <v>993</v>
      </c>
    </row>
    <row r="121" customFormat="false" ht="23.85" hidden="false" customHeight="false" outlineLevel="0" collapsed="false">
      <c r="A121" s="47" t="s">
        <v>572</v>
      </c>
      <c r="B121" s="47" t="s">
        <v>569</v>
      </c>
      <c r="C121" s="5" t="s">
        <v>1015</v>
      </c>
      <c r="D121" s="6" t="s">
        <v>1011</v>
      </c>
      <c r="E121" s="6"/>
      <c r="F121" s="6" t="s">
        <v>635</v>
      </c>
      <c r="G121" s="6"/>
      <c r="H121" s="6"/>
      <c r="I121" s="26" t="n">
        <v>0</v>
      </c>
      <c r="J121" s="26" t="n">
        <f aca="false">0</f>
        <v>0</v>
      </c>
      <c r="K121" s="43" t="str">
        <f aca="false">IF(I121=0,"No wiki control",IF(J121=I121,"Fully covered",IF(J121=0,"Not covered","Partly covered")))</f>
        <v>No wiki control</v>
      </c>
      <c r="L121" s="9" t="s">
        <v>993</v>
      </c>
    </row>
    <row r="122" customFormat="false" ht="23.85" hidden="false" customHeight="false" outlineLevel="0" collapsed="false">
      <c r="A122" s="47" t="s">
        <v>572</v>
      </c>
      <c r="B122" s="47" t="s">
        <v>569</v>
      </c>
      <c r="C122" s="5" t="s">
        <v>1016</v>
      </c>
      <c r="D122" s="6" t="s">
        <v>434</v>
      </c>
      <c r="E122" s="6" t="s">
        <v>434</v>
      </c>
      <c r="F122" s="6" t="s">
        <v>725</v>
      </c>
      <c r="G122" s="6" t="s">
        <v>438</v>
      </c>
      <c r="H122" s="6"/>
      <c r="I122" s="26" t="n">
        <v>1</v>
      </c>
      <c r="J122" s="26" t="n">
        <f aca="false">COUNTIFS('Control Library'!$A$5:$A$50,"AI-CTRL-033",'Control Library'!$R$5:$R$50,"Implemented")</f>
        <v>0</v>
      </c>
      <c r="K122" s="43" t="str">
        <f aca="false">IF(I122=0,"No wiki control",IF(J122=I122,"Fully covered",IF(J122=0,"Not covered","Partly covered")))</f>
        <v>Not covered</v>
      </c>
      <c r="L122" s="9" t="s">
        <v>993</v>
      </c>
    </row>
    <row r="123" customFormat="false" ht="23.85" hidden="false" customHeight="false" outlineLevel="0" collapsed="false">
      <c r="A123" s="47" t="s">
        <v>572</v>
      </c>
      <c r="B123" s="47" t="s">
        <v>569</v>
      </c>
      <c r="C123" s="5" t="s">
        <v>1017</v>
      </c>
      <c r="D123" s="6" t="s">
        <v>1018</v>
      </c>
      <c r="E123" s="6" t="s">
        <v>1019</v>
      </c>
      <c r="F123" s="6" t="s">
        <v>725</v>
      </c>
      <c r="G123" s="6" t="s">
        <v>1020</v>
      </c>
      <c r="H123" s="6"/>
      <c r="I123" s="26" t="n">
        <v>2</v>
      </c>
      <c r="J123" s="26" t="n">
        <f aca="false">COUNTIFS('Control Library'!$A$5:$A$50,"AI-CTRL-034",'Control Library'!$R$5:$R$50,"Implemented")+COUNTIFS('Control Library'!$A$5:$A$50,"AI-CTRL-035",'Control Library'!$R$5:$R$50,"Implemented")</f>
        <v>0</v>
      </c>
      <c r="K123" s="43" t="str">
        <f aca="false">IF(I123=0,"No wiki control",IF(J123=I123,"Fully covered",IF(J123=0,"Not covered","Partly covered")))</f>
        <v>Not covered</v>
      </c>
      <c r="L123" s="9" t="s">
        <v>993</v>
      </c>
    </row>
    <row r="124" customFormat="false" ht="23.85" hidden="false" customHeight="false" outlineLevel="0" collapsed="false">
      <c r="A124" s="47" t="s">
        <v>572</v>
      </c>
      <c r="B124" s="47" t="s">
        <v>569</v>
      </c>
      <c r="C124" s="5" t="s">
        <v>1021</v>
      </c>
      <c r="D124" s="6" t="s">
        <v>521</v>
      </c>
      <c r="E124" s="6" t="s">
        <v>521</v>
      </c>
      <c r="F124" s="6" t="s">
        <v>725</v>
      </c>
      <c r="G124" s="6" t="s">
        <v>524</v>
      </c>
      <c r="H124" s="6"/>
      <c r="I124" s="26" t="n">
        <v>1</v>
      </c>
      <c r="J124" s="26" t="n">
        <f aca="false">COUNTIFS('Control Library'!$A$5:$A$50,"AI-CTRL-043",'Control Library'!$R$5:$R$50,"Implemented")</f>
        <v>0</v>
      </c>
      <c r="K124" s="43" t="str">
        <f aca="false">IF(I124=0,"No wiki control",IF(J124=I124,"Fully covered",IF(J124=0,"Not covered","Partly covered")))</f>
        <v>Not covered</v>
      </c>
      <c r="L124" s="9" t="s">
        <v>993</v>
      </c>
    </row>
    <row r="125" customFormat="false" ht="23.85" hidden="false" customHeight="false" outlineLevel="0" collapsed="false">
      <c r="A125" s="47" t="s">
        <v>572</v>
      </c>
      <c r="B125" s="47" t="s">
        <v>569</v>
      </c>
      <c r="C125" s="5" t="s">
        <v>1022</v>
      </c>
      <c r="D125" s="6" t="s">
        <v>1011</v>
      </c>
      <c r="E125" s="6"/>
      <c r="F125" s="6" t="s">
        <v>635</v>
      </c>
      <c r="G125" s="6"/>
      <c r="H125" s="6"/>
      <c r="I125" s="26" t="n">
        <v>0</v>
      </c>
      <c r="J125" s="26" t="n">
        <f aca="false">0</f>
        <v>0</v>
      </c>
      <c r="K125" s="43" t="str">
        <f aca="false">IF(I125=0,"No wiki control",IF(J125=I125,"Fully covered",IF(J125=0,"Not covered","Partly covered")))</f>
        <v>No wiki control</v>
      </c>
      <c r="L125" s="9" t="s">
        <v>993</v>
      </c>
    </row>
    <row r="126" customFormat="false" ht="35.05" hidden="false" customHeight="false" outlineLevel="0" collapsed="false">
      <c r="A126" s="47" t="s">
        <v>572</v>
      </c>
      <c r="B126" s="47" t="s">
        <v>569</v>
      </c>
      <c r="C126" s="5" t="s">
        <v>1023</v>
      </c>
      <c r="D126" s="6" t="s">
        <v>1024</v>
      </c>
      <c r="E126" s="6" t="s">
        <v>1025</v>
      </c>
      <c r="F126" s="6" t="s">
        <v>725</v>
      </c>
      <c r="G126" s="6" t="s">
        <v>1026</v>
      </c>
      <c r="H126" s="6"/>
      <c r="I126" s="26" t="n">
        <v>6</v>
      </c>
      <c r="J126" s="26" t="n">
        <f aca="false">COUNTIFS('Control Library'!$A$5:$A$50,"AI-CTRL-001",'Control Library'!$R$5:$R$50,"Implemented")+COUNTIFS('Control Library'!$A$5:$A$50,"AI-CTRL-004",'Control Library'!$R$5:$R$50,"Implemented")+COUNTIFS('Control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126" s="43" t="str">
        <f aca="false">IF(I126=0,"No wiki control",IF(J126=I126,"Fully covered",IF(J126=0,"Not covered","Partly covered")))</f>
        <v>Not covered</v>
      </c>
      <c r="L126" s="9" t="s">
        <v>993</v>
      </c>
    </row>
    <row r="127" customFormat="false" ht="23.85" hidden="false" customHeight="false" outlineLevel="0" collapsed="false">
      <c r="A127" s="47" t="s">
        <v>572</v>
      </c>
      <c r="B127" s="47" t="s">
        <v>569</v>
      </c>
      <c r="C127" s="5" t="s">
        <v>1027</v>
      </c>
      <c r="D127" s="6" t="s">
        <v>1028</v>
      </c>
      <c r="E127" s="6" t="s">
        <v>1029</v>
      </c>
      <c r="F127" s="6" t="s">
        <v>725</v>
      </c>
      <c r="G127" s="6" t="s">
        <v>1030</v>
      </c>
      <c r="H127" s="6"/>
      <c r="I127" s="26" t="n">
        <v>3</v>
      </c>
      <c r="J127" s="26" t="n">
        <f aca="false">COUNTIFS('Control Library'!$A$5:$A$50,"AI-CTRL-014",'Control Library'!$R$5:$R$50,"Implemented")+COUNTIFS('Control Library'!$A$5:$A$50,"AI-CTRL-035",'Control Library'!$R$5:$R$50,"Implemented")+COUNTIFS('Control Library'!$A$5:$A$50,"AI-CTRL-040",'Control Library'!$R$5:$R$50,"Implemented")</f>
        <v>0</v>
      </c>
      <c r="K127" s="43" t="str">
        <f aca="false">IF(I127=0,"No wiki control",IF(J127=I127,"Fully covered",IF(J127=0,"Not covered","Partly covered")))</f>
        <v>Not covered</v>
      </c>
      <c r="L127" s="9" t="s">
        <v>993</v>
      </c>
    </row>
    <row r="128" customFormat="false" ht="23.85" hidden="false" customHeight="false" outlineLevel="0" collapsed="false">
      <c r="A128" s="47" t="s">
        <v>572</v>
      </c>
      <c r="B128" s="47" t="s">
        <v>569</v>
      </c>
      <c r="C128" s="5" t="s">
        <v>1031</v>
      </c>
      <c r="D128" s="6" t="s">
        <v>434</v>
      </c>
      <c r="E128" s="6" t="s">
        <v>434</v>
      </c>
      <c r="F128" s="6" t="s">
        <v>725</v>
      </c>
      <c r="G128" s="6" t="s">
        <v>438</v>
      </c>
      <c r="H128" s="6"/>
      <c r="I128" s="26" t="n">
        <v>1</v>
      </c>
      <c r="J128" s="26" t="n">
        <f aca="false">COUNTIFS('Control Library'!$A$5:$A$50,"AI-CTRL-033",'Control Library'!$R$5:$R$50,"Implemented")</f>
        <v>0</v>
      </c>
      <c r="K128" s="43" t="str">
        <f aca="false">IF(I128=0,"No wiki control",IF(J128=I128,"Fully covered",IF(J128=0,"Not covered","Partly covered")))</f>
        <v>Not covered</v>
      </c>
      <c r="L128" s="9" t="s">
        <v>993</v>
      </c>
    </row>
    <row r="129" customFormat="false" ht="23.85" hidden="false" customHeight="false" outlineLevel="0" collapsed="false">
      <c r="A129" s="47" t="s">
        <v>572</v>
      </c>
      <c r="B129" s="47" t="s">
        <v>569</v>
      </c>
      <c r="C129" s="5" t="s">
        <v>1032</v>
      </c>
      <c r="D129" s="6" t="s">
        <v>469</v>
      </c>
      <c r="E129" s="6" t="s">
        <v>469</v>
      </c>
      <c r="F129" s="6" t="s">
        <v>725</v>
      </c>
      <c r="G129" s="6" t="s">
        <v>472</v>
      </c>
      <c r="H129" s="6"/>
      <c r="I129" s="26" t="n">
        <v>1</v>
      </c>
      <c r="J129" s="26" t="n">
        <f aca="false">COUNTIFS('Control Library'!$A$5:$A$50,"AI-CTRL-037",'Control Library'!$R$5:$R$50,"Implemented")</f>
        <v>0</v>
      </c>
      <c r="K129" s="43" t="str">
        <f aca="false">IF(I129=0,"No wiki control",IF(J129=I129,"Fully covered",IF(J129=0,"Not covered","Partly covered")))</f>
        <v>Not covered</v>
      </c>
      <c r="L129" s="9" t="s">
        <v>993</v>
      </c>
    </row>
    <row r="130" customFormat="false" ht="46.25" hidden="false" customHeight="false" outlineLevel="0" collapsed="false">
      <c r="A130" s="47" t="s">
        <v>572</v>
      </c>
      <c r="B130" s="47" t="s">
        <v>569</v>
      </c>
      <c r="C130" s="5" t="s">
        <v>1033</v>
      </c>
      <c r="D130" s="6" t="s">
        <v>1034</v>
      </c>
      <c r="E130" s="6" t="s">
        <v>1035</v>
      </c>
      <c r="F130" s="6" t="s">
        <v>725</v>
      </c>
      <c r="G130" s="6" t="s">
        <v>1036</v>
      </c>
      <c r="H130" s="6"/>
      <c r="I130" s="26" t="n">
        <v>5</v>
      </c>
      <c r="J130" s="26" t="n">
        <f aca="false">COUNTIFS('Control Library'!$A$5:$A$50,"AI-CTRL-005",'Control Library'!$R$5:$R$50,"Implemented")+COUNTIFS('Control Library'!$A$5:$A$50,"AI-CTRL-010",'Control Library'!$R$5:$R$50,"Implemented")+COUNTIFS('Control Library'!$A$5:$A$50,"AI-CTRL-016",'Control Library'!$R$5:$R$50,"Implemented")+COUNTIFS('Control Library'!$A$5:$A$50,"AI-CTRL-022",'Control Library'!$R$5:$R$50,"Implemented")+COUNTIFS('Control Library'!$A$5:$A$50,"AI-CTRL-027",'Control Library'!$R$5:$R$50,"Implemented")</f>
        <v>0</v>
      </c>
      <c r="K130" s="43" t="str">
        <f aca="false">IF(I130=0,"No wiki control",IF(J130=I130,"Fully covered",IF(J130=0,"Not covered","Partly covered")))</f>
        <v>Not covered</v>
      </c>
      <c r="L130" s="9" t="s">
        <v>993</v>
      </c>
    </row>
    <row r="131" customFormat="false" ht="23.85" hidden="false" customHeight="false" outlineLevel="0" collapsed="false">
      <c r="A131" s="47" t="s">
        <v>572</v>
      </c>
      <c r="B131" s="47" t="s">
        <v>569</v>
      </c>
      <c r="C131" s="5" t="s">
        <v>1037</v>
      </c>
      <c r="D131" s="6" t="s">
        <v>469</v>
      </c>
      <c r="E131" s="6" t="s">
        <v>469</v>
      </c>
      <c r="F131" s="6" t="s">
        <v>725</v>
      </c>
      <c r="G131" s="6" t="s">
        <v>472</v>
      </c>
      <c r="H131" s="6"/>
      <c r="I131" s="26" t="n">
        <v>1</v>
      </c>
      <c r="J131" s="26" t="n">
        <f aca="false">COUNTIFS('Control Library'!$A$5:$A$50,"AI-CTRL-037",'Control Library'!$R$5:$R$50,"Implemented")</f>
        <v>0</v>
      </c>
      <c r="K131" s="43" t="str">
        <f aca="false">IF(I131=0,"No wiki control",IF(J131=I131,"Fully covered",IF(J131=0,"Not covered","Partly covered")))</f>
        <v>Not covered</v>
      </c>
      <c r="L131" s="9" t="s">
        <v>993</v>
      </c>
    </row>
    <row r="132" customFormat="false" ht="23.85" hidden="false" customHeight="false" outlineLevel="0" collapsed="false">
      <c r="A132" s="47" t="s">
        <v>572</v>
      </c>
      <c r="B132" s="47" t="s">
        <v>569</v>
      </c>
      <c r="C132" s="5" t="s">
        <v>1038</v>
      </c>
      <c r="D132" s="6" t="s">
        <v>1011</v>
      </c>
      <c r="E132" s="6"/>
      <c r="F132" s="6" t="s">
        <v>635</v>
      </c>
      <c r="G132" s="6"/>
      <c r="H132" s="6"/>
      <c r="I132" s="26" t="n">
        <v>0</v>
      </c>
      <c r="J132" s="26" t="n">
        <f aca="false">0</f>
        <v>0</v>
      </c>
      <c r="K132" s="43" t="str">
        <f aca="false">IF(I132=0,"No wiki control",IF(J132=I132,"Fully covered",IF(J132=0,"Not covered","Partly covered")))</f>
        <v>No wiki control</v>
      </c>
      <c r="L132" s="9" t="s">
        <v>993</v>
      </c>
    </row>
    <row r="133" customFormat="false" ht="23.85" hidden="false" customHeight="false" outlineLevel="0" collapsed="false">
      <c r="A133" s="47" t="s">
        <v>572</v>
      </c>
      <c r="B133" s="47" t="s">
        <v>569</v>
      </c>
      <c r="C133" s="5" t="s">
        <v>1039</v>
      </c>
      <c r="D133" s="6" t="s">
        <v>1011</v>
      </c>
      <c r="E133" s="6"/>
      <c r="F133" s="6" t="s">
        <v>635</v>
      </c>
      <c r="G133" s="6"/>
      <c r="H133" s="6"/>
      <c r="I133" s="26" t="n">
        <v>0</v>
      </c>
      <c r="J133" s="26" t="n">
        <f aca="false">0</f>
        <v>0</v>
      </c>
      <c r="K133" s="43" t="str">
        <f aca="false">IF(I133=0,"No wiki control",IF(J133=I133,"Fully covered",IF(J133=0,"Not covered","Partly covered")))</f>
        <v>No wiki control</v>
      </c>
      <c r="L133" s="9" t="s">
        <v>993</v>
      </c>
    </row>
    <row r="134" customFormat="false" ht="35.05" hidden="false" customHeight="false" outlineLevel="0" collapsed="false">
      <c r="A134" s="47" t="s">
        <v>572</v>
      </c>
      <c r="B134" s="47" t="s">
        <v>569</v>
      </c>
      <c r="C134" s="5" t="s">
        <v>1040</v>
      </c>
      <c r="D134" s="6" t="s">
        <v>1041</v>
      </c>
      <c r="E134" s="6" t="s">
        <v>1042</v>
      </c>
      <c r="F134" s="6" t="s">
        <v>725</v>
      </c>
      <c r="G134" s="6" t="s">
        <v>1043</v>
      </c>
      <c r="H134" s="6"/>
      <c r="I134" s="26" t="n">
        <v>3</v>
      </c>
      <c r="J134" s="26" t="n">
        <f aca="false">COUNTIFS('Control Library'!$A$5:$A$50,"AI-CTRL-025",'Control Library'!$R$5:$R$50,"Implemented")+COUNTIFS('Control Library'!$A$5:$A$50,"AI-CTRL-035",'Control Library'!$R$5:$R$50,"Implemented")+COUNTIFS('Control Library'!$A$5:$A$50,"AI-CTRL-040",'Control Library'!$R$5:$R$50,"Implemented")</f>
        <v>0</v>
      </c>
      <c r="K134" s="43" t="str">
        <f aca="false">IF(I134=0,"No wiki control",IF(J134=I134,"Fully covered",IF(J134=0,"Not covered","Partly covered")))</f>
        <v>Not covered</v>
      </c>
      <c r="L134" s="9" t="s">
        <v>993</v>
      </c>
    </row>
    <row r="135" customFormat="false" ht="23.85" hidden="false" customHeight="false" outlineLevel="0" collapsed="false">
      <c r="A135" s="47" t="s">
        <v>572</v>
      </c>
      <c r="B135" s="47" t="s">
        <v>569</v>
      </c>
      <c r="C135" s="5" t="s">
        <v>1044</v>
      </c>
      <c r="D135" s="6" t="s">
        <v>371</v>
      </c>
      <c r="E135" s="6" t="s">
        <v>371</v>
      </c>
      <c r="F135" s="6" t="s">
        <v>725</v>
      </c>
      <c r="G135" s="6" t="s">
        <v>374</v>
      </c>
      <c r="H135" s="6"/>
      <c r="I135" s="26" t="n">
        <v>1</v>
      </c>
      <c r="J135" s="26" t="n">
        <f aca="false">COUNTIFS('Control Library'!$A$5:$A$50,"AI-CTRL-025",'Control Library'!$R$5:$R$50,"Implemented")</f>
        <v>0</v>
      </c>
      <c r="K135" s="43" t="str">
        <f aca="false">IF(I135=0,"No wiki control",IF(J135=I135,"Fully covered",IF(J135=0,"Not covered","Partly covered")))</f>
        <v>Not covered</v>
      </c>
      <c r="L135" s="9" t="s">
        <v>993</v>
      </c>
    </row>
    <row r="136" customFormat="false" ht="23.85" hidden="false" customHeight="false" outlineLevel="0" collapsed="false">
      <c r="A136" s="47" t="s">
        <v>572</v>
      </c>
      <c r="B136" s="47" t="s">
        <v>569</v>
      </c>
      <c r="C136" s="5" t="s">
        <v>1045</v>
      </c>
      <c r="D136" s="6" t="s">
        <v>1046</v>
      </c>
      <c r="E136" s="6" t="s">
        <v>1047</v>
      </c>
      <c r="F136" s="6" t="s">
        <v>725</v>
      </c>
      <c r="G136" s="6" t="s">
        <v>1048</v>
      </c>
      <c r="H136" s="6"/>
      <c r="I136" s="26" t="n">
        <v>3</v>
      </c>
      <c r="J136" s="26" t="n">
        <f aca="false">COUNTIFS('Control Library'!$A$5:$A$50,"AI-CTRL-014",'Control Library'!$R$5:$R$50,"Implemented")+COUNTIFS('Control Library'!$A$5:$A$50,"AI-CTRL-024",'Control Library'!$R$5:$R$50,"Implemented")+COUNTIFS('Control Library'!$A$5:$A$50,"AI-CTRL-031",'Control Library'!$R$5:$R$50,"Implemented")</f>
        <v>0</v>
      </c>
      <c r="K136" s="43" t="str">
        <f aca="false">IF(I136=0,"No wiki control",IF(J136=I136,"Fully covered",IF(J136=0,"Not covered","Partly covered")))</f>
        <v>Not covered</v>
      </c>
      <c r="L136" s="9" t="s">
        <v>993</v>
      </c>
    </row>
    <row r="137" customFormat="false" ht="23.85" hidden="false" customHeight="false" outlineLevel="0" collapsed="false">
      <c r="A137" s="47" t="s">
        <v>572</v>
      </c>
      <c r="B137" s="47" t="s">
        <v>569</v>
      </c>
      <c r="C137" s="5" t="s">
        <v>1049</v>
      </c>
      <c r="D137" s="6" t="s">
        <v>419</v>
      </c>
      <c r="E137" s="6" t="s">
        <v>419</v>
      </c>
      <c r="F137" s="6" t="s">
        <v>725</v>
      </c>
      <c r="G137" s="6" t="s">
        <v>423</v>
      </c>
      <c r="H137" s="6"/>
      <c r="I137" s="26" t="n">
        <v>1</v>
      </c>
      <c r="J137" s="26" t="n">
        <f aca="false">COUNTIFS('Control Library'!$A$5:$A$50,"AI-CTRL-031",'Control Library'!$R$5:$R$50,"Implemented")</f>
        <v>0</v>
      </c>
      <c r="K137" s="43" t="str">
        <f aca="false">IF(I137=0,"No wiki control",IF(J137=I137,"Fully covered",IF(J137=0,"Not covered","Partly covered")))</f>
        <v>Not covered</v>
      </c>
      <c r="L137" s="9" t="s">
        <v>993</v>
      </c>
    </row>
    <row r="138" customFormat="false" ht="35.05" hidden="false" customHeight="false" outlineLevel="0" collapsed="false">
      <c r="A138" s="47" t="s">
        <v>572</v>
      </c>
      <c r="B138" s="47" t="s">
        <v>569</v>
      </c>
      <c r="C138" s="5" t="s">
        <v>1050</v>
      </c>
      <c r="D138" s="6" t="s">
        <v>1051</v>
      </c>
      <c r="E138" s="6" t="s">
        <v>1052</v>
      </c>
      <c r="F138" s="6" t="s">
        <v>725</v>
      </c>
      <c r="G138" s="6" t="s">
        <v>1053</v>
      </c>
      <c r="H138" s="6"/>
      <c r="I138" s="26" t="n">
        <v>6</v>
      </c>
      <c r="J138" s="26" t="n">
        <f aca="false">COUNTIFS('Control Library'!$A$5:$A$50,"AI-CTRL-002",'Control Library'!$R$5:$R$50,"Implemented")+COUNTIFS('Control Library'!$A$5:$A$50,"AI-CTRL-003",'Control Library'!$R$5:$R$50,"Implemented")+COUNTIFS('Control Library'!$A$5:$A$50,"AI-CTRL-004",'Control Library'!$R$5:$R$50,"Implemented")+COUNTIFS('Control Library'!$A$5:$A$50,"AI-CTRL-008",'Control Library'!$R$5:$R$50,"Implemented")+COUNTIFS('Control Library'!$A$5:$A$50,"AI-CTRL-009",'Control Library'!$R$5:$R$50,"Implemented")+COUNTIFS('Control Library'!$A$5:$A$50,"AI-CTRL-036",'Control Library'!$R$5:$R$50,"Implemented")</f>
        <v>0</v>
      </c>
      <c r="K138" s="43" t="str">
        <f aca="false">IF(I138=0,"No wiki control",IF(J138=I138,"Fully covered",IF(J138=0,"Not covered","Partly covered")))</f>
        <v>Not covered</v>
      </c>
      <c r="L138" s="9" t="s">
        <v>993</v>
      </c>
    </row>
    <row r="139" customFormat="false" ht="23.85" hidden="false" customHeight="false" outlineLevel="0" collapsed="false">
      <c r="A139" s="47" t="s">
        <v>572</v>
      </c>
      <c r="B139" s="47" t="s">
        <v>569</v>
      </c>
      <c r="C139" s="5" t="s">
        <v>1054</v>
      </c>
      <c r="D139" s="6" t="s">
        <v>477</v>
      </c>
      <c r="E139" s="6" t="s">
        <v>477</v>
      </c>
      <c r="F139" s="6" t="s">
        <v>725</v>
      </c>
      <c r="G139" s="6" t="s">
        <v>480</v>
      </c>
      <c r="H139" s="6"/>
      <c r="I139" s="26" t="n">
        <v>1</v>
      </c>
      <c r="J139" s="26" t="n">
        <f aca="false">COUNTIFS('Control Library'!$A$5:$A$50,"AI-CTRL-038",'Control Library'!$R$5:$R$50,"Implemented")</f>
        <v>0</v>
      </c>
      <c r="K139" s="43" t="str">
        <f aca="false">IF(I139=0,"No wiki control",IF(J139=I139,"Fully covered",IF(J139=0,"Not covered","Partly covered")))</f>
        <v>Not covered</v>
      </c>
      <c r="L139" s="9" t="s">
        <v>993</v>
      </c>
    </row>
    <row r="140" customFormat="false" ht="23.85" hidden="false" customHeight="false" outlineLevel="0" collapsed="false">
      <c r="A140" s="47" t="s">
        <v>572</v>
      </c>
      <c r="B140" s="47" t="s">
        <v>569</v>
      </c>
      <c r="C140" s="5" t="s">
        <v>1055</v>
      </c>
      <c r="D140" s="6" t="s">
        <v>452</v>
      </c>
      <c r="E140" s="6" t="s">
        <v>452</v>
      </c>
      <c r="F140" s="6" t="s">
        <v>725</v>
      </c>
      <c r="G140" s="6" t="s">
        <v>455</v>
      </c>
      <c r="H140" s="6"/>
      <c r="I140" s="26" t="n">
        <v>1</v>
      </c>
      <c r="J140" s="26" t="n">
        <f aca="false">COUNTIFS('Control Library'!$A$5:$A$50,"AI-CTRL-035",'Control Library'!$R$5:$R$50,"Implemented")</f>
        <v>0</v>
      </c>
      <c r="K140" s="43" t="str">
        <f aca="false">IF(I140=0,"No wiki control",IF(J140=I140,"Fully covered",IF(J140=0,"Not covered","Partly covered")))</f>
        <v>Not covered</v>
      </c>
      <c r="L140" s="9" t="s">
        <v>993</v>
      </c>
    </row>
    <row r="141" customFormat="false" ht="23.85" hidden="false" customHeight="false" outlineLevel="0" collapsed="false">
      <c r="A141" s="47" t="s">
        <v>572</v>
      </c>
      <c r="B141" s="47" t="s">
        <v>569</v>
      </c>
      <c r="C141" s="5" t="s">
        <v>1056</v>
      </c>
      <c r="D141" s="6" t="s">
        <v>1057</v>
      </c>
      <c r="E141" s="6" t="s">
        <v>1058</v>
      </c>
      <c r="F141" s="6" t="s">
        <v>725</v>
      </c>
      <c r="G141" s="6" t="s">
        <v>1059</v>
      </c>
      <c r="H141" s="6"/>
      <c r="I141" s="26" t="n">
        <v>2</v>
      </c>
      <c r="J141" s="26" t="n">
        <f aca="false">COUNTIFS('Control Library'!$A$5:$A$50,"AI-CTRL-011",'Control Library'!$R$5:$R$50,"Implemented")+COUNTIFS('Control Library'!$A$5:$A$50,"AI-CTRL-042",'Control Library'!$R$5:$R$50,"Implemented")</f>
        <v>0</v>
      </c>
      <c r="K141" s="43" t="str">
        <f aca="false">IF(I141=0,"No wiki control",IF(J141=I141,"Fully covered",IF(J141=0,"Not covered","Partly covered")))</f>
        <v>Not covered</v>
      </c>
      <c r="L141" s="9" t="s">
        <v>993</v>
      </c>
    </row>
    <row r="142" customFormat="false" ht="23.85" hidden="false" customHeight="false" outlineLevel="0" collapsed="false">
      <c r="A142" s="47" t="s">
        <v>572</v>
      </c>
      <c r="B142" s="47" t="s">
        <v>569</v>
      </c>
      <c r="C142" s="5" t="s">
        <v>1060</v>
      </c>
      <c r="D142" s="6" t="s">
        <v>1011</v>
      </c>
      <c r="E142" s="6"/>
      <c r="F142" s="6" t="s">
        <v>635</v>
      </c>
      <c r="G142" s="6"/>
      <c r="H142" s="6"/>
      <c r="I142" s="26" t="n">
        <v>0</v>
      </c>
      <c r="J142" s="26" t="n">
        <f aca="false">0</f>
        <v>0</v>
      </c>
      <c r="K142" s="43" t="str">
        <f aca="false">IF(I142=0,"No wiki control",IF(J142=I142,"Fully covered",IF(J142=0,"Not covered","Partly covered")))</f>
        <v>No wiki control</v>
      </c>
      <c r="L142" s="9" t="s">
        <v>993</v>
      </c>
    </row>
    <row r="143" customFormat="false" ht="23.85" hidden="false" customHeight="false" outlineLevel="0" collapsed="false">
      <c r="A143" s="47" t="s">
        <v>572</v>
      </c>
      <c r="B143" s="47" t="s">
        <v>569</v>
      </c>
      <c r="C143" s="5" t="s">
        <v>1061</v>
      </c>
      <c r="D143" s="6" t="s">
        <v>1011</v>
      </c>
      <c r="E143" s="6"/>
      <c r="F143" s="6" t="s">
        <v>635</v>
      </c>
      <c r="G143" s="6"/>
      <c r="H143" s="6"/>
      <c r="I143" s="26" t="n">
        <v>0</v>
      </c>
      <c r="J143" s="26" t="n">
        <f aca="false">0</f>
        <v>0</v>
      </c>
      <c r="K143" s="43" t="str">
        <f aca="false">IF(I143=0,"No wiki control",IF(J143=I143,"Fully covered",IF(J143=0,"Not covered","Partly covered")))</f>
        <v>No wiki control</v>
      </c>
      <c r="L143" s="9" t="s">
        <v>993</v>
      </c>
    </row>
    <row r="144" customFormat="false" ht="23.85" hidden="false" customHeight="false" outlineLevel="0" collapsed="false">
      <c r="A144" s="47" t="s">
        <v>572</v>
      </c>
      <c r="B144" s="47" t="s">
        <v>569</v>
      </c>
      <c r="C144" s="5" t="s">
        <v>1062</v>
      </c>
      <c r="D144" s="6" t="s">
        <v>1011</v>
      </c>
      <c r="E144" s="6"/>
      <c r="F144" s="6" t="s">
        <v>635</v>
      </c>
      <c r="G144" s="6"/>
      <c r="H144" s="6"/>
      <c r="I144" s="26" t="n">
        <v>0</v>
      </c>
      <c r="J144" s="26" t="n">
        <f aca="false">0</f>
        <v>0</v>
      </c>
      <c r="K144" s="43" t="str">
        <f aca="false">IF(I144=0,"No wiki control",IF(J144=I144,"Fully covered",IF(J144=0,"Not covered","Partly covered")))</f>
        <v>No wiki control</v>
      </c>
      <c r="L144" s="9" t="s">
        <v>993</v>
      </c>
    </row>
    <row r="145" customFormat="false" ht="23.85" hidden="false" customHeight="false" outlineLevel="0" collapsed="false">
      <c r="A145" s="47" t="s">
        <v>572</v>
      </c>
      <c r="B145" s="47" t="s">
        <v>569</v>
      </c>
      <c r="C145" s="5" t="s">
        <v>1063</v>
      </c>
      <c r="D145" s="6" t="s">
        <v>469</v>
      </c>
      <c r="E145" s="6" t="s">
        <v>469</v>
      </c>
      <c r="F145" s="6" t="s">
        <v>725</v>
      </c>
      <c r="G145" s="6" t="s">
        <v>472</v>
      </c>
      <c r="H145" s="6"/>
      <c r="I145" s="26" t="n">
        <v>1</v>
      </c>
      <c r="J145" s="26" t="n">
        <f aca="false">COUNTIFS('Control Library'!$A$5:$A$50,"AI-CTRL-037",'Control Library'!$R$5:$R$50,"Implemented")</f>
        <v>0</v>
      </c>
      <c r="K145" s="43" t="str">
        <f aca="false">IF(I145=0,"No wiki control",IF(J145=I145,"Fully covered",IF(J145=0,"Not covered","Partly covered")))</f>
        <v>Not covered</v>
      </c>
      <c r="L145" s="9" t="s">
        <v>993</v>
      </c>
    </row>
    <row r="146" customFormat="false" ht="23.85" hidden="false" customHeight="false" outlineLevel="0" collapsed="false">
      <c r="A146" s="47" t="s">
        <v>572</v>
      </c>
      <c r="B146" s="47" t="s">
        <v>569</v>
      </c>
      <c r="C146" s="5" t="s">
        <v>1064</v>
      </c>
      <c r="D146" s="6" t="s">
        <v>1011</v>
      </c>
      <c r="E146" s="6"/>
      <c r="F146" s="6" t="s">
        <v>635</v>
      </c>
      <c r="G146" s="6"/>
      <c r="H146" s="6"/>
      <c r="I146" s="26" t="n">
        <v>0</v>
      </c>
      <c r="J146" s="26" t="n">
        <f aca="false">0</f>
        <v>0</v>
      </c>
      <c r="K146" s="43" t="str">
        <f aca="false">IF(I146=0,"No wiki control",IF(J146=I146,"Fully covered",IF(J146=0,"Not covered","Partly covered")))</f>
        <v>No wiki control</v>
      </c>
      <c r="L146" s="9" t="s">
        <v>993</v>
      </c>
    </row>
    <row r="147" customFormat="false" ht="23.85" hidden="false" customHeight="false" outlineLevel="0" collapsed="false">
      <c r="A147" s="47" t="s">
        <v>572</v>
      </c>
      <c r="B147" s="47" t="s">
        <v>569</v>
      </c>
      <c r="C147" s="5" t="s">
        <v>1065</v>
      </c>
      <c r="D147" s="6" t="s">
        <v>1011</v>
      </c>
      <c r="E147" s="6"/>
      <c r="F147" s="6" t="s">
        <v>635</v>
      </c>
      <c r="G147" s="6"/>
      <c r="H147" s="6"/>
      <c r="I147" s="26" t="n">
        <v>0</v>
      </c>
      <c r="J147" s="26" t="n">
        <f aca="false">0</f>
        <v>0</v>
      </c>
      <c r="K147" s="43" t="str">
        <f aca="false">IF(I147=0,"No wiki control",IF(J147=I147,"Fully covered",IF(J147=0,"Not covered","Partly covered")))</f>
        <v>No wiki control</v>
      </c>
      <c r="L147" s="9" t="s">
        <v>993</v>
      </c>
    </row>
    <row r="148" customFormat="false" ht="23.85" hidden="false" customHeight="false" outlineLevel="0" collapsed="false">
      <c r="A148" s="47" t="s">
        <v>572</v>
      </c>
      <c r="B148" s="47" t="s">
        <v>569</v>
      </c>
      <c r="C148" s="5" t="s">
        <v>1066</v>
      </c>
      <c r="D148" s="6" t="s">
        <v>485</v>
      </c>
      <c r="E148" s="6" t="s">
        <v>485</v>
      </c>
      <c r="F148" s="6" t="s">
        <v>725</v>
      </c>
      <c r="G148" s="6" t="s">
        <v>489</v>
      </c>
      <c r="H148" s="6"/>
      <c r="I148" s="26" t="n">
        <v>1</v>
      </c>
      <c r="J148" s="26" t="n">
        <f aca="false">COUNTIFS('Control Library'!$A$5:$A$50,"AI-CTRL-039",'Control Library'!$R$5:$R$50,"Implemented")</f>
        <v>0</v>
      </c>
      <c r="K148" s="43" t="str">
        <f aca="false">IF(I148=0,"No wiki control",IF(J148=I148,"Fully covered",IF(J148=0,"Not covered","Partly covered")))</f>
        <v>Not covered</v>
      </c>
      <c r="L148" s="9" t="s">
        <v>993</v>
      </c>
    </row>
    <row r="149" customFormat="false" ht="23.85" hidden="false" customHeight="false" outlineLevel="0" collapsed="false">
      <c r="A149" s="47" t="s">
        <v>572</v>
      </c>
      <c r="B149" s="47" t="s">
        <v>569</v>
      </c>
      <c r="C149" s="5" t="s">
        <v>1067</v>
      </c>
      <c r="D149" s="6" t="s">
        <v>1068</v>
      </c>
      <c r="E149" s="6" t="s">
        <v>871</v>
      </c>
      <c r="F149" s="6" t="s">
        <v>725</v>
      </c>
      <c r="G149" s="6" t="s">
        <v>327</v>
      </c>
      <c r="H149" s="6"/>
      <c r="I149" s="26" t="n">
        <v>2</v>
      </c>
      <c r="J149" s="26" t="n">
        <f aca="false">COUNTIFS('Control Library'!$A$5:$A$50,"AI-CTRL-019",'Control Library'!$R$5:$R$50,"Implemented")+COUNTIFS('Control Library'!$A$5:$A$50,"AI-CTRL-029",'Control Library'!$R$5:$R$50,"Implemented")</f>
        <v>0</v>
      </c>
      <c r="K149" s="43" t="str">
        <f aca="false">IF(I149=0,"No wiki control",IF(J149=I149,"Fully covered",IF(J149=0,"Not covered","Partly covered")))</f>
        <v>Not covered</v>
      </c>
      <c r="L149" s="9" t="s">
        <v>993</v>
      </c>
    </row>
    <row r="150" customFormat="false" ht="23.85" hidden="false" customHeight="false" outlineLevel="0" collapsed="false">
      <c r="A150" s="47" t="s">
        <v>572</v>
      </c>
      <c r="B150" s="47" t="s">
        <v>569</v>
      </c>
      <c r="C150" s="5" t="s">
        <v>1069</v>
      </c>
      <c r="D150" s="6" t="s">
        <v>1011</v>
      </c>
      <c r="E150" s="6"/>
      <c r="F150" s="6" t="s">
        <v>635</v>
      </c>
      <c r="G150" s="6"/>
      <c r="H150" s="6"/>
      <c r="I150" s="26" t="n">
        <v>0</v>
      </c>
      <c r="J150" s="26" t="n">
        <f aca="false">0</f>
        <v>0</v>
      </c>
      <c r="K150" s="43" t="str">
        <f aca="false">IF(I150=0,"No wiki control",IF(J150=I150,"Fully covered",IF(J150=0,"Not covered","Partly covered")))</f>
        <v>No wiki control</v>
      </c>
      <c r="L150" s="9" t="s">
        <v>993</v>
      </c>
    </row>
    <row r="151" customFormat="false" ht="23.85" hidden="false" customHeight="false" outlineLevel="0" collapsed="false">
      <c r="A151" s="47" t="s">
        <v>572</v>
      </c>
      <c r="B151" s="47" t="s">
        <v>569</v>
      </c>
      <c r="C151" s="5" t="s">
        <v>1070</v>
      </c>
      <c r="D151" s="6" t="s">
        <v>1011</v>
      </c>
      <c r="E151" s="6"/>
      <c r="F151" s="6" t="s">
        <v>635</v>
      </c>
      <c r="G151" s="6"/>
      <c r="H151" s="6"/>
      <c r="I151" s="26" t="n">
        <v>0</v>
      </c>
      <c r="J151" s="26" t="n">
        <f aca="false">0</f>
        <v>0</v>
      </c>
      <c r="K151" s="43" t="str">
        <f aca="false">IF(I151=0,"No wiki control",IF(J151=I151,"Fully covered",IF(J151=0,"Not covered","Partly covered")))</f>
        <v>No wiki control</v>
      </c>
      <c r="L151" s="9" t="s">
        <v>993</v>
      </c>
    </row>
    <row r="152" customFormat="false" ht="23.85" hidden="false" customHeight="false" outlineLevel="0" collapsed="false">
      <c r="A152" s="47" t="s">
        <v>572</v>
      </c>
      <c r="B152" s="47" t="s">
        <v>569</v>
      </c>
      <c r="C152" s="5" t="s">
        <v>1071</v>
      </c>
      <c r="D152" s="6" t="s">
        <v>1011</v>
      </c>
      <c r="E152" s="6"/>
      <c r="F152" s="6" t="s">
        <v>635</v>
      </c>
      <c r="G152" s="6"/>
      <c r="H152" s="6"/>
      <c r="I152" s="26" t="n">
        <v>0</v>
      </c>
      <c r="J152" s="26" t="n">
        <f aca="false">0</f>
        <v>0</v>
      </c>
      <c r="K152" s="43" t="str">
        <f aca="false">IF(I152=0,"No wiki control",IF(J152=I152,"Fully covered",IF(J152=0,"Not covered","Partly covered")))</f>
        <v>No wiki control</v>
      </c>
      <c r="L152" s="9" t="s">
        <v>993</v>
      </c>
    </row>
    <row r="153" customFormat="false" ht="23.85" hidden="false" customHeight="false" outlineLevel="0" collapsed="false">
      <c r="A153" s="47" t="s">
        <v>572</v>
      </c>
      <c r="B153" s="47" t="s">
        <v>569</v>
      </c>
      <c r="C153" s="5" t="s">
        <v>1072</v>
      </c>
      <c r="D153" s="6" t="s">
        <v>529</v>
      </c>
      <c r="E153" s="6" t="s">
        <v>529</v>
      </c>
      <c r="F153" s="6" t="s">
        <v>725</v>
      </c>
      <c r="G153" s="6" t="s">
        <v>532</v>
      </c>
      <c r="H153" s="6"/>
      <c r="I153" s="26" t="n">
        <v>1</v>
      </c>
      <c r="J153" s="26" t="n">
        <f aca="false">COUNTIFS('Control Library'!$A$5:$A$50,"AI-CTRL-044",'Control Library'!$R$5:$R$50,"Implemented")</f>
        <v>0</v>
      </c>
      <c r="K153" s="43" t="str">
        <f aca="false">IF(I153=0,"No wiki control",IF(J153=I153,"Fully covered",IF(J153=0,"Not covered","Partly covered")))</f>
        <v>Not covered</v>
      </c>
      <c r="L153" s="9" t="s">
        <v>993</v>
      </c>
    </row>
    <row r="154" customFormat="false" ht="23.85" hidden="false" customHeight="false" outlineLevel="0" collapsed="false">
      <c r="A154" s="47" t="s">
        <v>572</v>
      </c>
      <c r="B154" s="47" t="s">
        <v>569</v>
      </c>
      <c r="C154" s="5" t="s">
        <v>1073</v>
      </c>
      <c r="D154" s="6" t="s">
        <v>1014</v>
      </c>
      <c r="E154" s="6" t="s">
        <v>800</v>
      </c>
      <c r="F154" s="6" t="s">
        <v>725</v>
      </c>
      <c r="G154" s="6" t="s">
        <v>541</v>
      </c>
      <c r="H154" s="6"/>
      <c r="I154" s="26" t="n">
        <v>2</v>
      </c>
      <c r="J154" s="26" t="n">
        <f aca="false">COUNTIFS('Control Library'!$A$5:$A$50,"AI-CTRL-023",'Control Library'!$R$5:$R$50,"Implemented")+COUNTIFS('Control Library'!$A$5:$A$50,"AI-CTRL-045",'Control Library'!$R$5:$R$50,"Implemented")</f>
        <v>0</v>
      </c>
      <c r="K154" s="43" t="str">
        <f aca="false">IF(I154=0,"No wiki control",IF(J154=I154,"Fully covered",IF(J154=0,"Not covered","Partly covered")))</f>
        <v>Not covered</v>
      </c>
      <c r="L154" s="9" t="s">
        <v>993</v>
      </c>
    </row>
    <row r="155" customFormat="false" ht="23.85" hidden="false" customHeight="false" outlineLevel="0" collapsed="false">
      <c r="A155" s="47" t="s">
        <v>572</v>
      </c>
      <c r="B155" s="47" t="s">
        <v>569</v>
      </c>
      <c r="C155" s="5" t="s">
        <v>1074</v>
      </c>
      <c r="D155" s="6" t="s">
        <v>1075</v>
      </c>
      <c r="E155" s="6" t="s">
        <v>1076</v>
      </c>
      <c r="F155" s="6" t="s">
        <v>725</v>
      </c>
      <c r="G155" s="6" t="s">
        <v>1077</v>
      </c>
      <c r="H155" s="6"/>
      <c r="I155" s="26" t="n">
        <v>5</v>
      </c>
      <c r="J155" s="26" t="n">
        <f aca="false">COUNTIFS('Control Library'!$A$5:$A$50,"AI-CTRL-007",'Control Library'!$R$5:$R$50,"Implemented")+COUNTIFS('Control Library'!$A$5:$A$50,"AI-CTRL-024",'Control Library'!$R$5:$R$50,"Implemented")+COUNTIFS('Control Library'!$A$5:$A$50,"AI-CTRL-029",'Control Library'!$R$5:$R$50,"Implemented")+COUNTIFS('Control Library'!$A$5:$A$50,"AI-CTRL-031",'Control Library'!$R$5:$R$50,"Implemented")+COUNTIFS('Control Library'!$A$5:$A$50,"AI-CTRL-046",'Control Library'!$R$5:$R$50,"Implemented")</f>
        <v>0</v>
      </c>
      <c r="K155" s="43" t="str">
        <f aca="false">IF(I155=0,"No wiki control",IF(J155=I155,"Fully covered",IF(J155=0,"Not covered","Partly covered")))</f>
        <v>Not covered</v>
      </c>
      <c r="L155" s="9" t="s">
        <v>993</v>
      </c>
    </row>
    <row r="156" customFormat="false" ht="23.85" hidden="false" customHeight="false" outlineLevel="0" collapsed="false">
      <c r="A156" s="47" t="s">
        <v>572</v>
      </c>
      <c r="B156" s="47" t="s">
        <v>569</v>
      </c>
      <c r="C156" s="5" t="s">
        <v>1078</v>
      </c>
      <c r="D156" s="6" t="s">
        <v>1079</v>
      </c>
      <c r="E156" s="6" t="s">
        <v>1080</v>
      </c>
      <c r="F156" s="6" t="s">
        <v>725</v>
      </c>
      <c r="G156" s="6" t="s">
        <v>1081</v>
      </c>
      <c r="H156" s="6"/>
      <c r="I156" s="26" t="n">
        <v>3</v>
      </c>
      <c r="J156" s="26" t="n">
        <f aca="false">COUNTIFS('Control Library'!$A$5:$A$50,"AI-CTRL-024",'Control Library'!$R$5:$R$50,"Implemented")+COUNTIFS('Control Library'!$A$5:$A$50,"AI-CTRL-030",'Control Library'!$R$5:$R$50,"Implemented")+COUNTIFS('Control Library'!$A$5:$A$50,"AI-CTRL-032",'Control Library'!$R$5:$R$50,"Implemented")</f>
        <v>0</v>
      </c>
      <c r="K156" s="43" t="str">
        <f aca="false">IF(I156=0,"No wiki control",IF(J156=I156,"Fully covered",IF(J156=0,"Not covered","Partly covered")))</f>
        <v>Not covered</v>
      </c>
      <c r="L156" s="9" t="s">
        <v>993</v>
      </c>
    </row>
    <row r="157" customFormat="false" ht="23.85" hidden="false" customHeight="false" outlineLevel="0" collapsed="false">
      <c r="A157" s="47" t="s">
        <v>572</v>
      </c>
      <c r="B157" s="47" t="s">
        <v>569</v>
      </c>
      <c r="C157" s="5" t="s">
        <v>1082</v>
      </c>
      <c r="D157" s="6" t="s">
        <v>1083</v>
      </c>
      <c r="E157" s="6" t="s">
        <v>1084</v>
      </c>
      <c r="F157" s="6" t="s">
        <v>725</v>
      </c>
      <c r="G157" s="6" t="s">
        <v>1085</v>
      </c>
      <c r="H157" s="6"/>
      <c r="I157" s="26" t="n">
        <v>3</v>
      </c>
      <c r="J157" s="26" t="n">
        <f aca="false">COUNTIFS('Control Library'!$A$5:$A$50,"AI-CTRL-013",'Control Library'!$R$5:$R$50,"Implemented")+COUNTIFS('Control Library'!$A$5:$A$50,"AI-CTRL-041",'Control Library'!$R$5:$R$50,"Implemented")+COUNTIFS('Control Library'!$A$5:$A$50,"AI-CTRL-042",'Control Library'!$R$5:$R$50,"Implemented")</f>
        <v>0</v>
      </c>
      <c r="K157" s="43" t="str">
        <f aca="false">IF(I157=0,"No wiki control",IF(J157=I157,"Fully covered",IF(J157=0,"Not covered","Partly covered")))</f>
        <v>Not covered</v>
      </c>
      <c r="L157" s="9" t="s">
        <v>993</v>
      </c>
    </row>
    <row r="158" customFormat="false" ht="23.85" hidden="false" customHeight="false" outlineLevel="0" collapsed="false">
      <c r="A158" s="47" t="s">
        <v>572</v>
      </c>
      <c r="B158" s="47" t="s">
        <v>569</v>
      </c>
      <c r="C158" s="5" t="s">
        <v>1086</v>
      </c>
      <c r="D158" s="6" t="s">
        <v>1011</v>
      </c>
      <c r="E158" s="6"/>
      <c r="F158" s="6" t="s">
        <v>635</v>
      </c>
      <c r="G158" s="6"/>
      <c r="H158" s="6"/>
      <c r="I158" s="26" t="n">
        <v>0</v>
      </c>
      <c r="J158" s="26" t="n">
        <f aca="false">0</f>
        <v>0</v>
      </c>
      <c r="K158" s="43" t="str">
        <f aca="false">IF(I158=0,"No wiki control",IF(J158=I158,"Fully covered",IF(J158=0,"Not covered","Partly covered")))</f>
        <v>No wiki control</v>
      </c>
      <c r="L158" s="9" t="s">
        <v>993</v>
      </c>
    </row>
    <row r="159" customFormat="false" ht="23.85" hidden="false" customHeight="false" outlineLevel="0" collapsed="false">
      <c r="A159" s="47" t="s">
        <v>572</v>
      </c>
      <c r="B159" s="47" t="s">
        <v>569</v>
      </c>
      <c r="C159" s="5" t="s">
        <v>1087</v>
      </c>
      <c r="D159" s="6" t="s">
        <v>1011</v>
      </c>
      <c r="E159" s="6"/>
      <c r="F159" s="6" t="s">
        <v>635</v>
      </c>
      <c r="G159" s="6"/>
      <c r="H159" s="6"/>
      <c r="I159" s="26" t="n">
        <v>0</v>
      </c>
      <c r="J159" s="26" t="n">
        <f aca="false">0</f>
        <v>0</v>
      </c>
      <c r="K159" s="43" t="str">
        <f aca="false">IF(I159=0,"No wiki control",IF(J159=I159,"Fully covered",IF(J159=0,"Not covered","Partly covered")))</f>
        <v>No wiki control</v>
      </c>
      <c r="L159" s="9" t="s">
        <v>993</v>
      </c>
    </row>
    <row r="160" customFormat="false" ht="23.85" hidden="false" customHeight="false" outlineLevel="0" collapsed="false">
      <c r="A160" s="47" t="s">
        <v>572</v>
      </c>
      <c r="B160" s="47" t="s">
        <v>569</v>
      </c>
      <c r="C160" s="5" t="s">
        <v>1088</v>
      </c>
      <c r="D160" s="6" t="s">
        <v>477</v>
      </c>
      <c r="E160" s="6" t="s">
        <v>477</v>
      </c>
      <c r="F160" s="6" t="s">
        <v>725</v>
      </c>
      <c r="G160" s="6" t="s">
        <v>480</v>
      </c>
      <c r="H160" s="6"/>
      <c r="I160" s="26" t="n">
        <v>1</v>
      </c>
      <c r="J160" s="26" t="n">
        <f aca="false">COUNTIFS('Control Library'!$A$5:$A$50,"AI-CTRL-038",'Control Library'!$R$5:$R$50,"Implemented")</f>
        <v>0</v>
      </c>
      <c r="K160" s="43" t="str">
        <f aca="false">IF(I160=0,"No wiki control",IF(J160=I160,"Fully covered",IF(J160=0,"Not covered","Partly covered")))</f>
        <v>Not covered</v>
      </c>
      <c r="L160" s="9" t="s">
        <v>993</v>
      </c>
    </row>
    <row r="161" customFormat="false" ht="23.85" hidden="false" customHeight="false" outlineLevel="0" collapsed="false">
      <c r="A161" s="47" t="s">
        <v>572</v>
      </c>
      <c r="B161" s="47" t="s">
        <v>569</v>
      </c>
      <c r="C161" s="5" t="s">
        <v>1089</v>
      </c>
      <c r="D161" s="6" t="s">
        <v>477</v>
      </c>
      <c r="E161" s="6" t="s">
        <v>477</v>
      </c>
      <c r="F161" s="6" t="s">
        <v>725</v>
      </c>
      <c r="G161" s="6" t="s">
        <v>480</v>
      </c>
      <c r="H161" s="6"/>
      <c r="I161" s="26" t="n">
        <v>1</v>
      </c>
      <c r="J161" s="26" t="n">
        <f aca="false">COUNTIFS('Control Library'!$A$5:$A$50,"AI-CTRL-038",'Control Library'!$R$5:$R$50,"Implemented")</f>
        <v>0</v>
      </c>
      <c r="K161" s="43" t="str">
        <f aca="false">IF(I161=0,"No wiki control",IF(J161=I161,"Fully covered",IF(J161=0,"Not covered","Partly covered")))</f>
        <v>Not covered</v>
      </c>
      <c r="L161" s="9" t="s">
        <v>993</v>
      </c>
    </row>
    <row r="162" customFormat="false" ht="23.85" hidden="false" customHeight="false" outlineLevel="0" collapsed="false">
      <c r="A162" s="47" t="s">
        <v>572</v>
      </c>
      <c r="B162" s="47" t="s">
        <v>569</v>
      </c>
      <c r="C162" s="5" t="s">
        <v>1090</v>
      </c>
      <c r="D162" s="6" t="s">
        <v>443</v>
      </c>
      <c r="E162" s="6" t="s">
        <v>443</v>
      </c>
      <c r="F162" s="6" t="s">
        <v>725</v>
      </c>
      <c r="G162" s="6" t="s">
        <v>446</v>
      </c>
      <c r="H162" s="6"/>
      <c r="I162" s="26" t="n">
        <v>1</v>
      </c>
      <c r="J162" s="26" t="n">
        <f aca="false">COUNTIFS('Control Library'!$A$5:$A$50,"AI-CTRL-034",'Control Library'!$R$5:$R$50,"Implemented")</f>
        <v>0</v>
      </c>
      <c r="K162" s="43" t="str">
        <f aca="false">IF(I162=0,"No wiki control",IF(J162=I162,"Fully covered",IF(J162=0,"Not covered","Partly covered")))</f>
        <v>Not covered</v>
      </c>
      <c r="L162" s="9" t="s">
        <v>993</v>
      </c>
    </row>
    <row r="163" customFormat="false" ht="23.85" hidden="false" customHeight="false" outlineLevel="0" collapsed="false">
      <c r="A163" s="47" t="s">
        <v>572</v>
      </c>
      <c r="B163" s="47" t="s">
        <v>569</v>
      </c>
      <c r="C163" s="5" t="s">
        <v>1091</v>
      </c>
      <c r="D163" s="6" t="s">
        <v>1011</v>
      </c>
      <c r="E163" s="6"/>
      <c r="F163" s="6" t="s">
        <v>635</v>
      </c>
      <c r="G163" s="6"/>
      <c r="H163" s="6"/>
      <c r="I163" s="26" t="n">
        <v>0</v>
      </c>
      <c r="J163" s="26" t="n">
        <f aca="false">0</f>
        <v>0</v>
      </c>
      <c r="K163" s="43" t="str">
        <f aca="false">IF(I163=0,"No wiki control",IF(J163=I163,"Fully covered",IF(J163=0,"Not covered","Partly covered")))</f>
        <v>No wiki control</v>
      </c>
      <c r="L163" s="9" t="s">
        <v>993</v>
      </c>
    </row>
    <row r="164" customFormat="false" ht="23.85" hidden="false" customHeight="false" outlineLevel="0" collapsed="false">
      <c r="A164" s="47" t="s">
        <v>572</v>
      </c>
      <c r="B164" s="47" t="s">
        <v>569</v>
      </c>
      <c r="C164" s="5" t="s">
        <v>1092</v>
      </c>
      <c r="D164" s="6" t="s">
        <v>1011</v>
      </c>
      <c r="E164" s="6"/>
      <c r="F164" s="6" t="s">
        <v>635</v>
      </c>
      <c r="G164" s="6"/>
      <c r="H164" s="6"/>
      <c r="I164" s="26" t="n">
        <v>0</v>
      </c>
      <c r="J164" s="26" t="n">
        <f aca="false">0</f>
        <v>0</v>
      </c>
      <c r="K164" s="43" t="str">
        <f aca="false">IF(I164=0,"No wiki control",IF(J164=I164,"Fully covered",IF(J164=0,"Not covered","Partly covered")))</f>
        <v>No wiki control</v>
      </c>
      <c r="L164" s="9" t="s">
        <v>993</v>
      </c>
    </row>
    <row r="165" customFormat="false" ht="23.85" hidden="false" customHeight="false" outlineLevel="0" collapsed="false">
      <c r="A165" s="47" t="s">
        <v>572</v>
      </c>
      <c r="B165" s="47" t="s">
        <v>569</v>
      </c>
      <c r="C165" s="5" t="s">
        <v>1093</v>
      </c>
      <c r="D165" s="6" t="s">
        <v>1094</v>
      </c>
      <c r="E165" s="6" t="s">
        <v>1095</v>
      </c>
      <c r="F165" s="6" t="s">
        <v>725</v>
      </c>
      <c r="G165" s="6" t="s">
        <v>1096</v>
      </c>
      <c r="H165" s="6"/>
      <c r="I165" s="26" t="n">
        <v>3</v>
      </c>
      <c r="J165" s="26" t="n">
        <f aca="false">COUNTIFS('Control Library'!$A$5:$A$50,"AI-CTRL-006",'Control Library'!$R$5:$R$50,"Implemented")+COUNTIFS('Control Library'!$A$5:$A$50,"AI-CTRL-008",'Control Library'!$R$5:$R$50,"Implemented")+COUNTIFS('Control Library'!$A$5:$A$50,"AI-CTRL-009",'Control Library'!$R$5:$R$50,"Implemented")</f>
        <v>0</v>
      </c>
      <c r="K165" s="43" t="str">
        <f aca="false">IF(I165=0,"No wiki control",IF(J165=I165,"Fully covered",IF(J165=0,"Not covered","Partly covered")))</f>
        <v>Not covered</v>
      </c>
      <c r="L165" s="9" t="s">
        <v>993</v>
      </c>
    </row>
    <row r="166" customFormat="false" ht="23.85" hidden="false" customHeight="false" outlineLevel="0" collapsed="false">
      <c r="A166" s="47" t="s">
        <v>572</v>
      </c>
      <c r="B166" s="47" t="s">
        <v>569</v>
      </c>
      <c r="C166" s="5" t="s">
        <v>1097</v>
      </c>
      <c r="D166" s="6" t="s">
        <v>1098</v>
      </c>
      <c r="E166" s="6" t="s">
        <v>1099</v>
      </c>
      <c r="F166" s="6" t="s">
        <v>725</v>
      </c>
      <c r="G166" s="6" t="s">
        <v>1100</v>
      </c>
      <c r="H166" s="6"/>
      <c r="I166" s="26" t="n">
        <v>2</v>
      </c>
      <c r="J166" s="26" t="n">
        <f aca="false">COUNTIFS('Control Library'!$A$5:$A$50,"AI-CTRL-028",'Control Library'!$R$5:$R$50,"Implemented")+COUNTIFS('Control Library'!$A$5:$A$50,"AI-CTRL-039",'Control Library'!$R$5:$R$50,"Implemented")</f>
        <v>0</v>
      </c>
      <c r="K166" s="43" t="str">
        <f aca="false">IF(I166=0,"No wiki control",IF(J166=I166,"Fully covered",IF(J166=0,"Not covered","Partly covered")))</f>
        <v>Not covered</v>
      </c>
      <c r="L166" s="9" t="s">
        <v>993</v>
      </c>
    </row>
    <row r="167" customFormat="false" ht="23.85" hidden="false" customHeight="false" outlineLevel="0" collapsed="false">
      <c r="A167" s="47" t="s">
        <v>572</v>
      </c>
      <c r="B167" s="47" t="s">
        <v>569</v>
      </c>
      <c r="C167" s="5" t="s">
        <v>1101</v>
      </c>
      <c r="D167" s="6" t="s">
        <v>1102</v>
      </c>
      <c r="E167" s="6" t="s">
        <v>740</v>
      </c>
      <c r="F167" s="6" t="s">
        <v>725</v>
      </c>
      <c r="G167" s="6" t="s">
        <v>741</v>
      </c>
      <c r="H167" s="6"/>
      <c r="I167" s="26" t="n">
        <v>2</v>
      </c>
      <c r="J167" s="26" t="n">
        <f aca="false">COUNTIFS('Control Library'!$A$5:$A$50,"AI-CTRL-034",'Control Library'!$R$5:$R$50,"Implemented")+COUNTIFS('Control Library'!$A$5:$A$50,"AI-CTRL-039",'Control Library'!$R$5:$R$50,"Implemented")</f>
        <v>0</v>
      </c>
      <c r="K167" s="43" t="str">
        <f aca="false">IF(I167=0,"No wiki control",IF(J167=I167,"Fully covered",IF(J167=0,"Not covered","Partly covered")))</f>
        <v>Not covered</v>
      </c>
      <c r="L167" s="9" t="s">
        <v>993</v>
      </c>
    </row>
    <row r="168" customFormat="false" ht="91" hidden="false" customHeight="false" outlineLevel="0" collapsed="false">
      <c r="A168" s="47" t="s">
        <v>572</v>
      </c>
      <c r="B168" s="47" t="s">
        <v>569</v>
      </c>
      <c r="C168" s="5" t="s">
        <v>1103</v>
      </c>
      <c r="D168" s="6" t="s">
        <v>1104</v>
      </c>
      <c r="E168" s="6" t="s">
        <v>1105</v>
      </c>
      <c r="F168" s="6" t="s">
        <v>725</v>
      </c>
      <c r="G168" s="6" t="s">
        <v>1106</v>
      </c>
      <c r="H168" s="6"/>
      <c r="I168" s="26" t="n">
        <v>19</v>
      </c>
      <c r="J168" s="26" t="n">
        <f aca="false">COUNTIFS('Control Library'!$A$5:$A$50,"AI-CTRL-005",'Control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Library'!$A$5:$A$50,"AI-CTRL-019",'Control Library'!$R$5:$R$50,"Implemented")+COUNTIFS('Control Library'!$A$5:$A$50,"AI-CTRL-020",'Control Library'!$R$5:$R$50,"Implemented")+COUNTIFS('Control Library'!$A$5:$A$50,"AI-CTRL-021",'Control Library'!$R$5:$R$50,"Implemented")+COUNTIFS('Control Library'!$A$5:$A$50,"AI-CTRL-022",'Control Library'!$R$5:$R$50,"Implemented")+COUNTIFS('Control Library'!$A$5:$A$50,"AI-CTRL-026",'Control Library'!$R$5:$R$50,"Implemented")+COUNTIFS('Control Library'!$A$5:$A$50,"AI-CTRL-027",'Control Library'!$R$5:$R$50,"Implemented")+COUNTIFS('Control Library'!$A$5:$A$50,"AI-CTRL-028",'Control Library'!$R$5:$R$50,"Implemented")+COUNTIFS('Control Library'!$A$5:$A$50,"AI-CTRL-029",'Control Library'!$R$5:$R$50,"Implemented")+COUNTIFS('Control Library'!$A$5:$A$50,"AI-CTRL-030",'Control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Library'!$R$5:$R$50,"Implemented")+COUNTIFS('Control Library'!$A$5:$A$50,"AI-CTRL-040",'Control Library'!$R$5:$R$50,"Implemented")</f>
        <v>0</v>
      </c>
      <c r="K168" s="43" t="str">
        <f aca="false">IF(I168=0,"No wiki control",IF(J168=I168,"Fully covered",IF(J168=0,"Not covered","Partly covered")))</f>
        <v>Not covered</v>
      </c>
      <c r="L168" s="9" t="s">
        <v>993</v>
      </c>
    </row>
    <row r="169" customFormat="false" ht="23.85" hidden="false" customHeight="false" outlineLevel="0" collapsed="false">
      <c r="A169" s="47" t="s">
        <v>572</v>
      </c>
      <c r="B169" s="47" t="s">
        <v>569</v>
      </c>
      <c r="C169" s="5" t="s">
        <v>1107</v>
      </c>
      <c r="D169" s="6" t="s">
        <v>1108</v>
      </c>
      <c r="E169" s="6" t="s">
        <v>1109</v>
      </c>
      <c r="F169" s="6" t="s">
        <v>725</v>
      </c>
      <c r="G169" s="6" t="s">
        <v>1110</v>
      </c>
      <c r="H169" s="6"/>
      <c r="I169" s="26" t="n">
        <v>2</v>
      </c>
      <c r="J169" s="26" t="n">
        <f aca="false">COUNTIFS('Control Library'!$A$5:$A$50,"AI-CTRL-008",'Control Library'!$R$5:$R$50,"Implemented")+COUNTIFS('Control Library'!$A$5:$A$50,"AI-CTRL-015",'Control Library'!$R$5:$R$50,"Implemented")</f>
        <v>0</v>
      </c>
      <c r="K169" s="43" t="str">
        <f aca="false">IF(I169=0,"No wiki control",IF(J169=I169,"Fully covered",IF(J169=0,"Not covered","Partly covered")))</f>
        <v>Not covered</v>
      </c>
      <c r="L169" s="9" t="s">
        <v>993</v>
      </c>
    </row>
    <row r="170" customFormat="false" ht="23.85" hidden="false" customHeight="false" outlineLevel="0" collapsed="false">
      <c r="A170" s="47" t="s">
        <v>572</v>
      </c>
      <c r="B170" s="47" t="s">
        <v>569</v>
      </c>
      <c r="C170" s="5" t="s">
        <v>1111</v>
      </c>
      <c r="D170" s="6" t="s">
        <v>503</v>
      </c>
      <c r="E170" s="6" t="s">
        <v>503</v>
      </c>
      <c r="F170" s="6" t="s">
        <v>725</v>
      </c>
      <c r="G170" s="6" t="s">
        <v>506</v>
      </c>
      <c r="H170" s="6"/>
      <c r="I170" s="26" t="n">
        <v>1</v>
      </c>
      <c r="J170" s="26" t="n">
        <f aca="false">COUNTIFS('Control Library'!$A$5:$A$50,"AI-CTRL-041",'Control Library'!$R$5:$R$50,"Implemented")</f>
        <v>0</v>
      </c>
      <c r="K170" s="43" t="str">
        <f aca="false">IF(I170=0,"No wiki control",IF(J170=I170,"Fully covered",IF(J170=0,"Not covered","Partly covered")))</f>
        <v>Not covered</v>
      </c>
      <c r="L170" s="9" t="s">
        <v>993</v>
      </c>
    </row>
    <row r="171" customFormat="false" ht="57.45" hidden="false" customHeight="false" outlineLevel="0" collapsed="false">
      <c r="A171" s="47" t="s">
        <v>572</v>
      </c>
      <c r="B171" s="47" t="s">
        <v>569</v>
      </c>
      <c r="C171" s="5" t="s">
        <v>1112</v>
      </c>
      <c r="D171" s="6" t="s">
        <v>1113</v>
      </c>
      <c r="E171" s="6" t="s">
        <v>1114</v>
      </c>
      <c r="F171" s="6" t="s">
        <v>725</v>
      </c>
      <c r="G171" s="6" t="s">
        <v>1115</v>
      </c>
      <c r="H171" s="6"/>
      <c r="I171" s="26" t="n">
        <v>10</v>
      </c>
      <c r="J171" s="26" t="n">
        <f aca="false">COUNTIFS('Control Library'!$A$5:$A$50,"AI-CTRL-002",'Control Library'!$R$5:$R$50,"Implemented")+COUNTIFS('Control Library'!$A$5:$A$50,"AI-CTRL-003",'Control Library'!$R$5:$R$50,"Implemented")+COUNTIFS('Control Library'!$A$5:$A$50,"AI-CTRL-004",'Control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Library'!$A$5:$A$50,"AI-CTRL-026",'Control Library'!$R$5:$R$50,"Implemented")+COUNTIFS('Control Library'!$A$5:$A$50,"AI-CTRL-029",'Control Library'!$R$5:$R$50,"Implemented")</f>
        <v>0</v>
      </c>
      <c r="K171" s="43" t="str">
        <f aca="false">IF(I171=0,"No wiki control",IF(J171=I171,"Fully covered",IF(J171=0,"Not covered","Partly covered")))</f>
        <v>Not covered</v>
      </c>
      <c r="L171" s="9" t="s">
        <v>993</v>
      </c>
    </row>
    <row r="172" customFormat="false" ht="23.85" hidden="false" customHeight="false" outlineLevel="0" collapsed="false">
      <c r="A172" s="47" t="s">
        <v>572</v>
      </c>
      <c r="B172" s="47" t="s">
        <v>569</v>
      </c>
      <c r="C172" s="5" t="s">
        <v>1116</v>
      </c>
      <c r="D172" s="6" t="s">
        <v>503</v>
      </c>
      <c r="E172" s="6" t="s">
        <v>503</v>
      </c>
      <c r="F172" s="6" t="s">
        <v>725</v>
      </c>
      <c r="G172" s="6" t="s">
        <v>506</v>
      </c>
      <c r="H172" s="6"/>
      <c r="I172" s="26" t="n">
        <v>1</v>
      </c>
      <c r="J172" s="26" t="n">
        <f aca="false">COUNTIFS('Control Library'!$A$5:$A$50,"AI-CTRL-041",'Control Library'!$R$5:$R$50,"Implemented")</f>
        <v>0</v>
      </c>
      <c r="K172" s="43" t="str">
        <f aca="false">IF(I172=0,"No wiki control",IF(J172=I172,"Fully covered",IF(J172=0,"Not covered","Partly covered")))</f>
        <v>Not covered</v>
      </c>
      <c r="L172" s="9" t="s">
        <v>993</v>
      </c>
    </row>
    <row r="173" customFormat="false" ht="23.85" hidden="false" customHeight="false" outlineLevel="0" collapsed="false">
      <c r="A173" s="47" t="s">
        <v>572</v>
      </c>
      <c r="B173" s="47" t="s">
        <v>569</v>
      </c>
      <c r="C173" s="5" t="s">
        <v>1117</v>
      </c>
      <c r="D173" s="6" t="s">
        <v>1011</v>
      </c>
      <c r="E173" s="6"/>
      <c r="F173" s="6" t="s">
        <v>635</v>
      </c>
      <c r="G173" s="6"/>
      <c r="H173" s="6"/>
      <c r="I173" s="26" t="n">
        <v>0</v>
      </c>
      <c r="J173" s="26" t="n">
        <f aca="false">0</f>
        <v>0</v>
      </c>
      <c r="K173" s="43" t="str">
        <f aca="false">IF(I173=0,"No wiki control",IF(J173=I173,"Fully covered",IF(J173=0,"Not covered","Partly covered")))</f>
        <v>No wiki control</v>
      </c>
      <c r="L173" s="9" t="s">
        <v>993</v>
      </c>
    </row>
    <row r="174" customFormat="false" ht="23.85" hidden="false" customHeight="false" outlineLevel="0" collapsed="false">
      <c r="A174" s="47" t="s">
        <v>572</v>
      </c>
      <c r="B174" s="47" t="s">
        <v>569</v>
      </c>
      <c r="C174" s="5" t="s">
        <v>1118</v>
      </c>
      <c r="D174" s="6" t="s">
        <v>1011</v>
      </c>
      <c r="E174" s="6"/>
      <c r="F174" s="6" t="s">
        <v>635</v>
      </c>
      <c r="G174" s="6"/>
      <c r="H174" s="6"/>
      <c r="I174" s="26" t="n">
        <v>0</v>
      </c>
      <c r="J174" s="26" t="n">
        <f aca="false">0</f>
        <v>0</v>
      </c>
      <c r="K174" s="43" t="str">
        <f aca="false">IF(I174=0,"No wiki control",IF(J174=I174,"Fully covered",IF(J174=0,"Not covered","Partly covered")))</f>
        <v>No wiki control</v>
      </c>
      <c r="L174" s="9" t="s">
        <v>993</v>
      </c>
    </row>
    <row r="175" customFormat="false" ht="23.85" hidden="false" customHeight="false" outlineLevel="0" collapsed="false">
      <c r="A175" s="47" t="s">
        <v>572</v>
      </c>
      <c r="B175" s="47" t="s">
        <v>569</v>
      </c>
      <c r="C175" s="5" t="s">
        <v>1119</v>
      </c>
      <c r="D175" s="6" t="s">
        <v>239</v>
      </c>
      <c r="E175" s="6" t="s">
        <v>239</v>
      </c>
      <c r="F175" s="6" t="s">
        <v>725</v>
      </c>
      <c r="G175" s="6" t="s">
        <v>243</v>
      </c>
      <c r="H175" s="6"/>
      <c r="I175" s="26" t="n">
        <v>1</v>
      </c>
      <c r="J175" s="26" t="n">
        <f aca="false">COUNTIFS('Control Library'!$A$5:$A$50,"AI-CTRL-009",'Control Library'!$R$5:$R$50,"Implemented")</f>
        <v>0</v>
      </c>
      <c r="K175" s="43" t="str">
        <f aca="false">IF(I175=0,"No wiki control",IF(J175=I175,"Fully covered",IF(J175=0,"Not covered","Partly covered")))</f>
        <v>Not covered</v>
      </c>
      <c r="L175" s="9" t="s">
        <v>993</v>
      </c>
    </row>
    <row r="176" customFormat="false" ht="23.85" hidden="false" customHeight="false" outlineLevel="0" collapsed="false">
      <c r="A176" s="47" t="s">
        <v>572</v>
      </c>
      <c r="B176" s="47" t="s">
        <v>569</v>
      </c>
      <c r="C176" s="5" t="s">
        <v>1120</v>
      </c>
      <c r="D176" s="6" t="s">
        <v>1011</v>
      </c>
      <c r="E176" s="6"/>
      <c r="F176" s="6" t="s">
        <v>635</v>
      </c>
      <c r="G176" s="6"/>
      <c r="H176" s="6"/>
      <c r="I176" s="26" t="n">
        <v>0</v>
      </c>
      <c r="J176" s="26" t="n">
        <f aca="false">0</f>
        <v>0</v>
      </c>
      <c r="K176" s="43" t="str">
        <f aca="false">IF(I176=0,"No wiki control",IF(J176=I176,"Fully covered",IF(J176=0,"Not covered","Partly covered")))</f>
        <v>No wiki control</v>
      </c>
      <c r="L176" s="9" t="s">
        <v>993</v>
      </c>
    </row>
    <row r="177" customFormat="false" ht="23.85" hidden="false" customHeight="false" outlineLevel="0" collapsed="false">
      <c r="A177" s="47" t="s">
        <v>572</v>
      </c>
      <c r="B177" s="47" t="s">
        <v>569</v>
      </c>
      <c r="C177" s="5" t="s">
        <v>1121</v>
      </c>
      <c r="D177" s="6" t="s">
        <v>1011</v>
      </c>
      <c r="E177" s="6"/>
      <c r="F177" s="6" t="s">
        <v>635</v>
      </c>
      <c r="G177" s="6"/>
      <c r="H177" s="6"/>
      <c r="I177" s="26" t="n">
        <v>0</v>
      </c>
      <c r="J177" s="26" t="n">
        <f aca="false">0</f>
        <v>0</v>
      </c>
      <c r="K177" s="43" t="str">
        <f aca="false">IF(I177=0,"No wiki control",IF(J177=I177,"Fully covered",IF(J177=0,"Not covered","Partly covered")))</f>
        <v>No wiki control</v>
      </c>
      <c r="L177" s="9" t="s">
        <v>993</v>
      </c>
    </row>
    <row r="178" customFormat="false" ht="23.85" hidden="false" customHeight="false" outlineLevel="0" collapsed="false">
      <c r="A178" s="47" t="s">
        <v>572</v>
      </c>
      <c r="B178" s="47" t="s">
        <v>569</v>
      </c>
      <c r="C178" s="5" t="s">
        <v>1122</v>
      </c>
      <c r="D178" s="6" t="s">
        <v>1011</v>
      </c>
      <c r="E178" s="6"/>
      <c r="F178" s="6" t="s">
        <v>635</v>
      </c>
      <c r="G178" s="6"/>
      <c r="H178" s="6"/>
      <c r="I178" s="26" t="n">
        <v>0</v>
      </c>
      <c r="J178" s="26" t="n">
        <f aca="false">0</f>
        <v>0</v>
      </c>
      <c r="K178" s="43" t="str">
        <f aca="false">IF(I178=0,"No wiki control",IF(J178=I178,"Fully covered",IF(J178=0,"Not covered","Partly covered")))</f>
        <v>No wiki control</v>
      </c>
      <c r="L178" s="9" t="s">
        <v>993</v>
      </c>
    </row>
    <row r="179" customFormat="false" ht="23.85" hidden="false" customHeight="false" outlineLevel="0" collapsed="false">
      <c r="A179" s="47" t="s">
        <v>572</v>
      </c>
      <c r="B179" s="47" t="s">
        <v>569</v>
      </c>
      <c r="C179" s="5" t="s">
        <v>1123</v>
      </c>
      <c r="D179" s="6" t="s">
        <v>1011</v>
      </c>
      <c r="E179" s="6"/>
      <c r="F179" s="6" t="s">
        <v>635</v>
      </c>
      <c r="G179" s="6"/>
      <c r="H179" s="6"/>
      <c r="I179" s="26" t="n">
        <v>0</v>
      </c>
      <c r="J179" s="26" t="n">
        <f aca="false">0</f>
        <v>0</v>
      </c>
      <c r="K179" s="43" t="str">
        <f aca="false">IF(I179=0,"No wiki control",IF(J179=I179,"Fully covered",IF(J179=0,"Not covered","Partly covered")))</f>
        <v>No wiki control</v>
      </c>
      <c r="L179" s="9" t="s">
        <v>993</v>
      </c>
    </row>
    <row r="180" customFormat="false" ht="23.85" hidden="false" customHeight="false" outlineLevel="0" collapsed="false">
      <c r="A180" s="47" t="s">
        <v>572</v>
      </c>
      <c r="B180" s="47" t="s">
        <v>569</v>
      </c>
      <c r="C180" s="5" t="s">
        <v>1124</v>
      </c>
      <c r="D180" s="6" t="s">
        <v>1011</v>
      </c>
      <c r="E180" s="6"/>
      <c r="F180" s="6" t="s">
        <v>635</v>
      </c>
      <c r="G180" s="6"/>
      <c r="H180" s="6"/>
      <c r="I180" s="26" t="n">
        <v>0</v>
      </c>
      <c r="J180" s="26" t="n">
        <f aca="false">0</f>
        <v>0</v>
      </c>
      <c r="K180" s="43" t="str">
        <f aca="false">IF(I180=0,"No wiki control",IF(J180=I180,"Fully covered",IF(J180=0,"Not covered","Partly covered")))</f>
        <v>No wiki control</v>
      </c>
      <c r="L180" s="9" t="s">
        <v>993</v>
      </c>
    </row>
    <row r="181" customFormat="false" ht="23.85" hidden="false" customHeight="false" outlineLevel="0" collapsed="false">
      <c r="A181" s="47" t="s">
        <v>573</v>
      </c>
      <c r="B181" s="47" t="s">
        <v>569</v>
      </c>
      <c r="C181" s="5" t="s">
        <v>1125</v>
      </c>
      <c r="D181" s="6" t="s">
        <v>1125</v>
      </c>
      <c r="E181" s="6" t="s">
        <v>485</v>
      </c>
      <c r="F181" s="6" t="s">
        <v>725</v>
      </c>
      <c r="G181" s="6" t="s">
        <v>636</v>
      </c>
      <c r="H181" s="6" t="s">
        <v>652</v>
      </c>
      <c r="I181" s="26" t="n">
        <v>1</v>
      </c>
      <c r="J181" s="26" t="n">
        <f aca="false">COUNTIFS('Control Library'!$A$5:$A$50,"AI-CTRL-039",'Control Library'!$R$5:$R$50,"Implemented")</f>
        <v>0</v>
      </c>
      <c r="K181" s="43" t="str">
        <f aca="false">IF(I181=0,"No wiki control",IF(J181=I181,"Fully covered",IF(J181=0,"Not covered","Partly covered")))</f>
        <v>Not covered</v>
      </c>
      <c r="L181" s="9" t="s">
        <v>1126</v>
      </c>
    </row>
    <row r="182" customFormat="false" ht="23.85" hidden="false" customHeight="false" outlineLevel="0" collapsed="false">
      <c r="A182" s="47" t="s">
        <v>573</v>
      </c>
      <c r="B182" s="47" t="s">
        <v>569</v>
      </c>
      <c r="C182" s="5" t="s">
        <v>1127</v>
      </c>
      <c r="D182" s="6" t="s">
        <v>1127</v>
      </c>
      <c r="E182" s="6" t="s">
        <v>1128</v>
      </c>
      <c r="F182" s="6" t="s">
        <v>725</v>
      </c>
      <c r="G182" s="6" t="s">
        <v>636</v>
      </c>
      <c r="H182" s="6" t="s">
        <v>637</v>
      </c>
      <c r="I182" s="26" t="n">
        <v>2</v>
      </c>
      <c r="J182" s="26" t="n">
        <f aca="false">COUNTIFS('Control Library'!$A$5:$A$50,"AI-CTRL-039",'Control Library'!$R$5:$R$50,"Implemented")+COUNTIFS('Control Library'!$A$5:$A$50,"AI-CTRL-045",'Control Library'!$R$5:$R$50,"Implemented")</f>
        <v>0</v>
      </c>
      <c r="K182" s="43" t="str">
        <f aca="false">IF(I182=0,"No wiki control",IF(J182=I182,"Fully covered",IF(J182=0,"Not covered","Partly covered")))</f>
        <v>Not covered</v>
      </c>
      <c r="L182" s="9" t="s">
        <v>1126</v>
      </c>
    </row>
    <row r="183" customFormat="false" ht="23.85" hidden="false" customHeight="false" outlineLevel="0" collapsed="false">
      <c r="A183" s="47" t="s">
        <v>573</v>
      </c>
      <c r="B183" s="47" t="s">
        <v>569</v>
      </c>
      <c r="C183" s="5" t="s">
        <v>1129</v>
      </c>
      <c r="D183" s="6" t="s">
        <v>1129</v>
      </c>
      <c r="E183" s="6" t="s">
        <v>740</v>
      </c>
      <c r="F183" s="6" t="s">
        <v>725</v>
      </c>
      <c r="G183" s="6" t="s">
        <v>894</v>
      </c>
      <c r="H183" s="6" t="s">
        <v>652</v>
      </c>
      <c r="I183" s="26" t="n">
        <v>2</v>
      </c>
      <c r="J183" s="26" t="n">
        <f aca="false">COUNTIFS('Control Library'!$A$5:$A$50,"AI-CTRL-034",'Control Library'!$R$5:$R$50,"Implemented")+COUNTIFS('Control Library'!$A$5:$A$50,"AI-CTRL-039",'Control Library'!$R$5:$R$50,"Implemented")</f>
        <v>0</v>
      </c>
      <c r="K183" s="43" t="str">
        <f aca="false">IF(I183=0,"No wiki control",IF(J183=I183,"Fully covered",IF(J183=0,"Not covered","Partly covered")))</f>
        <v>Not covered</v>
      </c>
      <c r="L183" s="9" t="s">
        <v>1126</v>
      </c>
    </row>
    <row r="184" customFormat="false" ht="23.85" hidden="false" customHeight="false" outlineLevel="0" collapsed="false">
      <c r="A184" s="47" t="s">
        <v>573</v>
      </c>
      <c r="B184" s="47" t="s">
        <v>569</v>
      </c>
      <c r="C184" s="5" t="s">
        <v>1130</v>
      </c>
      <c r="D184" s="6" t="s">
        <v>1130</v>
      </c>
      <c r="E184" s="6" t="s">
        <v>1131</v>
      </c>
      <c r="F184" s="6" t="s">
        <v>725</v>
      </c>
      <c r="G184" s="6" t="s">
        <v>1132</v>
      </c>
      <c r="H184" s="6" t="s">
        <v>637</v>
      </c>
      <c r="I184" s="26" t="n">
        <v>4</v>
      </c>
      <c r="J184" s="26" t="n">
        <f aca="false">COUNTIFS('Control Library'!$A$5:$A$50,"AI-CTRL-002",'Control Library'!$R$5:$R$50,"Implemented")+COUNTIFS('Control Library'!$A$5:$A$50,"AI-CTRL-013",'Control Library'!$R$5:$R$50,"Implemented")+COUNTIFS('Control Library'!$A$5:$A$50,"AI-CTRL-017",'Control Library'!$R$5:$R$50,"Implemented")+COUNTIFS('Control Library'!$A$5:$A$50,"AI-CTRL-042",'Control Library'!$R$5:$R$50,"Implemented")</f>
        <v>0</v>
      </c>
      <c r="K184" s="43" t="str">
        <f aca="false">IF(I184=0,"No wiki control",IF(J184=I184,"Fully covered",IF(J184=0,"Not covered","Partly covered")))</f>
        <v>Not covered</v>
      </c>
      <c r="L184" s="9" t="s">
        <v>1126</v>
      </c>
    </row>
    <row r="185" customFormat="false" ht="23.85" hidden="false" customHeight="false" outlineLevel="0" collapsed="false">
      <c r="A185" s="47" t="s">
        <v>573</v>
      </c>
      <c r="B185" s="47" t="s">
        <v>569</v>
      </c>
      <c r="C185" s="5" t="s">
        <v>1133</v>
      </c>
      <c r="D185" s="6" t="s">
        <v>1133</v>
      </c>
      <c r="E185" s="6" t="s">
        <v>461</v>
      </c>
      <c r="F185" s="6" t="s">
        <v>725</v>
      </c>
      <c r="G185" s="6" t="s">
        <v>1134</v>
      </c>
      <c r="H185" s="6" t="s">
        <v>652</v>
      </c>
      <c r="I185" s="26" t="n">
        <v>1</v>
      </c>
      <c r="J185" s="26" t="n">
        <f aca="false">COUNTIFS('Control Library'!$A$5:$A$50,"AI-CTRL-036",'Control Library'!$R$5:$R$50,"Implemented")</f>
        <v>0</v>
      </c>
      <c r="K185" s="43" t="str">
        <f aca="false">IF(I185=0,"No wiki control",IF(J185=I185,"Fully covered",IF(J185=0,"Not covered","Partly covered")))</f>
        <v>Not covered</v>
      </c>
      <c r="L185" s="9" t="s">
        <v>1126</v>
      </c>
    </row>
    <row r="186" customFormat="false" ht="23.85" hidden="false" customHeight="false" outlineLevel="0" collapsed="false">
      <c r="A186" s="47" t="s">
        <v>573</v>
      </c>
      <c r="B186" s="47" t="s">
        <v>569</v>
      </c>
      <c r="C186" s="5" t="s">
        <v>1135</v>
      </c>
      <c r="D186" s="6" t="s">
        <v>1135</v>
      </c>
      <c r="E186" s="6" t="s">
        <v>1136</v>
      </c>
      <c r="F186" s="6" t="s">
        <v>725</v>
      </c>
      <c r="G186" s="6" t="s">
        <v>890</v>
      </c>
      <c r="H186" s="6" t="s">
        <v>652</v>
      </c>
      <c r="I186" s="26" t="n">
        <v>2</v>
      </c>
      <c r="J186" s="26" t="n">
        <f aca="false">COUNTIFS('Control Library'!$A$5:$A$50,"AI-CTRL-034",'Control Library'!$R$5:$R$50,"Implemented")+COUNTIFS('Control Library'!$A$5:$A$50,"AI-CTRL-041",'Control Library'!$R$5:$R$50,"Implemented")</f>
        <v>0</v>
      </c>
      <c r="K186" s="43" t="str">
        <f aca="false">IF(I186=0,"No wiki control",IF(J186=I186,"Fully covered",IF(J186=0,"Not covered","Partly covered")))</f>
        <v>Not covered</v>
      </c>
      <c r="L186" s="9" t="s">
        <v>1126</v>
      </c>
    </row>
    <row r="187" customFormat="false" ht="23.85" hidden="false" customHeight="false" outlineLevel="0" collapsed="false">
      <c r="A187" s="47" t="s">
        <v>573</v>
      </c>
      <c r="B187" s="47" t="s">
        <v>569</v>
      </c>
      <c r="C187" s="5" t="s">
        <v>1137</v>
      </c>
      <c r="D187" s="6" t="s">
        <v>1137</v>
      </c>
      <c r="E187" s="6" t="s">
        <v>1138</v>
      </c>
      <c r="F187" s="6" t="s">
        <v>725</v>
      </c>
      <c r="G187" s="6" t="s">
        <v>898</v>
      </c>
      <c r="H187" s="6" t="s">
        <v>652</v>
      </c>
      <c r="I187" s="26" t="n">
        <v>3</v>
      </c>
      <c r="J187" s="26" t="n">
        <f aca="false">COUNTIFS('Control Library'!$A$5:$A$50,"AI-CTRL-023",'Control Library'!$R$5:$R$50,"Implemented")+COUNTIFS('Control Library'!$A$5:$A$50,"AI-CTRL-044",'Control Library'!$R$5:$R$50,"Implemented")+COUNTIFS('Control Library'!$A$5:$A$50,"AI-CTRL-045",'Control Library'!$R$5:$R$50,"Implemented")</f>
        <v>0</v>
      </c>
      <c r="K187" s="43" t="str">
        <f aca="false">IF(I187=0,"No wiki control",IF(J187=I187,"Fully covered",IF(J187=0,"Not covered","Partly covered")))</f>
        <v>Not covered</v>
      </c>
      <c r="L187" s="9" t="s">
        <v>1126</v>
      </c>
    </row>
    <row r="188" customFormat="false" ht="23.85" hidden="false" customHeight="false" outlineLevel="0" collapsed="false">
      <c r="A188" s="47" t="s">
        <v>573</v>
      </c>
      <c r="B188" s="47" t="s">
        <v>569</v>
      </c>
      <c r="C188" s="5" t="s">
        <v>1139</v>
      </c>
      <c r="D188" s="6" t="s">
        <v>1139</v>
      </c>
      <c r="E188" s="6" t="s">
        <v>485</v>
      </c>
      <c r="F188" s="6" t="s">
        <v>725</v>
      </c>
      <c r="G188" s="6" t="s">
        <v>894</v>
      </c>
      <c r="H188" s="6" t="s">
        <v>652</v>
      </c>
      <c r="I188" s="26" t="n">
        <v>1</v>
      </c>
      <c r="J188" s="26" t="n">
        <f aca="false">COUNTIFS('Control Library'!$A$5:$A$50,"AI-CTRL-039",'Control Library'!$R$5:$R$50,"Implemented")</f>
        <v>0</v>
      </c>
      <c r="K188" s="43" t="str">
        <f aca="false">IF(I188=0,"No wiki control",IF(J188=I188,"Fully covered",IF(J188=0,"Not covered","Partly covered")))</f>
        <v>Not covered</v>
      </c>
      <c r="L188" s="9" t="s">
        <v>1126</v>
      </c>
    </row>
    <row r="189" customFormat="false" ht="23.85" hidden="false" customHeight="false" outlineLevel="0" collapsed="false">
      <c r="A189" s="47" t="s">
        <v>573</v>
      </c>
      <c r="B189" s="47" t="s">
        <v>569</v>
      </c>
      <c r="C189" s="5" t="s">
        <v>1140</v>
      </c>
      <c r="D189" s="6" t="s">
        <v>1140</v>
      </c>
      <c r="E189" s="6" t="s">
        <v>1141</v>
      </c>
      <c r="F189" s="6" t="s">
        <v>725</v>
      </c>
      <c r="G189" s="6" t="s">
        <v>1142</v>
      </c>
      <c r="H189" s="6" t="s">
        <v>652</v>
      </c>
      <c r="I189" s="26" t="n">
        <v>4</v>
      </c>
      <c r="J189" s="26" t="n">
        <f aca="false">COUNTIFS('Control Library'!$A$5:$A$50,"AI-CTRL-005",'Control Library'!$R$5:$R$50,"Implemented")+COUNTIFS('Control Library'!$A$5:$A$50,"AI-CTRL-028",'Control Library'!$R$5:$R$50,"Implemented")+COUNTIFS('Control Library'!$A$5:$A$50,"AI-CTRL-032",'Control Library'!$R$5:$R$50,"Implemented")+COUNTIFS('Control Library'!$A$5:$A$50,"AI-CTRL-034",'Control Library'!$R$5:$R$50,"Implemented")</f>
        <v>0</v>
      </c>
      <c r="K189" s="43" t="str">
        <f aca="false">IF(I189=0,"No wiki control",IF(J189=I189,"Fully covered",IF(J189=0,"Not covered","Partly covered")))</f>
        <v>Not covered</v>
      </c>
      <c r="L189" s="9" t="s">
        <v>1126</v>
      </c>
    </row>
    <row r="190" customFormat="false" ht="23.85" hidden="false" customHeight="false" outlineLevel="0" collapsed="false">
      <c r="A190" s="47" t="s">
        <v>573</v>
      </c>
      <c r="B190" s="47" t="s">
        <v>569</v>
      </c>
      <c r="C190" s="5" t="s">
        <v>1143</v>
      </c>
      <c r="D190" s="6" t="s">
        <v>1143</v>
      </c>
      <c r="E190" s="6" t="s">
        <v>1144</v>
      </c>
      <c r="F190" s="6" t="s">
        <v>725</v>
      </c>
      <c r="G190" s="6" t="s">
        <v>552</v>
      </c>
      <c r="H190" s="6" t="s">
        <v>637</v>
      </c>
      <c r="I190" s="26" t="n">
        <v>2</v>
      </c>
      <c r="J190" s="26" t="n">
        <f aca="false">COUNTIFS('Control Library'!$A$5:$A$50,"AI-CTRL-012",'Control Library'!$R$5:$R$50,"Implemented")+COUNTIFS('Control Library'!$A$5:$A$50,"AI-CTRL-046",'Control Library'!$R$5:$R$50,"Implemented")</f>
        <v>0</v>
      </c>
      <c r="K190" s="43" t="str">
        <f aca="false">IF(I190=0,"No wiki control",IF(J190=I190,"Fully covered",IF(J190=0,"Not covered","Partly covered")))</f>
        <v>Not covered</v>
      </c>
      <c r="L190" s="9" t="s">
        <v>1126</v>
      </c>
    </row>
    <row r="191" customFormat="false" ht="35.05" hidden="false" customHeight="false" outlineLevel="0" collapsed="false">
      <c r="A191" s="47" t="s">
        <v>573</v>
      </c>
      <c r="B191" s="47" t="s">
        <v>569</v>
      </c>
      <c r="C191" s="5" t="s">
        <v>1145</v>
      </c>
      <c r="D191" s="6" t="s">
        <v>1145</v>
      </c>
      <c r="E191" s="6" t="s">
        <v>485</v>
      </c>
      <c r="F191" s="6" t="s">
        <v>725</v>
      </c>
      <c r="G191" s="6" t="s">
        <v>636</v>
      </c>
      <c r="H191" s="6" t="s">
        <v>652</v>
      </c>
      <c r="I191" s="26" t="n">
        <v>1</v>
      </c>
      <c r="J191" s="26" t="n">
        <f aca="false">COUNTIFS('Control Library'!$A$5:$A$50,"AI-CTRL-039",'Control Library'!$R$5:$R$50,"Implemented")</f>
        <v>0</v>
      </c>
      <c r="K191" s="43" t="str">
        <f aca="false">IF(I191=0,"No wiki control",IF(J191=I191,"Fully covered",IF(J191=0,"Not covered","Partly covered")))</f>
        <v>Not covered</v>
      </c>
      <c r="L191" s="9" t="s">
        <v>1126</v>
      </c>
    </row>
    <row r="192" customFormat="false" ht="35.05" hidden="false" customHeight="false" outlineLevel="0" collapsed="false">
      <c r="A192" s="47" t="s">
        <v>573</v>
      </c>
      <c r="B192" s="47" t="s">
        <v>569</v>
      </c>
      <c r="C192" s="5" t="s">
        <v>1146</v>
      </c>
      <c r="D192" s="6" t="s">
        <v>1146</v>
      </c>
      <c r="E192" s="6" t="s">
        <v>1047</v>
      </c>
      <c r="F192" s="6" t="s">
        <v>725</v>
      </c>
      <c r="G192" s="6" t="s">
        <v>709</v>
      </c>
      <c r="H192" s="6" t="s">
        <v>637</v>
      </c>
      <c r="I192" s="26" t="n">
        <v>3</v>
      </c>
      <c r="J192" s="26" t="n">
        <f aca="false">COUNTIFS('Control Library'!$A$5:$A$50,"AI-CTRL-014",'Control Library'!$R$5:$R$50,"Implemented")+COUNTIFS('Control Library'!$A$5:$A$50,"AI-CTRL-024",'Control Library'!$R$5:$R$50,"Implemented")+COUNTIFS('Control Library'!$A$5:$A$50,"AI-CTRL-031",'Control Library'!$R$5:$R$50,"Implemented")</f>
        <v>0</v>
      </c>
      <c r="K192" s="43" t="str">
        <f aca="false">IF(I192=0,"No wiki control",IF(J192=I192,"Fully covered",IF(J192=0,"Not covered","Partly covered")))</f>
        <v>Not covered</v>
      </c>
      <c r="L192" s="9" t="s">
        <v>1126</v>
      </c>
    </row>
    <row r="193" customFormat="false" ht="23.85" hidden="false" customHeight="false" outlineLevel="0" collapsed="false">
      <c r="A193" s="47" t="s">
        <v>574</v>
      </c>
      <c r="B193" s="47" t="s">
        <v>569</v>
      </c>
      <c r="C193" s="5" t="s">
        <v>1147</v>
      </c>
      <c r="D193" s="6" t="s">
        <v>1148</v>
      </c>
      <c r="E193" s="6" t="s">
        <v>774</v>
      </c>
      <c r="F193" s="6" t="s">
        <v>725</v>
      </c>
      <c r="G193" s="6" t="s">
        <v>303</v>
      </c>
      <c r="H193" s="6" t="s">
        <v>637</v>
      </c>
      <c r="I193" s="26" t="n">
        <v>2</v>
      </c>
      <c r="J193" s="26" t="n">
        <f aca="false">COUNTIFS('Control Library'!$A$5:$A$50,"AI-CTRL-016",'Control Library'!$R$5:$R$50,"Implemented")+COUNTIFS('Control Library'!$A$5:$A$50,"AI-CTRL-018",'Control Library'!$R$5:$R$50,"Implemented")</f>
        <v>0</v>
      </c>
      <c r="K193" s="43" t="str">
        <f aca="false">IF(I193=0,"No wiki control",IF(J193=I193,"Fully covered",IF(J193=0,"Not covered","Partly covered")))</f>
        <v>Not covered</v>
      </c>
      <c r="L193" s="9" t="s">
        <v>1149</v>
      </c>
    </row>
    <row r="194" customFormat="false" ht="23.85" hidden="false" customHeight="false" outlineLevel="0" collapsed="false">
      <c r="A194" s="47" t="s">
        <v>574</v>
      </c>
      <c r="B194" s="47" t="s">
        <v>569</v>
      </c>
      <c r="C194" s="5" t="s">
        <v>1150</v>
      </c>
      <c r="D194" s="6" t="s">
        <v>1148</v>
      </c>
      <c r="E194" s="6" t="s">
        <v>796</v>
      </c>
      <c r="F194" s="6" t="s">
        <v>725</v>
      </c>
      <c r="G194" s="6" t="s">
        <v>797</v>
      </c>
      <c r="H194" s="6" t="s">
        <v>637</v>
      </c>
      <c r="I194" s="26" t="n">
        <v>2</v>
      </c>
      <c r="J194" s="26" t="n">
        <f aca="false">COUNTIFS('Control Library'!$A$5:$A$50,"AI-CTRL-015",'Control Library'!$R$5:$R$50,"Implemented")+COUNTIFS('Control Library'!$A$5:$A$50,"AI-CTRL-016",'Control Library'!$R$5:$R$50,"Implemented")</f>
        <v>0</v>
      </c>
      <c r="K194" s="43" t="str">
        <f aca="false">IF(I194=0,"No wiki control",IF(J194=I194,"Fully covered",IF(J194=0,"Not covered","Partly covered")))</f>
        <v>Not covered</v>
      </c>
      <c r="L194" s="9" t="s">
        <v>1149</v>
      </c>
    </row>
    <row r="195" customFormat="false" ht="23.85" hidden="false" customHeight="false" outlineLevel="0" collapsed="false">
      <c r="A195" s="47" t="s">
        <v>574</v>
      </c>
      <c r="B195" s="47" t="s">
        <v>569</v>
      </c>
      <c r="C195" s="5" t="s">
        <v>1151</v>
      </c>
      <c r="D195" s="6" t="s">
        <v>1148</v>
      </c>
      <c r="E195" s="6" t="s">
        <v>209</v>
      </c>
      <c r="F195" s="6" t="s">
        <v>725</v>
      </c>
      <c r="G195" s="6" t="s">
        <v>214</v>
      </c>
      <c r="H195" s="6" t="s">
        <v>637</v>
      </c>
      <c r="I195" s="26" t="n">
        <v>1</v>
      </c>
      <c r="J195" s="26" t="n">
        <f aca="false">COUNTIFS('Control Library'!$A$5:$A$50,"AI-CTRL-006",'Control Library'!$R$5:$R$50,"Implemented")</f>
        <v>0</v>
      </c>
      <c r="K195" s="43" t="str">
        <f aca="false">IF(I195=0,"No wiki control",IF(J195=I195,"Fully covered",IF(J195=0,"Not covered","Partly covered")))</f>
        <v>Not covered</v>
      </c>
      <c r="L195" s="9" t="s">
        <v>1149</v>
      </c>
    </row>
    <row r="196" customFormat="false" ht="23.85" hidden="false" customHeight="false" outlineLevel="0" collapsed="false">
      <c r="A196" s="47" t="s">
        <v>574</v>
      </c>
      <c r="B196" s="47" t="s">
        <v>569</v>
      </c>
      <c r="C196" s="5" t="s">
        <v>1152</v>
      </c>
      <c r="D196" s="6" t="s">
        <v>1148</v>
      </c>
      <c r="E196" s="6" t="s">
        <v>796</v>
      </c>
      <c r="F196" s="6" t="s">
        <v>725</v>
      </c>
      <c r="G196" s="6" t="s">
        <v>797</v>
      </c>
      <c r="H196" s="6" t="s">
        <v>652</v>
      </c>
      <c r="I196" s="26" t="n">
        <v>2</v>
      </c>
      <c r="J196" s="26" t="n">
        <f aca="false">COUNTIFS('Control Library'!$A$5:$A$50,"AI-CTRL-015",'Control Library'!$R$5:$R$50,"Implemented")+COUNTIFS('Control Library'!$A$5:$A$50,"AI-CTRL-016",'Control Library'!$R$5:$R$50,"Implemented")</f>
        <v>0</v>
      </c>
      <c r="K196" s="43" t="str">
        <f aca="false">IF(I196=0,"No wiki control",IF(J196=I196,"Fully covered",IF(J196=0,"Not covered","Partly covered")))</f>
        <v>Not covered</v>
      </c>
      <c r="L196" s="9" t="s">
        <v>1149</v>
      </c>
    </row>
    <row r="197" customFormat="false" ht="23.85" hidden="false" customHeight="false" outlineLevel="0" collapsed="false">
      <c r="A197" s="47" t="s">
        <v>574</v>
      </c>
      <c r="B197" s="47" t="s">
        <v>569</v>
      </c>
      <c r="C197" s="5" t="s">
        <v>1153</v>
      </c>
      <c r="D197" s="6" t="s">
        <v>1154</v>
      </c>
      <c r="E197" s="6" t="s">
        <v>1155</v>
      </c>
      <c r="F197" s="6" t="s">
        <v>725</v>
      </c>
      <c r="G197" s="6" t="s">
        <v>1156</v>
      </c>
      <c r="H197" s="6" t="s">
        <v>637</v>
      </c>
      <c r="I197" s="26" t="n">
        <v>2</v>
      </c>
      <c r="J197" s="26" t="n">
        <f aca="false">COUNTIFS('Control Library'!$A$5:$A$50,"AI-CTRL-013",'Control Library'!$R$5:$R$50,"Implemented")+COUNTIFS('Control Library'!$A$5:$A$50,"AI-CTRL-043",'Control Library'!$R$5:$R$50,"Implemented")</f>
        <v>0</v>
      </c>
      <c r="K197" s="43" t="str">
        <f aca="false">IF(I197=0,"No wiki control",IF(J197=I197,"Fully covered",IF(J197=0,"Not covered","Partly covered")))</f>
        <v>Not covered</v>
      </c>
      <c r="L197" s="9" t="s">
        <v>1149</v>
      </c>
    </row>
    <row r="198" customFormat="false" ht="23.85" hidden="false" customHeight="false" outlineLevel="0" collapsed="false">
      <c r="A198" s="47" t="s">
        <v>574</v>
      </c>
      <c r="B198" s="47" t="s">
        <v>569</v>
      </c>
      <c r="C198" s="5" t="s">
        <v>1157</v>
      </c>
      <c r="D198" s="6" t="s">
        <v>1154</v>
      </c>
      <c r="E198" s="6"/>
      <c r="F198" s="6" t="s">
        <v>635</v>
      </c>
      <c r="G198" s="6"/>
      <c r="H198" s="6" t="s">
        <v>1158</v>
      </c>
      <c r="I198" s="26" t="n">
        <v>0</v>
      </c>
      <c r="J198" s="26" t="n">
        <f aca="false">0</f>
        <v>0</v>
      </c>
      <c r="K198" s="43" t="str">
        <f aca="false">IF(I198=0,"No wiki control",IF(J198=I198,"Fully covered",IF(J198=0,"Not covered","Partly covered")))</f>
        <v>No wiki control</v>
      </c>
      <c r="L198" s="9" t="s">
        <v>1149</v>
      </c>
    </row>
    <row r="199" customFormat="false" ht="35.05" hidden="false" customHeight="false" outlineLevel="0" collapsed="false">
      <c r="A199" s="47" t="s">
        <v>574</v>
      </c>
      <c r="B199" s="47" t="s">
        <v>569</v>
      </c>
      <c r="C199" s="5" t="s">
        <v>1159</v>
      </c>
      <c r="D199" s="6" t="s">
        <v>1154</v>
      </c>
      <c r="E199" s="6" t="s">
        <v>1160</v>
      </c>
      <c r="F199" s="6" t="s">
        <v>725</v>
      </c>
      <c r="G199" s="6" t="s">
        <v>1161</v>
      </c>
      <c r="H199" s="6" t="s">
        <v>652</v>
      </c>
      <c r="I199" s="26" t="n">
        <v>3</v>
      </c>
      <c r="J199" s="26" t="n">
        <f aca="false">COUNTIFS('Control Library'!$A$5:$A$50,"AI-CTRL-008",'Control Library'!$R$5:$R$50,"Implemented")+COUNTIFS('Control Library'!$A$5:$A$50,"AI-CTRL-041",'Control Library'!$R$5:$R$50,"Implemented")+COUNTIFS('Control Library'!$A$5:$A$50,"AI-CTRL-045",'Control Library'!$R$5:$R$50,"Implemented")</f>
        <v>0</v>
      </c>
      <c r="K199" s="43" t="str">
        <f aca="false">IF(I199=0,"No wiki control",IF(J199=I199,"Fully covered",IF(J199=0,"Not covered","Partly covered")))</f>
        <v>Not covered</v>
      </c>
      <c r="L199" s="9" t="s">
        <v>1149</v>
      </c>
    </row>
    <row r="200" customFormat="false" ht="23.85" hidden="false" customHeight="false" outlineLevel="0" collapsed="false">
      <c r="A200" s="47" t="s">
        <v>574</v>
      </c>
      <c r="B200" s="47" t="s">
        <v>569</v>
      </c>
      <c r="C200" s="5" t="s">
        <v>1162</v>
      </c>
      <c r="D200" s="6" t="s">
        <v>1154</v>
      </c>
      <c r="E200" s="6" t="s">
        <v>512</v>
      </c>
      <c r="F200" s="6" t="s">
        <v>725</v>
      </c>
      <c r="G200" s="6" t="s">
        <v>515</v>
      </c>
      <c r="H200" s="6" t="s">
        <v>637</v>
      </c>
      <c r="I200" s="26" t="n">
        <v>1</v>
      </c>
      <c r="J200" s="26" t="n">
        <f aca="false">COUNTIFS('Control Library'!$A$5:$A$50,"AI-CTRL-042",'Control Library'!$R$5:$R$50,"Implemented")</f>
        <v>0</v>
      </c>
      <c r="K200" s="43" t="str">
        <f aca="false">IF(I200=0,"No wiki control",IF(J200=I200,"Fully covered",IF(J200=0,"Not covered","Partly covered")))</f>
        <v>Not covered</v>
      </c>
      <c r="L200" s="9" t="s">
        <v>1149</v>
      </c>
    </row>
    <row r="201" customFormat="false" ht="23.85" hidden="false" customHeight="false" outlineLevel="0" collapsed="false">
      <c r="A201" s="47" t="s">
        <v>574</v>
      </c>
      <c r="B201" s="47" t="s">
        <v>569</v>
      </c>
      <c r="C201" s="5" t="s">
        <v>1163</v>
      </c>
      <c r="D201" s="6" t="s">
        <v>1164</v>
      </c>
      <c r="E201" s="6" t="s">
        <v>263</v>
      </c>
      <c r="F201" s="6" t="s">
        <v>725</v>
      </c>
      <c r="G201" s="6" t="s">
        <v>266</v>
      </c>
      <c r="H201" s="6" t="s">
        <v>637</v>
      </c>
      <c r="I201" s="26" t="n">
        <v>1</v>
      </c>
      <c r="J201" s="26" t="n">
        <f aca="false">COUNTIFS('Control Library'!$A$5:$A$50,"AI-CTRL-012",'Control Library'!$R$5:$R$50,"Implemented")</f>
        <v>0</v>
      </c>
      <c r="K201" s="43" t="str">
        <f aca="false">IF(I201=0,"No wiki control",IF(J201=I201,"Fully covered",IF(J201=0,"Not covered","Partly covered")))</f>
        <v>Not covered</v>
      </c>
      <c r="L201" s="9" t="s">
        <v>1149</v>
      </c>
    </row>
    <row r="202" customFormat="false" ht="23.85" hidden="false" customHeight="false" outlineLevel="0" collapsed="false">
      <c r="A202" s="47" t="s">
        <v>574</v>
      </c>
      <c r="B202" s="47" t="s">
        <v>569</v>
      </c>
      <c r="C202" s="5" t="s">
        <v>1165</v>
      </c>
      <c r="D202" s="6" t="s">
        <v>1164</v>
      </c>
      <c r="E202" s="6" t="s">
        <v>263</v>
      </c>
      <c r="F202" s="6" t="s">
        <v>725</v>
      </c>
      <c r="G202" s="6" t="s">
        <v>266</v>
      </c>
      <c r="H202" s="6" t="s">
        <v>637</v>
      </c>
      <c r="I202" s="26" t="n">
        <v>1</v>
      </c>
      <c r="J202" s="26" t="n">
        <f aca="false">COUNTIFS('Control Library'!$A$5:$A$50,"AI-CTRL-012",'Control Library'!$R$5:$R$50,"Implemented")</f>
        <v>0</v>
      </c>
      <c r="K202" s="43" t="str">
        <f aca="false">IF(I202=0,"No wiki control",IF(J202=I202,"Fully covered",IF(J202=0,"Not covered","Partly covered")))</f>
        <v>Not covered</v>
      </c>
      <c r="L202" s="9" t="s">
        <v>1149</v>
      </c>
    </row>
    <row r="203" customFormat="false" ht="23.85" hidden="false" customHeight="false" outlineLevel="0" collapsed="false">
      <c r="A203" s="47" t="s">
        <v>574</v>
      </c>
      <c r="B203" s="47" t="s">
        <v>569</v>
      </c>
      <c r="C203" s="5" t="s">
        <v>1166</v>
      </c>
      <c r="D203" s="6" t="s">
        <v>1164</v>
      </c>
      <c r="E203" s="6" t="s">
        <v>529</v>
      </c>
      <c r="F203" s="6" t="s">
        <v>725</v>
      </c>
      <c r="G203" s="6" t="s">
        <v>532</v>
      </c>
      <c r="H203" s="6" t="s">
        <v>637</v>
      </c>
      <c r="I203" s="26" t="n">
        <v>1</v>
      </c>
      <c r="J203" s="26" t="n">
        <f aca="false">COUNTIFS('Control Library'!$A$5:$A$50,"AI-CTRL-044",'Control Library'!$R$5:$R$50,"Implemented")</f>
        <v>0</v>
      </c>
      <c r="K203" s="43" t="str">
        <f aca="false">IF(I203=0,"No wiki control",IF(J203=I203,"Fully covered",IF(J203=0,"Not covered","Partly covered")))</f>
        <v>Not covered</v>
      </c>
      <c r="L203" s="9" t="s">
        <v>1149</v>
      </c>
    </row>
    <row r="204" customFormat="false" ht="23.85" hidden="false" customHeight="false" outlineLevel="0" collapsed="false">
      <c r="A204" s="47" t="s">
        <v>574</v>
      </c>
      <c r="B204" s="47" t="s">
        <v>569</v>
      </c>
      <c r="C204" s="5" t="s">
        <v>1167</v>
      </c>
      <c r="D204" s="6" t="s">
        <v>1164</v>
      </c>
      <c r="E204" s="6" t="s">
        <v>821</v>
      </c>
      <c r="F204" s="6" t="s">
        <v>725</v>
      </c>
      <c r="G204" s="6" t="s">
        <v>472</v>
      </c>
      <c r="H204" s="6" t="s">
        <v>637</v>
      </c>
      <c r="I204" s="26" t="n">
        <v>2</v>
      </c>
      <c r="J204" s="26" t="n">
        <f aca="false">COUNTIFS('Control Library'!$A$5:$A$50,"AI-CTRL-011",'Control Library'!$R$5:$R$50,"Implemented")+COUNTIFS('Control Library'!$A$5:$A$50,"AI-CTRL-037",'Control Library'!$R$5:$R$50,"Implemented")</f>
        <v>0</v>
      </c>
      <c r="K204" s="43" t="str">
        <f aca="false">IF(I204=0,"No wiki control",IF(J204=I204,"Fully covered",IF(J204=0,"Not covered","Partly covered")))</f>
        <v>Not covered</v>
      </c>
      <c r="L204" s="9" t="s">
        <v>1149</v>
      </c>
    </row>
    <row r="205" customFormat="false" ht="23.85" hidden="false" customHeight="false" outlineLevel="0" collapsed="false">
      <c r="A205" s="47" t="s">
        <v>574</v>
      </c>
      <c r="B205" s="47" t="s">
        <v>569</v>
      </c>
      <c r="C205" s="5" t="s">
        <v>1168</v>
      </c>
      <c r="D205" s="6" t="s">
        <v>1169</v>
      </c>
      <c r="E205" s="6" t="s">
        <v>1170</v>
      </c>
      <c r="F205" s="6" t="s">
        <v>725</v>
      </c>
      <c r="G205" s="6" t="s">
        <v>1171</v>
      </c>
      <c r="H205" s="6" t="s">
        <v>637</v>
      </c>
      <c r="I205" s="26" t="n">
        <v>4</v>
      </c>
      <c r="J205" s="26" t="n">
        <f aca="false">COUNTIFS('Control Library'!$A$5:$A$50,"AI-CTRL-001",'Control Library'!$R$5:$R$50,"Implemented")+COUNTIFS('Control Library'!$A$5:$A$50,"AI-CTRL-011",'Control Library'!$R$5:$R$50,"Implemented")+COUNTIFS('Control Library'!$A$5:$A$50,"AI-CTRL-014",'Control Library'!$R$5:$R$50,"Implemented")+COUNTIFS('Control Library'!$A$5:$A$50,"AI-CTRL-031",'Control Library'!$R$5:$R$50,"Implemented")</f>
        <v>0</v>
      </c>
      <c r="K205" s="43" t="str">
        <f aca="false">IF(I205=0,"No wiki control",IF(J205=I205,"Fully covered",IF(J205=0,"Not covered","Partly covered")))</f>
        <v>Not covered</v>
      </c>
      <c r="L205" s="9" t="s">
        <v>1149</v>
      </c>
    </row>
    <row r="206" customFormat="false" ht="23.85" hidden="false" customHeight="false" outlineLevel="0" collapsed="false">
      <c r="A206" s="47" t="s">
        <v>574</v>
      </c>
      <c r="B206" s="47" t="s">
        <v>569</v>
      </c>
      <c r="C206" s="5" t="s">
        <v>1172</v>
      </c>
      <c r="D206" s="6" t="s">
        <v>1169</v>
      </c>
      <c r="E206" s="6" t="s">
        <v>1173</v>
      </c>
      <c r="F206" s="6" t="s">
        <v>725</v>
      </c>
      <c r="G206" s="6" t="s">
        <v>1005</v>
      </c>
      <c r="H206" s="6" t="s">
        <v>637</v>
      </c>
      <c r="I206" s="26" t="n">
        <v>2</v>
      </c>
      <c r="J206" s="26" t="n">
        <f aca="false">COUNTIFS('Control Library'!$A$5:$A$50,"AI-CTRL-006",'Control Library'!$R$5:$R$50,"Implemented")+COUNTIFS('Control Library'!$A$5:$A$50,"AI-CTRL-011",'Control Library'!$R$5:$R$50,"Implemented")</f>
        <v>0</v>
      </c>
      <c r="K206" s="43" t="str">
        <f aca="false">IF(I206=0,"No wiki control",IF(J206=I206,"Fully covered",IF(J206=0,"Not covered","Partly covered")))</f>
        <v>Not covered</v>
      </c>
      <c r="L206" s="9" t="s">
        <v>1149</v>
      </c>
    </row>
    <row r="207" customFormat="false" ht="23.85" hidden="false" customHeight="false" outlineLevel="0" collapsed="false">
      <c r="A207" s="47" t="s">
        <v>574</v>
      </c>
      <c r="B207" s="47" t="s">
        <v>569</v>
      </c>
      <c r="C207" s="5" t="s">
        <v>1174</v>
      </c>
      <c r="D207" s="6" t="s">
        <v>1169</v>
      </c>
      <c r="E207" s="6"/>
      <c r="F207" s="6" t="s">
        <v>635</v>
      </c>
      <c r="G207" s="6"/>
      <c r="H207" s="6" t="s">
        <v>1158</v>
      </c>
      <c r="I207" s="26" t="n">
        <v>0</v>
      </c>
      <c r="J207" s="26" t="n">
        <f aca="false">0</f>
        <v>0</v>
      </c>
      <c r="K207" s="43" t="str">
        <f aca="false">IF(I207=0,"No wiki control",IF(J207=I207,"Fully covered",IF(J207=0,"Not covered","Partly covered")))</f>
        <v>No wiki control</v>
      </c>
      <c r="L207" s="9" t="s">
        <v>1149</v>
      </c>
    </row>
    <row r="208" customFormat="false" ht="23.85" hidden="false" customHeight="false" outlineLevel="0" collapsed="false">
      <c r="A208" s="47" t="s">
        <v>574</v>
      </c>
      <c r="B208" s="47" t="s">
        <v>569</v>
      </c>
      <c r="C208" s="5" t="s">
        <v>1175</v>
      </c>
      <c r="D208" s="6" t="s">
        <v>1169</v>
      </c>
      <c r="E208" s="6" t="s">
        <v>371</v>
      </c>
      <c r="F208" s="6" t="s">
        <v>725</v>
      </c>
      <c r="G208" s="6" t="s">
        <v>374</v>
      </c>
      <c r="H208" s="6" t="s">
        <v>1158</v>
      </c>
      <c r="I208" s="26" t="n">
        <v>1</v>
      </c>
      <c r="J208" s="26" t="n">
        <f aca="false">COUNTIFS('Control Library'!$A$5:$A$50,"AI-CTRL-025",'Control Library'!$R$5:$R$50,"Implemented")</f>
        <v>0</v>
      </c>
      <c r="K208" s="43" t="str">
        <f aca="false">IF(I208=0,"No wiki control",IF(J208=I208,"Fully covered",IF(J208=0,"Not covered","Partly covered")))</f>
        <v>Not covered</v>
      </c>
      <c r="L208" s="9" t="s">
        <v>1149</v>
      </c>
    </row>
    <row r="209" customFormat="false" ht="23.85" hidden="false" customHeight="false" outlineLevel="0" collapsed="false">
      <c r="A209" s="47" t="s">
        <v>574</v>
      </c>
      <c r="B209" s="47" t="s">
        <v>569</v>
      </c>
      <c r="C209" s="5" t="s">
        <v>1176</v>
      </c>
      <c r="D209" s="6" t="s">
        <v>1169</v>
      </c>
      <c r="E209" s="6" t="s">
        <v>1177</v>
      </c>
      <c r="F209" s="6" t="s">
        <v>725</v>
      </c>
      <c r="G209" s="6" t="s">
        <v>763</v>
      </c>
      <c r="H209" s="6" t="s">
        <v>637</v>
      </c>
      <c r="I209" s="26" t="n">
        <v>3</v>
      </c>
      <c r="J209" s="26" t="n">
        <f aca="false">COUNTIFS('Control Library'!$A$5:$A$50,"AI-CTRL-007",'Control Library'!$R$5:$R$50,"Implemented")+COUNTIFS('Control Library'!$A$5:$A$50,"AI-CTRL-013",'Control Library'!$R$5:$R$50,"Implemented")+COUNTIFS('Control Library'!$A$5:$A$50,"AI-CTRL-014",'Control Library'!$R$5:$R$50,"Implemented")</f>
        <v>0</v>
      </c>
      <c r="K209" s="43" t="str">
        <f aca="false">IF(I209=0,"No wiki control",IF(J209=I209,"Fully covered",IF(J209=0,"Not covered","Partly covered")))</f>
        <v>Not covered</v>
      </c>
      <c r="L209" s="9" t="s">
        <v>1149</v>
      </c>
    </row>
    <row r="210" customFormat="false" ht="35.05" hidden="false" customHeight="false" outlineLevel="0" collapsed="false">
      <c r="A210" s="47" t="s">
        <v>574</v>
      </c>
      <c r="B210" s="47" t="s">
        <v>569</v>
      </c>
      <c r="C210" s="5" t="s">
        <v>1178</v>
      </c>
      <c r="D210" s="6" t="s">
        <v>1179</v>
      </c>
      <c r="E210" s="6" t="s">
        <v>1180</v>
      </c>
      <c r="F210" s="6" t="s">
        <v>725</v>
      </c>
      <c r="G210" s="6" t="s">
        <v>1181</v>
      </c>
      <c r="H210" s="6" t="s">
        <v>652</v>
      </c>
      <c r="I210" s="26" t="n">
        <v>2</v>
      </c>
      <c r="J210" s="26" t="n">
        <f aca="false">COUNTIFS('Control Library'!$A$5:$A$50,"AI-CTRL-034",'Control Library'!$R$5:$R$50,"Implemented")+COUNTIFS('Control Library'!$A$5:$A$50,"AI-CTRL-038",'Control Library'!$R$5:$R$50,"Implemented")</f>
        <v>0</v>
      </c>
      <c r="K210" s="43" t="str">
        <f aca="false">IF(I210=0,"No wiki control",IF(J210=I210,"Fully covered",IF(J210=0,"Not covered","Partly covered")))</f>
        <v>Not covered</v>
      </c>
      <c r="L210" s="9" t="s">
        <v>1149</v>
      </c>
    </row>
    <row r="211" customFormat="false" ht="23.85" hidden="false" customHeight="false" outlineLevel="0" collapsed="false">
      <c r="A211" s="47" t="s">
        <v>574</v>
      </c>
      <c r="B211" s="47" t="s">
        <v>569</v>
      </c>
      <c r="C211" s="5" t="s">
        <v>1182</v>
      </c>
      <c r="D211" s="6" t="s">
        <v>1179</v>
      </c>
      <c r="E211" s="6" t="s">
        <v>538</v>
      </c>
      <c r="F211" s="6" t="s">
        <v>725</v>
      </c>
      <c r="G211" s="6" t="s">
        <v>541</v>
      </c>
      <c r="H211" s="6" t="s">
        <v>1158</v>
      </c>
      <c r="I211" s="26" t="n">
        <v>1</v>
      </c>
      <c r="J211" s="26" t="n">
        <f aca="false">COUNTIFS('Control Library'!$A$5:$A$50,"AI-CTRL-045",'Control Library'!$R$5:$R$50,"Implemented")</f>
        <v>0</v>
      </c>
      <c r="K211" s="43" t="str">
        <f aca="false">IF(I211=0,"No wiki control",IF(J211=I211,"Fully covered",IF(J211=0,"Not covered","Partly covered")))</f>
        <v>Not covered</v>
      </c>
      <c r="L211" s="9" t="s">
        <v>1149</v>
      </c>
    </row>
    <row r="212" customFormat="false" ht="23.85" hidden="false" customHeight="false" outlineLevel="0" collapsed="false">
      <c r="A212" s="47" t="s">
        <v>574</v>
      </c>
      <c r="B212" s="47" t="s">
        <v>569</v>
      </c>
      <c r="C212" s="5" t="s">
        <v>1183</v>
      </c>
      <c r="D212" s="6" t="s">
        <v>1179</v>
      </c>
      <c r="E212" s="6" t="s">
        <v>1184</v>
      </c>
      <c r="F212" s="6" t="s">
        <v>725</v>
      </c>
      <c r="G212" s="6" t="s">
        <v>1185</v>
      </c>
      <c r="H212" s="6" t="s">
        <v>652</v>
      </c>
      <c r="I212" s="26" t="n">
        <v>3</v>
      </c>
      <c r="J212" s="26" t="n">
        <f aca="false">COUNTIFS('Control Library'!$A$5:$A$50,"AI-CTRL-008",'Control Library'!$R$5:$R$50,"Implemented")+COUNTIFS('Control Library'!$A$5:$A$50,"AI-CTRL-035",'Control Library'!$R$5:$R$50,"Implemented")+COUNTIFS('Control Library'!$A$5:$A$50,"AI-CTRL-039",'Control Library'!$R$5:$R$50,"Implemented")</f>
        <v>0</v>
      </c>
      <c r="K212" s="43" t="str">
        <f aca="false">IF(I212=0,"No wiki control",IF(J212=I212,"Fully covered",IF(J212=0,"Not covered","Partly covered")))</f>
        <v>Not covered</v>
      </c>
      <c r="L212" s="9" t="s">
        <v>1149</v>
      </c>
    </row>
    <row r="213" customFormat="false" ht="35.05" hidden="false" customHeight="false" outlineLevel="0" collapsed="false">
      <c r="A213" s="49" t="s">
        <v>575</v>
      </c>
      <c r="B213" s="49" t="s">
        <v>576</v>
      </c>
      <c r="C213" s="5" t="s">
        <v>1186</v>
      </c>
      <c r="D213" s="6" t="s">
        <v>696</v>
      </c>
      <c r="E213" s="6" t="s">
        <v>1187</v>
      </c>
      <c r="F213" s="6" t="s">
        <v>725</v>
      </c>
      <c r="G213" s="6" t="s">
        <v>1188</v>
      </c>
      <c r="H213" s="6"/>
      <c r="I213" s="26" t="n">
        <v>4</v>
      </c>
      <c r="J213" s="26" t="n">
        <f aca="false">COUNTIFS('Control Library'!$A$5:$A$50,"AI-CTRL-005",'Control Library'!$R$5:$R$50,"Implemented")+COUNTIFS('Control Library'!$A$5:$A$50,"AI-CTRL-021",'Control Library'!$R$5:$R$50,"Implemented")+COUNTIFS('Control Library'!$A$5:$A$50,"AI-CTRL-026",'Control Library'!$R$5:$R$50,"Implemented")+COUNTIFS('Control Library'!$A$5:$A$50,"AI-CTRL-034",'Control Library'!$R$5:$R$50,"Implemented")</f>
        <v>0</v>
      </c>
      <c r="K213" s="43" t="str">
        <f aca="false">IF(I213=0,"No wiki control",IF(J213=I213,"Fully covered",IF(J213=0,"Not covered","Partly covered")))</f>
        <v>Not covered</v>
      </c>
      <c r="L213" s="9" t="s">
        <v>1189</v>
      </c>
    </row>
    <row r="214" customFormat="false" ht="57.45" hidden="false" customHeight="false" outlineLevel="0" collapsed="false">
      <c r="A214" s="49" t="s">
        <v>575</v>
      </c>
      <c r="B214" s="49" t="s">
        <v>576</v>
      </c>
      <c r="C214" s="5" t="s">
        <v>1190</v>
      </c>
      <c r="D214" s="6" t="s">
        <v>1191</v>
      </c>
      <c r="E214" s="6" t="s">
        <v>1192</v>
      </c>
      <c r="F214" s="6" t="s">
        <v>725</v>
      </c>
      <c r="G214" s="6" t="s">
        <v>1193</v>
      </c>
      <c r="H214" s="6"/>
      <c r="I214" s="26" t="n">
        <v>11</v>
      </c>
      <c r="J214"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Library'!$A$5:$A$50,"AI-CTRL-028",'Control Library'!$R$5:$R$50,"Implemented")+COUNTIFS('Control Library'!$A$5:$A$50,"AI-CTRL-034",'Control Library'!$R$5:$R$50,"Implemented")</f>
        <v>0</v>
      </c>
      <c r="K214" s="43" t="str">
        <f aca="false">IF(I214=0,"No wiki control",IF(J214=I214,"Fully covered",IF(J214=0,"Not covered","Partly covered")))</f>
        <v>Not covered</v>
      </c>
      <c r="L214" s="9" t="s">
        <v>1189</v>
      </c>
    </row>
    <row r="215" customFormat="false" ht="46.25" hidden="false" customHeight="false" outlineLevel="0" collapsed="false">
      <c r="A215" s="49" t="s">
        <v>575</v>
      </c>
      <c r="B215" s="49" t="s">
        <v>576</v>
      </c>
      <c r="C215" s="5" t="s">
        <v>1194</v>
      </c>
      <c r="D215" s="6" t="s">
        <v>1195</v>
      </c>
      <c r="E215" s="6" t="s">
        <v>1196</v>
      </c>
      <c r="F215" s="6" t="s">
        <v>725</v>
      </c>
      <c r="G215" s="6" t="s">
        <v>1197</v>
      </c>
      <c r="H215" s="6"/>
      <c r="I215" s="26" t="n">
        <v>8</v>
      </c>
      <c r="J215" s="26" t="n">
        <f aca="false">COUNTIFS('Control Library'!$A$5:$A$50,"AI-CTRL-001",'Control Library'!$R$5:$R$50,"Implemented")+COUNTIFS('Control Library'!$A$5:$A$50,"AI-CTRL-004",'Control Library'!$R$5:$R$50,"Implemented")+COUNTIFS('Control Library'!$A$5:$A$50,"AI-CTRL-014",'Control Library'!$R$5:$R$50,"Implemented")+COUNTIFS('Control Library'!$A$5:$A$50,"AI-CTRL-024",'Control Library'!$R$5:$R$50,"Implemented")+COUNTIFS('Control Library'!$A$5:$A$50,"AI-CTRL-030",'Control Library'!$R$5:$R$50,"Implemented")+COUNTIFS('Control Library'!$A$5:$A$50,"AI-CTRL-031",'Control Library'!$R$5:$R$50,"Implemented")+COUNTIFS('Control Library'!$A$5:$A$50,"AI-CTRL-032",'Control Library'!$R$5:$R$50,"Implemented")+COUNTIFS('Control Library'!$A$5:$A$50,"AI-CTRL-034",'Control Library'!$R$5:$R$50,"Implemented")</f>
        <v>0</v>
      </c>
      <c r="K215" s="43" t="str">
        <f aca="false">IF(I215=0,"No wiki control",IF(J215=I215,"Fully covered",IF(J215=0,"Not covered","Partly covered")))</f>
        <v>Not covered</v>
      </c>
      <c r="L215" s="9" t="s">
        <v>1189</v>
      </c>
    </row>
    <row r="216" customFormat="false" ht="23.85" hidden="false" customHeight="false" outlineLevel="0" collapsed="false">
      <c r="A216" s="49" t="s">
        <v>575</v>
      </c>
      <c r="B216" s="49" t="s">
        <v>576</v>
      </c>
      <c r="C216" s="5" t="s">
        <v>1198</v>
      </c>
      <c r="D216" s="6" t="s">
        <v>1199</v>
      </c>
      <c r="E216" s="6" t="s">
        <v>1200</v>
      </c>
      <c r="F216" s="6" t="s">
        <v>725</v>
      </c>
      <c r="G216" s="6" t="s">
        <v>1201</v>
      </c>
      <c r="H216" s="6"/>
      <c r="I216" s="26" t="n">
        <v>5</v>
      </c>
      <c r="J216" s="26" t="n">
        <f aca="false">COUNTIFS('Control Library'!$A$5:$A$50,"AI-CTRL-019",'Control Library'!$R$5:$R$50,"Implemented")+COUNTIFS('Control Library'!$A$5:$A$50,"AI-CTRL-026",'Control Library'!$R$5:$R$50,"Implemented")+COUNTIFS('Control Library'!$A$5:$A$50,"AI-CTRL-029",'Control Library'!$R$5:$R$50,"Implemented")+COUNTIFS('Control Library'!$A$5:$A$50,"AI-CTRL-030",'Control Library'!$R$5:$R$50,"Implemented")+COUNTIFS('Control Library'!$A$5:$A$50,"AI-CTRL-034",'Control Library'!$R$5:$R$50,"Implemented")</f>
        <v>0</v>
      </c>
      <c r="K216" s="43" t="str">
        <f aca="false">IF(I216=0,"No wiki control",IF(J216=I216,"Fully covered",IF(J216=0,"Not covered","Partly covered")))</f>
        <v>Not covered</v>
      </c>
      <c r="L216" s="9" t="s">
        <v>1189</v>
      </c>
    </row>
    <row r="217" customFormat="false" ht="35.05" hidden="false" customHeight="false" outlineLevel="0" collapsed="false">
      <c r="A217" s="49" t="s">
        <v>575</v>
      </c>
      <c r="B217" s="49" t="s">
        <v>576</v>
      </c>
      <c r="C217" s="5" t="s">
        <v>1202</v>
      </c>
      <c r="D217" s="6" t="s">
        <v>1203</v>
      </c>
      <c r="E217" s="6" t="s">
        <v>1204</v>
      </c>
      <c r="F217" s="6" t="s">
        <v>725</v>
      </c>
      <c r="G217" s="6" t="s">
        <v>1205</v>
      </c>
      <c r="H217" s="6"/>
      <c r="I217" s="26" t="n">
        <v>2</v>
      </c>
      <c r="J217" s="26" t="n">
        <f aca="false">COUNTIFS('Control Library'!$A$5:$A$50,"AI-CTRL-020",'Control Library'!$R$5:$R$50,"Implemented")+COUNTIFS('Control Library'!$A$5:$A$50,"AI-CTRL-034",'Control Library'!$R$5:$R$50,"Implemented")</f>
        <v>0</v>
      </c>
      <c r="K217" s="43" t="str">
        <f aca="false">IF(I217=0,"No wiki control",IF(J217=I217,"Fully covered",IF(J217=0,"Not covered","Partly covered")))</f>
        <v>Not covered</v>
      </c>
      <c r="L217" s="9" t="s">
        <v>1189</v>
      </c>
    </row>
    <row r="218" customFormat="false" ht="57.45" hidden="false" customHeight="false" outlineLevel="0" collapsed="false">
      <c r="A218" s="49" t="s">
        <v>575</v>
      </c>
      <c r="B218" s="49" t="s">
        <v>576</v>
      </c>
      <c r="C218" s="5" t="s">
        <v>1206</v>
      </c>
      <c r="D218" s="6" t="s">
        <v>1207</v>
      </c>
      <c r="E218" s="6" t="s">
        <v>1208</v>
      </c>
      <c r="F218" s="6" t="s">
        <v>725</v>
      </c>
      <c r="G218" s="6" t="s">
        <v>1209</v>
      </c>
      <c r="H218" s="6"/>
      <c r="I218" s="26" t="n">
        <v>9</v>
      </c>
      <c r="J218" s="26"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Library'!$A$5:$A$50,"AI-CTRL-025",'Control Library'!$R$5:$R$50,"Implemented")+COUNTIFS('Control Library'!$A$5:$A$50,"AI-CTRL-027",'Control Library'!$R$5:$R$50,"Implemented")+COUNTIFS('Control Library'!$A$5:$A$50,"AI-CTRL-034",'Control Library'!$R$5:$R$50,"Implemented")+COUNTIFS('Control Library'!$A$5:$A$50,"AI-CTRL-045",'Control Library'!$R$5:$R$50,"Implemented")</f>
        <v>0</v>
      </c>
      <c r="K218" s="43" t="str">
        <f aca="false">IF(I218=0,"No wiki control",IF(J218=I218,"Fully covered",IF(J218=0,"Not covered","Partly covered")))</f>
        <v>Not covered</v>
      </c>
      <c r="L218" s="9" t="s">
        <v>1189</v>
      </c>
    </row>
    <row r="219" customFormat="false" ht="23.85" hidden="false" customHeight="false" outlineLevel="0" collapsed="false">
      <c r="A219" s="49" t="s">
        <v>575</v>
      </c>
      <c r="B219" s="49" t="s">
        <v>576</v>
      </c>
      <c r="C219" s="5" t="s">
        <v>1210</v>
      </c>
      <c r="D219" s="6" t="s">
        <v>1211</v>
      </c>
      <c r="E219" s="6" t="s">
        <v>1212</v>
      </c>
      <c r="F219" s="6" t="s">
        <v>725</v>
      </c>
      <c r="G219" s="6" t="s">
        <v>1213</v>
      </c>
      <c r="H219" s="6"/>
      <c r="I219" s="26" t="n">
        <v>2</v>
      </c>
      <c r="J219" s="26" t="n">
        <f aca="false">COUNTIFS('Control Library'!$A$5:$A$50,"AI-CTRL-005",'Control Library'!$R$5:$R$50,"Implemented")+COUNTIFS('Control Library'!$A$5:$A$50,"AI-CTRL-034",'Control Library'!$R$5:$R$50,"Implemented")</f>
        <v>0</v>
      </c>
      <c r="K219" s="43" t="str">
        <f aca="false">IF(I219=0,"No wiki control",IF(J219=I219,"Fully covered",IF(J219=0,"Not covered","Partly covered")))</f>
        <v>Not covered</v>
      </c>
      <c r="L219" s="9" t="s">
        <v>1189</v>
      </c>
    </row>
    <row r="220" customFormat="false" ht="23.85" hidden="false" customHeight="false" outlineLevel="0" collapsed="false">
      <c r="A220" s="49" t="s">
        <v>575</v>
      </c>
      <c r="B220" s="49" t="s">
        <v>576</v>
      </c>
      <c r="C220" s="5" t="s">
        <v>1214</v>
      </c>
      <c r="D220" s="6" t="s">
        <v>1215</v>
      </c>
      <c r="E220" s="6" t="s">
        <v>1216</v>
      </c>
      <c r="F220" s="6" t="s">
        <v>725</v>
      </c>
      <c r="G220" s="6" t="s">
        <v>1217</v>
      </c>
      <c r="H220" s="6"/>
      <c r="I220" s="26" t="n">
        <v>3</v>
      </c>
      <c r="J220" s="26" t="n">
        <f aca="false">COUNTIFS('Control Library'!$A$5:$A$50,"AI-CTRL-018",'Control Library'!$R$5:$R$50,"Implemented")+COUNTIFS('Control Library'!$A$5:$A$50,"AI-CTRL-019",'Control Library'!$R$5:$R$50,"Implemented")+COUNTIFS('Control Library'!$A$5:$A$50,"AI-CTRL-034",'Control Library'!$R$5:$R$50,"Implemented")</f>
        <v>0</v>
      </c>
      <c r="K220" s="43" t="str">
        <f aca="false">IF(I220=0,"No wiki control",IF(J220=I220,"Fully covered",IF(J220=0,"Not covered","Partly covered")))</f>
        <v>Not covered</v>
      </c>
      <c r="L220" s="9" t="s">
        <v>1189</v>
      </c>
    </row>
    <row r="221" customFormat="false" ht="23.85" hidden="false" customHeight="false" outlineLevel="0" collapsed="false">
      <c r="A221" s="49" t="s">
        <v>575</v>
      </c>
      <c r="B221" s="49" t="s">
        <v>576</v>
      </c>
      <c r="C221" s="5" t="s">
        <v>1218</v>
      </c>
      <c r="D221" s="6" t="s">
        <v>1219</v>
      </c>
      <c r="E221" s="6" t="s">
        <v>740</v>
      </c>
      <c r="F221" s="6" t="s">
        <v>725</v>
      </c>
      <c r="G221" s="6" t="s">
        <v>741</v>
      </c>
      <c r="H221" s="6"/>
      <c r="I221" s="26" t="n">
        <v>2</v>
      </c>
      <c r="J221" s="26" t="n">
        <f aca="false">COUNTIFS('Control Library'!$A$5:$A$50,"AI-CTRL-034",'Control Library'!$R$5:$R$50,"Implemented")+COUNTIFS('Control Library'!$A$5:$A$50,"AI-CTRL-039",'Control Library'!$R$5:$R$50,"Implemented")</f>
        <v>0</v>
      </c>
      <c r="K221" s="43" t="str">
        <f aca="false">IF(I221=0,"No wiki control",IF(J221=I221,"Fully covered",IF(J221=0,"Not covered","Partly covered")))</f>
        <v>Not covered</v>
      </c>
      <c r="L221" s="9" t="s">
        <v>1189</v>
      </c>
    </row>
    <row r="222" customFormat="false" ht="23.85" hidden="false" customHeight="false" outlineLevel="0" collapsed="false">
      <c r="A222" s="49" t="s">
        <v>575</v>
      </c>
      <c r="B222" s="49" t="s">
        <v>576</v>
      </c>
      <c r="C222" s="5" t="s">
        <v>1220</v>
      </c>
      <c r="D222" s="6" t="s">
        <v>1221</v>
      </c>
      <c r="E222" s="6" t="s">
        <v>1222</v>
      </c>
      <c r="F222" s="6" t="s">
        <v>725</v>
      </c>
      <c r="G222" s="6" t="s">
        <v>1223</v>
      </c>
      <c r="H222" s="6"/>
      <c r="I222" s="26" t="n">
        <v>3</v>
      </c>
      <c r="J222" s="26" t="n">
        <f aca="false">COUNTIFS('Control Library'!$A$5:$A$50,"AI-CTRL-028",'Control Library'!$R$5:$R$50,"Implemented")+COUNTIFS('Control Library'!$A$5:$A$50,"AI-CTRL-034",'Control Library'!$R$5:$R$50,"Implemented")+COUNTIFS('Control Library'!$A$5:$A$50,"AI-CTRL-036",'Control Library'!$R$5:$R$50,"Implemented")</f>
        <v>0</v>
      </c>
      <c r="K222" s="43" t="str">
        <f aca="false">IF(I222=0,"No wiki control",IF(J222=I222,"Fully covered",IF(J222=0,"Not covered","Partly covered")))</f>
        <v>Not covered</v>
      </c>
      <c r="L222" s="9" t="s">
        <v>1189</v>
      </c>
    </row>
    <row r="223" customFormat="false" ht="23.85" hidden="false" customHeight="false" outlineLevel="0" collapsed="false">
      <c r="A223" s="49" t="s">
        <v>577</v>
      </c>
      <c r="B223" s="49" t="s">
        <v>576</v>
      </c>
      <c r="C223" s="5" t="s">
        <v>1224</v>
      </c>
      <c r="D223" s="6" t="s">
        <v>1225</v>
      </c>
      <c r="E223" s="6" t="s">
        <v>199</v>
      </c>
      <c r="F223" s="6" t="s">
        <v>725</v>
      </c>
      <c r="G223" s="6" t="s">
        <v>203</v>
      </c>
      <c r="H223" s="6"/>
      <c r="I223" s="26" t="n">
        <v>1</v>
      </c>
      <c r="J223" s="26" t="n">
        <f aca="false">COUNTIFS('Control Library'!$A$5:$A$50,"AI-CTRL-005",'Control Library'!$R$5:$R$50,"Implemented")</f>
        <v>0</v>
      </c>
      <c r="K223" s="43" t="str">
        <f aca="false">IF(I223=0,"No wiki control",IF(J223=I223,"Fully covered",IF(J223=0,"Not covered","Partly covered")))</f>
        <v>Not covered</v>
      </c>
      <c r="L223" s="9" t="s">
        <v>1189</v>
      </c>
    </row>
    <row r="224" customFormat="false" ht="23.85" hidden="false" customHeight="false" outlineLevel="0" collapsed="false">
      <c r="A224" s="49" t="s">
        <v>577</v>
      </c>
      <c r="B224" s="49" t="s">
        <v>576</v>
      </c>
      <c r="C224" s="5" t="s">
        <v>1226</v>
      </c>
      <c r="D224" s="6" t="s">
        <v>1227</v>
      </c>
      <c r="E224" s="6" t="s">
        <v>1228</v>
      </c>
      <c r="F224" s="6" t="s">
        <v>725</v>
      </c>
      <c r="G224" s="6" t="s">
        <v>367</v>
      </c>
      <c r="H224" s="6"/>
      <c r="I224" s="26" t="n">
        <v>2</v>
      </c>
      <c r="J224" s="26" t="n">
        <f aca="false">COUNTIFS('Control Library'!$A$5:$A$50,"AI-CTRL-022",'Control Library'!$R$5:$R$50,"Implemented")+COUNTIFS('Control Library'!$A$5:$A$50,"AI-CTRL-024",'Control Library'!$R$5:$R$50,"Implemented")</f>
        <v>0</v>
      </c>
      <c r="K224" s="43" t="str">
        <f aca="false">IF(I224=0,"No wiki control",IF(J224=I224,"Fully covered",IF(J224=0,"Not covered","Partly covered")))</f>
        <v>Not covered</v>
      </c>
      <c r="L224" s="9" t="s">
        <v>1189</v>
      </c>
    </row>
    <row r="225" customFormat="false" ht="23.85" hidden="false" customHeight="false" outlineLevel="0" collapsed="false">
      <c r="A225" s="49" t="s">
        <v>577</v>
      </c>
      <c r="B225" s="49" t="s">
        <v>576</v>
      </c>
      <c r="C225" s="5" t="s">
        <v>1229</v>
      </c>
      <c r="D225" s="6" t="s">
        <v>1230</v>
      </c>
      <c r="E225" s="6" t="s">
        <v>796</v>
      </c>
      <c r="F225" s="6" t="s">
        <v>725</v>
      </c>
      <c r="G225" s="6" t="s">
        <v>797</v>
      </c>
      <c r="H225" s="6"/>
      <c r="I225" s="26" t="n">
        <v>2</v>
      </c>
      <c r="J225" s="26" t="n">
        <f aca="false">COUNTIFS('Control Library'!$A$5:$A$50,"AI-CTRL-015",'Control Library'!$R$5:$R$50,"Implemented")+COUNTIFS('Control Library'!$A$5:$A$50,"AI-CTRL-016",'Control Library'!$R$5:$R$50,"Implemented")</f>
        <v>0</v>
      </c>
      <c r="K225" s="43" t="str">
        <f aca="false">IF(I225=0,"No wiki control",IF(J225=I225,"Fully covered",IF(J225=0,"Not covered","Partly covered")))</f>
        <v>Not covered</v>
      </c>
      <c r="L225" s="9" t="s">
        <v>1189</v>
      </c>
    </row>
    <row r="226" customFormat="false" ht="23.85" hidden="false" customHeight="false" outlineLevel="0" collapsed="false">
      <c r="A226" s="49" t="s">
        <v>577</v>
      </c>
      <c r="B226" s="49" t="s">
        <v>576</v>
      </c>
      <c r="C226" s="5" t="s">
        <v>1231</v>
      </c>
      <c r="D226" s="6" t="s">
        <v>1232</v>
      </c>
      <c r="E226" s="6" t="s">
        <v>363</v>
      </c>
      <c r="F226" s="6" t="s">
        <v>725</v>
      </c>
      <c r="G226" s="6" t="s">
        <v>367</v>
      </c>
      <c r="H226" s="6"/>
      <c r="I226" s="26" t="n">
        <v>1</v>
      </c>
      <c r="J226" s="26" t="n">
        <f aca="false">COUNTIFS('Control Library'!$A$5:$A$50,"AI-CTRL-024",'Control Library'!$R$5:$R$50,"Implemented")</f>
        <v>0</v>
      </c>
      <c r="K226" s="43" t="str">
        <f aca="false">IF(I226=0,"No wiki control",IF(J226=I226,"Fully covered",IF(J226=0,"Not covered","Partly covered")))</f>
        <v>Not covered</v>
      </c>
      <c r="L226" s="9" t="s">
        <v>1189</v>
      </c>
    </row>
    <row r="227" customFormat="false" ht="23.85" hidden="false" customHeight="false" outlineLevel="0" collapsed="false">
      <c r="A227" s="49" t="s">
        <v>577</v>
      </c>
      <c r="B227" s="49" t="s">
        <v>576</v>
      </c>
      <c r="C227" s="5" t="s">
        <v>1233</v>
      </c>
      <c r="D227" s="6" t="s">
        <v>1234</v>
      </c>
      <c r="E227" s="6" t="s">
        <v>386</v>
      </c>
      <c r="F227" s="6" t="s">
        <v>725</v>
      </c>
      <c r="G227" s="6" t="s">
        <v>389</v>
      </c>
      <c r="H227" s="6"/>
      <c r="I227" s="26" t="n">
        <v>1</v>
      </c>
      <c r="J227" s="26" t="n">
        <f aca="false">COUNTIFS('Control Library'!$A$5:$A$50,"AI-CTRL-027",'Control Library'!$R$5:$R$50,"Implemented")</f>
        <v>0</v>
      </c>
      <c r="K227" s="43" t="str">
        <f aca="false">IF(I227=0,"No wiki control",IF(J227=I227,"Fully covered",IF(J227=0,"Not covered","Partly covered")))</f>
        <v>Not covered</v>
      </c>
      <c r="L227" s="9" t="s">
        <v>1189</v>
      </c>
    </row>
    <row r="228" customFormat="false" ht="23.85" hidden="false" customHeight="false" outlineLevel="0" collapsed="false">
      <c r="A228" s="49" t="s">
        <v>577</v>
      </c>
      <c r="B228" s="49" t="s">
        <v>576</v>
      </c>
      <c r="C228" s="5" t="s">
        <v>1235</v>
      </c>
      <c r="D228" s="6" t="s">
        <v>1236</v>
      </c>
      <c r="E228" s="6" t="s">
        <v>379</v>
      </c>
      <c r="F228" s="6" t="s">
        <v>725</v>
      </c>
      <c r="G228" s="6" t="s">
        <v>382</v>
      </c>
      <c r="H228" s="6"/>
      <c r="I228" s="26" t="n">
        <v>1</v>
      </c>
      <c r="J228" s="26" t="n">
        <f aca="false">COUNTIFS('Control Library'!$A$5:$A$50,"AI-CTRL-026",'Control Library'!$R$5:$R$50,"Implemented")</f>
        <v>0</v>
      </c>
      <c r="K228" s="43" t="str">
        <f aca="false">IF(I228=0,"No wiki control",IF(J228=I228,"Fully covered",IF(J228=0,"Not covered","Partly covered")))</f>
        <v>Not covered</v>
      </c>
      <c r="L228" s="9" t="s">
        <v>1189</v>
      </c>
    </row>
    <row r="229" customFormat="false" ht="23.85" hidden="false" customHeight="false" outlineLevel="0" collapsed="false">
      <c r="A229" s="49" t="s">
        <v>577</v>
      </c>
      <c r="B229" s="49" t="s">
        <v>576</v>
      </c>
      <c r="C229" s="5" t="s">
        <v>1237</v>
      </c>
      <c r="D229" s="6" t="s">
        <v>1238</v>
      </c>
      <c r="E229" s="6" t="s">
        <v>1239</v>
      </c>
      <c r="F229" s="6" t="s">
        <v>725</v>
      </c>
      <c r="G229" s="6" t="s">
        <v>295</v>
      </c>
      <c r="H229" s="6"/>
      <c r="I229" s="26" t="n">
        <v>2</v>
      </c>
      <c r="J229" s="26" t="n">
        <f aca="false">COUNTIFS('Control Library'!$A$5:$A$50,"AI-CTRL-006",'Control Library'!$R$5:$R$50,"Implemented")+COUNTIFS('Control Library'!$A$5:$A$50,"AI-CTRL-015",'Control Library'!$R$5:$R$50,"Implemented")</f>
        <v>0</v>
      </c>
      <c r="K229" s="43" t="str">
        <f aca="false">IF(I229=0,"No wiki control",IF(J229=I229,"Fully covered",IF(J229=0,"Not covered","Partly covered")))</f>
        <v>Not covered</v>
      </c>
      <c r="L229" s="9" t="s">
        <v>1189</v>
      </c>
    </row>
    <row r="230" customFormat="false" ht="23.85" hidden="false" customHeight="false" outlineLevel="0" collapsed="false">
      <c r="A230" s="49" t="s">
        <v>577</v>
      </c>
      <c r="B230" s="49" t="s">
        <v>576</v>
      </c>
      <c r="C230" s="5" t="s">
        <v>1240</v>
      </c>
      <c r="D230" s="6" t="s">
        <v>1241</v>
      </c>
      <c r="E230" s="6" t="s">
        <v>371</v>
      </c>
      <c r="F230" s="6" t="s">
        <v>725</v>
      </c>
      <c r="G230" s="6" t="s">
        <v>374</v>
      </c>
      <c r="H230" s="6"/>
      <c r="I230" s="26" t="n">
        <v>1</v>
      </c>
      <c r="J230" s="26" t="n">
        <f aca="false">COUNTIFS('Control Library'!$A$5:$A$50,"AI-CTRL-025",'Control Library'!$R$5:$R$50,"Implemented")</f>
        <v>0</v>
      </c>
      <c r="K230" s="43" t="str">
        <f aca="false">IF(I230=0,"No wiki control",IF(J230=I230,"Fully covered",IF(J230=0,"Not covered","Partly covered")))</f>
        <v>Not covered</v>
      </c>
      <c r="L230" s="9" t="s">
        <v>1189</v>
      </c>
    </row>
    <row r="231" customFormat="false" ht="23.85" hidden="false" customHeight="false" outlineLevel="0" collapsed="false">
      <c r="A231" s="49" t="s">
        <v>577</v>
      </c>
      <c r="B231" s="49" t="s">
        <v>576</v>
      </c>
      <c r="C231" s="5" t="s">
        <v>1242</v>
      </c>
      <c r="D231" s="6" t="s">
        <v>1243</v>
      </c>
      <c r="E231" s="6" t="s">
        <v>800</v>
      </c>
      <c r="F231" s="6" t="s">
        <v>725</v>
      </c>
      <c r="G231" s="6" t="s">
        <v>541</v>
      </c>
      <c r="H231" s="6"/>
      <c r="I231" s="26" t="n">
        <v>2</v>
      </c>
      <c r="J231" s="26" t="n">
        <f aca="false">COUNTIFS('Control Library'!$A$5:$A$50,"AI-CTRL-023",'Control Library'!$R$5:$R$50,"Implemented")+COUNTIFS('Control Library'!$A$5:$A$50,"AI-CTRL-045",'Control Library'!$R$5:$R$50,"Implemented")</f>
        <v>0</v>
      </c>
      <c r="K231" s="43" t="str">
        <f aca="false">IF(I231=0,"No wiki control",IF(J231=I231,"Fully covered",IF(J231=0,"Not covered","Partly covered")))</f>
        <v>Not covered</v>
      </c>
      <c r="L231" s="9" t="s">
        <v>1189</v>
      </c>
    </row>
    <row r="232" customFormat="false" ht="23.85" hidden="false" customHeight="false" outlineLevel="0" collapsed="false">
      <c r="A232" s="49" t="s">
        <v>577</v>
      </c>
      <c r="B232" s="49" t="s">
        <v>576</v>
      </c>
      <c r="C232" s="5" t="s">
        <v>1244</v>
      </c>
      <c r="D232" s="6" t="s">
        <v>1245</v>
      </c>
      <c r="E232" s="6" t="s">
        <v>1246</v>
      </c>
      <c r="F232" s="6" t="s">
        <v>725</v>
      </c>
      <c r="G232" s="6" t="s">
        <v>374</v>
      </c>
      <c r="H232" s="6"/>
      <c r="I232" s="26" t="n">
        <v>2</v>
      </c>
      <c r="J232" s="26" t="n">
        <f aca="false">COUNTIFS('Control Library'!$A$5:$A$50,"AI-CTRL-006",'Control Library'!$R$5:$R$50,"Implemented")+COUNTIFS('Control Library'!$A$5:$A$50,"AI-CTRL-025",'Control Library'!$R$5:$R$50,"Implemented")</f>
        <v>0</v>
      </c>
      <c r="K232" s="43" t="str">
        <f aca="false">IF(I232=0,"No wiki control",IF(J232=I232,"Fully covered",IF(J232=0,"Not covered","Partly covered")))</f>
        <v>Not covered</v>
      </c>
      <c r="L232" s="9" t="s">
        <v>1189</v>
      </c>
    </row>
    <row r="233" customFormat="false" ht="23.85" hidden="false" customHeight="false" outlineLevel="0" collapsed="false">
      <c r="A233" s="49" t="s">
        <v>578</v>
      </c>
      <c r="B233" s="49" t="s">
        <v>576</v>
      </c>
      <c r="C233" s="5" t="s">
        <v>1247</v>
      </c>
      <c r="D233" s="6" t="s">
        <v>1248</v>
      </c>
      <c r="E233" s="6" t="s">
        <v>796</v>
      </c>
      <c r="F233" s="6" t="s">
        <v>725</v>
      </c>
      <c r="G233" s="6" t="s">
        <v>717</v>
      </c>
      <c r="H233" s="6" t="s">
        <v>637</v>
      </c>
      <c r="I233" s="26" t="n">
        <v>2</v>
      </c>
      <c r="J233" s="26" t="n">
        <f aca="false">COUNTIFS('Control Library'!$A$5:$A$50,"AI-CTRL-015",'Control Library'!$R$5:$R$50,"Implemented")+COUNTIFS('Control Library'!$A$5:$A$50,"AI-CTRL-016",'Control Library'!$R$5:$R$50,"Implemented")</f>
        <v>0</v>
      </c>
      <c r="K233" s="43" t="str">
        <f aca="false">IF(I233=0,"No wiki control",IF(J233=I233,"Fully covered",IF(J233=0,"Not covered","Partly covered")))</f>
        <v>Not covered</v>
      </c>
      <c r="L233" s="9" t="s">
        <v>1249</v>
      </c>
    </row>
    <row r="234" customFormat="false" ht="23.85" hidden="false" customHeight="false" outlineLevel="0" collapsed="false">
      <c r="A234" s="49" t="s">
        <v>578</v>
      </c>
      <c r="B234" s="49" t="s">
        <v>576</v>
      </c>
      <c r="C234" s="5" t="s">
        <v>1250</v>
      </c>
      <c r="D234" s="6" t="s">
        <v>1251</v>
      </c>
      <c r="E234" s="6" t="s">
        <v>1252</v>
      </c>
      <c r="F234" s="6" t="s">
        <v>725</v>
      </c>
      <c r="G234" s="6" t="s">
        <v>1253</v>
      </c>
      <c r="H234" s="6" t="s">
        <v>637</v>
      </c>
      <c r="I234" s="26" t="n">
        <v>2</v>
      </c>
      <c r="J234" s="26" t="n">
        <f aca="false">COUNTIFS('Control Library'!$A$5:$A$50,"AI-CTRL-016",'Control Library'!$R$5:$R$50,"Implemented")+COUNTIFS('Control Library'!$A$5:$A$50,"AI-CTRL-024",'Control Library'!$R$5:$R$50,"Implemented")</f>
        <v>0</v>
      </c>
      <c r="K234" s="43" t="str">
        <f aca="false">IF(I234=0,"No wiki control",IF(J234=I234,"Fully covered",IF(J234=0,"Not covered","Partly covered")))</f>
        <v>Not covered</v>
      </c>
      <c r="L234" s="9" t="s">
        <v>1249</v>
      </c>
    </row>
    <row r="235" customFormat="false" ht="23.85" hidden="false" customHeight="false" outlineLevel="0" collapsed="false">
      <c r="A235" s="49" t="s">
        <v>578</v>
      </c>
      <c r="B235" s="49" t="s">
        <v>576</v>
      </c>
      <c r="C235" s="5" t="s">
        <v>1254</v>
      </c>
      <c r="D235" s="6" t="s">
        <v>1255</v>
      </c>
      <c r="E235" s="6" t="s">
        <v>1256</v>
      </c>
      <c r="F235" s="6" t="s">
        <v>725</v>
      </c>
      <c r="G235" s="6" t="s">
        <v>1257</v>
      </c>
      <c r="H235" s="6" t="s">
        <v>637</v>
      </c>
      <c r="I235" s="26" t="n">
        <v>2</v>
      </c>
      <c r="J235" s="26" t="n">
        <f aca="false">COUNTIFS('Control Library'!$A$5:$A$50,"AI-CTRL-024",'Control Library'!$R$5:$R$50,"Implemented")+COUNTIFS('Control Library'!$A$5:$A$50,"AI-CTRL-026",'Control Library'!$R$5:$R$50,"Implemented")</f>
        <v>0</v>
      </c>
      <c r="K235" s="43" t="str">
        <f aca="false">IF(I235=0,"No wiki control",IF(J235=I235,"Fully covered",IF(J235=0,"Not covered","Partly covered")))</f>
        <v>Not covered</v>
      </c>
      <c r="L235" s="9" t="s">
        <v>1249</v>
      </c>
    </row>
    <row r="236" customFormat="false" ht="23.85" hidden="false" customHeight="false" outlineLevel="0" collapsed="false">
      <c r="A236" s="49" t="s">
        <v>578</v>
      </c>
      <c r="B236" s="49" t="s">
        <v>576</v>
      </c>
      <c r="C236" s="5" t="s">
        <v>1258</v>
      </c>
      <c r="D236" s="6" t="s">
        <v>1259</v>
      </c>
      <c r="E236" s="6" t="s">
        <v>720</v>
      </c>
      <c r="F236" s="6" t="s">
        <v>725</v>
      </c>
      <c r="G236" s="6" t="s">
        <v>709</v>
      </c>
      <c r="H236" s="6" t="s">
        <v>637</v>
      </c>
      <c r="I236" s="26" t="n">
        <v>2</v>
      </c>
      <c r="J236" s="26" t="n">
        <f aca="false">COUNTIFS('Control Library'!$A$5:$A$50,"AI-CTRL-024",'Control Library'!$R$5:$R$50,"Implemented")+COUNTIFS('Control Library'!$A$5:$A$50,"AI-CTRL-031",'Control Library'!$R$5:$R$50,"Implemented")</f>
        <v>0</v>
      </c>
      <c r="K236" s="43" t="str">
        <f aca="false">IF(I236=0,"No wiki control",IF(J236=I236,"Fully covered",IF(J236=0,"Not covered","Partly covered")))</f>
        <v>Not covered</v>
      </c>
      <c r="L236" s="9" t="s">
        <v>1249</v>
      </c>
    </row>
    <row r="237" customFormat="false" ht="23.85" hidden="false" customHeight="false" outlineLevel="0" collapsed="false">
      <c r="A237" s="49" t="s">
        <v>578</v>
      </c>
      <c r="B237" s="49" t="s">
        <v>576</v>
      </c>
      <c r="C237" s="5" t="s">
        <v>1260</v>
      </c>
      <c r="D237" s="6" t="s">
        <v>1261</v>
      </c>
      <c r="E237" s="6" t="s">
        <v>1262</v>
      </c>
      <c r="F237" s="6" t="s">
        <v>725</v>
      </c>
      <c r="G237" s="6" t="s">
        <v>1257</v>
      </c>
      <c r="H237" s="6" t="s">
        <v>637</v>
      </c>
      <c r="I237" s="26" t="n">
        <v>2</v>
      </c>
      <c r="J237" s="26" t="n">
        <f aca="false">COUNTIFS('Control Library'!$A$5:$A$50,"AI-CTRL-020",'Control Library'!$R$5:$R$50,"Implemented")+COUNTIFS('Control Library'!$A$5:$A$50,"AI-CTRL-027",'Control Library'!$R$5:$R$50,"Implemented")</f>
        <v>0</v>
      </c>
      <c r="K237" s="43" t="str">
        <f aca="false">IF(I237=0,"No wiki control",IF(J237=I237,"Fully covered",IF(J237=0,"Not covered","Partly covered")))</f>
        <v>Not covered</v>
      </c>
      <c r="L237" s="9" t="s">
        <v>1249</v>
      </c>
    </row>
    <row r="238" customFormat="false" ht="23.85" hidden="false" customHeight="false" outlineLevel="0" collapsed="false">
      <c r="A238" s="49" t="s">
        <v>578</v>
      </c>
      <c r="B238" s="49" t="s">
        <v>576</v>
      </c>
      <c r="C238" s="5" t="s">
        <v>1263</v>
      </c>
      <c r="D238" s="6" t="s">
        <v>1264</v>
      </c>
      <c r="E238" s="6" t="s">
        <v>1265</v>
      </c>
      <c r="F238" s="6" t="s">
        <v>725</v>
      </c>
      <c r="G238" s="6" t="s">
        <v>1266</v>
      </c>
      <c r="H238" s="6" t="s">
        <v>637</v>
      </c>
      <c r="I238" s="26" t="n">
        <v>2</v>
      </c>
      <c r="J238" s="26" t="n">
        <f aca="false">COUNTIFS('Control Library'!$A$5:$A$50,"AI-CTRL-005",'Control Library'!$R$5:$R$50,"Implemented")+COUNTIFS('Control Library'!$A$5:$A$50,"AI-CTRL-022",'Control Library'!$R$5:$R$50,"Implemented")</f>
        <v>0</v>
      </c>
      <c r="K238" s="43" t="str">
        <f aca="false">IF(I238=0,"No wiki control",IF(J238=I238,"Fully covered",IF(J238=0,"Not covered","Partly covered")))</f>
        <v>Not covered</v>
      </c>
      <c r="L238" s="9" t="s">
        <v>1249</v>
      </c>
    </row>
    <row r="239" customFormat="false" ht="23.85" hidden="false" customHeight="false" outlineLevel="0" collapsed="false">
      <c r="A239" s="49" t="s">
        <v>578</v>
      </c>
      <c r="B239" s="49" t="s">
        <v>576</v>
      </c>
      <c r="C239" s="5" t="s">
        <v>1267</v>
      </c>
      <c r="D239" s="6" t="s">
        <v>1268</v>
      </c>
      <c r="E239" s="6" t="s">
        <v>796</v>
      </c>
      <c r="F239" s="6" t="s">
        <v>725</v>
      </c>
      <c r="G239" s="6" t="s">
        <v>1269</v>
      </c>
      <c r="H239" s="6" t="s">
        <v>637</v>
      </c>
      <c r="I239" s="26" t="n">
        <v>2</v>
      </c>
      <c r="J239" s="26" t="n">
        <f aca="false">COUNTIFS('Control Library'!$A$5:$A$50,"AI-CTRL-015",'Control Library'!$R$5:$R$50,"Implemented")+COUNTIFS('Control Library'!$A$5:$A$50,"AI-CTRL-016",'Control Library'!$R$5:$R$50,"Implemented")</f>
        <v>0</v>
      </c>
      <c r="K239" s="43" t="str">
        <f aca="false">IF(I239=0,"No wiki control",IF(J239=I239,"Fully covered",IF(J239=0,"Not covered","Partly covered")))</f>
        <v>Not covered</v>
      </c>
      <c r="L239" s="9" t="s">
        <v>1249</v>
      </c>
    </row>
    <row r="240" customFormat="false" ht="23.85" hidden="false" customHeight="false" outlineLevel="0" collapsed="false">
      <c r="A240" s="49" t="s">
        <v>578</v>
      </c>
      <c r="B240" s="49" t="s">
        <v>576</v>
      </c>
      <c r="C240" s="5" t="s">
        <v>1270</v>
      </c>
      <c r="D240" s="6" t="s">
        <v>1271</v>
      </c>
      <c r="E240" s="6" t="s">
        <v>729</v>
      </c>
      <c r="F240" s="6" t="s">
        <v>725</v>
      </c>
      <c r="G240" s="6" t="s">
        <v>920</v>
      </c>
      <c r="H240" s="6" t="s">
        <v>637</v>
      </c>
      <c r="I240" s="26" t="n">
        <v>2</v>
      </c>
      <c r="J240" s="26" t="n">
        <f aca="false">COUNTIFS('Control Library'!$A$5:$A$50,"AI-CTRL-008",'Control Library'!$R$5:$R$50,"Implemented")+COUNTIFS('Control Library'!$A$5:$A$50,"AI-CTRL-009",'Control Library'!$R$5:$R$50,"Implemented")</f>
        <v>0</v>
      </c>
      <c r="K240" s="43" t="str">
        <f aca="false">IF(I240=0,"No wiki control",IF(J240=I240,"Fully covered",IF(J240=0,"Not covered","Partly covered")))</f>
        <v>Not covered</v>
      </c>
      <c r="L240" s="9" t="s">
        <v>1249</v>
      </c>
    </row>
    <row r="241" customFormat="false" ht="23.85" hidden="false" customHeight="false" outlineLevel="0" collapsed="false">
      <c r="A241" s="49" t="s">
        <v>578</v>
      </c>
      <c r="B241" s="49" t="s">
        <v>576</v>
      </c>
      <c r="C241" s="5" t="s">
        <v>1272</v>
      </c>
      <c r="D241" s="6" t="s">
        <v>1273</v>
      </c>
      <c r="E241" s="6" t="s">
        <v>1274</v>
      </c>
      <c r="F241" s="6" t="s">
        <v>725</v>
      </c>
      <c r="G241" s="6" t="s">
        <v>1275</v>
      </c>
      <c r="H241" s="6" t="s">
        <v>652</v>
      </c>
      <c r="I241" s="26" t="n">
        <v>2</v>
      </c>
      <c r="J241" s="26" t="n">
        <f aca="false">COUNTIFS('Control Library'!$A$5:$A$50,"AI-CTRL-001",'Control Library'!$R$5:$R$50,"Implemented")+COUNTIFS('Control Library'!$A$5:$A$50,"AI-CTRL-024",'Control Library'!$R$5:$R$50,"Implemented")</f>
        <v>0</v>
      </c>
      <c r="K241" s="43" t="str">
        <f aca="false">IF(I241=0,"No wiki control",IF(J241=I241,"Fully covered",IF(J241=0,"Not covered","Partly covered")))</f>
        <v>Not covered</v>
      </c>
      <c r="L241" s="9" t="s">
        <v>1249</v>
      </c>
    </row>
    <row r="242" customFormat="false" ht="23.85" hidden="false" customHeight="false" outlineLevel="0" collapsed="false">
      <c r="A242" s="49" t="s">
        <v>578</v>
      </c>
      <c r="B242" s="49" t="s">
        <v>576</v>
      </c>
      <c r="C242" s="5" t="s">
        <v>1276</v>
      </c>
      <c r="D242" s="6" t="s">
        <v>1277</v>
      </c>
      <c r="E242" s="6" t="s">
        <v>1278</v>
      </c>
      <c r="F242" s="6" t="s">
        <v>725</v>
      </c>
      <c r="G242" s="6" t="s">
        <v>1279</v>
      </c>
      <c r="H242" s="6" t="s">
        <v>652</v>
      </c>
      <c r="I242" s="26" t="n">
        <v>2</v>
      </c>
      <c r="J242" s="26" t="n">
        <f aca="false">COUNTIFS('Control Library'!$A$5:$A$50,"AI-CTRL-018",'Control Library'!$R$5:$R$50,"Implemented")+COUNTIFS('Control Library'!$A$5:$A$50,"AI-CTRL-026",'Control Library'!$R$5:$R$50,"Implemented")</f>
        <v>0</v>
      </c>
      <c r="K242" s="43" t="str">
        <f aca="false">IF(I242=0,"No wiki control",IF(J242=I242,"Fully covered",IF(J242=0,"Not covered","Partly covered")))</f>
        <v>Not covered</v>
      </c>
      <c r="L242" s="9" t="s">
        <v>1249</v>
      </c>
    </row>
    <row r="243" customFormat="false" ht="23.85" hidden="false" customHeight="false" outlineLevel="0" collapsed="false">
      <c r="A243" s="49" t="s">
        <v>579</v>
      </c>
      <c r="B243" s="49" t="s">
        <v>576</v>
      </c>
      <c r="C243" s="5" t="s">
        <v>1280</v>
      </c>
      <c r="D243" s="6" t="s">
        <v>1281</v>
      </c>
      <c r="E243" s="6" t="s">
        <v>1282</v>
      </c>
      <c r="F243" s="6" t="s">
        <v>725</v>
      </c>
      <c r="G243" s="6" t="s">
        <v>1048</v>
      </c>
      <c r="H243" s="6"/>
      <c r="I243" s="26" t="n">
        <v>4</v>
      </c>
      <c r="J243" s="26" t="n">
        <f aca="false">COUNTIFS('Control Library'!$A$5:$A$50,"AI-CTRL-014",'Control Library'!$R$5:$R$50,"Implemented")+COUNTIFS('Control Library'!$A$5:$A$50,"AI-CTRL-024",'Control Library'!$R$5:$R$50,"Implemented")+COUNTIFS('Control Library'!$A$5:$A$50,"AI-CTRL-030",'Control Library'!$R$5:$R$50,"Implemented")+COUNTIFS('Control Library'!$A$5:$A$50,"AI-CTRL-031",'Control Library'!$R$5:$R$50,"Implemented")</f>
        <v>0</v>
      </c>
      <c r="K243" s="43" t="str">
        <f aca="false">IF(I243=0,"No wiki control",IF(J243=I243,"Fully covered",IF(J243=0,"Not covered","Partly covered")))</f>
        <v>Not covered</v>
      </c>
      <c r="L243" s="9" t="s">
        <v>1283</v>
      </c>
    </row>
    <row r="244" customFormat="false" ht="23.85" hidden="false" customHeight="false" outlineLevel="0" collapsed="false">
      <c r="A244" s="49" t="s">
        <v>579</v>
      </c>
      <c r="B244" s="49" t="s">
        <v>576</v>
      </c>
      <c r="C244" s="5" t="s">
        <v>1284</v>
      </c>
      <c r="D244" s="6" t="s">
        <v>1285</v>
      </c>
      <c r="E244" s="6" t="s">
        <v>796</v>
      </c>
      <c r="F244" s="6" t="s">
        <v>725</v>
      </c>
      <c r="G244" s="6" t="s">
        <v>797</v>
      </c>
      <c r="H244" s="6"/>
      <c r="I244" s="26" t="n">
        <v>2</v>
      </c>
      <c r="J244" s="26" t="n">
        <f aca="false">COUNTIFS('Control Library'!$A$5:$A$50,"AI-CTRL-015",'Control Library'!$R$5:$R$50,"Implemented")+COUNTIFS('Control Library'!$A$5:$A$50,"AI-CTRL-016",'Control Library'!$R$5:$R$50,"Implemented")</f>
        <v>0</v>
      </c>
      <c r="K244" s="43" t="str">
        <f aca="false">IF(I244=0,"No wiki control",IF(J244=I244,"Fully covered",IF(J244=0,"Not covered","Partly covered")))</f>
        <v>Not covered</v>
      </c>
      <c r="L244" s="9" t="s">
        <v>1283</v>
      </c>
    </row>
    <row r="245" customFormat="false" ht="23.85" hidden="false" customHeight="false" outlineLevel="0" collapsed="false">
      <c r="A245" s="49" t="s">
        <v>579</v>
      </c>
      <c r="B245" s="49" t="s">
        <v>576</v>
      </c>
      <c r="C245" s="5" t="s">
        <v>1286</v>
      </c>
      <c r="D245" s="6" t="s">
        <v>1287</v>
      </c>
      <c r="E245" s="6" t="s">
        <v>394</v>
      </c>
      <c r="F245" s="6" t="s">
        <v>725</v>
      </c>
      <c r="G245" s="6" t="s">
        <v>398</v>
      </c>
      <c r="H245" s="6"/>
      <c r="I245" s="26" t="n">
        <v>1</v>
      </c>
      <c r="J245" s="26" t="n">
        <f aca="false">COUNTIFS('Control Library'!$A$5:$A$50,"AI-CTRL-028",'Control Library'!$R$5:$R$50,"Implemented")</f>
        <v>0</v>
      </c>
      <c r="K245" s="43" t="str">
        <f aca="false">IF(I245=0,"No wiki control",IF(J245=I245,"Fully covered",IF(J245=0,"Not covered","Partly covered")))</f>
        <v>Not covered</v>
      </c>
      <c r="L245" s="9" t="s">
        <v>1283</v>
      </c>
    </row>
    <row r="246" customFormat="false" ht="23.85" hidden="false" customHeight="false" outlineLevel="0" collapsed="false">
      <c r="A246" s="49" t="s">
        <v>579</v>
      </c>
      <c r="B246" s="49" t="s">
        <v>576</v>
      </c>
      <c r="C246" s="5" t="s">
        <v>1288</v>
      </c>
      <c r="D246" s="6" t="s">
        <v>1289</v>
      </c>
      <c r="E246" s="6" t="s">
        <v>1290</v>
      </c>
      <c r="F246" s="6" t="s">
        <v>725</v>
      </c>
      <c r="G246" s="6" t="s">
        <v>398</v>
      </c>
      <c r="H246" s="6"/>
      <c r="I246" s="26" t="n">
        <v>2</v>
      </c>
      <c r="J246" s="26" t="n">
        <f aca="false">COUNTIFS('Control Library'!$A$5:$A$50,"AI-CTRL-028",'Control Library'!$R$5:$R$50,"Implemented")+COUNTIFS('Control Library'!$A$5:$A$50,"AI-CTRL-030",'Control Library'!$R$5:$R$50,"Implemented")</f>
        <v>0</v>
      </c>
      <c r="K246" s="43" t="str">
        <f aca="false">IF(I246=0,"No wiki control",IF(J246=I246,"Fully covered",IF(J246=0,"Not covered","Partly covered")))</f>
        <v>Not covered</v>
      </c>
      <c r="L246" s="9" t="s">
        <v>1283</v>
      </c>
    </row>
    <row r="247" customFormat="false" ht="23.85" hidden="false" customHeight="false" outlineLevel="0" collapsed="false">
      <c r="A247" s="49" t="s">
        <v>579</v>
      </c>
      <c r="B247" s="49" t="s">
        <v>576</v>
      </c>
      <c r="C247" s="5" t="s">
        <v>1291</v>
      </c>
      <c r="D247" s="6" t="s">
        <v>1292</v>
      </c>
      <c r="E247" s="6" t="s">
        <v>403</v>
      </c>
      <c r="F247" s="6" t="s">
        <v>725</v>
      </c>
      <c r="G247" s="6" t="s">
        <v>398</v>
      </c>
      <c r="H247" s="6"/>
      <c r="I247" s="26" t="n">
        <v>1</v>
      </c>
      <c r="J247" s="26" t="n">
        <f aca="false">COUNTIFS('Control Library'!$A$5:$A$50,"AI-CTRL-029",'Control Library'!$R$5:$R$50,"Implemented")</f>
        <v>0</v>
      </c>
      <c r="K247" s="43" t="str">
        <f aca="false">IF(I247=0,"No wiki control",IF(J247=I247,"Fully covered",IF(J247=0,"Not covered","Partly covered")))</f>
        <v>Not covered</v>
      </c>
      <c r="L247" s="9" t="s">
        <v>1283</v>
      </c>
    </row>
    <row r="248" customFormat="false" ht="23.85" hidden="false" customHeight="false" outlineLevel="0" collapsed="false">
      <c r="A248" s="49" t="s">
        <v>579</v>
      </c>
      <c r="B248" s="49" t="s">
        <v>576</v>
      </c>
      <c r="C248" s="5" t="s">
        <v>1293</v>
      </c>
      <c r="D248" s="6" t="s">
        <v>1294</v>
      </c>
      <c r="E248" s="6" t="s">
        <v>394</v>
      </c>
      <c r="F248" s="6" t="s">
        <v>725</v>
      </c>
      <c r="G248" s="6" t="s">
        <v>398</v>
      </c>
      <c r="H248" s="6"/>
      <c r="I248" s="26" t="n">
        <v>1</v>
      </c>
      <c r="J248" s="26" t="n">
        <f aca="false">COUNTIFS('Control Library'!$A$5:$A$50,"AI-CTRL-028",'Control Library'!$R$5:$R$50,"Implemented")</f>
        <v>0</v>
      </c>
      <c r="K248" s="43" t="str">
        <f aca="false">IF(I248=0,"No wiki control",IF(J248=I248,"Fully covered",IF(J248=0,"Not covered","Partly covered")))</f>
        <v>Not covered</v>
      </c>
      <c r="L248" s="9" t="s">
        <v>1283</v>
      </c>
    </row>
    <row r="249" customFormat="false" ht="23.85" hidden="false" customHeight="false" outlineLevel="0" collapsed="false">
      <c r="A249" s="49" t="s">
        <v>579</v>
      </c>
      <c r="B249" s="49" t="s">
        <v>576</v>
      </c>
      <c r="C249" s="5" t="s">
        <v>1295</v>
      </c>
      <c r="D249" s="6" t="s">
        <v>1296</v>
      </c>
      <c r="E249" s="6" t="s">
        <v>777</v>
      </c>
      <c r="F249" s="6" t="s">
        <v>725</v>
      </c>
      <c r="G249" s="6" t="s">
        <v>778</v>
      </c>
      <c r="H249" s="6"/>
      <c r="I249" s="26" t="n">
        <v>2</v>
      </c>
      <c r="J249" s="26" t="n">
        <f aca="false">COUNTIFS('Control Library'!$A$5:$A$50,"AI-CTRL-017",'Control Library'!$R$5:$R$50,"Implemented")+COUNTIFS('Control Library'!$A$5:$A$50,"AI-CTRL-032",'Control Library'!$R$5:$R$50,"Implemented")</f>
        <v>0</v>
      </c>
      <c r="K249" s="43" t="str">
        <f aca="false">IF(I249=0,"No wiki control",IF(J249=I249,"Fully covered",IF(J249=0,"Not covered","Partly covered")))</f>
        <v>Not covered</v>
      </c>
      <c r="L249" s="9" t="s">
        <v>1283</v>
      </c>
    </row>
    <row r="250" customFormat="false" ht="23.85" hidden="false" customHeight="false" outlineLevel="0" collapsed="false">
      <c r="A250" s="49" t="s">
        <v>579</v>
      </c>
      <c r="B250" s="49" t="s">
        <v>576</v>
      </c>
      <c r="C250" s="5" t="s">
        <v>1297</v>
      </c>
      <c r="D250" s="6" t="s">
        <v>1298</v>
      </c>
      <c r="E250" s="6" t="s">
        <v>766</v>
      </c>
      <c r="F250" s="6" t="s">
        <v>725</v>
      </c>
      <c r="G250" s="6" t="s">
        <v>767</v>
      </c>
      <c r="H250" s="6"/>
      <c r="I250" s="26" t="n">
        <v>2</v>
      </c>
      <c r="J250" s="26" t="n">
        <f aca="false">COUNTIFS('Control Library'!$A$5:$A$50,"AI-CTRL-036",'Control Library'!$R$5:$R$50,"Implemented")+COUNTIFS('Control Library'!$A$5:$A$50,"AI-CTRL-040",'Control Library'!$R$5:$R$50,"Implemented")</f>
        <v>0</v>
      </c>
      <c r="K250" s="43" t="str">
        <f aca="false">IF(I250=0,"No wiki control",IF(J250=I250,"Fully covered",IF(J250=0,"Not covered","Partly covered")))</f>
        <v>Not covered</v>
      </c>
      <c r="L250" s="9" t="s">
        <v>1283</v>
      </c>
    </row>
    <row r="251" customFormat="false" ht="23.85" hidden="false" customHeight="false" outlineLevel="0" collapsed="false">
      <c r="A251" s="49" t="s">
        <v>579</v>
      </c>
      <c r="B251" s="49" t="s">
        <v>576</v>
      </c>
      <c r="C251" s="5" t="s">
        <v>1299</v>
      </c>
      <c r="D251" s="6" t="s">
        <v>1300</v>
      </c>
      <c r="E251" s="6" t="s">
        <v>1301</v>
      </c>
      <c r="F251" s="6" t="s">
        <v>725</v>
      </c>
      <c r="G251" s="6" t="s">
        <v>374</v>
      </c>
      <c r="H251" s="6"/>
      <c r="I251" s="26" t="n">
        <v>2</v>
      </c>
      <c r="J251" s="26" t="n">
        <f aca="false">COUNTIFS('Control Library'!$A$5:$A$50,"AI-CTRL-025",'Control Library'!$R$5:$R$50,"Implemented")+COUNTIFS('Control Library'!$A$5:$A$50,"AI-CTRL-036",'Control Library'!$R$5:$R$50,"Implemented")</f>
        <v>0</v>
      </c>
      <c r="K251" s="43" t="str">
        <f aca="false">IF(I251=0,"No wiki control",IF(J251=I251,"Fully covered",IF(J251=0,"Not covered","Partly covered")))</f>
        <v>Not covered</v>
      </c>
      <c r="L251" s="9" t="s">
        <v>1283</v>
      </c>
    </row>
    <row r="252" customFormat="false" ht="23.85" hidden="false" customHeight="false" outlineLevel="0" collapsed="false">
      <c r="A252" s="49" t="s">
        <v>579</v>
      </c>
      <c r="B252" s="49" t="s">
        <v>576</v>
      </c>
      <c r="C252" s="5" t="s">
        <v>1302</v>
      </c>
      <c r="D252" s="6" t="s">
        <v>1303</v>
      </c>
      <c r="E252" s="6" t="s">
        <v>394</v>
      </c>
      <c r="F252" s="6" t="s">
        <v>725</v>
      </c>
      <c r="G252" s="6" t="s">
        <v>398</v>
      </c>
      <c r="H252" s="6"/>
      <c r="I252" s="26" t="n">
        <v>1</v>
      </c>
      <c r="J252" s="26" t="n">
        <f aca="false">COUNTIFS('Control Library'!$A$5:$A$50,"AI-CTRL-028",'Control Library'!$R$5:$R$50,"Implemented")</f>
        <v>0</v>
      </c>
      <c r="K252" s="43" t="str">
        <f aca="false">IF(I252=0,"No wiki control",IF(J252=I252,"Fully covered",IF(J252=0,"Not covered","Partly covered")))</f>
        <v>Not covered</v>
      </c>
      <c r="L252" s="9" t="s">
        <v>1283</v>
      </c>
    </row>
    <row r="253" customFormat="false" ht="23.85" hidden="false" customHeight="false" outlineLevel="0" collapsed="false">
      <c r="A253" s="49" t="s">
        <v>579</v>
      </c>
      <c r="B253" s="49" t="s">
        <v>576</v>
      </c>
      <c r="C253" s="5" t="s">
        <v>1304</v>
      </c>
      <c r="D253" s="6" t="s">
        <v>1305</v>
      </c>
      <c r="E253" s="6" t="s">
        <v>394</v>
      </c>
      <c r="F253" s="6" t="s">
        <v>725</v>
      </c>
      <c r="G253" s="6" t="s">
        <v>398</v>
      </c>
      <c r="H253" s="6"/>
      <c r="I253" s="26" t="n">
        <v>1</v>
      </c>
      <c r="J253" s="26" t="n">
        <f aca="false">COUNTIFS('Control Library'!$A$5:$A$50,"AI-CTRL-028",'Control Library'!$R$5:$R$50,"Implemented")</f>
        <v>0</v>
      </c>
      <c r="K253" s="43" t="str">
        <f aca="false">IF(I253=0,"No wiki control",IF(J253=I253,"Fully covered",IF(J253=0,"Not covered","Partly covered")))</f>
        <v>Not covered</v>
      </c>
      <c r="L253" s="9" t="s">
        <v>1283</v>
      </c>
    </row>
    <row r="254" customFormat="false" ht="23.85" hidden="false" customHeight="false" outlineLevel="0" collapsed="false">
      <c r="A254" s="49" t="s">
        <v>579</v>
      </c>
      <c r="B254" s="49" t="s">
        <v>576</v>
      </c>
      <c r="C254" s="5" t="s">
        <v>1306</v>
      </c>
      <c r="D254" s="6" t="s">
        <v>1307</v>
      </c>
      <c r="E254" s="6" t="s">
        <v>461</v>
      </c>
      <c r="F254" s="6" t="s">
        <v>725</v>
      </c>
      <c r="G254" s="6" t="s">
        <v>464</v>
      </c>
      <c r="H254" s="6"/>
      <c r="I254" s="26" t="n">
        <v>1</v>
      </c>
      <c r="J254" s="26" t="n">
        <f aca="false">COUNTIFS('Control Library'!$A$5:$A$50,"AI-CTRL-036",'Control Library'!$R$5:$R$50,"Implemented")</f>
        <v>0</v>
      </c>
      <c r="K254" s="43" t="str">
        <f aca="false">IF(I254=0,"No wiki control",IF(J254=I254,"Fully covered",IF(J254=0,"Not covered","Partly covered")))</f>
        <v>Not covered</v>
      </c>
      <c r="L254" s="9" t="s">
        <v>1283</v>
      </c>
    </row>
    <row r="255" customFormat="false" ht="23.85" hidden="false" customHeight="false" outlineLevel="0" collapsed="false">
      <c r="A255" s="49" t="s">
        <v>579</v>
      </c>
      <c r="B255" s="49" t="s">
        <v>576</v>
      </c>
      <c r="C255" s="5" t="s">
        <v>1308</v>
      </c>
      <c r="D255" s="6" t="s">
        <v>1309</v>
      </c>
      <c r="E255" s="6" t="s">
        <v>485</v>
      </c>
      <c r="F255" s="6" t="s">
        <v>725</v>
      </c>
      <c r="G255" s="6" t="s">
        <v>489</v>
      </c>
      <c r="H255" s="6"/>
      <c r="I255" s="26" t="n">
        <v>1</v>
      </c>
      <c r="J255" s="26" t="n">
        <f aca="false">COUNTIFS('Control Library'!$A$5:$A$50,"AI-CTRL-039",'Control Library'!$R$5:$R$50,"Implemented")</f>
        <v>0</v>
      </c>
      <c r="K255" s="43" t="str">
        <f aca="false">IF(I255=0,"No wiki control",IF(J255=I255,"Fully covered",IF(J255=0,"Not covered","Partly covered")))</f>
        <v>Not covered</v>
      </c>
      <c r="L255" s="9" t="s">
        <v>1283</v>
      </c>
    </row>
    <row r="256" customFormat="false" ht="23.85" hidden="false" customHeight="false" outlineLevel="0" collapsed="false">
      <c r="A256" s="49" t="s">
        <v>579</v>
      </c>
      <c r="B256" s="49" t="s">
        <v>576</v>
      </c>
      <c r="C256" s="5" t="s">
        <v>1310</v>
      </c>
      <c r="D256" s="6" t="s">
        <v>1311</v>
      </c>
      <c r="E256" s="6" t="s">
        <v>427</v>
      </c>
      <c r="F256" s="6" t="s">
        <v>725</v>
      </c>
      <c r="G256" s="6" t="s">
        <v>430</v>
      </c>
      <c r="H256" s="6"/>
      <c r="I256" s="26" t="n">
        <v>1</v>
      </c>
      <c r="J256" s="26" t="n">
        <f aca="false">COUNTIFS('Control Library'!$A$5:$A$50,"AI-CTRL-032",'Control Library'!$R$5:$R$50,"Implemented")</f>
        <v>0</v>
      </c>
      <c r="K256" s="43" t="str">
        <f aca="false">IF(I256=0,"No wiki control",IF(J256=I256,"Fully covered",IF(J256=0,"Not covered","Partly covered")))</f>
        <v>Not covered</v>
      </c>
      <c r="L256" s="9" t="s">
        <v>1283</v>
      </c>
    </row>
    <row r="257" customFormat="false" ht="23.85" hidden="false" customHeight="false" outlineLevel="0" collapsed="false">
      <c r="A257" s="49" t="s">
        <v>579</v>
      </c>
      <c r="B257" s="49" t="s">
        <v>576</v>
      </c>
      <c r="C257" s="5" t="s">
        <v>1312</v>
      </c>
      <c r="D257" s="6" t="s">
        <v>1313</v>
      </c>
      <c r="E257" s="6" t="s">
        <v>386</v>
      </c>
      <c r="F257" s="6" t="s">
        <v>725</v>
      </c>
      <c r="G257" s="6" t="s">
        <v>389</v>
      </c>
      <c r="H257" s="6"/>
      <c r="I257" s="26" t="n">
        <v>1</v>
      </c>
      <c r="J257" s="26" t="n">
        <f aca="false">COUNTIFS('Control Library'!$A$5:$A$50,"AI-CTRL-027",'Control Library'!$R$5:$R$50,"Implemented")</f>
        <v>0</v>
      </c>
      <c r="K257" s="43" t="str">
        <f aca="false">IF(I257=0,"No wiki control",IF(J257=I257,"Fully covered",IF(J257=0,"Not covered","Partly covered")))</f>
        <v>Not covered</v>
      </c>
      <c r="L257" s="9" t="s">
        <v>1283</v>
      </c>
    </row>
    <row r="258" customFormat="false" ht="23.85" hidden="false" customHeight="false" outlineLevel="0" collapsed="false">
      <c r="A258" s="49" t="s">
        <v>579</v>
      </c>
      <c r="B258" s="49" t="s">
        <v>576</v>
      </c>
      <c r="C258" s="5" t="s">
        <v>1314</v>
      </c>
      <c r="D258" s="6" t="s">
        <v>1315</v>
      </c>
      <c r="E258" s="6" t="s">
        <v>1316</v>
      </c>
      <c r="F258" s="6" t="s">
        <v>725</v>
      </c>
      <c r="G258" s="6" t="s">
        <v>1317</v>
      </c>
      <c r="H258" s="6"/>
      <c r="I258" s="26" t="n">
        <v>2</v>
      </c>
      <c r="J258" s="26" t="n">
        <f aca="false">COUNTIFS('Control Library'!$A$5:$A$50,"AI-CTRL-005",'Control Library'!$R$5:$R$50,"Implemented")+COUNTIFS('Control Library'!$A$5:$A$50,"AI-CTRL-021",'Control Library'!$R$5:$R$50,"Implemented")</f>
        <v>0</v>
      </c>
      <c r="K258" s="43" t="str">
        <f aca="false">IF(I258=0,"No wiki control",IF(J258=I258,"Fully covered",IF(J258=0,"Not covered","Partly covered")))</f>
        <v>Not covered</v>
      </c>
      <c r="L258" s="9" t="s">
        <v>1283</v>
      </c>
    </row>
    <row r="259" customFormat="false" ht="23.85" hidden="false" customHeight="false" outlineLevel="0" collapsed="false">
      <c r="A259" s="49" t="s">
        <v>579</v>
      </c>
      <c r="B259" s="49" t="s">
        <v>576</v>
      </c>
      <c r="C259" s="5" t="s">
        <v>1318</v>
      </c>
      <c r="D259" s="6" t="s">
        <v>1319</v>
      </c>
      <c r="E259" s="6" t="s">
        <v>1320</v>
      </c>
      <c r="F259" s="6" t="s">
        <v>725</v>
      </c>
      <c r="G259" s="6" t="s">
        <v>1321</v>
      </c>
      <c r="H259" s="6"/>
      <c r="I259" s="26" t="n">
        <v>3</v>
      </c>
      <c r="J259" s="26" t="n">
        <f aca="false">COUNTIFS('Control Library'!$A$5:$A$50,"AI-CTRL-022",'Control Library'!$R$5:$R$50,"Implemented")+COUNTIFS('Control Library'!$A$5:$A$50,"AI-CTRL-023",'Control Library'!$R$5:$R$50,"Implemented")+COUNTIFS('Control Library'!$A$5:$A$50,"AI-CTRL-025",'Control Library'!$R$5:$R$50,"Implemented")</f>
        <v>0</v>
      </c>
      <c r="K259" s="43" t="str">
        <f aca="false">IF(I259=0,"No wiki control",IF(J259=I259,"Fully covered",IF(J259=0,"Not covered","Partly covered")))</f>
        <v>Not covered</v>
      </c>
      <c r="L259" s="9" t="s">
        <v>1283</v>
      </c>
    </row>
    <row r="260" customFormat="false" ht="23.85" hidden="false" customHeight="false" outlineLevel="0" collapsed="false">
      <c r="A260" s="49" t="s">
        <v>579</v>
      </c>
      <c r="B260" s="49" t="s">
        <v>576</v>
      </c>
      <c r="C260" s="5" t="s">
        <v>1322</v>
      </c>
      <c r="D260" s="6" t="s">
        <v>1323</v>
      </c>
      <c r="E260" s="6" t="s">
        <v>199</v>
      </c>
      <c r="F260" s="6" t="s">
        <v>725</v>
      </c>
      <c r="G260" s="6" t="s">
        <v>203</v>
      </c>
      <c r="H260" s="6"/>
      <c r="I260" s="26" t="n">
        <v>1</v>
      </c>
      <c r="J260" s="26" t="n">
        <f aca="false">COUNTIFS('Control Library'!$A$5:$A$50,"AI-CTRL-005",'Control Library'!$R$5:$R$50,"Implemented")</f>
        <v>0</v>
      </c>
      <c r="K260" s="43" t="str">
        <f aca="false">IF(I260=0,"No wiki control",IF(J260=I260,"Fully covered",IF(J260=0,"Not covered","Partly covered")))</f>
        <v>Not covered</v>
      </c>
      <c r="L260" s="9" t="s">
        <v>1283</v>
      </c>
    </row>
    <row r="261" customFormat="false" ht="23.85" hidden="false" customHeight="false" outlineLevel="0" collapsed="false">
      <c r="A261" s="49" t="s">
        <v>579</v>
      </c>
      <c r="B261" s="49" t="s">
        <v>576</v>
      </c>
      <c r="C261" s="5" t="s">
        <v>1324</v>
      </c>
      <c r="D261" s="6" t="s">
        <v>1325</v>
      </c>
      <c r="E261" s="6" t="s">
        <v>1326</v>
      </c>
      <c r="F261" s="6" t="s">
        <v>725</v>
      </c>
      <c r="G261" s="6" t="s">
        <v>1327</v>
      </c>
      <c r="H261" s="6"/>
      <c r="I261" s="26" t="n">
        <v>3</v>
      </c>
      <c r="J261" s="26" t="n">
        <f aca="false">COUNTIFS('Control Library'!$A$5:$A$50,"AI-CTRL-004",'Control Library'!$R$5:$R$50,"Implemented")+COUNTIFS('Control Library'!$A$5:$A$50,"AI-CTRL-016",'Control Library'!$R$5:$R$50,"Implemented")+COUNTIFS('Control Library'!$A$5:$A$50,"AI-CTRL-032",'Control Library'!$R$5:$R$50,"Implemented")</f>
        <v>0</v>
      </c>
      <c r="K261" s="43" t="str">
        <f aca="false">IF(I261=0,"No wiki control",IF(J261=I261,"Fully covered",IF(J261=0,"Not covered","Partly covered")))</f>
        <v>Not covered</v>
      </c>
      <c r="L261" s="9" t="s">
        <v>1283</v>
      </c>
    </row>
    <row r="262" customFormat="false" ht="23.85" hidden="false" customHeight="false" outlineLevel="0" collapsed="false">
      <c r="A262" s="49" t="s">
        <v>579</v>
      </c>
      <c r="B262" s="49" t="s">
        <v>576</v>
      </c>
      <c r="C262" s="5" t="s">
        <v>1328</v>
      </c>
      <c r="D262" s="6" t="s">
        <v>1329</v>
      </c>
      <c r="E262" s="6" t="s">
        <v>199</v>
      </c>
      <c r="F262" s="6" t="s">
        <v>725</v>
      </c>
      <c r="G262" s="6" t="s">
        <v>203</v>
      </c>
      <c r="H262" s="6"/>
      <c r="I262" s="26" t="n">
        <v>1</v>
      </c>
      <c r="J262" s="26" t="n">
        <f aca="false">COUNTIFS('Control Library'!$A$5:$A$50,"AI-CTRL-005",'Control Library'!$R$5:$R$50,"Implemented")</f>
        <v>0</v>
      </c>
      <c r="K262" s="43" t="str">
        <f aca="false">IF(I262=0,"No wiki control",IF(J262=I262,"Fully covered",IF(J262=0,"Not covered","Partly covered")))</f>
        <v>Not covered</v>
      </c>
      <c r="L262" s="9" t="s">
        <v>1283</v>
      </c>
    </row>
    <row r="263" customFormat="false" ht="46.25" hidden="false" customHeight="false" outlineLevel="0" collapsed="false">
      <c r="A263" s="49" t="s">
        <v>579</v>
      </c>
      <c r="B263" s="49" t="s">
        <v>576</v>
      </c>
      <c r="C263" s="5" t="s">
        <v>1330</v>
      </c>
      <c r="D263" s="6" t="s">
        <v>1331</v>
      </c>
      <c r="E263" s="6" t="s">
        <v>1332</v>
      </c>
      <c r="F263" s="6" t="s">
        <v>725</v>
      </c>
      <c r="G263" s="6" t="s">
        <v>1333</v>
      </c>
      <c r="H263" s="6"/>
      <c r="I263" s="26" t="n">
        <v>8</v>
      </c>
      <c r="J263"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f>
        <v>0</v>
      </c>
      <c r="K263" s="43" t="str">
        <f aca="false">IF(I263=0,"No wiki control",IF(J263=I263,"Fully covered",IF(J263=0,"Not covered","Partly covered")))</f>
        <v>Not covered</v>
      </c>
      <c r="L263" s="9" t="s">
        <v>1283</v>
      </c>
    </row>
    <row r="264" customFormat="false" ht="23.85" hidden="false" customHeight="false" outlineLevel="0" collapsed="false">
      <c r="A264" s="49" t="s">
        <v>579</v>
      </c>
      <c r="B264" s="49" t="s">
        <v>576</v>
      </c>
      <c r="C264" s="5" t="s">
        <v>1334</v>
      </c>
      <c r="D264" s="6" t="s">
        <v>1335</v>
      </c>
      <c r="E264" s="6" t="s">
        <v>403</v>
      </c>
      <c r="F264" s="6" t="s">
        <v>725</v>
      </c>
      <c r="G264" s="6" t="s">
        <v>398</v>
      </c>
      <c r="H264" s="6"/>
      <c r="I264" s="26" t="n">
        <v>1</v>
      </c>
      <c r="J264" s="26" t="n">
        <f aca="false">COUNTIFS('Control Library'!$A$5:$A$50,"AI-CTRL-029",'Control Library'!$R$5:$R$50,"Implemented")</f>
        <v>0</v>
      </c>
      <c r="K264" s="43" t="str">
        <f aca="false">IF(I264=0,"No wiki control",IF(J264=I264,"Fully covered",IF(J264=0,"Not covered","Partly covered")))</f>
        <v>Not covered</v>
      </c>
      <c r="L264" s="9" t="s">
        <v>1283</v>
      </c>
    </row>
    <row r="265" customFormat="false" ht="23.85" hidden="false" customHeight="false" outlineLevel="0" collapsed="false">
      <c r="A265" s="49" t="s">
        <v>579</v>
      </c>
      <c r="B265" s="49" t="s">
        <v>576</v>
      </c>
      <c r="C265" s="5" t="s">
        <v>1336</v>
      </c>
      <c r="D265" s="6" t="s">
        <v>1337</v>
      </c>
      <c r="E265" s="6" t="s">
        <v>485</v>
      </c>
      <c r="F265" s="6" t="s">
        <v>725</v>
      </c>
      <c r="G265" s="6" t="s">
        <v>489</v>
      </c>
      <c r="H265" s="6"/>
      <c r="I265" s="26" t="n">
        <v>1</v>
      </c>
      <c r="J265" s="26" t="n">
        <f aca="false">COUNTIFS('Control Library'!$A$5:$A$50,"AI-CTRL-039",'Control Library'!$R$5:$R$50,"Implemented")</f>
        <v>0</v>
      </c>
      <c r="K265" s="43" t="str">
        <f aca="false">IF(I265=0,"No wiki control",IF(J265=I265,"Fully covered",IF(J265=0,"Not covered","Partly covered")))</f>
        <v>Not covered</v>
      </c>
      <c r="L265" s="9" t="s">
        <v>1283</v>
      </c>
    </row>
    <row r="266" customFormat="false" ht="23.85" hidden="false" customHeight="false" outlineLevel="0" collapsed="false">
      <c r="A266" s="49" t="s">
        <v>579</v>
      </c>
      <c r="B266" s="49" t="s">
        <v>576</v>
      </c>
      <c r="C266" s="5" t="s">
        <v>1338</v>
      </c>
      <c r="D266" s="6" t="s">
        <v>1339</v>
      </c>
      <c r="E266" s="6" t="s">
        <v>485</v>
      </c>
      <c r="F266" s="6" t="s">
        <v>725</v>
      </c>
      <c r="G266" s="6" t="s">
        <v>489</v>
      </c>
      <c r="H266" s="6"/>
      <c r="I266" s="26" t="n">
        <v>1</v>
      </c>
      <c r="J266" s="26" t="n">
        <f aca="false">COUNTIFS('Control Library'!$A$5:$A$50,"AI-CTRL-039",'Control Library'!$R$5:$R$50,"Implemented")</f>
        <v>0</v>
      </c>
      <c r="K266" s="43" t="str">
        <f aca="false">IF(I266=0,"No wiki control",IF(J266=I266,"Fully covered",IF(J266=0,"Not covered","Partly covered")))</f>
        <v>Not covered</v>
      </c>
      <c r="L266" s="9" t="s">
        <v>1283</v>
      </c>
    </row>
    <row r="267" customFormat="false" ht="23.85" hidden="false" customHeight="false" outlineLevel="0" collapsed="false">
      <c r="A267" s="49" t="s">
        <v>579</v>
      </c>
      <c r="B267" s="49" t="s">
        <v>576</v>
      </c>
      <c r="C267" s="5" t="s">
        <v>1340</v>
      </c>
      <c r="D267" s="6" t="s">
        <v>1341</v>
      </c>
      <c r="E267" s="6" t="s">
        <v>315</v>
      </c>
      <c r="F267" s="6" t="s">
        <v>725</v>
      </c>
      <c r="G267" s="6" t="s">
        <v>319</v>
      </c>
      <c r="H267" s="6"/>
      <c r="I267" s="26" t="n">
        <v>1</v>
      </c>
      <c r="J267" s="26" t="n">
        <f aca="false">COUNTIFS('Control Library'!$A$5:$A$50,"AI-CTRL-018",'Control Library'!$R$5:$R$50,"Implemented")</f>
        <v>0</v>
      </c>
      <c r="K267" s="43" t="str">
        <f aca="false">IF(I267=0,"No wiki control",IF(J267=I267,"Fully covered",IF(J267=0,"Not covered","Partly covered")))</f>
        <v>Not covered</v>
      </c>
      <c r="L267" s="9" t="s">
        <v>1283</v>
      </c>
    </row>
    <row r="268" customFormat="false" ht="23.85" hidden="false" customHeight="false" outlineLevel="0" collapsed="false">
      <c r="A268" s="49" t="s">
        <v>579</v>
      </c>
      <c r="B268" s="49" t="s">
        <v>576</v>
      </c>
      <c r="C268" s="5" t="s">
        <v>1342</v>
      </c>
      <c r="D268" s="6" t="s">
        <v>1343</v>
      </c>
      <c r="E268" s="6" t="s">
        <v>324</v>
      </c>
      <c r="F268" s="6" t="s">
        <v>725</v>
      </c>
      <c r="G268" s="6" t="s">
        <v>327</v>
      </c>
      <c r="H268" s="6"/>
      <c r="I268" s="26" t="n">
        <v>1</v>
      </c>
      <c r="J268" s="26" t="n">
        <f aca="false">COUNTIFS('Control Library'!$A$5:$A$50,"AI-CTRL-019",'Control Library'!$R$5:$R$50,"Implemented")</f>
        <v>0</v>
      </c>
      <c r="K268" s="43" t="str">
        <f aca="false">IF(I268=0,"No wiki control",IF(J268=I268,"Fully covered",IF(J268=0,"Not covered","Partly covered")))</f>
        <v>Not covered</v>
      </c>
      <c r="L268" s="9" t="s">
        <v>1283</v>
      </c>
    </row>
    <row r="269" customFormat="false" ht="23.85" hidden="false" customHeight="false" outlineLevel="0" collapsed="false">
      <c r="A269" s="49" t="s">
        <v>579</v>
      </c>
      <c r="B269" s="49" t="s">
        <v>576</v>
      </c>
      <c r="C269" s="5" t="s">
        <v>1344</v>
      </c>
      <c r="D269" s="6" t="s">
        <v>1345</v>
      </c>
      <c r="E269" s="6" t="s">
        <v>331</v>
      </c>
      <c r="F269" s="6" t="s">
        <v>725</v>
      </c>
      <c r="G269" s="6" t="s">
        <v>335</v>
      </c>
      <c r="H269" s="6"/>
      <c r="I269" s="26" t="n">
        <v>1</v>
      </c>
      <c r="J269" s="26" t="n">
        <f aca="false">COUNTIFS('Control Library'!$A$5:$A$50,"AI-CTRL-020",'Control Library'!$R$5:$R$50,"Implemented")</f>
        <v>0</v>
      </c>
      <c r="K269" s="43" t="str">
        <f aca="false">IF(I269=0,"No wiki control",IF(J269=I269,"Fully covered",IF(J269=0,"Not covered","Partly covered")))</f>
        <v>Not covered</v>
      </c>
      <c r="L269" s="9" t="s">
        <v>1283</v>
      </c>
    </row>
    <row r="270" customFormat="false" ht="23.85" hidden="false" customHeight="false" outlineLevel="0" collapsed="false">
      <c r="A270" s="49" t="s">
        <v>579</v>
      </c>
      <c r="B270" s="49" t="s">
        <v>576</v>
      </c>
      <c r="C270" s="5" t="s">
        <v>1346</v>
      </c>
      <c r="D270" s="6" t="s">
        <v>1347</v>
      </c>
      <c r="E270" s="6" t="s">
        <v>199</v>
      </c>
      <c r="F270" s="6" t="s">
        <v>725</v>
      </c>
      <c r="G270" s="6" t="s">
        <v>203</v>
      </c>
      <c r="H270" s="6"/>
      <c r="I270" s="26" t="n">
        <v>1</v>
      </c>
      <c r="J270" s="26" t="n">
        <f aca="false">COUNTIFS('Control Library'!$A$5:$A$50,"AI-CTRL-005",'Control Library'!$R$5:$R$50,"Implemented")</f>
        <v>0</v>
      </c>
      <c r="K270" s="43" t="str">
        <f aca="false">IF(I270=0,"No wiki control",IF(J270=I270,"Fully covered",IF(J270=0,"Not covered","Partly covered")))</f>
        <v>Not covered</v>
      </c>
      <c r="L270" s="9" t="s">
        <v>1283</v>
      </c>
    </row>
    <row r="271" customFormat="false" ht="23.85" hidden="false" customHeight="false" outlineLevel="0" collapsed="false">
      <c r="A271" s="49" t="s">
        <v>579</v>
      </c>
      <c r="B271" s="49" t="s">
        <v>576</v>
      </c>
      <c r="C271" s="5" t="s">
        <v>1348</v>
      </c>
      <c r="D271" s="6" t="s">
        <v>1349</v>
      </c>
      <c r="E271" s="6" t="s">
        <v>324</v>
      </c>
      <c r="F271" s="6" t="s">
        <v>725</v>
      </c>
      <c r="G271" s="6" t="s">
        <v>327</v>
      </c>
      <c r="H271" s="6"/>
      <c r="I271" s="26" t="n">
        <v>1</v>
      </c>
      <c r="J271" s="26" t="n">
        <f aca="false">COUNTIFS('Control Library'!$A$5:$A$50,"AI-CTRL-019",'Control Library'!$R$5:$R$50,"Implemented")</f>
        <v>0</v>
      </c>
      <c r="K271" s="43" t="str">
        <f aca="false">IF(I271=0,"No wiki control",IF(J271=I271,"Fully covered",IF(J271=0,"Not covered","Partly covered")))</f>
        <v>Not covered</v>
      </c>
      <c r="L271" s="9" t="s">
        <v>1283</v>
      </c>
    </row>
    <row r="272" customFormat="false" ht="23.85" hidden="false" customHeight="false" outlineLevel="0" collapsed="false">
      <c r="A272" s="49" t="s">
        <v>579</v>
      </c>
      <c r="B272" s="49" t="s">
        <v>576</v>
      </c>
      <c r="C272" s="5" t="s">
        <v>1350</v>
      </c>
      <c r="D272" s="6" t="s">
        <v>1351</v>
      </c>
      <c r="E272" s="6" t="s">
        <v>324</v>
      </c>
      <c r="F272" s="6" t="s">
        <v>725</v>
      </c>
      <c r="G272" s="6" t="s">
        <v>327</v>
      </c>
      <c r="H272" s="6"/>
      <c r="I272" s="26" t="n">
        <v>1</v>
      </c>
      <c r="J272" s="26" t="n">
        <f aca="false">COUNTIFS('Control Library'!$A$5:$A$50,"AI-CTRL-019",'Control Library'!$R$5:$R$50,"Implemented")</f>
        <v>0</v>
      </c>
      <c r="K272" s="43" t="str">
        <f aca="false">IF(I272=0,"No wiki control",IF(J272=I272,"Fully covered",IF(J272=0,"Not covered","Partly covered")))</f>
        <v>Not covered</v>
      </c>
      <c r="L272" s="9" t="s">
        <v>1283</v>
      </c>
    </row>
    <row r="273" customFormat="false" ht="23.85" hidden="false" customHeight="false" outlineLevel="0" collapsed="false">
      <c r="A273" s="49" t="s">
        <v>579</v>
      </c>
      <c r="B273" s="49" t="s">
        <v>576</v>
      </c>
      <c r="C273" s="5" t="s">
        <v>1352</v>
      </c>
      <c r="D273" s="6" t="s">
        <v>1353</v>
      </c>
      <c r="E273" s="6" t="s">
        <v>291</v>
      </c>
      <c r="F273" s="6" t="s">
        <v>725</v>
      </c>
      <c r="G273" s="6" t="s">
        <v>295</v>
      </c>
      <c r="H273" s="6"/>
      <c r="I273" s="26" t="n">
        <v>1</v>
      </c>
      <c r="J273" s="26" t="n">
        <f aca="false">COUNTIFS('Control Library'!$A$5:$A$50,"AI-CTRL-015",'Control Library'!$R$5:$R$50,"Implemented")</f>
        <v>0</v>
      </c>
      <c r="K273" s="43" t="str">
        <f aca="false">IF(I273=0,"No wiki control",IF(J273=I273,"Fully covered",IF(J273=0,"Not covered","Partly covered")))</f>
        <v>Not covered</v>
      </c>
      <c r="L273" s="9" t="s">
        <v>1283</v>
      </c>
    </row>
    <row r="274" customFormat="false" ht="23.85" hidden="false" customHeight="false" outlineLevel="0" collapsed="false">
      <c r="A274" s="49" t="s">
        <v>579</v>
      </c>
      <c r="B274" s="49" t="s">
        <v>576</v>
      </c>
      <c r="C274" s="5" t="s">
        <v>1354</v>
      </c>
      <c r="D274" s="6" t="s">
        <v>1355</v>
      </c>
      <c r="E274" s="6" t="s">
        <v>331</v>
      </c>
      <c r="F274" s="6" t="s">
        <v>725</v>
      </c>
      <c r="G274" s="6" t="s">
        <v>335</v>
      </c>
      <c r="H274" s="6"/>
      <c r="I274" s="26" t="n">
        <v>1</v>
      </c>
      <c r="J274" s="26" t="n">
        <f aca="false">COUNTIFS('Control Library'!$A$5:$A$50,"AI-CTRL-020",'Control Library'!$R$5:$R$50,"Implemented")</f>
        <v>0</v>
      </c>
      <c r="K274" s="43" t="str">
        <f aca="false">IF(I274=0,"No wiki control",IF(J274=I274,"Fully covered",IF(J274=0,"Not covered","Partly covered")))</f>
        <v>Not covered</v>
      </c>
      <c r="L274" s="9" t="s">
        <v>1283</v>
      </c>
    </row>
    <row r="275" customFormat="false" ht="23.85" hidden="false" customHeight="false" outlineLevel="0" collapsed="false">
      <c r="A275" s="49" t="s">
        <v>579</v>
      </c>
      <c r="B275" s="49" t="s">
        <v>576</v>
      </c>
      <c r="C275" s="5" t="s">
        <v>1356</v>
      </c>
      <c r="D275" s="6" t="s">
        <v>1357</v>
      </c>
      <c r="E275" s="6" t="s">
        <v>379</v>
      </c>
      <c r="F275" s="6" t="s">
        <v>725</v>
      </c>
      <c r="G275" s="6" t="s">
        <v>382</v>
      </c>
      <c r="H275" s="6"/>
      <c r="I275" s="26" t="n">
        <v>1</v>
      </c>
      <c r="J275" s="26" t="n">
        <f aca="false">COUNTIFS('Control Library'!$A$5:$A$50,"AI-CTRL-026",'Control Library'!$R$5:$R$50,"Implemented")</f>
        <v>0</v>
      </c>
      <c r="K275" s="43" t="str">
        <f aca="false">IF(I275=0,"No wiki control",IF(J275=I275,"Fully covered",IF(J275=0,"Not covered","Partly covered")))</f>
        <v>Not covered</v>
      </c>
      <c r="L275" s="9" t="s">
        <v>1283</v>
      </c>
    </row>
    <row r="276" customFormat="false" ht="23.85" hidden="false" customHeight="false" outlineLevel="0" collapsed="false">
      <c r="A276" s="49" t="s">
        <v>579</v>
      </c>
      <c r="B276" s="49" t="s">
        <v>576</v>
      </c>
      <c r="C276" s="5" t="s">
        <v>1358</v>
      </c>
      <c r="D276" s="6" t="s">
        <v>1359</v>
      </c>
      <c r="E276" s="6" t="s">
        <v>209</v>
      </c>
      <c r="F276" s="6" t="s">
        <v>725</v>
      </c>
      <c r="G276" s="6" t="s">
        <v>214</v>
      </c>
      <c r="H276" s="6"/>
      <c r="I276" s="26" t="n">
        <v>1</v>
      </c>
      <c r="J276" s="26" t="n">
        <f aca="false">COUNTIFS('Control Library'!$A$5:$A$50,"AI-CTRL-006",'Control Library'!$R$5:$R$50,"Implemented")</f>
        <v>0</v>
      </c>
      <c r="K276" s="43" t="str">
        <f aca="false">IF(I276=0,"No wiki control",IF(J276=I276,"Fully covered",IF(J276=0,"Not covered","Partly covered")))</f>
        <v>Not covered</v>
      </c>
      <c r="L276" s="9" t="s">
        <v>1283</v>
      </c>
    </row>
    <row r="277" customFormat="false" ht="23.85" hidden="false" customHeight="false" outlineLevel="0" collapsed="false">
      <c r="A277" s="49" t="s">
        <v>579</v>
      </c>
      <c r="B277" s="49" t="s">
        <v>576</v>
      </c>
      <c r="C277" s="5" t="s">
        <v>1360</v>
      </c>
      <c r="D277" s="6" t="s">
        <v>1361</v>
      </c>
      <c r="E277" s="6" t="s">
        <v>315</v>
      </c>
      <c r="F277" s="6" t="s">
        <v>725</v>
      </c>
      <c r="G277" s="6" t="s">
        <v>319</v>
      </c>
      <c r="H277" s="6"/>
      <c r="I277" s="26" t="n">
        <v>1</v>
      </c>
      <c r="J277" s="26" t="n">
        <f aca="false">COUNTIFS('Control Library'!$A$5:$A$50,"AI-CTRL-018",'Control Library'!$R$5:$R$50,"Implemented")</f>
        <v>0</v>
      </c>
      <c r="K277" s="43" t="str">
        <f aca="false">IF(I277=0,"No wiki control",IF(J277=I277,"Fully covered",IF(J277=0,"Not covered","Partly covered")))</f>
        <v>Not covered</v>
      </c>
      <c r="L277" s="9" t="s">
        <v>1283</v>
      </c>
    </row>
    <row r="278" customFormat="false" ht="23.85" hidden="false" customHeight="false" outlineLevel="0" collapsed="false">
      <c r="A278" s="49" t="s">
        <v>579</v>
      </c>
      <c r="B278" s="49" t="s">
        <v>576</v>
      </c>
      <c r="C278" s="5" t="s">
        <v>1362</v>
      </c>
      <c r="D278" s="6" t="s">
        <v>1363</v>
      </c>
      <c r="E278" s="6" t="s">
        <v>300</v>
      </c>
      <c r="F278" s="6" t="s">
        <v>725</v>
      </c>
      <c r="G278" s="6" t="s">
        <v>303</v>
      </c>
      <c r="H278" s="6"/>
      <c r="I278" s="26" t="n">
        <v>1</v>
      </c>
      <c r="J278" s="26" t="n">
        <f aca="false">COUNTIFS('Control Library'!$A$5:$A$50,"AI-CTRL-016",'Control Library'!$R$5:$R$50,"Implemented")</f>
        <v>0</v>
      </c>
      <c r="K278" s="43" t="str">
        <f aca="false">IF(I278=0,"No wiki control",IF(J278=I278,"Fully covered",IF(J278=0,"Not covered","Partly covered")))</f>
        <v>Not covered</v>
      </c>
      <c r="L278" s="9" t="s">
        <v>1283</v>
      </c>
    </row>
    <row r="279" customFormat="false" ht="23.85" hidden="false" customHeight="false" outlineLevel="0" collapsed="false">
      <c r="A279" s="49" t="s">
        <v>579</v>
      </c>
      <c r="B279" s="49" t="s">
        <v>576</v>
      </c>
      <c r="C279" s="5" t="s">
        <v>1364</v>
      </c>
      <c r="D279" s="6" t="s">
        <v>1365</v>
      </c>
      <c r="E279" s="6" t="s">
        <v>1366</v>
      </c>
      <c r="F279" s="6" t="s">
        <v>725</v>
      </c>
      <c r="G279" s="6" t="s">
        <v>310</v>
      </c>
      <c r="H279" s="6"/>
      <c r="I279" s="26" t="n">
        <v>2</v>
      </c>
      <c r="J279" s="26" t="n">
        <f aca="false">COUNTIFS('Control Library'!$A$5:$A$50,"AI-CTRL-017",'Control Library'!$R$5:$R$50,"Implemented")+COUNTIFS('Control Library'!$A$5:$A$50,"AI-CTRL-018",'Control Library'!$R$5:$R$50,"Implemented")</f>
        <v>0</v>
      </c>
      <c r="K279" s="43" t="str">
        <f aca="false">IF(I279=0,"No wiki control",IF(J279=I279,"Fully covered",IF(J279=0,"Not covered","Partly covered")))</f>
        <v>Not covered</v>
      </c>
      <c r="L279" s="9" t="s">
        <v>1283</v>
      </c>
    </row>
    <row r="280" customFormat="false" ht="23.85" hidden="false" customHeight="false" outlineLevel="0" collapsed="false">
      <c r="A280" s="49" t="s">
        <v>579</v>
      </c>
      <c r="B280" s="49" t="s">
        <v>576</v>
      </c>
      <c r="C280" s="5" t="s">
        <v>1367</v>
      </c>
      <c r="D280" s="6" t="s">
        <v>1368</v>
      </c>
      <c r="E280" s="6" t="s">
        <v>347</v>
      </c>
      <c r="F280" s="6" t="s">
        <v>725</v>
      </c>
      <c r="G280" s="6" t="s">
        <v>351</v>
      </c>
      <c r="H280" s="6"/>
      <c r="I280" s="26" t="n">
        <v>1</v>
      </c>
      <c r="J280" s="26" t="n">
        <f aca="false">COUNTIFS('Control Library'!$A$5:$A$50,"AI-CTRL-022",'Control Library'!$R$5:$R$50,"Implemented")</f>
        <v>0</v>
      </c>
      <c r="K280" s="43" t="str">
        <f aca="false">IF(I280=0,"No wiki control",IF(J280=I280,"Fully covered",IF(J280=0,"Not covered","Partly covered")))</f>
        <v>Not covered</v>
      </c>
      <c r="L280" s="9" t="s">
        <v>1283</v>
      </c>
    </row>
    <row r="281" customFormat="false" ht="23.85" hidden="false" customHeight="false" outlineLevel="0" collapsed="false">
      <c r="A281" s="49" t="s">
        <v>579</v>
      </c>
      <c r="B281" s="49" t="s">
        <v>576</v>
      </c>
      <c r="C281" s="5" t="s">
        <v>1369</v>
      </c>
      <c r="D281" s="6" t="s">
        <v>1370</v>
      </c>
      <c r="E281" s="6" t="s">
        <v>339</v>
      </c>
      <c r="F281" s="6" t="s">
        <v>725</v>
      </c>
      <c r="G281" s="6" t="s">
        <v>343</v>
      </c>
      <c r="H281" s="6"/>
      <c r="I281" s="26" t="n">
        <v>1</v>
      </c>
      <c r="J281" s="26" t="n">
        <f aca="false">COUNTIFS('Control Library'!$A$5:$A$50,"AI-CTRL-021",'Control Library'!$R$5:$R$50,"Implemented")</f>
        <v>0</v>
      </c>
      <c r="K281" s="43" t="str">
        <f aca="false">IF(I281=0,"No wiki control",IF(J281=I281,"Fully covered",IF(J281=0,"Not covered","Partly covered")))</f>
        <v>Not covered</v>
      </c>
      <c r="L281" s="9" t="s">
        <v>1283</v>
      </c>
    </row>
    <row r="282" customFormat="false" ht="23.85" hidden="false" customHeight="false" outlineLevel="0" collapsed="false">
      <c r="A282" s="49" t="s">
        <v>579</v>
      </c>
      <c r="B282" s="49" t="s">
        <v>576</v>
      </c>
      <c r="C282" s="5" t="s">
        <v>1371</v>
      </c>
      <c r="D282" s="6" t="s">
        <v>1372</v>
      </c>
      <c r="E282" s="6" t="s">
        <v>291</v>
      </c>
      <c r="F282" s="6" t="s">
        <v>725</v>
      </c>
      <c r="G282" s="6" t="s">
        <v>295</v>
      </c>
      <c r="H282" s="6"/>
      <c r="I282" s="26" t="n">
        <v>1</v>
      </c>
      <c r="J282" s="26" t="n">
        <f aca="false">COUNTIFS('Control Library'!$A$5:$A$50,"AI-CTRL-015",'Control Library'!$R$5:$R$50,"Implemented")</f>
        <v>0</v>
      </c>
      <c r="K282" s="43" t="str">
        <f aca="false">IF(I282=0,"No wiki control",IF(J282=I282,"Fully covered",IF(J282=0,"Not covered","Partly covered")))</f>
        <v>Not covered</v>
      </c>
      <c r="L282" s="9" t="s">
        <v>1283</v>
      </c>
    </row>
    <row r="283" customFormat="false" ht="23.85" hidden="false" customHeight="false" outlineLevel="0" collapsed="false">
      <c r="A283" s="49" t="s">
        <v>579</v>
      </c>
      <c r="B283" s="49" t="s">
        <v>576</v>
      </c>
      <c r="C283" s="5" t="s">
        <v>1373</v>
      </c>
      <c r="D283" s="6" t="s">
        <v>1374</v>
      </c>
      <c r="E283" s="6" t="s">
        <v>379</v>
      </c>
      <c r="F283" s="6" t="s">
        <v>725</v>
      </c>
      <c r="G283" s="6" t="s">
        <v>382</v>
      </c>
      <c r="H283" s="6"/>
      <c r="I283" s="26" t="n">
        <v>1</v>
      </c>
      <c r="J283" s="26" t="n">
        <f aca="false">COUNTIFS('Control Library'!$A$5:$A$50,"AI-CTRL-026",'Control Library'!$R$5:$R$50,"Implemented")</f>
        <v>0</v>
      </c>
      <c r="K283" s="43" t="str">
        <f aca="false">IF(I283=0,"No wiki control",IF(J283=I283,"Fully covered",IF(J283=0,"Not covered","Partly covered")))</f>
        <v>Not covered</v>
      </c>
      <c r="L283" s="9" t="s">
        <v>1283</v>
      </c>
    </row>
    <row r="284" customFormat="false" ht="23.85" hidden="false" customHeight="false" outlineLevel="0" collapsed="false">
      <c r="A284" s="49" t="s">
        <v>579</v>
      </c>
      <c r="B284" s="49" t="s">
        <v>576</v>
      </c>
      <c r="C284" s="5" t="s">
        <v>1375</v>
      </c>
      <c r="D284" s="6" t="s">
        <v>1376</v>
      </c>
      <c r="E284" s="6" t="s">
        <v>199</v>
      </c>
      <c r="F284" s="6" t="s">
        <v>725</v>
      </c>
      <c r="G284" s="6" t="s">
        <v>203</v>
      </c>
      <c r="H284" s="6"/>
      <c r="I284" s="26" t="n">
        <v>1</v>
      </c>
      <c r="J284" s="26" t="n">
        <f aca="false">COUNTIFS('Control Library'!$A$5:$A$50,"AI-CTRL-005",'Control Library'!$R$5:$R$50,"Implemented")</f>
        <v>0</v>
      </c>
      <c r="K284" s="43" t="str">
        <f aca="false">IF(I284=0,"No wiki control",IF(J284=I284,"Fully covered",IF(J284=0,"Not covered","Partly covered")))</f>
        <v>Not covered</v>
      </c>
      <c r="L284" s="9" t="s">
        <v>1283</v>
      </c>
    </row>
    <row r="285" customFormat="false" ht="23.85" hidden="false" customHeight="false" outlineLevel="0" collapsed="false">
      <c r="A285" s="49" t="s">
        <v>579</v>
      </c>
      <c r="B285" s="49" t="s">
        <v>576</v>
      </c>
      <c r="C285" s="5" t="s">
        <v>1377</v>
      </c>
      <c r="D285" s="6" t="s">
        <v>1378</v>
      </c>
      <c r="E285" s="6" t="s">
        <v>379</v>
      </c>
      <c r="F285" s="6" t="s">
        <v>725</v>
      </c>
      <c r="G285" s="6" t="s">
        <v>382</v>
      </c>
      <c r="H285" s="6"/>
      <c r="I285" s="26" t="n">
        <v>1</v>
      </c>
      <c r="J285" s="26" t="n">
        <f aca="false">COUNTIFS('Control Library'!$A$5:$A$50,"AI-CTRL-026",'Control Library'!$R$5:$R$50,"Implemented")</f>
        <v>0</v>
      </c>
      <c r="K285" s="43" t="str">
        <f aca="false">IF(I285=0,"No wiki control",IF(J285=I285,"Fully covered",IF(J285=0,"Not covered","Partly covered")))</f>
        <v>Not covered</v>
      </c>
      <c r="L285" s="9" t="s">
        <v>1283</v>
      </c>
    </row>
    <row r="286" customFormat="false" ht="23.85" hidden="false" customHeight="false" outlineLevel="0" collapsed="false">
      <c r="A286" s="49" t="s">
        <v>579</v>
      </c>
      <c r="B286" s="49" t="s">
        <v>576</v>
      </c>
      <c r="C286" s="5" t="s">
        <v>1379</v>
      </c>
      <c r="D286" s="6" t="s">
        <v>1380</v>
      </c>
      <c r="E286" s="6" t="s">
        <v>300</v>
      </c>
      <c r="F286" s="6" t="s">
        <v>725</v>
      </c>
      <c r="G286" s="6" t="s">
        <v>303</v>
      </c>
      <c r="H286" s="6"/>
      <c r="I286" s="26" t="n">
        <v>1</v>
      </c>
      <c r="J286" s="26" t="n">
        <f aca="false">COUNTIFS('Control Library'!$A$5:$A$50,"AI-CTRL-016",'Control Library'!$R$5:$R$50,"Implemented")</f>
        <v>0</v>
      </c>
      <c r="K286" s="43" t="str">
        <f aca="false">IF(I286=0,"No wiki control",IF(J286=I286,"Fully covered",IF(J286=0,"Not covered","Partly covered")))</f>
        <v>Not covered</v>
      </c>
      <c r="L286" s="9" t="s">
        <v>1283</v>
      </c>
    </row>
    <row r="287" customFormat="false" ht="23.85" hidden="false" customHeight="false" outlineLevel="0" collapsed="false">
      <c r="A287" s="49" t="s">
        <v>579</v>
      </c>
      <c r="B287" s="49" t="s">
        <v>576</v>
      </c>
      <c r="C287" s="5" t="s">
        <v>1381</v>
      </c>
      <c r="D287" s="6" t="s">
        <v>1382</v>
      </c>
      <c r="E287" s="6" t="s">
        <v>363</v>
      </c>
      <c r="F287" s="6" t="s">
        <v>725</v>
      </c>
      <c r="G287" s="6" t="s">
        <v>367</v>
      </c>
      <c r="H287" s="6"/>
      <c r="I287" s="26" t="n">
        <v>1</v>
      </c>
      <c r="J287" s="26" t="n">
        <f aca="false">COUNTIFS('Control Library'!$A$5:$A$50,"AI-CTRL-024",'Control Library'!$R$5:$R$50,"Implemented")</f>
        <v>0</v>
      </c>
      <c r="K287" s="43" t="str">
        <f aca="false">IF(I287=0,"No wiki control",IF(J287=I287,"Fully covered",IF(J287=0,"Not covered","Partly covered")))</f>
        <v>Not covered</v>
      </c>
      <c r="L287" s="9" t="s">
        <v>1283</v>
      </c>
    </row>
    <row r="288" customFormat="false" ht="23.85" hidden="false" customHeight="false" outlineLevel="0" collapsed="false">
      <c r="A288" s="49" t="s">
        <v>579</v>
      </c>
      <c r="B288" s="49" t="s">
        <v>576</v>
      </c>
      <c r="C288" s="5" t="s">
        <v>1383</v>
      </c>
      <c r="D288" s="6" t="s">
        <v>1384</v>
      </c>
      <c r="E288" s="6" t="s">
        <v>1385</v>
      </c>
      <c r="F288" s="6" t="s">
        <v>725</v>
      </c>
      <c r="G288" s="6" t="s">
        <v>1386</v>
      </c>
      <c r="H288" s="6"/>
      <c r="I288" s="26" t="n">
        <v>2</v>
      </c>
      <c r="J288" s="26" t="n">
        <f aca="false">COUNTIFS('Control Library'!$A$5:$A$50,"AI-CTRL-022",'Control Library'!$R$5:$R$50,"Implemented")+COUNTIFS('Control Library'!$A$5:$A$50,"AI-CTRL-023",'Control Library'!$R$5:$R$50,"Implemented")</f>
        <v>0</v>
      </c>
      <c r="K288" s="43" t="str">
        <f aca="false">IF(I288=0,"No wiki control",IF(J288=I288,"Fully covered",IF(J288=0,"Not covered","Partly covered")))</f>
        <v>Not covered</v>
      </c>
      <c r="L288" s="9" t="s">
        <v>1283</v>
      </c>
    </row>
    <row r="289" customFormat="false" ht="23.85" hidden="false" customHeight="false" outlineLevel="0" collapsed="false">
      <c r="A289" s="49" t="s">
        <v>579</v>
      </c>
      <c r="B289" s="49" t="s">
        <v>576</v>
      </c>
      <c r="C289" s="5" t="s">
        <v>1387</v>
      </c>
      <c r="D289" s="6" t="s">
        <v>1388</v>
      </c>
      <c r="E289" s="6" t="s">
        <v>386</v>
      </c>
      <c r="F289" s="6" t="s">
        <v>725</v>
      </c>
      <c r="G289" s="6" t="s">
        <v>389</v>
      </c>
      <c r="H289" s="6"/>
      <c r="I289" s="26" t="n">
        <v>1</v>
      </c>
      <c r="J289" s="26" t="n">
        <f aca="false">COUNTIFS('Control Library'!$A$5:$A$50,"AI-CTRL-027",'Control Library'!$R$5:$R$50,"Implemented")</f>
        <v>0</v>
      </c>
      <c r="K289" s="43" t="str">
        <f aca="false">IF(I289=0,"No wiki control",IF(J289=I289,"Fully covered",IF(J289=0,"Not covered","Partly covered")))</f>
        <v>Not covered</v>
      </c>
      <c r="L289" s="9" t="s">
        <v>1283</v>
      </c>
    </row>
    <row r="290" customFormat="false" ht="23.85" hidden="false" customHeight="false" outlineLevel="0" collapsed="false">
      <c r="A290" s="49" t="s">
        <v>579</v>
      </c>
      <c r="B290" s="49" t="s">
        <v>576</v>
      </c>
      <c r="C290" s="5" t="s">
        <v>1389</v>
      </c>
      <c r="D290" s="6" t="s">
        <v>1390</v>
      </c>
      <c r="E290" s="6" t="s">
        <v>386</v>
      </c>
      <c r="F290" s="6" t="s">
        <v>725</v>
      </c>
      <c r="G290" s="6" t="s">
        <v>389</v>
      </c>
      <c r="H290" s="6"/>
      <c r="I290" s="26" t="n">
        <v>1</v>
      </c>
      <c r="J290" s="26" t="n">
        <f aca="false">COUNTIFS('Control Library'!$A$5:$A$50,"AI-CTRL-027",'Control Library'!$R$5:$R$50,"Implemented")</f>
        <v>0</v>
      </c>
      <c r="K290" s="43" t="str">
        <f aca="false">IF(I290=0,"No wiki control",IF(J290=I290,"Fully covered",IF(J290=0,"Not covered","Partly covered")))</f>
        <v>Not covered</v>
      </c>
      <c r="L290" s="9" t="s">
        <v>1283</v>
      </c>
    </row>
    <row r="291" customFormat="false" ht="23.85" hidden="false" customHeight="false" outlineLevel="0" collapsed="false">
      <c r="A291" s="49" t="s">
        <v>579</v>
      </c>
      <c r="B291" s="49" t="s">
        <v>576</v>
      </c>
      <c r="C291" s="5" t="s">
        <v>1391</v>
      </c>
      <c r="D291" s="6" t="s">
        <v>1392</v>
      </c>
      <c r="E291" s="6" t="s">
        <v>1047</v>
      </c>
      <c r="F291" s="6" t="s">
        <v>725</v>
      </c>
      <c r="G291" s="6" t="s">
        <v>1048</v>
      </c>
      <c r="H291" s="6"/>
      <c r="I291" s="26" t="n">
        <v>3</v>
      </c>
      <c r="J291" s="26" t="n">
        <f aca="false">COUNTIFS('Control Library'!$A$5:$A$50,"AI-CTRL-014",'Control Library'!$R$5:$R$50,"Implemented")+COUNTIFS('Control Library'!$A$5:$A$50,"AI-CTRL-024",'Control Library'!$R$5:$R$50,"Implemented")+COUNTIFS('Control Library'!$A$5:$A$50,"AI-CTRL-031",'Control Library'!$R$5:$R$50,"Implemented")</f>
        <v>0</v>
      </c>
      <c r="K291" s="43" t="str">
        <f aca="false">IF(I291=0,"No wiki control",IF(J291=I291,"Fully covered",IF(J291=0,"Not covered","Partly covered")))</f>
        <v>Not covered</v>
      </c>
      <c r="L291" s="9" t="s">
        <v>1283</v>
      </c>
    </row>
    <row r="292" customFormat="false" ht="23.85" hidden="false" customHeight="false" outlineLevel="0" collapsed="false">
      <c r="A292" s="49" t="s">
        <v>579</v>
      </c>
      <c r="B292" s="49" t="s">
        <v>576</v>
      </c>
      <c r="C292" s="5" t="s">
        <v>1393</v>
      </c>
      <c r="D292" s="6" t="s">
        <v>1394</v>
      </c>
      <c r="E292" s="6" t="s">
        <v>363</v>
      </c>
      <c r="F292" s="6" t="s">
        <v>725</v>
      </c>
      <c r="G292" s="6" t="s">
        <v>367</v>
      </c>
      <c r="H292" s="6"/>
      <c r="I292" s="26" t="n">
        <v>1</v>
      </c>
      <c r="J292" s="26" t="n">
        <f aca="false">COUNTIFS('Control Library'!$A$5:$A$50,"AI-CTRL-024",'Control Library'!$R$5:$R$50,"Implemented")</f>
        <v>0</v>
      </c>
      <c r="K292" s="43" t="str">
        <f aca="false">IF(I292=0,"No wiki control",IF(J292=I292,"Fully covered",IF(J292=0,"Not covered","Partly covered")))</f>
        <v>Not covered</v>
      </c>
      <c r="L292" s="9" t="s">
        <v>1283</v>
      </c>
    </row>
    <row r="293" customFormat="false" ht="23.85" hidden="false" customHeight="false" outlineLevel="0" collapsed="false">
      <c r="A293" s="49" t="s">
        <v>579</v>
      </c>
      <c r="B293" s="49" t="s">
        <v>576</v>
      </c>
      <c r="C293" s="5" t="s">
        <v>1395</v>
      </c>
      <c r="D293" s="6" t="s">
        <v>1396</v>
      </c>
      <c r="E293" s="6" t="s">
        <v>419</v>
      </c>
      <c r="F293" s="6" t="s">
        <v>725</v>
      </c>
      <c r="G293" s="6" t="s">
        <v>423</v>
      </c>
      <c r="H293" s="6"/>
      <c r="I293" s="26" t="n">
        <v>1</v>
      </c>
      <c r="J293" s="26" t="n">
        <f aca="false">COUNTIFS('Control Library'!$A$5:$A$50,"AI-CTRL-031",'Control Library'!$R$5:$R$50,"Implemented")</f>
        <v>0</v>
      </c>
      <c r="K293" s="43" t="str">
        <f aca="false">IF(I293=0,"No wiki control",IF(J293=I293,"Fully covered",IF(J293=0,"Not covered","Partly covered")))</f>
        <v>Not covered</v>
      </c>
      <c r="L293" s="9" t="s">
        <v>1283</v>
      </c>
    </row>
    <row r="294" customFormat="false" ht="23.85" hidden="false" customHeight="false" outlineLevel="0" collapsed="false">
      <c r="A294" s="49" t="s">
        <v>579</v>
      </c>
      <c r="B294" s="49" t="s">
        <v>576</v>
      </c>
      <c r="C294" s="5" t="s">
        <v>1397</v>
      </c>
      <c r="D294" s="6" t="s">
        <v>1398</v>
      </c>
      <c r="E294" s="6" t="s">
        <v>419</v>
      </c>
      <c r="F294" s="6" t="s">
        <v>725</v>
      </c>
      <c r="G294" s="6" t="s">
        <v>423</v>
      </c>
      <c r="H294" s="6"/>
      <c r="I294" s="26" t="n">
        <v>1</v>
      </c>
      <c r="J294" s="26" t="n">
        <f aca="false">COUNTIFS('Control Library'!$A$5:$A$50,"AI-CTRL-031",'Control Library'!$R$5:$R$50,"Implemented")</f>
        <v>0</v>
      </c>
      <c r="K294" s="43" t="str">
        <f aca="false">IF(I294=0,"No wiki control",IF(J294=I294,"Fully covered",IF(J294=0,"Not covered","Partly covered")))</f>
        <v>Not covered</v>
      </c>
      <c r="L294" s="9" t="s">
        <v>1283</v>
      </c>
    </row>
    <row r="295" customFormat="false" ht="23.85" hidden="false" customHeight="false" outlineLevel="0" collapsed="false">
      <c r="A295" s="49" t="s">
        <v>579</v>
      </c>
      <c r="B295" s="49" t="s">
        <v>576</v>
      </c>
      <c r="C295" s="5" t="s">
        <v>1399</v>
      </c>
      <c r="D295" s="6" t="s">
        <v>1400</v>
      </c>
      <c r="E295" s="6" t="s">
        <v>412</v>
      </c>
      <c r="F295" s="6" t="s">
        <v>725</v>
      </c>
      <c r="G295" s="6" t="s">
        <v>398</v>
      </c>
      <c r="H295" s="6"/>
      <c r="I295" s="26" t="n">
        <v>1</v>
      </c>
      <c r="J295" s="26" t="n">
        <f aca="false">COUNTIFS('Control Library'!$A$5:$A$50,"AI-CTRL-030",'Control Library'!$R$5:$R$50,"Implemented")</f>
        <v>0</v>
      </c>
      <c r="K295" s="43" t="str">
        <f aca="false">IF(I295=0,"No wiki control",IF(J295=I295,"Fully covered",IF(J295=0,"Not covered","Partly covered")))</f>
        <v>Not covered</v>
      </c>
      <c r="L295" s="9" t="s">
        <v>1283</v>
      </c>
    </row>
    <row r="296" customFormat="false" ht="23.85" hidden="false" customHeight="false" outlineLevel="0" collapsed="false">
      <c r="A296" s="49" t="s">
        <v>579</v>
      </c>
      <c r="B296" s="49" t="s">
        <v>576</v>
      </c>
      <c r="C296" s="5" t="s">
        <v>1401</v>
      </c>
      <c r="D296" s="6" t="s">
        <v>1402</v>
      </c>
      <c r="E296" s="6" t="s">
        <v>339</v>
      </c>
      <c r="F296" s="6" t="s">
        <v>725</v>
      </c>
      <c r="G296" s="6" t="s">
        <v>343</v>
      </c>
      <c r="H296" s="6"/>
      <c r="I296" s="26" t="n">
        <v>1</v>
      </c>
      <c r="J296" s="26" t="n">
        <f aca="false">COUNTIFS('Control Library'!$A$5:$A$50,"AI-CTRL-021",'Control Library'!$R$5:$R$50,"Implemented")</f>
        <v>0</v>
      </c>
      <c r="K296" s="43" t="str">
        <f aca="false">IF(I296=0,"No wiki control",IF(J296=I296,"Fully covered",IF(J296=0,"Not covered","Partly covered")))</f>
        <v>Not covered</v>
      </c>
      <c r="L296" s="9" t="s">
        <v>1283</v>
      </c>
    </row>
    <row r="297" customFormat="false" ht="23.85" hidden="false" customHeight="false" outlineLevel="0" collapsed="false">
      <c r="A297" s="49" t="s">
        <v>579</v>
      </c>
      <c r="B297" s="49" t="s">
        <v>576</v>
      </c>
      <c r="C297" s="5" t="s">
        <v>1403</v>
      </c>
      <c r="D297" s="6" t="s">
        <v>1404</v>
      </c>
      <c r="E297" s="6" t="s">
        <v>427</v>
      </c>
      <c r="F297" s="6" t="s">
        <v>725</v>
      </c>
      <c r="G297" s="6" t="s">
        <v>430</v>
      </c>
      <c r="H297" s="6"/>
      <c r="I297" s="26" t="n">
        <v>1</v>
      </c>
      <c r="J297" s="26" t="n">
        <f aca="false">COUNTIFS('Control Library'!$A$5:$A$50,"AI-CTRL-032",'Control Library'!$R$5:$R$50,"Implemented")</f>
        <v>0</v>
      </c>
      <c r="K297" s="43" t="str">
        <f aca="false">IF(I297=0,"No wiki control",IF(J297=I297,"Fully covered",IF(J297=0,"Not covered","Partly covered")))</f>
        <v>Not covered</v>
      </c>
      <c r="L297" s="9" t="s">
        <v>1283</v>
      </c>
    </row>
    <row r="298" customFormat="false" ht="23.85" hidden="false" customHeight="false" outlineLevel="0" collapsed="false">
      <c r="A298" s="49" t="s">
        <v>580</v>
      </c>
      <c r="B298" s="49" t="s">
        <v>576</v>
      </c>
      <c r="C298" s="5" t="s">
        <v>1405</v>
      </c>
      <c r="D298" s="6" t="s">
        <v>1406</v>
      </c>
      <c r="E298" s="6" t="s">
        <v>394</v>
      </c>
      <c r="F298" s="6" t="s">
        <v>725</v>
      </c>
      <c r="G298" s="6" t="s">
        <v>398</v>
      </c>
      <c r="H298" s="6"/>
      <c r="I298" s="26" t="n">
        <v>1</v>
      </c>
      <c r="J298" s="26" t="n">
        <f aca="false">COUNTIFS('Control Library'!$A$5:$A$50,"AI-CTRL-028",'Control Library'!$R$5:$R$50,"Implemented")</f>
        <v>0</v>
      </c>
      <c r="K298" s="43" t="str">
        <f aca="false">IF(I298=0,"No wiki control",IF(J298=I298,"Fully covered",IF(J298=0,"Not covered","Partly covered")))</f>
        <v>Not covered</v>
      </c>
      <c r="L298" s="9" t="s">
        <v>1283</v>
      </c>
    </row>
    <row r="299" customFormat="false" ht="23.85" hidden="false" customHeight="false" outlineLevel="0" collapsed="false">
      <c r="A299" s="49" t="s">
        <v>580</v>
      </c>
      <c r="B299" s="49" t="s">
        <v>576</v>
      </c>
      <c r="C299" s="5" t="s">
        <v>1407</v>
      </c>
      <c r="D299" s="6" t="s">
        <v>1408</v>
      </c>
      <c r="E299" s="6" t="s">
        <v>1409</v>
      </c>
      <c r="F299" s="6" t="s">
        <v>725</v>
      </c>
      <c r="G299" s="6" t="s">
        <v>1410</v>
      </c>
      <c r="H299" s="6"/>
      <c r="I299" s="26" t="n">
        <v>2</v>
      </c>
      <c r="J299" s="26" t="n">
        <f aca="false">COUNTIFS('Control Library'!$A$5:$A$50,"AI-CTRL-028",'Control Library'!$R$5:$R$50,"Implemented")+COUNTIFS('Control Library'!$A$5:$A$50,"AI-CTRL-036",'Control Library'!$R$5:$R$50,"Implemented")</f>
        <v>0</v>
      </c>
      <c r="K299" s="43" t="str">
        <f aca="false">IF(I299=0,"No wiki control",IF(J299=I299,"Fully covered",IF(J299=0,"Not covered","Partly covered")))</f>
        <v>Not covered</v>
      </c>
      <c r="L299" s="9" t="s">
        <v>1283</v>
      </c>
    </row>
    <row r="300" customFormat="false" ht="23.85" hidden="false" customHeight="false" outlineLevel="0" collapsed="false">
      <c r="A300" s="49" t="s">
        <v>580</v>
      </c>
      <c r="B300" s="49" t="s">
        <v>576</v>
      </c>
      <c r="C300" s="5" t="s">
        <v>1411</v>
      </c>
      <c r="D300" s="6" t="s">
        <v>1412</v>
      </c>
      <c r="E300" s="6" t="s">
        <v>1413</v>
      </c>
      <c r="F300" s="6" t="s">
        <v>725</v>
      </c>
      <c r="G300" s="6" t="s">
        <v>778</v>
      </c>
      <c r="H300" s="6"/>
      <c r="I300" s="26" t="n">
        <v>3</v>
      </c>
      <c r="J300" s="26" t="n">
        <f aca="false">COUNTIFS('Control Library'!$A$5:$A$50,"AI-CTRL-017",'Control Library'!$R$5:$R$50,"Implemented")+COUNTIFS('Control Library'!$A$5:$A$50,"AI-CTRL-028",'Control Library'!$R$5:$R$50,"Implemented")+COUNTIFS('Control Library'!$A$5:$A$50,"AI-CTRL-032",'Control Library'!$R$5:$R$50,"Implemented")</f>
        <v>0</v>
      </c>
      <c r="K300" s="43" t="str">
        <f aca="false">IF(I300=0,"No wiki control",IF(J300=I300,"Fully covered",IF(J300=0,"Not covered","Partly covered")))</f>
        <v>Not covered</v>
      </c>
      <c r="L300" s="9" t="s">
        <v>1283</v>
      </c>
    </row>
    <row r="301" customFormat="false" ht="23.85" hidden="false" customHeight="false" outlineLevel="0" collapsed="false">
      <c r="A301" s="49" t="s">
        <v>580</v>
      </c>
      <c r="B301" s="49" t="s">
        <v>576</v>
      </c>
      <c r="C301" s="5" t="s">
        <v>1414</v>
      </c>
      <c r="D301" s="6" t="s">
        <v>1415</v>
      </c>
      <c r="E301" s="6" t="s">
        <v>403</v>
      </c>
      <c r="F301" s="6" t="s">
        <v>725</v>
      </c>
      <c r="G301" s="6" t="s">
        <v>398</v>
      </c>
      <c r="H301" s="6"/>
      <c r="I301" s="26" t="n">
        <v>1</v>
      </c>
      <c r="J301" s="26" t="n">
        <f aca="false">COUNTIFS('Control Library'!$A$5:$A$50,"AI-CTRL-029",'Control Library'!$R$5:$R$50,"Implemented")</f>
        <v>0</v>
      </c>
      <c r="K301" s="43" t="str">
        <f aca="false">IF(I301=0,"No wiki control",IF(J301=I301,"Fully covered",IF(J301=0,"Not covered","Partly covered")))</f>
        <v>Not covered</v>
      </c>
      <c r="L301" s="9" t="s">
        <v>1283</v>
      </c>
    </row>
    <row r="302" customFormat="false" ht="23.85" hidden="false" customHeight="false" outlineLevel="0" collapsed="false">
      <c r="A302" s="49" t="s">
        <v>580</v>
      </c>
      <c r="B302" s="49" t="s">
        <v>576</v>
      </c>
      <c r="C302" s="5" t="s">
        <v>1416</v>
      </c>
      <c r="D302" s="6" t="s">
        <v>1417</v>
      </c>
      <c r="E302" s="6" t="s">
        <v>394</v>
      </c>
      <c r="F302" s="6" t="s">
        <v>725</v>
      </c>
      <c r="G302" s="6" t="s">
        <v>398</v>
      </c>
      <c r="H302" s="6"/>
      <c r="I302" s="26" t="n">
        <v>1</v>
      </c>
      <c r="J302" s="26" t="n">
        <f aca="false">COUNTIFS('Control Library'!$A$5:$A$50,"AI-CTRL-028",'Control Library'!$R$5:$R$50,"Implemented")</f>
        <v>0</v>
      </c>
      <c r="K302" s="43" t="str">
        <f aca="false">IF(I302=0,"No wiki control",IF(J302=I302,"Fully covered",IF(J302=0,"Not covered","Partly covered")))</f>
        <v>Not covered</v>
      </c>
      <c r="L302" s="9" t="s">
        <v>1283</v>
      </c>
    </row>
    <row r="303" customFormat="false" ht="23.85" hidden="false" customHeight="false" outlineLevel="0" collapsed="false">
      <c r="A303" s="49" t="s">
        <v>580</v>
      </c>
      <c r="B303" s="49" t="s">
        <v>576</v>
      </c>
      <c r="C303" s="5" t="s">
        <v>1418</v>
      </c>
      <c r="D303" s="6" t="s">
        <v>1419</v>
      </c>
      <c r="E303" s="6" t="s">
        <v>386</v>
      </c>
      <c r="F303" s="6" t="s">
        <v>725</v>
      </c>
      <c r="G303" s="6" t="s">
        <v>389</v>
      </c>
      <c r="H303" s="6"/>
      <c r="I303" s="26" t="n">
        <v>1</v>
      </c>
      <c r="J303" s="26" t="n">
        <f aca="false">COUNTIFS('Control Library'!$A$5:$A$50,"AI-CTRL-027",'Control Library'!$R$5:$R$50,"Implemented")</f>
        <v>0</v>
      </c>
      <c r="K303" s="43" t="str">
        <f aca="false">IF(I303=0,"No wiki control",IF(J303=I303,"Fully covered",IF(J303=0,"Not covered","Partly covered")))</f>
        <v>Not covered</v>
      </c>
      <c r="L303" s="9" t="s">
        <v>1283</v>
      </c>
    </row>
    <row r="304" customFormat="false" ht="23.85" hidden="false" customHeight="false" outlineLevel="0" collapsed="false">
      <c r="A304" s="49" t="s">
        <v>580</v>
      </c>
      <c r="B304" s="49" t="s">
        <v>576</v>
      </c>
      <c r="C304" s="5" t="s">
        <v>1420</v>
      </c>
      <c r="D304" s="6" t="s">
        <v>1421</v>
      </c>
      <c r="E304" s="6" t="s">
        <v>777</v>
      </c>
      <c r="F304" s="6" t="s">
        <v>725</v>
      </c>
      <c r="G304" s="6" t="s">
        <v>778</v>
      </c>
      <c r="H304" s="6"/>
      <c r="I304" s="26" t="n">
        <v>2</v>
      </c>
      <c r="J304" s="26" t="n">
        <f aca="false">COUNTIFS('Control Library'!$A$5:$A$50,"AI-CTRL-017",'Control Library'!$R$5:$R$50,"Implemented")+COUNTIFS('Control Library'!$A$5:$A$50,"AI-CTRL-032",'Control Library'!$R$5:$R$50,"Implemented")</f>
        <v>0</v>
      </c>
      <c r="K304" s="43" t="str">
        <f aca="false">IF(I304=0,"No wiki control",IF(J304=I304,"Fully covered",IF(J304=0,"Not covered","Partly covered")))</f>
        <v>Not covered</v>
      </c>
      <c r="L304" s="9" t="s">
        <v>1283</v>
      </c>
    </row>
    <row r="305" customFormat="false" ht="23.85" hidden="false" customHeight="false" outlineLevel="0" collapsed="false">
      <c r="A305" s="49" t="s">
        <v>580</v>
      </c>
      <c r="B305" s="49" t="s">
        <v>576</v>
      </c>
      <c r="C305" s="5" t="s">
        <v>1422</v>
      </c>
      <c r="D305" s="6" t="s">
        <v>1423</v>
      </c>
      <c r="E305" s="6" t="s">
        <v>412</v>
      </c>
      <c r="F305" s="6" t="s">
        <v>725</v>
      </c>
      <c r="G305" s="6" t="s">
        <v>398</v>
      </c>
      <c r="H305" s="6"/>
      <c r="I305" s="26" t="n">
        <v>1</v>
      </c>
      <c r="J305" s="26" t="n">
        <f aca="false">COUNTIFS('Control Library'!$A$5:$A$50,"AI-CTRL-030",'Control Library'!$R$5:$R$50,"Implemented")</f>
        <v>0</v>
      </c>
      <c r="K305" s="43" t="str">
        <f aca="false">IF(I305=0,"No wiki control",IF(J305=I305,"Fully covered",IF(J305=0,"Not covered","Partly covered")))</f>
        <v>Not covered</v>
      </c>
      <c r="L305" s="9" t="s">
        <v>1283</v>
      </c>
    </row>
    <row r="306" customFormat="false" ht="23.85" hidden="false" customHeight="false" outlineLevel="0" collapsed="false">
      <c r="A306" s="49" t="s">
        <v>580</v>
      </c>
      <c r="B306" s="49" t="s">
        <v>576</v>
      </c>
      <c r="C306" s="5" t="s">
        <v>1424</v>
      </c>
      <c r="D306" s="6" t="s">
        <v>1425</v>
      </c>
      <c r="E306" s="6" t="s">
        <v>1426</v>
      </c>
      <c r="F306" s="6" t="s">
        <v>725</v>
      </c>
      <c r="G306" s="6" t="s">
        <v>803</v>
      </c>
      <c r="H306" s="6"/>
      <c r="I306" s="26" t="n">
        <v>3</v>
      </c>
      <c r="J306" s="26" t="n">
        <f aca="false">COUNTIFS('Control Library'!$A$5:$A$50,"AI-CTRL-024",'Control Library'!$R$5:$R$50,"Implemented")+COUNTIFS('Control Library'!$A$5:$A$50,"AI-CTRL-030",'Control Library'!$R$5:$R$50,"Implemented")+COUNTIFS('Control Library'!$A$5:$A$50,"AI-CTRL-031",'Control Library'!$R$5:$R$50,"Implemented")</f>
        <v>0</v>
      </c>
      <c r="K306" s="43" t="str">
        <f aca="false">IF(I306=0,"No wiki control",IF(J306=I306,"Fully covered",IF(J306=0,"Not covered","Partly covered")))</f>
        <v>Not covered</v>
      </c>
      <c r="L306" s="9" t="s">
        <v>1283</v>
      </c>
    </row>
    <row r="307" customFormat="false" ht="23.85" hidden="false" customHeight="false" outlineLevel="0" collapsed="false">
      <c r="A307" s="49" t="s">
        <v>580</v>
      </c>
      <c r="B307" s="49" t="s">
        <v>576</v>
      </c>
      <c r="C307" s="5" t="s">
        <v>1427</v>
      </c>
      <c r="D307" s="6" t="s">
        <v>1428</v>
      </c>
      <c r="E307" s="6" t="s">
        <v>394</v>
      </c>
      <c r="F307" s="6" t="s">
        <v>725</v>
      </c>
      <c r="G307" s="6" t="s">
        <v>398</v>
      </c>
      <c r="H307" s="6"/>
      <c r="I307" s="26" t="n">
        <v>1</v>
      </c>
      <c r="J307" s="26" t="n">
        <f aca="false">COUNTIFS('Control Library'!$A$5:$A$50,"AI-CTRL-028",'Control Library'!$R$5:$R$50,"Implemented")</f>
        <v>0</v>
      </c>
      <c r="K307" s="43" t="str">
        <f aca="false">IF(I307=0,"No wiki control",IF(J307=I307,"Fully covered",IF(J307=0,"Not covered","Partly covered")))</f>
        <v>Not covered</v>
      </c>
      <c r="L307" s="9" t="s">
        <v>1283</v>
      </c>
    </row>
    <row r="308" customFormat="false" ht="23.85" hidden="false" customHeight="false" outlineLevel="0" collapsed="false">
      <c r="A308" s="49" t="s">
        <v>580</v>
      </c>
      <c r="B308" s="49" t="s">
        <v>576</v>
      </c>
      <c r="C308" s="5" t="s">
        <v>1429</v>
      </c>
      <c r="D308" s="6" t="s">
        <v>1430</v>
      </c>
      <c r="E308" s="6" t="s">
        <v>1431</v>
      </c>
      <c r="F308" s="6" t="s">
        <v>725</v>
      </c>
      <c r="G308" s="6" t="s">
        <v>1432</v>
      </c>
      <c r="H308" s="6"/>
      <c r="I308" s="26" t="n">
        <v>2</v>
      </c>
      <c r="J308" s="26" t="n">
        <f aca="false">COUNTIFS('Control Library'!$A$5:$A$50,"AI-CTRL-031",'Control Library'!$R$5:$R$50,"Implemented")+COUNTIFS('Control Library'!$A$5:$A$50,"AI-CTRL-032",'Control Library'!$R$5:$R$50,"Implemented")</f>
        <v>0</v>
      </c>
      <c r="K308" s="43" t="str">
        <f aca="false">IF(I308=0,"No wiki control",IF(J308=I308,"Fully covered",IF(J308=0,"Not covered","Partly covered")))</f>
        <v>Not covered</v>
      </c>
      <c r="L308" s="9" t="s">
        <v>1283</v>
      </c>
    </row>
    <row r="309" customFormat="false" ht="23.85" hidden="false" customHeight="false" outlineLevel="0" collapsed="false">
      <c r="A309" s="49" t="s">
        <v>580</v>
      </c>
      <c r="B309" s="49" t="s">
        <v>576</v>
      </c>
      <c r="C309" s="5" t="s">
        <v>1433</v>
      </c>
      <c r="D309" s="6" t="s">
        <v>1434</v>
      </c>
      <c r="E309" s="6" t="s">
        <v>263</v>
      </c>
      <c r="F309" s="6" t="s">
        <v>725</v>
      </c>
      <c r="G309" s="6" t="s">
        <v>266</v>
      </c>
      <c r="H309" s="6"/>
      <c r="I309" s="26" t="n">
        <v>1</v>
      </c>
      <c r="J309" s="26" t="n">
        <f aca="false">COUNTIFS('Control Library'!$A$5:$A$50,"AI-CTRL-012",'Control Library'!$R$5:$R$50,"Implemented")</f>
        <v>0</v>
      </c>
      <c r="K309" s="43" t="str">
        <f aca="false">IF(I309=0,"No wiki control",IF(J309=I309,"Fully covered",IF(J309=0,"Not covered","Partly covered")))</f>
        <v>Not covered</v>
      </c>
      <c r="L309" s="9" t="s">
        <v>1283</v>
      </c>
    </row>
    <row r="310" customFormat="false" ht="23.85" hidden="false" customHeight="false" outlineLevel="0" collapsed="false">
      <c r="A310" s="49" t="s">
        <v>580</v>
      </c>
      <c r="B310" s="49" t="s">
        <v>576</v>
      </c>
      <c r="C310" s="5" t="s">
        <v>1435</v>
      </c>
      <c r="D310" s="6" t="s">
        <v>1436</v>
      </c>
      <c r="E310" s="6" t="s">
        <v>1437</v>
      </c>
      <c r="F310" s="6" t="s">
        <v>725</v>
      </c>
      <c r="G310" s="6" t="s">
        <v>1438</v>
      </c>
      <c r="H310" s="6"/>
      <c r="I310" s="26" t="n">
        <v>3</v>
      </c>
      <c r="J310" s="26" t="n">
        <f aca="false">COUNTIFS('Control Library'!$A$5:$A$50,"AI-CTRL-015",'Control Library'!$R$5:$R$50,"Implemented")+COUNTIFS('Control Library'!$A$5:$A$50,"AI-CTRL-018",'Control Library'!$R$5:$R$50,"Implemented")+COUNTIFS('Control Library'!$A$5:$A$50,"AI-CTRL-032",'Control Library'!$R$5:$R$50,"Implemented")</f>
        <v>0</v>
      </c>
      <c r="K310" s="43" t="str">
        <f aca="false">IF(I310=0,"No wiki control",IF(J310=I310,"Fully covered",IF(J310=0,"Not covered","Partly covered")))</f>
        <v>Not covered</v>
      </c>
      <c r="L310" s="9" t="s">
        <v>1283</v>
      </c>
    </row>
    <row r="311" customFormat="false" ht="46.25" hidden="false" customHeight="false" outlineLevel="0" collapsed="false">
      <c r="A311" s="49" t="s">
        <v>580</v>
      </c>
      <c r="B311" s="49" t="s">
        <v>576</v>
      </c>
      <c r="C311" s="5" t="s">
        <v>1439</v>
      </c>
      <c r="D311" s="6" t="s">
        <v>1440</v>
      </c>
      <c r="E311" s="6" t="s">
        <v>1441</v>
      </c>
      <c r="F311" s="6" t="s">
        <v>725</v>
      </c>
      <c r="G311" s="6" t="s">
        <v>1442</v>
      </c>
      <c r="H311" s="6"/>
      <c r="I311" s="26" t="n">
        <v>7</v>
      </c>
      <c r="J311" s="26" t="n">
        <f aca="false">COUNTIFS('Control Library'!$A$5:$A$50,"AI-CTRL-002",'Control Library'!$R$5:$R$50,"Implemented")+COUNTIFS('Control Library'!$A$5:$A$50,"AI-CTRL-003",'Control Library'!$R$5:$R$50,"Implemented")+COUNTIFS('Control Library'!$A$5:$A$50,"AI-CTRL-005",'Control Library'!$R$5:$R$50,"Implemented")+COUNTIFS('Control Library'!$A$5:$A$50,"AI-CTRL-010",'Control Library'!$R$5:$R$50,"Implemented")+COUNTIFS('Control Library'!$A$5:$A$50,"AI-CTRL-020",'Control Library'!$R$5:$R$50,"Implemented")+COUNTIFS('Control Library'!$A$5:$A$50,"AI-CTRL-021",'Control Library'!$R$5:$R$50,"Implemented")+COUNTIFS('Control Library'!$A$5:$A$50,"AI-CTRL-039",'Control Library'!$R$5:$R$50,"Implemented")</f>
        <v>0</v>
      </c>
      <c r="K311" s="43" t="str">
        <f aca="false">IF(I311=0,"No wiki control",IF(J311=I311,"Fully covered",IF(J311=0,"Not covered","Partly covered")))</f>
        <v>Not covered</v>
      </c>
      <c r="L311" s="9" t="s">
        <v>1283</v>
      </c>
    </row>
    <row r="312" customFormat="false" ht="23.85" hidden="false" customHeight="false" outlineLevel="0" collapsed="false">
      <c r="A312" s="49" t="s">
        <v>580</v>
      </c>
      <c r="B312" s="49" t="s">
        <v>576</v>
      </c>
      <c r="C312" s="5" t="s">
        <v>1443</v>
      </c>
      <c r="D312" s="6" t="s">
        <v>1444</v>
      </c>
      <c r="E312" s="6" t="s">
        <v>199</v>
      </c>
      <c r="F312" s="6" t="s">
        <v>725</v>
      </c>
      <c r="G312" s="6" t="s">
        <v>203</v>
      </c>
      <c r="H312" s="6"/>
      <c r="I312" s="26" t="n">
        <v>1</v>
      </c>
      <c r="J312" s="26" t="n">
        <f aca="false">COUNTIFS('Control Library'!$A$5:$A$50,"AI-CTRL-005",'Control Library'!$R$5:$R$50,"Implemented")</f>
        <v>0</v>
      </c>
      <c r="K312" s="43" t="str">
        <f aca="false">IF(I312=0,"No wiki control",IF(J312=I312,"Fully covered",IF(J312=0,"Not covered","Partly covered")))</f>
        <v>Not covered</v>
      </c>
      <c r="L312" s="9" t="s">
        <v>1283</v>
      </c>
    </row>
    <row r="313" customFormat="false" ht="23.85" hidden="false" customHeight="false" outlineLevel="0" collapsed="false">
      <c r="A313" s="49" t="s">
        <v>580</v>
      </c>
      <c r="B313" s="49" t="s">
        <v>576</v>
      </c>
      <c r="C313" s="5" t="s">
        <v>1445</v>
      </c>
      <c r="D313" s="6" t="s">
        <v>1446</v>
      </c>
      <c r="E313" s="6" t="s">
        <v>485</v>
      </c>
      <c r="F313" s="6" t="s">
        <v>725</v>
      </c>
      <c r="G313" s="6" t="s">
        <v>489</v>
      </c>
      <c r="H313" s="6"/>
      <c r="I313" s="26" t="n">
        <v>1</v>
      </c>
      <c r="J313" s="26" t="n">
        <f aca="false">COUNTIFS('Control Library'!$A$5:$A$50,"AI-CTRL-039",'Control Library'!$R$5:$R$50,"Implemented")</f>
        <v>0</v>
      </c>
      <c r="K313" s="43" t="str">
        <f aca="false">IF(I313=0,"No wiki control",IF(J313=I313,"Fully covered",IF(J313=0,"Not covered","Partly covered")))</f>
        <v>Not covered</v>
      </c>
      <c r="L313" s="9" t="s">
        <v>1283</v>
      </c>
    </row>
    <row r="314" customFormat="false" ht="23.85" hidden="false" customHeight="false" outlineLevel="0" collapsed="false">
      <c r="A314" s="49" t="s">
        <v>580</v>
      </c>
      <c r="B314" s="49" t="s">
        <v>576</v>
      </c>
      <c r="C314" s="5" t="s">
        <v>1447</v>
      </c>
      <c r="D314" s="6" t="s">
        <v>1448</v>
      </c>
      <c r="E314" s="6" t="s">
        <v>419</v>
      </c>
      <c r="F314" s="6" t="s">
        <v>725</v>
      </c>
      <c r="G314" s="6" t="s">
        <v>423</v>
      </c>
      <c r="H314" s="6"/>
      <c r="I314" s="26" t="n">
        <v>1</v>
      </c>
      <c r="J314" s="26" t="n">
        <f aca="false">COUNTIFS('Control Library'!$A$5:$A$50,"AI-CTRL-031",'Control Library'!$R$5:$R$50,"Implemented")</f>
        <v>0</v>
      </c>
      <c r="K314" s="43" t="str">
        <f aca="false">IF(I314=0,"No wiki control",IF(J314=I314,"Fully covered",IF(J314=0,"Not covered","Partly covered")))</f>
        <v>Not covered</v>
      </c>
      <c r="L314" s="9" t="s">
        <v>1283</v>
      </c>
    </row>
    <row r="315" customFormat="false" ht="23.85" hidden="false" customHeight="false" outlineLevel="0" collapsed="false">
      <c r="A315" s="49" t="s">
        <v>580</v>
      </c>
      <c r="B315" s="49" t="s">
        <v>576</v>
      </c>
      <c r="C315" s="5" t="s">
        <v>1449</v>
      </c>
      <c r="D315" s="6" t="s">
        <v>1450</v>
      </c>
      <c r="E315" s="6" t="s">
        <v>1451</v>
      </c>
      <c r="F315" s="6" t="s">
        <v>725</v>
      </c>
      <c r="G315" s="6" t="s">
        <v>1452</v>
      </c>
      <c r="H315" s="6"/>
      <c r="I315" s="26" t="n">
        <v>4</v>
      </c>
      <c r="J315" s="26" t="n">
        <f aca="false">COUNTIFS('Control Library'!$A$5:$A$50,"AI-CTRL-006",'Control Library'!$R$5:$R$50,"Implemented")+COUNTIFS('Control Library'!$A$5:$A$50,"AI-CTRL-008",'Control Library'!$R$5:$R$50,"Implemented")+COUNTIFS('Control Library'!$A$5:$A$50,"AI-CTRL-009",'Control Library'!$R$5:$R$50,"Implemented")+COUNTIFS('Control Library'!$A$5:$A$50,"AI-CTRL-035",'Control Library'!$R$5:$R$50,"Implemented")</f>
        <v>0</v>
      </c>
      <c r="K315" s="43" t="str">
        <f aca="false">IF(I315=0,"No wiki control",IF(J315=I315,"Fully covered",IF(J315=0,"Not covered","Partly covered")))</f>
        <v>Not covered</v>
      </c>
      <c r="L315" s="9" t="s">
        <v>1283</v>
      </c>
    </row>
    <row r="316" customFormat="false" ht="23.85" hidden="false" customHeight="false" outlineLevel="0" collapsed="false">
      <c r="A316" s="49" t="s">
        <v>580</v>
      </c>
      <c r="B316" s="49" t="s">
        <v>576</v>
      </c>
      <c r="C316" s="5" t="s">
        <v>1453</v>
      </c>
      <c r="D316" s="6" t="s">
        <v>1454</v>
      </c>
      <c r="E316" s="6" t="s">
        <v>871</v>
      </c>
      <c r="F316" s="6" t="s">
        <v>725</v>
      </c>
      <c r="G316" s="6" t="s">
        <v>327</v>
      </c>
      <c r="H316" s="6"/>
      <c r="I316" s="26" t="n">
        <v>2</v>
      </c>
      <c r="J316" s="26" t="n">
        <f aca="false">COUNTIFS('Control Library'!$A$5:$A$50,"AI-CTRL-019",'Control Library'!$R$5:$R$50,"Implemented")+COUNTIFS('Control Library'!$A$5:$A$50,"AI-CTRL-029",'Control Library'!$R$5:$R$50,"Implemented")</f>
        <v>0</v>
      </c>
      <c r="K316" s="43" t="str">
        <f aca="false">IF(I316=0,"No wiki control",IF(J316=I316,"Fully covered",IF(J316=0,"Not covered","Partly covered")))</f>
        <v>Not covered</v>
      </c>
      <c r="L316" s="9" t="s">
        <v>1283</v>
      </c>
    </row>
    <row r="317" customFormat="false" ht="23.85" hidden="false" customHeight="false" outlineLevel="0" collapsed="false">
      <c r="A317" s="49" t="s">
        <v>580</v>
      </c>
      <c r="B317" s="49" t="s">
        <v>576</v>
      </c>
      <c r="C317" s="5" t="s">
        <v>1455</v>
      </c>
      <c r="D317" s="6" t="s">
        <v>1456</v>
      </c>
      <c r="E317" s="6" t="s">
        <v>300</v>
      </c>
      <c r="F317" s="6" t="s">
        <v>725</v>
      </c>
      <c r="G317" s="6" t="s">
        <v>303</v>
      </c>
      <c r="H317" s="6"/>
      <c r="I317" s="26" t="n">
        <v>1</v>
      </c>
      <c r="J317" s="26" t="n">
        <f aca="false">COUNTIFS('Control Library'!$A$5:$A$50,"AI-CTRL-016",'Control Library'!$R$5:$R$50,"Implemented")</f>
        <v>0</v>
      </c>
      <c r="K317" s="43" t="str">
        <f aca="false">IF(I317=0,"No wiki control",IF(J317=I317,"Fully covered",IF(J317=0,"Not covered","Partly covered")))</f>
        <v>Not covered</v>
      </c>
      <c r="L317" s="9" t="s">
        <v>1283</v>
      </c>
    </row>
    <row r="318" customFormat="false" ht="23.85" hidden="false" customHeight="false" outlineLevel="0" collapsed="false">
      <c r="A318" s="49" t="s">
        <v>580</v>
      </c>
      <c r="B318" s="49" t="s">
        <v>576</v>
      </c>
      <c r="C318" s="5" t="s">
        <v>1457</v>
      </c>
      <c r="D318" s="6" t="s">
        <v>1458</v>
      </c>
      <c r="E318" s="6" t="s">
        <v>774</v>
      </c>
      <c r="F318" s="6" t="s">
        <v>725</v>
      </c>
      <c r="G318" s="6" t="s">
        <v>303</v>
      </c>
      <c r="H318" s="6"/>
      <c r="I318" s="26" t="n">
        <v>2</v>
      </c>
      <c r="J318" s="26" t="n">
        <f aca="false">COUNTIFS('Control Library'!$A$5:$A$50,"AI-CTRL-016",'Control Library'!$R$5:$R$50,"Implemented")+COUNTIFS('Control Library'!$A$5:$A$50,"AI-CTRL-018",'Control Library'!$R$5:$R$50,"Implemented")</f>
        <v>0</v>
      </c>
      <c r="K318" s="43" t="str">
        <f aca="false">IF(I318=0,"No wiki control",IF(J318=I318,"Fully covered",IF(J318=0,"Not covered","Partly covered")))</f>
        <v>Not covered</v>
      </c>
      <c r="L318" s="9" t="s">
        <v>1283</v>
      </c>
    </row>
    <row r="319" customFormat="false" ht="23.85" hidden="false" customHeight="false" outlineLevel="0" collapsed="false">
      <c r="A319" s="49" t="s">
        <v>580</v>
      </c>
      <c r="B319" s="49" t="s">
        <v>576</v>
      </c>
      <c r="C319" s="5" t="s">
        <v>1459</v>
      </c>
      <c r="D319" s="6" t="s">
        <v>1460</v>
      </c>
      <c r="E319" s="6" t="s">
        <v>1461</v>
      </c>
      <c r="F319" s="6" t="s">
        <v>725</v>
      </c>
      <c r="G319" s="6" t="s">
        <v>1462</v>
      </c>
      <c r="H319" s="6"/>
      <c r="I319" s="26" t="n">
        <v>3</v>
      </c>
      <c r="J319" s="26" t="n">
        <f aca="false">COUNTIFS('Control Library'!$A$5:$A$50,"AI-CTRL-016",'Control Library'!$R$5:$R$50,"Implemented")+COUNTIFS('Control Library'!$A$5:$A$50,"AI-CTRL-022",'Control Library'!$R$5:$R$50,"Implemented")+COUNTIFS('Control Library'!$A$5:$A$50,"AI-CTRL-024",'Control Library'!$R$5:$R$50,"Implemented")</f>
        <v>0</v>
      </c>
      <c r="K319" s="43" t="str">
        <f aca="false">IF(I319=0,"No wiki control",IF(J319=I319,"Fully covered",IF(J319=0,"Not covered","Partly covered")))</f>
        <v>Not covered</v>
      </c>
      <c r="L319" s="9" t="s">
        <v>1283</v>
      </c>
    </row>
    <row r="320" customFormat="false" ht="23.85" hidden="false" customHeight="false" outlineLevel="0" collapsed="false">
      <c r="A320" s="49" t="s">
        <v>580</v>
      </c>
      <c r="B320" s="49" t="s">
        <v>576</v>
      </c>
      <c r="C320" s="5" t="s">
        <v>1463</v>
      </c>
      <c r="D320" s="6" t="s">
        <v>1464</v>
      </c>
      <c r="E320" s="6" t="s">
        <v>800</v>
      </c>
      <c r="F320" s="6" t="s">
        <v>725</v>
      </c>
      <c r="G320" s="6" t="s">
        <v>541</v>
      </c>
      <c r="H320" s="6"/>
      <c r="I320" s="26" t="n">
        <v>2</v>
      </c>
      <c r="J320" s="26" t="n">
        <f aca="false">COUNTIFS('Control Library'!$A$5:$A$50,"AI-CTRL-023",'Control Library'!$R$5:$R$50,"Implemented")+COUNTIFS('Control Library'!$A$5:$A$50,"AI-CTRL-045",'Control Library'!$R$5:$R$50,"Implemented")</f>
        <v>0</v>
      </c>
      <c r="K320" s="43" t="str">
        <f aca="false">IF(I320=0,"No wiki control",IF(J320=I320,"Fully covered",IF(J320=0,"Not covered","Partly covered")))</f>
        <v>Not covered</v>
      </c>
      <c r="L320" s="9" t="s">
        <v>1283</v>
      </c>
    </row>
    <row r="321" customFormat="false" ht="23.85" hidden="false" customHeight="false" outlineLevel="0" collapsed="false">
      <c r="A321" s="49" t="s">
        <v>580</v>
      </c>
      <c r="B321" s="49" t="s">
        <v>576</v>
      </c>
      <c r="C321" s="5" t="s">
        <v>1465</v>
      </c>
      <c r="D321" s="6" t="s">
        <v>1466</v>
      </c>
      <c r="E321" s="6" t="s">
        <v>347</v>
      </c>
      <c r="F321" s="6" t="s">
        <v>725</v>
      </c>
      <c r="G321" s="6" t="s">
        <v>351</v>
      </c>
      <c r="H321" s="6"/>
      <c r="I321" s="26" t="n">
        <v>1</v>
      </c>
      <c r="J321" s="26" t="n">
        <f aca="false">COUNTIFS('Control Library'!$A$5:$A$50,"AI-CTRL-022",'Control Library'!$R$5:$R$50,"Implemented")</f>
        <v>0</v>
      </c>
      <c r="K321" s="43" t="str">
        <f aca="false">IF(I321=0,"No wiki control",IF(J321=I321,"Fully covered",IF(J321=0,"Not covered","Partly covered")))</f>
        <v>Not covered</v>
      </c>
      <c r="L321" s="9" t="s">
        <v>1283</v>
      </c>
    </row>
    <row r="322" customFormat="false" ht="23.85" hidden="false" customHeight="false" outlineLevel="0" collapsed="false">
      <c r="A322" s="49" t="s">
        <v>580</v>
      </c>
      <c r="B322" s="49" t="s">
        <v>576</v>
      </c>
      <c r="C322" s="5" t="s">
        <v>1467</v>
      </c>
      <c r="D322" s="6" t="s">
        <v>1468</v>
      </c>
      <c r="E322" s="6" t="s">
        <v>379</v>
      </c>
      <c r="F322" s="6" t="s">
        <v>725</v>
      </c>
      <c r="G322" s="6" t="s">
        <v>382</v>
      </c>
      <c r="H322" s="6"/>
      <c r="I322" s="26" t="n">
        <v>1</v>
      </c>
      <c r="J322" s="26" t="n">
        <f aca="false">COUNTIFS('Control Library'!$A$5:$A$50,"AI-CTRL-026",'Control Library'!$R$5:$R$50,"Implemented")</f>
        <v>0</v>
      </c>
      <c r="K322" s="43" t="str">
        <f aca="false">IF(I322=0,"No wiki control",IF(J322=I322,"Fully covered",IF(J322=0,"Not covered","Partly covered")))</f>
        <v>Not covered</v>
      </c>
      <c r="L322" s="9" t="s">
        <v>1283</v>
      </c>
    </row>
    <row r="323" customFormat="false" ht="23.85" hidden="false" customHeight="false" outlineLevel="0" collapsed="false">
      <c r="A323" s="49" t="s">
        <v>580</v>
      </c>
      <c r="B323" s="49" t="s">
        <v>576</v>
      </c>
      <c r="C323" s="5" t="s">
        <v>1469</v>
      </c>
      <c r="D323" s="6" t="s">
        <v>1470</v>
      </c>
      <c r="E323" s="6" t="s">
        <v>386</v>
      </c>
      <c r="F323" s="6" t="s">
        <v>725</v>
      </c>
      <c r="G323" s="6" t="s">
        <v>389</v>
      </c>
      <c r="H323" s="6"/>
      <c r="I323" s="26" t="n">
        <v>1</v>
      </c>
      <c r="J323" s="26" t="n">
        <f aca="false">COUNTIFS('Control Library'!$A$5:$A$50,"AI-CTRL-027",'Control Library'!$R$5:$R$50,"Implemented")</f>
        <v>0</v>
      </c>
      <c r="K323" s="43" t="str">
        <f aca="false">IF(I323=0,"No wiki control",IF(J323=I323,"Fully covered",IF(J323=0,"Not covered","Partly covered")))</f>
        <v>Not covered</v>
      </c>
      <c r="L323" s="9" t="s">
        <v>1283</v>
      </c>
    </row>
    <row r="324" customFormat="false" ht="23.85" hidden="false" customHeight="false" outlineLevel="0" collapsed="false">
      <c r="A324" s="49" t="s">
        <v>580</v>
      </c>
      <c r="B324" s="49" t="s">
        <v>576</v>
      </c>
      <c r="C324" s="5" t="s">
        <v>1471</v>
      </c>
      <c r="D324" s="6" t="s">
        <v>1472</v>
      </c>
      <c r="E324" s="6" t="s">
        <v>1473</v>
      </c>
      <c r="F324" s="6" t="s">
        <v>725</v>
      </c>
      <c r="G324" s="6" t="s">
        <v>1474</v>
      </c>
      <c r="H324" s="6"/>
      <c r="I324" s="26" t="n">
        <v>3</v>
      </c>
      <c r="J324" s="26" t="n">
        <f aca="false">COUNTIFS('Control Library'!$A$5:$A$50,"AI-CTRL-005",'Control Library'!$R$5:$R$50,"Implemented")+COUNTIFS('Control Library'!$A$5:$A$50,"AI-CTRL-020",'Control Library'!$R$5:$R$50,"Implemented")+COUNTIFS('Control Library'!$A$5:$A$50,"AI-CTRL-022",'Control Library'!$R$5:$R$50,"Implemented")</f>
        <v>0</v>
      </c>
      <c r="K324" s="43" t="str">
        <f aca="false">IF(I324=0,"No wiki control",IF(J324=I324,"Fully covered",IF(J324=0,"Not covered","Partly covered")))</f>
        <v>Not covered</v>
      </c>
      <c r="L324" s="9" t="s">
        <v>1283</v>
      </c>
    </row>
    <row r="325" customFormat="false" ht="23.85" hidden="false" customHeight="false" outlineLevel="0" collapsed="false">
      <c r="A325" s="49" t="s">
        <v>580</v>
      </c>
      <c r="B325" s="49" t="s">
        <v>576</v>
      </c>
      <c r="C325" s="5" t="s">
        <v>1475</v>
      </c>
      <c r="D325" s="6" t="s">
        <v>1476</v>
      </c>
      <c r="E325" s="6" t="s">
        <v>339</v>
      </c>
      <c r="F325" s="6" t="s">
        <v>725</v>
      </c>
      <c r="G325" s="6" t="s">
        <v>343</v>
      </c>
      <c r="H325" s="6"/>
      <c r="I325" s="26" t="n">
        <v>1</v>
      </c>
      <c r="J325" s="26" t="n">
        <f aca="false">COUNTIFS('Control Library'!$A$5:$A$50,"AI-CTRL-021",'Control Library'!$R$5:$R$50,"Implemented")</f>
        <v>0</v>
      </c>
      <c r="K325" s="43" t="str">
        <f aca="false">IF(I325=0,"No wiki control",IF(J325=I325,"Fully covered",IF(J325=0,"Not covered","Partly covered")))</f>
        <v>Not covered</v>
      </c>
      <c r="L325" s="9" t="s">
        <v>1283</v>
      </c>
    </row>
    <row r="326" customFormat="false" ht="23.85" hidden="false" customHeight="false" outlineLevel="0" collapsed="false">
      <c r="A326" s="49" t="s">
        <v>580</v>
      </c>
      <c r="B326" s="49" t="s">
        <v>576</v>
      </c>
      <c r="C326" s="5" t="s">
        <v>1477</v>
      </c>
      <c r="D326" s="6" t="s">
        <v>1478</v>
      </c>
      <c r="E326" s="6" t="s">
        <v>443</v>
      </c>
      <c r="F326" s="6" t="s">
        <v>725</v>
      </c>
      <c r="G326" s="6" t="s">
        <v>446</v>
      </c>
      <c r="H326" s="6"/>
      <c r="I326" s="26" t="n">
        <v>1</v>
      </c>
      <c r="J326" s="26" t="n">
        <f aca="false">COUNTIFS('Control Library'!$A$5:$A$50,"AI-CTRL-034",'Control Library'!$R$5:$R$50,"Implemented")</f>
        <v>0</v>
      </c>
      <c r="K326" s="43" t="str">
        <f aca="false">IF(I326=0,"No wiki control",IF(J326=I326,"Fully covered",IF(J326=0,"Not covered","Partly covered")))</f>
        <v>Not covered</v>
      </c>
      <c r="L326" s="9" t="s">
        <v>1283</v>
      </c>
    </row>
    <row r="327" customFormat="false" ht="23.85" hidden="false" customHeight="false" outlineLevel="0" collapsed="false">
      <c r="A327" s="49" t="s">
        <v>580</v>
      </c>
      <c r="B327" s="49" t="s">
        <v>576</v>
      </c>
      <c r="C327" s="5" t="s">
        <v>1479</v>
      </c>
      <c r="D327" s="6" t="s">
        <v>1480</v>
      </c>
      <c r="E327" s="6" t="s">
        <v>907</v>
      </c>
      <c r="F327" s="6" t="s">
        <v>725</v>
      </c>
      <c r="G327" s="6" t="s">
        <v>1481</v>
      </c>
      <c r="H327" s="6"/>
      <c r="I327" s="26" t="n">
        <v>3</v>
      </c>
      <c r="J327" s="26" t="n">
        <f aca="false">COUNTIFS('Control Library'!$A$5:$A$50,"AI-CTRL-025",'Control Library'!$R$5:$R$50,"Implemented")+COUNTIFS('Control Library'!$A$5:$A$50,"AI-CTRL-036",'Control Library'!$R$5:$R$50,"Implemented")+COUNTIFS('Control Library'!$A$5:$A$50,"AI-CTRL-040",'Control Library'!$R$5:$R$50,"Implemented")</f>
        <v>0</v>
      </c>
      <c r="K327" s="43" t="str">
        <f aca="false">IF(I327=0,"No wiki control",IF(J327=I327,"Fully covered",IF(J327=0,"Not covered","Partly covered")))</f>
        <v>Not covered</v>
      </c>
      <c r="L327" s="9" t="s">
        <v>1283</v>
      </c>
    </row>
    <row r="328" customFormat="false" ht="23.85" hidden="false" customHeight="false" outlineLevel="0" collapsed="false">
      <c r="A328" s="49" t="s">
        <v>580</v>
      </c>
      <c r="B328" s="49" t="s">
        <v>576</v>
      </c>
      <c r="C328" s="5" t="s">
        <v>1482</v>
      </c>
      <c r="D328" s="6" t="s">
        <v>1483</v>
      </c>
      <c r="E328" s="6" t="s">
        <v>371</v>
      </c>
      <c r="F328" s="6" t="s">
        <v>725</v>
      </c>
      <c r="G328" s="6" t="s">
        <v>374</v>
      </c>
      <c r="H328" s="6"/>
      <c r="I328" s="26" t="n">
        <v>1</v>
      </c>
      <c r="J328" s="26" t="n">
        <f aca="false">COUNTIFS('Control Library'!$A$5:$A$50,"AI-CTRL-025",'Control Library'!$R$5:$R$50,"Implemented")</f>
        <v>0</v>
      </c>
      <c r="K328" s="43" t="str">
        <f aca="false">IF(I328=0,"No wiki control",IF(J328=I328,"Fully covered",IF(J328=0,"Not covered","Partly covered")))</f>
        <v>Not covered</v>
      </c>
      <c r="L328" s="9" t="s">
        <v>1283</v>
      </c>
    </row>
    <row r="329" customFormat="false" ht="23.85" hidden="false" customHeight="false" outlineLevel="0" collapsed="false">
      <c r="A329" s="49" t="s">
        <v>580</v>
      </c>
      <c r="B329" s="49" t="s">
        <v>576</v>
      </c>
      <c r="C329" s="5" t="s">
        <v>1484</v>
      </c>
      <c r="D329" s="6" t="s">
        <v>1485</v>
      </c>
      <c r="E329" s="6" t="s">
        <v>209</v>
      </c>
      <c r="F329" s="6" t="s">
        <v>725</v>
      </c>
      <c r="G329" s="6" t="s">
        <v>214</v>
      </c>
      <c r="H329" s="6"/>
      <c r="I329" s="26" t="n">
        <v>1</v>
      </c>
      <c r="J329" s="26" t="n">
        <f aca="false">COUNTIFS('Control Library'!$A$5:$A$50,"AI-CTRL-006",'Control Library'!$R$5:$R$50,"Implemented")</f>
        <v>0</v>
      </c>
      <c r="K329" s="43" t="str">
        <f aca="false">IF(I329=0,"No wiki control",IF(J329=I329,"Fully covered",IF(J329=0,"Not covered","Partly covered")))</f>
        <v>Not covered</v>
      </c>
      <c r="L329" s="9" t="s">
        <v>1283</v>
      </c>
    </row>
    <row r="330" customFormat="false" ht="35.05" hidden="false" customHeight="false" outlineLevel="0" collapsed="false">
      <c r="A330" s="49" t="s">
        <v>581</v>
      </c>
      <c r="B330" s="49" t="s">
        <v>576</v>
      </c>
      <c r="C330" s="5" t="s">
        <v>1486</v>
      </c>
      <c r="D330" s="6" t="s">
        <v>1487</v>
      </c>
      <c r="E330" s="6" t="s">
        <v>1488</v>
      </c>
      <c r="F330" s="6" t="s">
        <v>725</v>
      </c>
      <c r="G330" s="6" t="s">
        <v>1489</v>
      </c>
      <c r="H330" s="6"/>
      <c r="I330" s="26" t="n">
        <v>7</v>
      </c>
      <c r="J330" s="26" t="n">
        <f aca="false">COUNTIFS('Control Library'!$A$5:$A$50,"AI-CTRL-006",'Control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f>
        <v>0</v>
      </c>
      <c r="K330" s="43" t="str">
        <f aca="false">IF(I330=0,"No wiki control",IF(J330=I330,"Fully covered",IF(J330=0,"Not covered","Partly covered")))</f>
        <v>Not covered</v>
      </c>
      <c r="L330" s="9" t="s">
        <v>1490</v>
      </c>
    </row>
    <row r="331" customFormat="false" ht="23.85" hidden="false" customHeight="false" outlineLevel="0" collapsed="false">
      <c r="A331" s="49" t="s">
        <v>581</v>
      </c>
      <c r="B331" s="49" t="s">
        <v>576</v>
      </c>
      <c r="C331" s="5" t="s">
        <v>1491</v>
      </c>
      <c r="D331" s="6" t="s">
        <v>1492</v>
      </c>
      <c r="E331" s="6" t="s">
        <v>443</v>
      </c>
      <c r="F331" s="6" t="s">
        <v>725</v>
      </c>
      <c r="G331" s="6" t="s">
        <v>446</v>
      </c>
      <c r="H331" s="6"/>
      <c r="I331" s="26" t="n">
        <v>1</v>
      </c>
      <c r="J331" s="26" t="n">
        <f aca="false">COUNTIFS('Control Library'!$A$5:$A$50,"AI-CTRL-034",'Control Library'!$R$5:$R$50,"Implemented")</f>
        <v>0</v>
      </c>
      <c r="K331" s="43" t="str">
        <f aca="false">IF(I331=0,"No wiki control",IF(J331=I331,"Fully covered",IF(J331=0,"Not covered","Partly covered")))</f>
        <v>Not covered</v>
      </c>
      <c r="L331" s="9" t="s">
        <v>1490</v>
      </c>
    </row>
    <row r="332" customFormat="false" ht="23.85" hidden="false" customHeight="false" outlineLevel="0" collapsed="false">
      <c r="A332" s="49" t="s">
        <v>581</v>
      </c>
      <c r="B332" s="49" t="s">
        <v>576</v>
      </c>
      <c r="C332" s="5" t="s">
        <v>1493</v>
      </c>
      <c r="D332" s="6" t="s">
        <v>1494</v>
      </c>
      <c r="E332" s="6"/>
      <c r="F332" s="6" t="s">
        <v>635</v>
      </c>
      <c r="G332" s="6"/>
      <c r="H332" s="6"/>
      <c r="I332" s="26" t="n">
        <v>0</v>
      </c>
      <c r="J332" s="26" t="n">
        <f aca="false">0</f>
        <v>0</v>
      </c>
      <c r="K332" s="43" t="str">
        <f aca="false">IF(I332=0,"No wiki control",IF(J332=I332,"Fully covered",IF(J332=0,"Not covered","Partly covered")))</f>
        <v>No wiki control</v>
      </c>
      <c r="L332" s="9" t="s">
        <v>1490</v>
      </c>
    </row>
    <row r="333" customFormat="false" ht="23.85" hidden="false" customHeight="false" outlineLevel="0" collapsed="false">
      <c r="A333" s="49" t="s">
        <v>581</v>
      </c>
      <c r="B333" s="49" t="s">
        <v>576</v>
      </c>
      <c r="C333" s="5" t="s">
        <v>1495</v>
      </c>
      <c r="D333" s="6" t="s">
        <v>1496</v>
      </c>
      <c r="E333" s="6" t="s">
        <v>1497</v>
      </c>
      <c r="F333" s="6" t="s">
        <v>725</v>
      </c>
      <c r="G333" s="6" t="s">
        <v>423</v>
      </c>
      <c r="H333" s="6"/>
      <c r="I333" s="26" t="n">
        <v>3</v>
      </c>
      <c r="J333" s="26" t="n">
        <f aca="false">COUNTIFS('Control Library'!$A$5:$A$50,"AI-CTRL-028",'Control Library'!$R$5:$R$50,"Implemented")+COUNTIFS('Control Library'!$A$5:$A$50,"AI-CTRL-030",'Control Library'!$R$5:$R$50,"Implemented")+COUNTIFS('Control Library'!$A$5:$A$50,"AI-CTRL-031",'Control Library'!$R$5:$R$50,"Implemented")</f>
        <v>0</v>
      </c>
      <c r="K333" s="43" t="str">
        <f aca="false">IF(I333=0,"No wiki control",IF(J333=I333,"Fully covered",IF(J333=0,"Not covered","Partly covered")))</f>
        <v>Not covered</v>
      </c>
      <c r="L333" s="9" t="s">
        <v>1490</v>
      </c>
    </row>
    <row r="334" customFormat="false" ht="23.85" hidden="false" customHeight="false" outlineLevel="0" collapsed="false">
      <c r="A334" s="49" t="s">
        <v>581</v>
      </c>
      <c r="B334" s="49" t="s">
        <v>576</v>
      </c>
      <c r="C334" s="5" t="s">
        <v>1498</v>
      </c>
      <c r="D334" s="6" t="s">
        <v>1499</v>
      </c>
      <c r="E334" s="6" t="s">
        <v>1500</v>
      </c>
      <c r="F334" s="6" t="s">
        <v>725</v>
      </c>
      <c r="G334" s="6" t="s">
        <v>1501</v>
      </c>
      <c r="H334" s="6"/>
      <c r="I334" s="26" t="n">
        <v>2</v>
      </c>
      <c r="J334" s="26" t="n">
        <f aca="false">COUNTIFS('Control Library'!$A$5:$A$50,"AI-CTRL-029",'Control Library'!$R$5:$R$50,"Implemented")+COUNTIFS('Control Library'!$A$5:$A$50,"AI-CTRL-034",'Control Library'!$R$5:$R$50,"Implemented")</f>
        <v>0</v>
      </c>
      <c r="K334" s="43" t="str">
        <f aca="false">IF(I334=0,"No wiki control",IF(J334=I334,"Fully covered",IF(J334=0,"Not covered","Partly covered")))</f>
        <v>Not covered</v>
      </c>
      <c r="L334" s="9" t="s">
        <v>1490</v>
      </c>
    </row>
    <row r="335" customFormat="false" ht="23.85" hidden="false" customHeight="false" outlineLevel="0" collapsed="false">
      <c r="A335" s="49" t="s">
        <v>581</v>
      </c>
      <c r="B335" s="49" t="s">
        <v>576</v>
      </c>
      <c r="C335" s="5" t="s">
        <v>1502</v>
      </c>
      <c r="D335" s="6" t="s">
        <v>1503</v>
      </c>
      <c r="E335" s="6" t="s">
        <v>1504</v>
      </c>
      <c r="F335" s="6" t="s">
        <v>725</v>
      </c>
      <c r="G335" s="6" t="s">
        <v>1501</v>
      </c>
      <c r="H335" s="6"/>
      <c r="I335" s="26" t="n">
        <v>3</v>
      </c>
      <c r="J335" s="26" t="n">
        <f aca="false">COUNTIFS('Control Library'!$A$5:$A$50,"AI-CTRL-019",'Control Library'!$R$5:$R$50,"Implemented")+COUNTIFS('Control Library'!$A$5:$A$50,"AI-CTRL-029",'Control Library'!$R$5:$R$50,"Implemented")+COUNTIFS('Control Library'!$A$5:$A$50,"AI-CTRL-034",'Control Library'!$R$5:$R$50,"Implemented")</f>
        <v>0</v>
      </c>
      <c r="K335" s="43" t="str">
        <f aca="false">IF(I335=0,"No wiki control",IF(J335=I335,"Fully covered",IF(J335=0,"Not covered","Partly covered")))</f>
        <v>Not covered</v>
      </c>
      <c r="L335" s="9" t="s">
        <v>1490</v>
      </c>
    </row>
    <row r="336" customFormat="false" ht="23.85" hidden="false" customHeight="false" outlineLevel="0" collapsed="false">
      <c r="A336" s="49" t="s">
        <v>581</v>
      </c>
      <c r="B336" s="49" t="s">
        <v>576</v>
      </c>
      <c r="C336" s="5" t="s">
        <v>1505</v>
      </c>
      <c r="D336" s="6" t="s">
        <v>1506</v>
      </c>
      <c r="E336" s="6" t="s">
        <v>766</v>
      </c>
      <c r="F336" s="6" t="s">
        <v>725</v>
      </c>
      <c r="G336" s="6" t="s">
        <v>767</v>
      </c>
      <c r="H336" s="6"/>
      <c r="I336" s="26" t="n">
        <v>2</v>
      </c>
      <c r="J336" s="26" t="n">
        <f aca="false">COUNTIFS('Control Library'!$A$5:$A$50,"AI-CTRL-036",'Control Library'!$R$5:$R$50,"Implemented")+COUNTIFS('Control Library'!$A$5:$A$50,"AI-CTRL-040",'Control Library'!$R$5:$R$50,"Implemented")</f>
        <v>0</v>
      </c>
      <c r="K336" s="43" t="str">
        <f aca="false">IF(I336=0,"No wiki control",IF(J336=I336,"Fully covered",IF(J336=0,"Not covered","Partly covered")))</f>
        <v>Not covered</v>
      </c>
      <c r="L336" s="9" t="s">
        <v>1490</v>
      </c>
    </row>
    <row r="337" customFormat="false" ht="23.85" hidden="false" customHeight="false" outlineLevel="0" collapsed="false">
      <c r="A337" s="49" t="s">
        <v>581</v>
      </c>
      <c r="B337" s="49" t="s">
        <v>576</v>
      </c>
      <c r="C337" s="5" t="s">
        <v>1507</v>
      </c>
      <c r="D337" s="6" t="s">
        <v>1508</v>
      </c>
      <c r="E337" s="6" t="s">
        <v>1509</v>
      </c>
      <c r="F337" s="6" t="s">
        <v>725</v>
      </c>
      <c r="G337" s="6" t="s">
        <v>1510</v>
      </c>
      <c r="H337" s="6"/>
      <c r="I337" s="26" t="n">
        <v>4</v>
      </c>
      <c r="J337" s="26" t="n">
        <f aca="false">COUNTIFS('Control Library'!$A$5:$A$50,"AI-CTRL-005",'Control Library'!$R$5:$R$50,"Implemented")+COUNTIFS('Control Library'!$A$5:$A$50,"AI-CTRL-019",'Control Library'!$R$5:$R$50,"Implemented")+COUNTIFS('Control Library'!$A$5:$A$50,"AI-CTRL-022",'Control Library'!$R$5:$R$50,"Implemented")+COUNTIFS('Control Library'!$A$5:$A$50,"AI-CTRL-026",'Control Library'!$R$5:$R$50,"Implemented")</f>
        <v>0</v>
      </c>
      <c r="K337" s="43" t="str">
        <f aca="false">IF(I337=0,"No wiki control",IF(J337=I337,"Fully covered",IF(J337=0,"Not covered","Partly covered")))</f>
        <v>Not covered</v>
      </c>
      <c r="L337" s="9" t="s">
        <v>1490</v>
      </c>
    </row>
    <row r="338" customFormat="false" ht="35.05" hidden="false" customHeight="false" outlineLevel="0" collapsed="false">
      <c r="A338" s="49" t="s">
        <v>581</v>
      </c>
      <c r="B338" s="49" t="s">
        <v>576</v>
      </c>
      <c r="C338" s="5" t="s">
        <v>1511</v>
      </c>
      <c r="D338" s="6" t="s">
        <v>1512</v>
      </c>
      <c r="E338" s="6" t="s">
        <v>1513</v>
      </c>
      <c r="F338" s="6" t="s">
        <v>725</v>
      </c>
      <c r="G338" s="6" t="s">
        <v>1514</v>
      </c>
      <c r="H338" s="6"/>
      <c r="I338" s="26" t="n">
        <v>3</v>
      </c>
      <c r="J338" s="26" t="n">
        <f aca="false">COUNTIFS('Control Library'!$A$5:$A$50,"AI-CTRL-002",'Control Library'!$R$5:$R$50,"Implemented")+COUNTIFS('Control Library'!$A$5:$A$50,"AI-CTRL-005",'Control Library'!$R$5:$R$50,"Implemented")+COUNTIFS('Control Library'!$A$5:$A$50,"AI-CTRL-034",'Control Library'!$R$5:$R$50,"Implemented")</f>
        <v>0</v>
      </c>
      <c r="K338" s="43" t="str">
        <f aca="false">IF(I338=0,"No wiki control",IF(J338=I338,"Fully covered",IF(J338=0,"Not covered","Partly covered")))</f>
        <v>Not covered</v>
      </c>
      <c r="L338" s="9" t="s">
        <v>1490</v>
      </c>
    </row>
    <row r="339" customFormat="false" ht="23.85" hidden="false" customHeight="false" outlineLevel="0" collapsed="false">
      <c r="A339" s="49" t="s">
        <v>581</v>
      </c>
      <c r="B339" s="49" t="s">
        <v>576</v>
      </c>
      <c r="C339" s="5" t="s">
        <v>1515</v>
      </c>
      <c r="D339" s="6" t="s">
        <v>1516</v>
      </c>
      <c r="E339" s="6" t="s">
        <v>1517</v>
      </c>
      <c r="F339" s="6" t="s">
        <v>725</v>
      </c>
      <c r="G339" s="6" t="s">
        <v>771</v>
      </c>
      <c r="H339" s="6"/>
      <c r="I339" s="26" t="n">
        <v>3</v>
      </c>
      <c r="J339" s="26" t="n">
        <f aca="false">COUNTIFS('Control Library'!$A$5:$A$50,"AI-CTRL-029",'Control Library'!$R$5:$R$50,"Implemented")+COUNTIFS('Control Library'!$A$5:$A$50,"AI-CTRL-031",'Control Library'!$R$5:$R$50,"Implemented")+COUNTIFS('Control Library'!$A$5:$A$50,"AI-CTRL-034",'Control Library'!$R$5:$R$50,"Implemented")</f>
        <v>0</v>
      </c>
      <c r="K339" s="43" t="str">
        <f aca="false">IF(I339=0,"No wiki control",IF(J339=I339,"Fully covered",IF(J339=0,"Not covered","Partly covered")))</f>
        <v>Not covered</v>
      </c>
      <c r="L339" s="9" t="s">
        <v>1490</v>
      </c>
    </row>
    <row r="340" customFormat="false" ht="35.05" hidden="false" customHeight="false" outlineLevel="0" collapsed="false">
      <c r="A340" s="49" t="s">
        <v>581</v>
      </c>
      <c r="B340" s="49" t="s">
        <v>576</v>
      </c>
      <c r="C340" s="5" t="s">
        <v>1518</v>
      </c>
      <c r="D340" s="6" t="s">
        <v>1519</v>
      </c>
      <c r="E340" s="6" t="s">
        <v>1520</v>
      </c>
      <c r="F340" s="6" t="s">
        <v>725</v>
      </c>
      <c r="G340" s="6" t="s">
        <v>1521</v>
      </c>
      <c r="H340" s="6"/>
      <c r="I340" s="26" t="n">
        <v>3</v>
      </c>
      <c r="J340" s="26" t="n">
        <f aca="false">COUNTIFS('Control Library'!$A$5:$A$50,"AI-CTRL-005",'Control Library'!$R$5:$R$50,"Implemented")+COUNTIFS('Control Library'!$A$5:$A$50,"AI-CTRL-021",'Control Library'!$R$5:$R$50,"Implemented")+COUNTIFS('Control Library'!$A$5:$A$50,"AI-CTRL-034",'Control Library'!$R$5:$R$50,"Implemented")</f>
        <v>0</v>
      </c>
      <c r="K340" s="43" t="str">
        <f aca="false">IF(I340=0,"No wiki control",IF(J340=I340,"Fully covered",IF(J340=0,"Not covered","Partly covered")))</f>
        <v>Not covered</v>
      </c>
      <c r="L340" s="9" t="s">
        <v>1490</v>
      </c>
    </row>
    <row r="341" customFormat="false" ht="23.85" hidden="false" customHeight="false" outlineLevel="0" collapsed="false">
      <c r="A341" s="49" t="s">
        <v>581</v>
      </c>
      <c r="B341" s="49" t="s">
        <v>576</v>
      </c>
      <c r="C341" s="5" t="s">
        <v>1522</v>
      </c>
      <c r="D341" s="6" t="s">
        <v>1523</v>
      </c>
      <c r="E341" s="6" t="s">
        <v>1517</v>
      </c>
      <c r="F341" s="6" t="s">
        <v>725</v>
      </c>
      <c r="G341" s="6" t="s">
        <v>771</v>
      </c>
      <c r="H341" s="6"/>
      <c r="I341" s="26" t="n">
        <v>3</v>
      </c>
      <c r="J341" s="26" t="n">
        <f aca="false">COUNTIFS('Control Library'!$A$5:$A$50,"AI-CTRL-029",'Control Library'!$R$5:$R$50,"Implemented")+COUNTIFS('Control Library'!$A$5:$A$50,"AI-CTRL-031",'Control Library'!$R$5:$R$50,"Implemented")+COUNTIFS('Control Library'!$A$5:$A$50,"AI-CTRL-034",'Control Library'!$R$5:$R$50,"Implemented")</f>
        <v>0</v>
      </c>
      <c r="K341" s="43" t="str">
        <f aca="false">IF(I341=0,"No wiki control",IF(J341=I341,"Fully covered",IF(J341=0,"Not covered","Partly covered")))</f>
        <v>Not covered</v>
      </c>
      <c r="L341" s="9" t="s">
        <v>1490</v>
      </c>
    </row>
    <row r="342" customFormat="false" ht="23.85" hidden="false" customHeight="false" outlineLevel="0" collapsed="false">
      <c r="A342" s="49" t="s">
        <v>581</v>
      </c>
      <c r="B342" s="49" t="s">
        <v>576</v>
      </c>
      <c r="C342" s="5" t="s">
        <v>1524</v>
      </c>
      <c r="D342" s="6" t="s">
        <v>1525</v>
      </c>
      <c r="E342" s="6" t="s">
        <v>1504</v>
      </c>
      <c r="F342" s="6" t="s">
        <v>725</v>
      </c>
      <c r="G342" s="6" t="s">
        <v>1501</v>
      </c>
      <c r="H342" s="6"/>
      <c r="I342" s="26" t="n">
        <v>3</v>
      </c>
      <c r="J342" s="26" t="n">
        <f aca="false">COUNTIFS('Control Library'!$A$5:$A$50,"AI-CTRL-019",'Control Library'!$R$5:$R$50,"Implemented")+COUNTIFS('Control Library'!$A$5:$A$50,"AI-CTRL-029",'Control Library'!$R$5:$R$50,"Implemented")+COUNTIFS('Control Library'!$A$5:$A$50,"AI-CTRL-034",'Control Library'!$R$5:$R$50,"Implemented")</f>
        <v>0</v>
      </c>
      <c r="K342" s="43" t="str">
        <f aca="false">IF(I342=0,"No wiki control",IF(J342=I342,"Fully covered",IF(J342=0,"Not covered","Partly covered")))</f>
        <v>Not covered</v>
      </c>
      <c r="L342" s="9" t="s">
        <v>1490</v>
      </c>
    </row>
    <row r="343" customFormat="false" ht="35.05" hidden="false" customHeight="false" outlineLevel="0" collapsed="false">
      <c r="A343" s="49" t="s">
        <v>581</v>
      </c>
      <c r="B343" s="49" t="s">
        <v>576</v>
      </c>
      <c r="C343" s="5" t="s">
        <v>1526</v>
      </c>
      <c r="D343" s="6" t="s">
        <v>1527</v>
      </c>
      <c r="E343" s="6" t="s">
        <v>1528</v>
      </c>
      <c r="F343" s="6" t="s">
        <v>725</v>
      </c>
      <c r="G343" s="6" t="s">
        <v>1529</v>
      </c>
      <c r="H343" s="6"/>
      <c r="I343" s="26" t="n">
        <v>3</v>
      </c>
      <c r="J343" s="26" t="n">
        <f aca="false">COUNTIFS('Control Library'!$A$5:$A$50,"AI-CTRL-005",'Control Library'!$R$5:$R$50,"Implemented")+COUNTIFS('Control Library'!$A$5:$A$50,"AI-CTRL-034",'Control Library'!$R$5:$R$50,"Implemented")+COUNTIFS('Control Library'!$A$5:$A$50,"AI-CTRL-036",'Control Library'!$R$5:$R$50,"Implemented")</f>
        <v>0</v>
      </c>
      <c r="K343" s="43" t="str">
        <f aca="false">IF(I343=0,"No wiki control",IF(J343=I343,"Fully covered",IF(J343=0,"Not covered","Partly covered")))</f>
        <v>Not covered</v>
      </c>
      <c r="L343" s="9" t="s">
        <v>1490</v>
      </c>
    </row>
    <row r="344" customFormat="false" ht="23.85" hidden="false" customHeight="false" outlineLevel="0" collapsed="false">
      <c r="A344" s="49" t="s">
        <v>581</v>
      </c>
      <c r="B344" s="49" t="s">
        <v>576</v>
      </c>
      <c r="C344" s="5" t="s">
        <v>1530</v>
      </c>
      <c r="D344" s="6" t="s">
        <v>1496</v>
      </c>
      <c r="E344" s="6" t="s">
        <v>1497</v>
      </c>
      <c r="F344" s="6" t="s">
        <v>725</v>
      </c>
      <c r="G344" s="6" t="s">
        <v>423</v>
      </c>
      <c r="H344" s="6"/>
      <c r="I344" s="26" t="n">
        <v>3</v>
      </c>
      <c r="J344" s="26" t="n">
        <f aca="false">COUNTIFS('Control Library'!$A$5:$A$50,"AI-CTRL-028",'Control Library'!$R$5:$R$50,"Implemented")+COUNTIFS('Control Library'!$A$5:$A$50,"AI-CTRL-030",'Control Library'!$R$5:$R$50,"Implemented")+COUNTIFS('Control Library'!$A$5:$A$50,"AI-CTRL-031",'Control Library'!$R$5:$R$50,"Implemented")</f>
        <v>0</v>
      </c>
      <c r="K344" s="43" t="str">
        <f aca="false">IF(I344=0,"No wiki control",IF(J344=I344,"Fully covered",IF(J344=0,"Not covered","Partly covered")))</f>
        <v>Not covered</v>
      </c>
      <c r="L344" s="9" t="s">
        <v>1490</v>
      </c>
    </row>
    <row r="345" customFormat="false" ht="35.05" hidden="false" customHeight="false" outlineLevel="0" collapsed="false">
      <c r="A345" s="49" t="s">
        <v>581</v>
      </c>
      <c r="B345" s="49" t="s">
        <v>576</v>
      </c>
      <c r="C345" s="5" t="s">
        <v>1531</v>
      </c>
      <c r="D345" s="6" t="s">
        <v>1532</v>
      </c>
      <c r="E345" s="6" t="s">
        <v>1533</v>
      </c>
      <c r="F345" s="6" t="s">
        <v>725</v>
      </c>
      <c r="G345" s="6" t="s">
        <v>735</v>
      </c>
      <c r="H345" s="6"/>
      <c r="I345" s="26" t="n">
        <v>3</v>
      </c>
      <c r="J345" s="26" t="n">
        <f aca="false">COUNTIFS('Control Library'!$A$5:$A$50,"AI-CTRL-034",'Control Library'!$R$5:$R$50,"Implemented")+COUNTIFS('Control Library'!$A$5:$A$50,"AI-CTRL-039",'Control Library'!$R$5:$R$50,"Implemented")+COUNTIFS('Control Library'!$A$5:$A$50,"AI-CTRL-045",'Control Library'!$R$5:$R$50,"Implemented")</f>
        <v>0</v>
      </c>
      <c r="K345" s="43" t="str">
        <f aca="false">IF(I345=0,"No wiki control",IF(J345=I345,"Fully covered",IF(J345=0,"Not covered","Partly covered")))</f>
        <v>Not covered</v>
      </c>
      <c r="L345" s="9" t="s">
        <v>1490</v>
      </c>
    </row>
    <row r="346" customFormat="false" ht="23.85" hidden="false" customHeight="false" outlineLevel="0" collapsed="false">
      <c r="A346" s="49" t="s">
        <v>581</v>
      </c>
      <c r="B346" s="49" t="s">
        <v>576</v>
      </c>
      <c r="C346" s="5" t="s">
        <v>1534</v>
      </c>
      <c r="D346" s="6" t="s">
        <v>1535</v>
      </c>
      <c r="E346" s="6" t="s">
        <v>1409</v>
      </c>
      <c r="F346" s="6" t="s">
        <v>725</v>
      </c>
      <c r="G346" s="6" t="s">
        <v>1410</v>
      </c>
      <c r="H346" s="6"/>
      <c r="I346" s="26" t="n">
        <v>2</v>
      </c>
      <c r="J346" s="26" t="n">
        <f aca="false">COUNTIFS('Control Library'!$A$5:$A$50,"AI-CTRL-028",'Control Library'!$R$5:$R$50,"Implemented")+COUNTIFS('Control Library'!$A$5:$A$50,"AI-CTRL-036",'Control Library'!$R$5:$R$50,"Implemented")</f>
        <v>0</v>
      </c>
      <c r="K346" s="43" t="str">
        <f aca="false">IF(I346=0,"No wiki control",IF(J346=I346,"Fully covered",IF(J346=0,"Not covered","Partly covered")))</f>
        <v>Not covered</v>
      </c>
      <c r="L346" s="9" t="s">
        <v>1490</v>
      </c>
    </row>
    <row r="347" customFormat="false" ht="35.05" hidden="false" customHeight="false" outlineLevel="0" collapsed="false">
      <c r="A347" s="49" t="s">
        <v>581</v>
      </c>
      <c r="B347" s="49" t="s">
        <v>576</v>
      </c>
      <c r="C347" s="5" t="s">
        <v>1536</v>
      </c>
      <c r="D347" s="6" t="s">
        <v>1537</v>
      </c>
      <c r="E347" s="6" t="s">
        <v>1538</v>
      </c>
      <c r="F347" s="6" t="s">
        <v>725</v>
      </c>
      <c r="G347" s="6" t="s">
        <v>1539</v>
      </c>
      <c r="H347" s="6"/>
      <c r="I347" s="26" t="n">
        <v>3</v>
      </c>
      <c r="J347" s="26" t="n">
        <f aca="false">COUNTIFS('Control Library'!$A$5:$A$50,"AI-CTRL-017",'Control Library'!$R$5:$R$50,"Implemented")+COUNTIFS('Control Library'!$A$5:$A$50,"AI-CTRL-028",'Control Library'!$R$5:$R$50,"Implemented")+COUNTIFS('Control Library'!$A$5:$A$50,"AI-CTRL-034",'Control Library'!$R$5:$R$50,"Implemented")</f>
        <v>0</v>
      </c>
      <c r="K347" s="43" t="str">
        <f aca="false">IF(I347=0,"No wiki control",IF(J347=I347,"Fully covered",IF(J347=0,"Not covered","Partly covered")))</f>
        <v>Not covered</v>
      </c>
      <c r="L347" s="9" t="s">
        <v>1490</v>
      </c>
    </row>
    <row r="348" customFormat="false" ht="35.05" hidden="false" customHeight="false" outlineLevel="0" collapsed="false">
      <c r="A348" s="49" t="s">
        <v>581</v>
      </c>
      <c r="B348" s="49" t="s">
        <v>576</v>
      </c>
      <c r="C348" s="5" t="s">
        <v>1540</v>
      </c>
      <c r="D348" s="6" t="s">
        <v>1541</v>
      </c>
      <c r="E348" s="6" t="s">
        <v>1538</v>
      </c>
      <c r="F348" s="6" t="s">
        <v>725</v>
      </c>
      <c r="G348" s="6" t="s">
        <v>1539</v>
      </c>
      <c r="H348" s="6"/>
      <c r="I348" s="26" t="n">
        <v>3</v>
      </c>
      <c r="J348" s="26" t="n">
        <f aca="false">COUNTIFS('Control Library'!$A$5:$A$50,"AI-CTRL-017",'Control Library'!$R$5:$R$50,"Implemented")+COUNTIFS('Control Library'!$A$5:$A$50,"AI-CTRL-028",'Control Library'!$R$5:$R$50,"Implemented")+COUNTIFS('Control Library'!$A$5:$A$50,"AI-CTRL-034",'Control Library'!$R$5:$R$50,"Implemented")</f>
        <v>0</v>
      </c>
      <c r="K348" s="43" t="str">
        <f aca="false">IF(I348=0,"No wiki control",IF(J348=I348,"Fully covered",IF(J348=0,"Not covered","Partly covered")))</f>
        <v>Not covered</v>
      </c>
      <c r="L348" s="9" t="s">
        <v>1490</v>
      </c>
    </row>
    <row r="349" customFormat="false" ht="23.85" hidden="false" customHeight="false" outlineLevel="0" collapsed="false">
      <c r="A349" s="49" t="s">
        <v>581</v>
      </c>
      <c r="B349" s="49" t="s">
        <v>576</v>
      </c>
      <c r="C349" s="5" t="s">
        <v>1542</v>
      </c>
      <c r="D349" s="6" t="s">
        <v>1543</v>
      </c>
      <c r="E349" s="6" t="s">
        <v>1544</v>
      </c>
      <c r="F349" s="6" t="s">
        <v>725</v>
      </c>
      <c r="G349" s="6" t="s">
        <v>1545</v>
      </c>
      <c r="H349" s="6"/>
      <c r="I349" s="26" t="n">
        <v>2</v>
      </c>
      <c r="J349" s="26" t="n">
        <f aca="false">COUNTIFS('Control Library'!$A$5:$A$50,"AI-CTRL-017",'Control Library'!$R$5:$R$50,"Implemented")+COUNTIFS('Control Library'!$A$5:$A$50,"AI-CTRL-028",'Control Library'!$R$5:$R$50,"Implemented")</f>
        <v>0</v>
      </c>
      <c r="K349" s="43" t="str">
        <f aca="false">IF(I349=0,"No wiki control",IF(J349=I349,"Fully covered",IF(J349=0,"Not covered","Partly covered")))</f>
        <v>Not covered</v>
      </c>
      <c r="L349" s="9" t="s">
        <v>1490</v>
      </c>
    </row>
    <row r="350" customFormat="false" ht="23.85" hidden="false" customHeight="false" outlineLevel="0" collapsed="false">
      <c r="A350" s="49" t="s">
        <v>581</v>
      </c>
      <c r="B350" s="49" t="s">
        <v>576</v>
      </c>
      <c r="C350" s="5" t="s">
        <v>1546</v>
      </c>
      <c r="D350" s="6" t="s">
        <v>1547</v>
      </c>
      <c r="E350" s="6" t="s">
        <v>751</v>
      </c>
      <c r="F350" s="6" t="s">
        <v>725</v>
      </c>
      <c r="G350" s="6" t="s">
        <v>335</v>
      </c>
      <c r="H350" s="6"/>
      <c r="I350" s="26" t="n">
        <v>2</v>
      </c>
      <c r="J350" s="26" t="n">
        <f aca="false">COUNTIFS('Control Library'!$A$5:$A$50,"AI-CTRL-005",'Control Library'!$R$5:$R$50,"Implemented")+COUNTIFS('Control Library'!$A$5:$A$50,"AI-CTRL-020",'Control Library'!$R$5:$R$50,"Implemented")</f>
        <v>0</v>
      </c>
      <c r="K350" s="43" t="str">
        <f aca="false">IF(I350=0,"No wiki control",IF(J350=I350,"Fully covered",IF(J350=0,"Not covered","Partly covered")))</f>
        <v>Not covered</v>
      </c>
      <c r="L350" s="9" t="s">
        <v>1490</v>
      </c>
    </row>
    <row r="351" customFormat="false" ht="23.85" hidden="false" customHeight="false" outlineLevel="0" collapsed="false">
      <c r="A351" s="49" t="s">
        <v>581</v>
      </c>
      <c r="B351" s="49" t="s">
        <v>576</v>
      </c>
      <c r="C351" s="5" t="s">
        <v>1548</v>
      </c>
      <c r="D351" s="6" t="s">
        <v>1549</v>
      </c>
      <c r="E351" s="6" t="s">
        <v>1550</v>
      </c>
      <c r="F351" s="6" t="s">
        <v>725</v>
      </c>
      <c r="G351" s="6" t="s">
        <v>1551</v>
      </c>
      <c r="H351" s="6"/>
      <c r="I351" s="26" t="n">
        <v>3</v>
      </c>
      <c r="J351" s="26" t="n">
        <f aca="false">COUNTIFS('Control Library'!$A$5:$A$50,"AI-CTRL-017",'Control Library'!$R$5:$R$50,"Implemented")+COUNTIFS('Control Library'!$A$5:$A$50,"AI-CTRL-018",'Control Library'!$R$5:$R$50,"Implemented")+COUNTIFS('Control Library'!$A$5:$A$50,"AI-CTRL-020",'Control Library'!$R$5:$R$50,"Implemented")</f>
        <v>0</v>
      </c>
      <c r="K351" s="43" t="str">
        <f aca="false">IF(I351=0,"No wiki control",IF(J351=I351,"Fully covered",IF(J351=0,"Not covered","Partly covered")))</f>
        <v>Not covered</v>
      </c>
      <c r="L351" s="9" t="s">
        <v>1490</v>
      </c>
    </row>
    <row r="352" customFormat="false" ht="23.85" hidden="false" customHeight="false" outlineLevel="0" collapsed="false">
      <c r="A352" s="49" t="s">
        <v>581</v>
      </c>
      <c r="B352" s="49" t="s">
        <v>576</v>
      </c>
      <c r="C352" s="5" t="s">
        <v>1552</v>
      </c>
      <c r="D352" s="6" t="s">
        <v>1553</v>
      </c>
      <c r="E352" s="6" t="s">
        <v>1554</v>
      </c>
      <c r="F352" s="6" t="s">
        <v>725</v>
      </c>
      <c r="G352" s="6" t="s">
        <v>1545</v>
      </c>
      <c r="H352" s="6"/>
      <c r="I352" s="26" t="n">
        <v>3</v>
      </c>
      <c r="J352" s="26" t="n">
        <f aca="false">COUNTIFS('Control Library'!$A$5:$A$50,"AI-CTRL-017",'Control Library'!$R$5:$R$50,"Implemented")+COUNTIFS('Control Library'!$A$5:$A$50,"AI-CTRL-028",'Control Library'!$R$5:$R$50,"Implemented")+COUNTIFS('Control Library'!$A$5:$A$50,"AI-CTRL-029",'Control Library'!$R$5:$R$50,"Implemented")</f>
        <v>0</v>
      </c>
      <c r="K352" s="43" t="str">
        <f aca="false">IF(I352=0,"No wiki control",IF(J352=I352,"Fully covered",IF(J352=0,"Not covered","Partly covered")))</f>
        <v>Not covered</v>
      </c>
      <c r="L352" s="9" t="s">
        <v>1490</v>
      </c>
    </row>
    <row r="353" customFormat="false" ht="35.05" hidden="false" customHeight="false" outlineLevel="0" collapsed="false">
      <c r="A353" s="49" t="s">
        <v>581</v>
      </c>
      <c r="B353" s="49" t="s">
        <v>576</v>
      </c>
      <c r="C353" s="5" t="s">
        <v>1555</v>
      </c>
      <c r="D353" s="6" t="s">
        <v>1556</v>
      </c>
      <c r="E353" s="6" t="s">
        <v>1557</v>
      </c>
      <c r="F353" s="6" t="s">
        <v>725</v>
      </c>
      <c r="G353" s="6" t="s">
        <v>1558</v>
      </c>
      <c r="H353" s="6"/>
      <c r="I353" s="26" t="n">
        <v>3</v>
      </c>
      <c r="J353" s="26" t="n">
        <f aca="false">COUNTIFS('Control Library'!$A$5:$A$50,"AI-CTRL-017",'Control Library'!$R$5:$R$50,"Implemented")+COUNTIFS('Control Library'!$A$5:$A$50,"AI-CTRL-020",'Control Library'!$R$5:$R$50,"Implemented")+COUNTIFS('Control Library'!$A$5:$A$50,"AI-CTRL-028",'Control Library'!$R$5:$R$50,"Implemented")</f>
        <v>0</v>
      </c>
      <c r="K353" s="43" t="str">
        <f aca="false">IF(I353=0,"No wiki control",IF(J353=I353,"Fully covered",IF(J353=0,"Not covered","Partly covered")))</f>
        <v>Not covered</v>
      </c>
      <c r="L353" s="9" t="s">
        <v>1490</v>
      </c>
    </row>
    <row r="354" customFormat="false" ht="35.05" hidden="false" customHeight="false" outlineLevel="0" collapsed="false">
      <c r="A354" s="49" t="s">
        <v>581</v>
      </c>
      <c r="B354" s="49" t="s">
        <v>576</v>
      </c>
      <c r="C354" s="5" t="s">
        <v>1559</v>
      </c>
      <c r="D354" s="6" t="s">
        <v>1560</v>
      </c>
      <c r="E354" s="6" t="s">
        <v>1561</v>
      </c>
      <c r="F354" s="6" t="s">
        <v>725</v>
      </c>
      <c r="G354" s="6" t="s">
        <v>1562</v>
      </c>
      <c r="H354" s="6"/>
      <c r="I354" s="26" t="n">
        <v>4</v>
      </c>
      <c r="J354" s="26" t="n">
        <f aca="false">COUNTIFS('Control Library'!$A$5:$A$50,"AI-CTRL-016",'Control Library'!$R$5:$R$50,"Implemented")+COUNTIFS('Control Library'!$A$5:$A$50,"AI-CTRL-022",'Control Library'!$R$5:$R$50,"Implemented")+COUNTIFS('Control Library'!$A$5:$A$50,"AI-CTRL-024",'Control Library'!$R$5:$R$50,"Implemented")+COUNTIFS('Control Library'!$A$5:$A$50,"AI-CTRL-027",'Control Library'!$R$5:$R$50,"Implemented")</f>
        <v>0</v>
      </c>
      <c r="K354" s="43" t="str">
        <f aca="false">IF(I354=0,"No wiki control",IF(J354=I354,"Fully covered",IF(J354=0,"Not covered","Partly covered")))</f>
        <v>Not covered</v>
      </c>
      <c r="L354" s="9" t="s">
        <v>1490</v>
      </c>
    </row>
    <row r="355" customFormat="false" ht="23.85" hidden="false" customHeight="false" outlineLevel="0" collapsed="false">
      <c r="A355" s="49" t="s">
        <v>581</v>
      </c>
      <c r="B355" s="49" t="s">
        <v>576</v>
      </c>
      <c r="C355" s="5" t="s">
        <v>1563</v>
      </c>
      <c r="D355" s="6" t="s">
        <v>1564</v>
      </c>
      <c r="E355" s="6" t="s">
        <v>1497</v>
      </c>
      <c r="F355" s="6" t="s">
        <v>725</v>
      </c>
      <c r="G355" s="6" t="s">
        <v>423</v>
      </c>
      <c r="H355" s="6"/>
      <c r="I355" s="26" t="n">
        <v>3</v>
      </c>
      <c r="J355" s="26" t="n">
        <f aca="false">COUNTIFS('Control Library'!$A$5:$A$50,"AI-CTRL-028",'Control Library'!$R$5:$R$50,"Implemented")+COUNTIFS('Control Library'!$A$5:$A$50,"AI-CTRL-030",'Control Library'!$R$5:$R$50,"Implemented")+COUNTIFS('Control Library'!$A$5:$A$50,"AI-CTRL-031",'Control Library'!$R$5:$R$50,"Implemented")</f>
        <v>0</v>
      </c>
      <c r="K355" s="43" t="str">
        <f aca="false">IF(I355=0,"No wiki control",IF(J355=I355,"Fully covered",IF(J355=0,"Not covered","Partly covered")))</f>
        <v>Not covered</v>
      </c>
      <c r="L355" s="9" t="s">
        <v>1490</v>
      </c>
    </row>
    <row r="356" customFormat="false" ht="23.85" hidden="false" customHeight="false" outlineLevel="0" collapsed="false">
      <c r="A356" s="51" t="s">
        <v>582</v>
      </c>
      <c r="B356" s="51" t="s">
        <v>583</v>
      </c>
      <c r="C356" s="5" t="s">
        <v>1565</v>
      </c>
      <c r="D356" s="6" t="s">
        <v>1566</v>
      </c>
      <c r="E356" s="6" t="s">
        <v>999</v>
      </c>
      <c r="F356" s="6" t="s">
        <v>725</v>
      </c>
      <c r="G356" s="6" t="s">
        <v>1000</v>
      </c>
      <c r="H356" s="6"/>
      <c r="I356" s="26" t="n">
        <v>2</v>
      </c>
      <c r="J356" s="26" t="n">
        <f aca="false">COUNTIFS('Control Library'!$A$5:$A$50,"AI-CTRL-010",'Control Library'!$R$5:$R$50,"Implemented")+COUNTIFS('Control Library'!$A$5:$A$50,"AI-CTRL-012",'Control Library'!$R$5:$R$50,"Implemented")</f>
        <v>0</v>
      </c>
      <c r="K356" s="43" t="str">
        <f aca="false">IF(I356=0,"No wiki control",IF(J356=I356,"Fully covered",IF(J356=0,"Not covered","Partly covered")))</f>
        <v>Not covered</v>
      </c>
      <c r="L356" s="9" t="s">
        <v>1567</v>
      </c>
    </row>
    <row r="357" customFormat="false" ht="23.85" hidden="false" customHeight="false" outlineLevel="0" collapsed="false">
      <c r="A357" s="51" t="s">
        <v>582</v>
      </c>
      <c r="B357" s="51" t="s">
        <v>583</v>
      </c>
      <c r="C357" s="5" t="s">
        <v>1568</v>
      </c>
      <c r="D357" s="6"/>
      <c r="E357" s="6"/>
      <c r="F357" s="6" t="s">
        <v>635</v>
      </c>
      <c r="G357" s="6"/>
      <c r="H357" s="6"/>
      <c r="I357" s="26" t="n">
        <v>0</v>
      </c>
      <c r="J357" s="26" t="n">
        <f aca="false">0</f>
        <v>0</v>
      </c>
      <c r="K357" s="43" t="str">
        <f aca="false">IF(I357=0,"No wiki control",IF(J357=I357,"Fully covered",IF(J357=0,"Not covered","Partly covered")))</f>
        <v>No wiki control</v>
      </c>
      <c r="L357" s="9" t="s">
        <v>1567</v>
      </c>
    </row>
    <row r="358" customFormat="false" ht="23.85" hidden="false" customHeight="false" outlineLevel="0" collapsed="false">
      <c r="A358" s="51" t="s">
        <v>582</v>
      </c>
      <c r="B358" s="51" t="s">
        <v>583</v>
      </c>
      <c r="C358" s="5" t="s">
        <v>1569</v>
      </c>
      <c r="D358" s="6" t="s">
        <v>1570</v>
      </c>
      <c r="E358" s="6" t="s">
        <v>263</v>
      </c>
      <c r="F358" s="6" t="s">
        <v>725</v>
      </c>
      <c r="G358" s="6" t="s">
        <v>266</v>
      </c>
      <c r="H358" s="6"/>
      <c r="I358" s="26" t="n">
        <v>1</v>
      </c>
      <c r="J358" s="26" t="n">
        <f aca="false">COUNTIFS('Control Library'!$A$5:$A$50,"AI-CTRL-012",'Control Library'!$R$5:$R$50,"Implemented")</f>
        <v>0</v>
      </c>
      <c r="K358" s="43" t="str">
        <f aca="false">IF(I358=0,"No wiki control",IF(J358=I358,"Fully covered",IF(J358=0,"Not covered","Partly covered")))</f>
        <v>Not covered</v>
      </c>
      <c r="L358" s="9" t="s">
        <v>1567</v>
      </c>
    </row>
    <row r="359" customFormat="false" ht="23.85" hidden="false" customHeight="false" outlineLevel="0" collapsed="false">
      <c r="A359" s="51" t="s">
        <v>582</v>
      </c>
      <c r="B359" s="51" t="s">
        <v>583</v>
      </c>
      <c r="C359" s="5" t="s">
        <v>1571</v>
      </c>
      <c r="D359" s="6" t="s">
        <v>1572</v>
      </c>
      <c r="E359" s="6" t="s">
        <v>263</v>
      </c>
      <c r="F359" s="6" t="s">
        <v>725</v>
      </c>
      <c r="G359" s="6" t="s">
        <v>266</v>
      </c>
      <c r="H359" s="6"/>
      <c r="I359" s="26" t="n">
        <v>1</v>
      </c>
      <c r="J359" s="26" t="n">
        <f aca="false">COUNTIFS('Control Library'!$A$5:$A$50,"AI-CTRL-012",'Control Library'!$R$5:$R$50,"Implemented")</f>
        <v>0</v>
      </c>
      <c r="K359" s="43" t="str">
        <f aca="false">IF(I359=0,"No wiki control",IF(J359=I359,"Fully covered",IF(J359=0,"Not covered","Partly covered")))</f>
        <v>Not covered</v>
      </c>
      <c r="L359" s="9" t="s">
        <v>1567</v>
      </c>
    </row>
    <row r="360" customFormat="false" ht="23.85" hidden="false" customHeight="false" outlineLevel="0" collapsed="false">
      <c r="A360" s="51" t="s">
        <v>582</v>
      </c>
      <c r="B360" s="51" t="s">
        <v>583</v>
      </c>
      <c r="C360" s="5" t="s">
        <v>1573</v>
      </c>
      <c r="D360" s="6" t="s">
        <v>1574</v>
      </c>
      <c r="E360" s="6" t="s">
        <v>452</v>
      </c>
      <c r="F360" s="6" t="s">
        <v>725</v>
      </c>
      <c r="G360" s="6" t="s">
        <v>455</v>
      </c>
      <c r="H360" s="6"/>
      <c r="I360" s="26" t="n">
        <v>1</v>
      </c>
      <c r="J360" s="26" t="n">
        <f aca="false">COUNTIFS('Control Library'!$A$5:$A$50,"AI-CTRL-035",'Control Library'!$R$5:$R$50,"Implemented")</f>
        <v>0</v>
      </c>
      <c r="K360" s="43" t="str">
        <f aca="false">IF(I360=0,"No wiki control",IF(J360=I360,"Fully covered",IF(J360=0,"Not covered","Partly covered")))</f>
        <v>Not covered</v>
      </c>
      <c r="L360" s="9" t="s">
        <v>1567</v>
      </c>
    </row>
    <row r="361" customFormat="false" ht="23.85" hidden="false" customHeight="false" outlineLevel="0" collapsed="false">
      <c r="A361" s="51" t="s">
        <v>582</v>
      </c>
      <c r="B361" s="51" t="s">
        <v>583</v>
      </c>
      <c r="C361" s="5" t="s">
        <v>1575</v>
      </c>
      <c r="D361" s="6" t="s">
        <v>1576</v>
      </c>
      <c r="E361" s="6" t="s">
        <v>1577</v>
      </c>
      <c r="F361" s="6" t="s">
        <v>725</v>
      </c>
      <c r="G361" s="6" t="s">
        <v>1578</v>
      </c>
      <c r="H361" s="6"/>
      <c r="I361" s="26" t="n">
        <v>4</v>
      </c>
      <c r="J361" s="26" t="n">
        <f aca="false">COUNTIFS('Control Library'!$A$5:$A$50,"AI-CTRL-001",'Control Library'!$R$5:$R$50,"Implemented")+COUNTIFS('Control Library'!$A$5:$A$50,"AI-CTRL-006",'Control Library'!$R$5:$R$50,"Implemented")+COUNTIFS('Control Library'!$A$5:$A$50,"AI-CTRL-011",'Control Library'!$R$5:$R$50,"Implemented")+COUNTIFS('Control Library'!$A$5:$A$50,"AI-CTRL-031",'Control Library'!$R$5:$R$50,"Implemented")</f>
        <v>0</v>
      </c>
      <c r="K361" s="43" t="str">
        <f aca="false">IF(I361=0,"No wiki control",IF(J361=I361,"Fully covered",IF(J361=0,"Not covered","Partly covered")))</f>
        <v>Not covered</v>
      </c>
      <c r="L361" s="9" t="s">
        <v>1567</v>
      </c>
    </row>
    <row r="362" customFormat="false" ht="23.85" hidden="false" customHeight="false" outlineLevel="0" collapsed="false">
      <c r="A362" s="51" t="s">
        <v>582</v>
      </c>
      <c r="B362" s="51" t="s">
        <v>583</v>
      </c>
      <c r="C362" s="5" t="s">
        <v>1579</v>
      </c>
      <c r="D362" s="6" t="s">
        <v>1580</v>
      </c>
      <c r="E362" s="6" t="s">
        <v>307</v>
      </c>
      <c r="F362" s="6" t="s">
        <v>725</v>
      </c>
      <c r="G362" s="6" t="s">
        <v>310</v>
      </c>
      <c r="H362" s="6"/>
      <c r="I362" s="26" t="n">
        <v>1</v>
      </c>
      <c r="J362" s="26" t="n">
        <f aca="false">COUNTIFS('Control Library'!$A$5:$A$50,"AI-CTRL-017",'Control Library'!$R$5:$R$50,"Implemented")</f>
        <v>0</v>
      </c>
      <c r="K362" s="43" t="str">
        <f aca="false">IF(I362=0,"No wiki control",IF(J362=I362,"Fully covered",IF(J362=0,"Not covered","Partly covered")))</f>
        <v>Not covered</v>
      </c>
      <c r="L362" s="9" t="s">
        <v>1567</v>
      </c>
    </row>
    <row r="363" customFormat="false" ht="23.85" hidden="false" customHeight="false" outlineLevel="0" collapsed="false">
      <c r="A363" s="51" t="s">
        <v>582</v>
      </c>
      <c r="B363" s="51" t="s">
        <v>583</v>
      </c>
      <c r="C363" s="5" t="s">
        <v>1581</v>
      </c>
      <c r="D363" s="6" t="s">
        <v>1582</v>
      </c>
      <c r="E363" s="6" t="s">
        <v>1583</v>
      </c>
      <c r="F363" s="6" t="s">
        <v>725</v>
      </c>
      <c r="G363" s="6" t="s">
        <v>1584</v>
      </c>
      <c r="H363" s="6"/>
      <c r="I363" s="26" t="n">
        <v>2</v>
      </c>
      <c r="J363" s="26" t="n">
        <f aca="false">COUNTIFS('Control Library'!$A$5:$A$50,"AI-CTRL-004",'Control Library'!$R$5:$R$50,"Implemented")+COUNTIFS('Control Library'!$A$5:$A$50,"AI-CTRL-024",'Control Library'!$R$5:$R$50,"Implemented")</f>
        <v>0</v>
      </c>
      <c r="K363" s="43" t="str">
        <f aca="false">IF(I363=0,"No wiki control",IF(J363=I363,"Fully covered",IF(J363=0,"Not covered","Partly covered")))</f>
        <v>Not covered</v>
      </c>
      <c r="L363" s="9" t="s">
        <v>1567</v>
      </c>
    </row>
    <row r="364" customFormat="false" ht="35.05" hidden="false" customHeight="false" outlineLevel="0" collapsed="false">
      <c r="A364" s="51" t="s">
        <v>582</v>
      </c>
      <c r="B364" s="51" t="s">
        <v>583</v>
      </c>
      <c r="C364" s="5" t="s">
        <v>1585</v>
      </c>
      <c r="D364" s="6" t="s">
        <v>1586</v>
      </c>
      <c r="E364" s="6" t="s">
        <v>1587</v>
      </c>
      <c r="F364" s="6" t="s">
        <v>725</v>
      </c>
      <c r="G364" s="6" t="s">
        <v>1588</v>
      </c>
      <c r="H364" s="6"/>
      <c r="I364" s="26" t="n">
        <v>5</v>
      </c>
      <c r="J364" s="26" t="n">
        <f aca="false">COUNTIFS('Control Library'!$A$5:$A$50,"AI-CTRL-007",'Control Library'!$R$5:$R$50,"Implemented")+COUNTIFS('Control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364" s="43" t="str">
        <f aca="false">IF(I364=0,"No wiki control",IF(J364=I364,"Fully covered",IF(J364=0,"Not covered","Partly covered")))</f>
        <v>Not covered</v>
      </c>
      <c r="L364" s="9" t="s">
        <v>1567</v>
      </c>
    </row>
    <row r="365" customFormat="false" ht="23.85" hidden="false" customHeight="false" outlineLevel="0" collapsed="false">
      <c r="A365" s="51" t="s">
        <v>582</v>
      </c>
      <c r="B365" s="51" t="s">
        <v>583</v>
      </c>
      <c r="C365" s="5" t="s">
        <v>1589</v>
      </c>
      <c r="D365" s="6" t="s">
        <v>1590</v>
      </c>
      <c r="E365" s="6" t="s">
        <v>529</v>
      </c>
      <c r="F365" s="6" t="s">
        <v>725</v>
      </c>
      <c r="G365" s="6" t="s">
        <v>532</v>
      </c>
      <c r="H365" s="6"/>
      <c r="I365" s="26" t="n">
        <v>1</v>
      </c>
      <c r="J365" s="26" t="n">
        <f aca="false">COUNTIFS('Control Library'!$A$5:$A$50,"AI-CTRL-044",'Control Library'!$R$5:$R$50,"Implemented")</f>
        <v>0</v>
      </c>
      <c r="K365" s="43" t="str">
        <f aca="false">IF(I365=0,"No wiki control",IF(J365=I365,"Fully covered",IF(J365=0,"Not covered","Partly covered")))</f>
        <v>Not covered</v>
      </c>
      <c r="L365" s="9" t="s">
        <v>1567</v>
      </c>
    </row>
    <row r="366" customFormat="false" ht="46.25" hidden="false" customHeight="false" outlineLevel="0" collapsed="false">
      <c r="A366" s="51" t="s">
        <v>582</v>
      </c>
      <c r="B366" s="51" t="s">
        <v>583</v>
      </c>
      <c r="C366" s="5" t="s">
        <v>1591</v>
      </c>
      <c r="D366" s="6" t="s">
        <v>1592</v>
      </c>
      <c r="E366" s="6" t="s">
        <v>1593</v>
      </c>
      <c r="F366" s="6" t="s">
        <v>725</v>
      </c>
      <c r="G366" s="6" t="s">
        <v>1594</v>
      </c>
      <c r="H366" s="6"/>
      <c r="I366" s="26" t="n">
        <v>4</v>
      </c>
      <c r="J366" s="26" t="n">
        <f aca="false">COUNTIFS('Control Library'!$A$5:$A$50,"AI-CTRL-011",'Control Library'!$R$5:$R$50,"Implemented")+COUNTIFS('Control Library'!$A$5:$A$50,"AI-CTRL-013",'Control Library'!$R$5:$R$50,"Implemented")+COUNTIFS('Control Library'!$A$5:$A$50,"AI-CTRL-033",'Control Library'!$R$5:$R$50,"Implemented")+COUNTIFS('Control Library'!$A$5:$A$50,"AI-CTRL-042",'Control Library'!$R$5:$R$50,"Implemented")</f>
        <v>0</v>
      </c>
      <c r="K366" s="43" t="str">
        <f aca="false">IF(I366=0,"No wiki control",IF(J366=I366,"Fully covered",IF(J366=0,"Not covered","Partly covered")))</f>
        <v>Not covered</v>
      </c>
      <c r="L366" s="9" t="s">
        <v>1567</v>
      </c>
    </row>
    <row r="367" customFormat="false" ht="23.85" hidden="false" customHeight="false" outlineLevel="0" collapsed="false">
      <c r="A367" s="51" t="s">
        <v>582</v>
      </c>
      <c r="B367" s="51" t="s">
        <v>583</v>
      </c>
      <c r="C367" s="5" t="s">
        <v>1595</v>
      </c>
      <c r="D367" s="6" t="s">
        <v>1596</v>
      </c>
      <c r="E367" s="6" t="s">
        <v>1597</v>
      </c>
      <c r="F367" s="6" t="s">
        <v>725</v>
      </c>
      <c r="G367" s="6" t="s">
        <v>1598</v>
      </c>
      <c r="H367" s="6"/>
      <c r="I367" s="26" t="n">
        <v>2</v>
      </c>
      <c r="J367" s="26" t="n">
        <f aca="false">COUNTIFS('Control Library'!$A$5:$A$50,"AI-CTRL-013",'Control Library'!$R$5:$R$50,"Implemented")+COUNTIFS('Control Library'!$A$5:$A$50,"AI-CTRL-042",'Control Library'!$R$5:$R$50,"Implemented")</f>
        <v>0</v>
      </c>
      <c r="K367" s="43" t="str">
        <f aca="false">IF(I367=0,"No wiki control",IF(J367=I367,"Fully covered",IF(J367=0,"Not covered","Partly covered")))</f>
        <v>Not covered</v>
      </c>
      <c r="L367" s="9" t="s">
        <v>1567</v>
      </c>
    </row>
    <row r="368" customFormat="false" ht="23.85" hidden="false" customHeight="false" outlineLevel="0" collapsed="false">
      <c r="A368" s="51" t="s">
        <v>582</v>
      </c>
      <c r="B368" s="51" t="s">
        <v>583</v>
      </c>
      <c r="C368" s="5" t="s">
        <v>1599</v>
      </c>
      <c r="D368" s="6" t="s">
        <v>1600</v>
      </c>
      <c r="E368" s="6" t="s">
        <v>1084</v>
      </c>
      <c r="F368" s="6" t="s">
        <v>725</v>
      </c>
      <c r="G368" s="6" t="s">
        <v>1085</v>
      </c>
      <c r="H368" s="6"/>
      <c r="I368" s="26" t="n">
        <v>3</v>
      </c>
      <c r="J368" s="26" t="n">
        <f aca="false">COUNTIFS('Control Library'!$A$5:$A$50,"AI-CTRL-013",'Control Library'!$R$5:$R$50,"Implemented")+COUNTIFS('Control Library'!$A$5:$A$50,"AI-CTRL-041",'Control Library'!$R$5:$R$50,"Implemented")+COUNTIFS('Control Library'!$A$5:$A$50,"AI-CTRL-042",'Control Library'!$R$5:$R$50,"Implemented")</f>
        <v>0</v>
      </c>
      <c r="K368" s="43" t="str">
        <f aca="false">IF(I368=0,"No wiki control",IF(J368=I368,"Fully covered",IF(J368=0,"Not covered","Partly covered")))</f>
        <v>Not covered</v>
      </c>
      <c r="L368" s="9" t="s">
        <v>1567</v>
      </c>
    </row>
    <row r="369" customFormat="false" ht="23.85" hidden="false" customHeight="false" outlineLevel="0" collapsed="false">
      <c r="A369" s="51" t="s">
        <v>582</v>
      </c>
      <c r="B369" s="51" t="s">
        <v>583</v>
      </c>
      <c r="C369" s="5" t="s">
        <v>1601</v>
      </c>
      <c r="D369" s="6" t="s">
        <v>1602</v>
      </c>
      <c r="E369" s="6" t="s">
        <v>512</v>
      </c>
      <c r="F369" s="6" t="s">
        <v>725</v>
      </c>
      <c r="G369" s="6" t="s">
        <v>515</v>
      </c>
      <c r="H369" s="6"/>
      <c r="I369" s="26" t="n">
        <v>1</v>
      </c>
      <c r="J369" s="26" t="n">
        <f aca="false">COUNTIFS('Control Library'!$A$5:$A$50,"AI-CTRL-042",'Control Library'!$R$5:$R$50,"Implemented")</f>
        <v>0</v>
      </c>
      <c r="K369" s="43" t="str">
        <f aca="false">IF(I369=0,"No wiki control",IF(J369=I369,"Fully covered",IF(J369=0,"Not covered","Partly covered")))</f>
        <v>Not covered</v>
      </c>
      <c r="L369" s="9" t="s">
        <v>1567</v>
      </c>
    </row>
    <row r="370" customFormat="false" ht="23.85" hidden="false" customHeight="false" outlineLevel="0" collapsed="false">
      <c r="A370" s="51" t="s">
        <v>582</v>
      </c>
      <c r="B370" s="51" t="s">
        <v>583</v>
      </c>
      <c r="C370" s="5" t="s">
        <v>1603</v>
      </c>
      <c r="D370" s="6"/>
      <c r="E370" s="6"/>
      <c r="F370" s="6" t="s">
        <v>635</v>
      </c>
      <c r="G370" s="6"/>
      <c r="H370" s="6"/>
      <c r="I370" s="26" t="n">
        <v>0</v>
      </c>
      <c r="J370" s="26" t="n">
        <f aca="false">0</f>
        <v>0</v>
      </c>
      <c r="K370" s="43" t="str">
        <f aca="false">IF(I370=0,"No wiki control",IF(J370=I370,"Fully covered",IF(J370=0,"Not covered","Partly covered")))</f>
        <v>No wiki control</v>
      </c>
      <c r="L370" s="9" t="s">
        <v>1567</v>
      </c>
    </row>
    <row r="371" customFormat="false" ht="23.85" hidden="false" customHeight="false" outlineLevel="0" collapsed="false">
      <c r="A371" s="51" t="s">
        <v>582</v>
      </c>
      <c r="B371" s="51" t="s">
        <v>583</v>
      </c>
      <c r="C371" s="5" t="s">
        <v>1604</v>
      </c>
      <c r="D371" s="6"/>
      <c r="E371" s="6"/>
      <c r="F371" s="6" t="s">
        <v>635</v>
      </c>
      <c r="G371" s="6"/>
      <c r="H371" s="6"/>
      <c r="I371" s="26" t="n">
        <v>0</v>
      </c>
      <c r="J371" s="26" t="n">
        <f aca="false">0</f>
        <v>0</v>
      </c>
      <c r="K371" s="43" t="str">
        <f aca="false">IF(I371=0,"No wiki control",IF(J371=I371,"Fully covered",IF(J371=0,"Not covered","Partly covered")))</f>
        <v>No wiki control</v>
      </c>
      <c r="L371" s="9" t="s">
        <v>1567</v>
      </c>
    </row>
    <row r="372" customFormat="false" ht="23.85" hidden="false" customHeight="false" outlineLevel="0" collapsed="false">
      <c r="A372" s="51" t="s">
        <v>582</v>
      </c>
      <c r="B372" s="51" t="s">
        <v>583</v>
      </c>
      <c r="C372" s="5" t="s">
        <v>1605</v>
      </c>
      <c r="D372" s="6" t="s">
        <v>1606</v>
      </c>
      <c r="E372" s="6" t="s">
        <v>1607</v>
      </c>
      <c r="F372" s="6" t="s">
        <v>725</v>
      </c>
      <c r="G372" s="6" t="s">
        <v>1608</v>
      </c>
      <c r="H372" s="6"/>
      <c r="I372" s="26" t="n">
        <v>2</v>
      </c>
      <c r="J372" s="26" t="n">
        <f aca="false">COUNTIFS('Control Library'!$A$5:$A$50,"AI-CTRL-022",'Control Library'!$R$5:$R$50,"Implemented")+COUNTIFS('Control Library'!$A$5:$A$50,"AI-CTRL-033",'Control Library'!$R$5:$R$50,"Implemented")</f>
        <v>0</v>
      </c>
      <c r="K372" s="43" t="str">
        <f aca="false">IF(I372=0,"No wiki control",IF(J372=I372,"Fully covered",IF(J372=0,"Not covered","Partly covered")))</f>
        <v>Not covered</v>
      </c>
      <c r="L372" s="9" t="s">
        <v>1567</v>
      </c>
    </row>
    <row r="373" customFormat="false" ht="23.85" hidden="false" customHeight="false" outlineLevel="0" collapsed="false">
      <c r="A373" s="51" t="s">
        <v>582</v>
      </c>
      <c r="B373" s="51" t="s">
        <v>583</v>
      </c>
      <c r="C373" s="5" t="s">
        <v>1609</v>
      </c>
      <c r="D373" s="6" t="s">
        <v>1610</v>
      </c>
      <c r="E373" s="6" t="s">
        <v>412</v>
      </c>
      <c r="F373" s="6" t="s">
        <v>725</v>
      </c>
      <c r="G373" s="6" t="s">
        <v>398</v>
      </c>
      <c r="H373" s="6"/>
      <c r="I373" s="26" t="n">
        <v>1</v>
      </c>
      <c r="J373" s="26" t="n">
        <f aca="false">COUNTIFS('Control Library'!$A$5:$A$50,"AI-CTRL-030",'Control Library'!$R$5:$R$50,"Implemented")</f>
        <v>0</v>
      </c>
      <c r="K373" s="43" t="str">
        <f aca="false">IF(I373=0,"No wiki control",IF(J373=I373,"Fully covered",IF(J373=0,"Not covered","Partly covered")))</f>
        <v>Not covered</v>
      </c>
      <c r="L373" s="9" t="s">
        <v>1567</v>
      </c>
    </row>
    <row r="374" customFormat="false" ht="46.25" hidden="false" customHeight="false" outlineLevel="0" collapsed="false">
      <c r="A374" s="51" t="s">
        <v>582</v>
      </c>
      <c r="B374" s="51" t="s">
        <v>583</v>
      </c>
      <c r="C374" s="5" t="s">
        <v>1611</v>
      </c>
      <c r="D374" s="6" t="s">
        <v>1612</v>
      </c>
      <c r="E374" s="6" t="s">
        <v>1613</v>
      </c>
      <c r="F374" s="6" t="s">
        <v>725</v>
      </c>
      <c r="G374" s="6" t="s">
        <v>1614</v>
      </c>
      <c r="H374" s="6"/>
      <c r="I374" s="26" t="n">
        <v>8</v>
      </c>
      <c r="J374" s="26" t="n">
        <f aca="false">COUNTIFS('Control Library'!$A$5:$A$50,"AI-CTRL-005",'Control Library'!$R$5:$R$50,"Implemented")+COUNTIFS('Control Library'!$A$5:$A$50,"AI-CTRL-020",'Control Library'!$R$5:$R$50,"Implemented")+COUNTIFS('Control Library'!$A$5:$A$50,"AI-CTRL-021",'Control Library'!$R$5:$R$50,"Implemented")+COUNTIFS('Control Library'!$A$5:$A$50,"AI-CTRL-028",'Control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f>
        <v>0</v>
      </c>
      <c r="K374" s="43" t="str">
        <f aca="false">IF(I374=0,"No wiki control",IF(J374=I374,"Fully covered",IF(J374=0,"Not covered","Partly covered")))</f>
        <v>Not covered</v>
      </c>
      <c r="L374" s="9" t="s">
        <v>1567</v>
      </c>
    </row>
    <row r="375" customFormat="false" ht="35.05" hidden="false" customHeight="false" outlineLevel="0" collapsed="false">
      <c r="A375" s="51" t="s">
        <v>582</v>
      </c>
      <c r="B375" s="51" t="s">
        <v>583</v>
      </c>
      <c r="C375" s="5" t="s">
        <v>1615</v>
      </c>
      <c r="D375" s="6" t="s">
        <v>1616</v>
      </c>
      <c r="E375" s="6" t="s">
        <v>1617</v>
      </c>
      <c r="F375" s="6" t="s">
        <v>725</v>
      </c>
      <c r="G375" s="6" t="s">
        <v>1618</v>
      </c>
      <c r="H375" s="6"/>
      <c r="I375" s="26" t="n">
        <v>3</v>
      </c>
      <c r="J375" s="26" t="n">
        <f aca="false">COUNTIFS('Control Library'!$A$5:$A$50,"AI-CTRL-027",'Control Library'!$R$5:$R$50,"Implemented")+COUNTIFS('Control Library'!$A$5:$A$50,"AI-CTRL-030",'Control Library'!$R$5:$R$50,"Implemented")+COUNTIFS('Control Library'!$A$5:$A$50,"AI-CTRL-033",'Control Library'!$R$5:$R$50,"Implemented")</f>
        <v>0</v>
      </c>
      <c r="K375" s="43" t="str">
        <f aca="false">IF(I375=0,"No wiki control",IF(J375=I375,"Fully covered",IF(J375=0,"Not covered","Partly covered")))</f>
        <v>Not covered</v>
      </c>
      <c r="L375" s="9" t="s">
        <v>1567</v>
      </c>
    </row>
    <row r="376" customFormat="false" ht="46.25" hidden="false" customHeight="false" outlineLevel="0" collapsed="false">
      <c r="A376" s="51" t="s">
        <v>582</v>
      </c>
      <c r="B376" s="51" t="s">
        <v>583</v>
      </c>
      <c r="C376" s="5" t="s">
        <v>1619</v>
      </c>
      <c r="D376" s="6" t="s">
        <v>1620</v>
      </c>
      <c r="E376" s="6" t="s">
        <v>1621</v>
      </c>
      <c r="F376" s="6" t="s">
        <v>725</v>
      </c>
      <c r="G376" s="6" t="s">
        <v>1622</v>
      </c>
      <c r="H376" s="6"/>
      <c r="I376" s="26" t="n">
        <v>9</v>
      </c>
      <c r="J376" s="26" t="n">
        <f aca="false">COUNTIFS('Control Library'!$A$5:$A$50,"AI-CTRL-005",'Control Library'!$R$5:$R$50,"Implemented")+COUNTIFS('Control Library'!$A$5:$A$50,"AI-CTRL-006",'Control Library'!$R$5:$R$50,"Implemented")+COUNTIFS('Control Library'!$A$5:$A$50,"AI-CTRL-009",'Control Library'!$R$5:$R$50,"Implemented")+COUNTIFS('Control Library'!$A$5:$A$50,"AI-CTRL-020",'Control Library'!$R$5:$R$50,"Implemented")+COUNTIFS('Control Library'!$A$5:$A$50,"AI-CTRL-025",'Control Library'!$R$5:$R$50,"Implemented")+COUNTIFS('Control Library'!$A$5:$A$50,"AI-CTRL-026",'Control Library'!$R$5:$R$50,"Implemented")+COUNTIFS('Control Library'!$A$5:$A$50,"AI-CTRL-028",'Control Library'!$R$5:$R$50,"Implemented")+COUNTIFS('Control Library'!$A$5:$A$50,"AI-CTRL-035",'Control Library'!$R$5:$R$50,"Implemented")+COUNTIFS('Control Library'!$A$5:$A$50,"AI-CTRL-040",'Control Library'!$R$5:$R$50,"Implemented")</f>
        <v>0</v>
      </c>
      <c r="K376" s="43" t="str">
        <f aca="false">IF(I376=0,"No wiki control",IF(J376=I376,"Fully covered",IF(J376=0,"Not covered","Partly covered")))</f>
        <v>Not covered</v>
      </c>
      <c r="L376" s="9" t="s">
        <v>1567</v>
      </c>
    </row>
    <row r="377" customFormat="false" ht="23.85" hidden="false" customHeight="false" outlineLevel="0" collapsed="false">
      <c r="A377" s="51" t="s">
        <v>582</v>
      </c>
      <c r="B377" s="51" t="s">
        <v>583</v>
      </c>
      <c r="C377" s="5" t="s">
        <v>1623</v>
      </c>
      <c r="D377" s="6"/>
      <c r="E377" s="6"/>
      <c r="F377" s="6" t="s">
        <v>635</v>
      </c>
      <c r="G377" s="6"/>
      <c r="H377" s="6"/>
      <c r="I377" s="26" t="n">
        <v>0</v>
      </c>
      <c r="J377" s="26" t="n">
        <f aca="false">0</f>
        <v>0</v>
      </c>
      <c r="K377" s="43" t="str">
        <f aca="false">IF(I377=0,"No wiki control",IF(J377=I377,"Fully covered",IF(J377=0,"Not covered","Partly covered")))</f>
        <v>No wiki control</v>
      </c>
      <c r="L377" s="9" t="s">
        <v>1567</v>
      </c>
    </row>
    <row r="378" customFormat="false" ht="23.85" hidden="false" customHeight="false" outlineLevel="0" collapsed="false">
      <c r="A378" s="51" t="s">
        <v>582</v>
      </c>
      <c r="B378" s="51" t="s">
        <v>583</v>
      </c>
      <c r="C378" s="5" t="s">
        <v>1624</v>
      </c>
      <c r="D378" s="6" t="s">
        <v>1625</v>
      </c>
      <c r="E378" s="6" t="s">
        <v>729</v>
      </c>
      <c r="F378" s="6" t="s">
        <v>725</v>
      </c>
      <c r="G378" s="6" t="s">
        <v>234</v>
      </c>
      <c r="H378" s="6"/>
      <c r="I378" s="26" t="n">
        <v>2</v>
      </c>
      <c r="J378" s="26" t="n">
        <f aca="false">COUNTIFS('Control Library'!$A$5:$A$50,"AI-CTRL-008",'Control Library'!$R$5:$R$50,"Implemented")+COUNTIFS('Control Library'!$A$5:$A$50,"AI-CTRL-009",'Control Library'!$R$5:$R$50,"Implemented")</f>
        <v>0</v>
      </c>
      <c r="K378" s="43" t="str">
        <f aca="false">IF(I378=0,"No wiki control",IF(J378=I378,"Fully covered",IF(J378=0,"Not covered","Partly covered")))</f>
        <v>Not covered</v>
      </c>
      <c r="L378" s="9" t="s">
        <v>1567</v>
      </c>
    </row>
    <row r="379" customFormat="false" ht="23.85" hidden="false" customHeight="false" outlineLevel="0" collapsed="false">
      <c r="A379" s="51" t="s">
        <v>582</v>
      </c>
      <c r="B379" s="51" t="s">
        <v>583</v>
      </c>
      <c r="C379" s="5" t="s">
        <v>1626</v>
      </c>
      <c r="D379" s="6" t="s">
        <v>1627</v>
      </c>
      <c r="E379" s="6" t="s">
        <v>403</v>
      </c>
      <c r="F379" s="6" t="s">
        <v>725</v>
      </c>
      <c r="G379" s="6" t="s">
        <v>398</v>
      </c>
      <c r="H379" s="6"/>
      <c r="I379" s="26" t="n">
        <v>1</v>
      </c>
      <c r="J379" s="26" t="n">
        <f aca="false">COUNTIFS('Control Library'!$A$5:$A$50,"AI-CTRL-029",'Control Library'!$R$5:$R$50,"Implemented")</f>
        <v>0</v>
      </c>
      <c r="K379" s="43" t="str">
        <f aca="false">IF(I379=0,"No wiki control",IF(J379=I379,"Fully covered",IF(J379=0,"Not covered","Partly covered")))</f>
        <v>Not covered</v>
      </c>
      <c r="L379" s="9" t="s">
        <v>1567</v>
      </c>
    </row>
    <row r="380" customFormat="false" ht="23.85" hidden="false" customHeight="false" outlineLevel="0" collapsed="false">
      <c r="A380" s="51" t="s">
        <v>582</v>
      </c>
      <c r="B380" s="51" t="s">
        <v>583</v>
      </c>
      <c r="C380" s="5" t="s">
        <v>1628</v>
      </c>
      <c r="D380" s="6" t="s">
        <v>1629</v>
      </c>
      <c r="E380" s="6" t="s">
        <v>871</v>
      </c>
      <c r="F380" s="6" t="s">
        <v>725</v>
      </c>
      <c r="G380" s="6" t="s">
        <v>327</v>
      </c>
      <c r="H380" s="6"/>
      <c r="I380" s="26" t="n">
        <v>2</v>
      </c>
      <c r="J380" s="26" t="n">
        <f aca="false">COUNTIFS('Control Library'!$A$5:$A$50,"AI-CTRL-019",'Control Library'!$R$5:$R$50,"Implemented")+COUNTIFS('Control Library'!$A$5:$A$50,"AI-CTRL-029",'Control Library'!$R$5:$R$50,"Implemented")</f>
        <v>0</v>
      </c>
      <c r="K380" s="43" t="str">
        <f aca="false">IF(I380=0,"No wiki control",IF(J380=I380,"Fully covered",IF(J380=0,"Not covered","Partly covered")))</f>
        <v>Not covered</v>
      </c>
      <c r="L380" s="9" t="s">
        <v>1567</v>
      </c>
    </row>
    <row r="381" customFormat="false" ht="23.85" hidden="false" customHeight="false" outlineLevel="0" collapsed="false">
      <c r="A381" s="51" t="s">
        <v>582</v>
      </c>
      <c r="B381" s="51" t="s">
        <v>583</v>
      </c>
      <c r="C381" s="5" t="s">
        <v>1630</v>
      </c>
      <c r="D381" s="6" t="s">
        <v>1631</v>
      </c>
      <c r="E381" s="6" t="s">
        <v>871</v>
      </c>
      <c r="F381" s="6" t="s">
        <v>725</v>
      </c>
      <c r="G381" s="6" t="s">
        <v>327</v>
      </c>
      <c r="H381" s="6"/>
      <c r="I381" s="26" t="n">
        <v>2</v>
      </c>
      <c r="J381" s="26" t="n">
        <f aca="false">COUNTIFS('Control Library'!$A$5:$A$50,"AI-CTRL-019",'Control Library'!$R$5:$R$50,"Implemented")+COUNTIFS('Control Library'!$A$5:$A$50,"AI-CTRL-029",'Control Library'!$R$5:$R$50,"Implemented")</f>
        <v>0</v>
      </c>
      <c r="K381" s="43" t="str">
        <f aca="false">IF(I381=0,"No wiki control",IF(J381=I381,"Fully covered",IF(J381=0,"Not covered","Partly covered")))</f>
        <v>Not covered</v>
      </c>
      <c r="L381" s="9" t="s">
        <v>1567</v>
      </c>
    </row>
    <row r="382" customFormat="false" ht="23.85" hidden="false" customHeight="false" outlineLevel="0" collapsed="false">
      <c r="A382" s="51" t="s">
        <v>582</v>
      </c>
      <c r="B382" s="51" t="s">
        <v>583</v>
      </c>
      <c r="C382" s="5" t="s">
        <v>1632</v>
      </c>
      <c r="D382" s="6" t="s">
        <v>1633</v>
      </c>
      <c r="E382" s="6" t="s">
        <v>1634</v>
      </c>
      <c r="F382" s="6" t="s">
        <v>725</v>
      </c>
      <c r="G382" s="6" t="s">
        <v>1635</v>
      </c>
      <c r="H382" s="6"/>
      <c r="I382" s="26" t="n">
        <v>4</v>
      </c>
      <c r="J382" s="26" t="n">
        <f aca="false">COUNTIFS('Control Library'!$A$5:$A$50,"AI-CTRL-019",'Control Library'!$R$5:$R$50,"Implemented")+COUNTIFS('Control Library'!$A$5:$A$50,"AI-CTRL-029",'Control Library'!$R$5:$R$50,"Implemented")+COUNTIFS('Control Library'!$A$5:$A$50,"AI-CTRL-031",'Control Library'!$R$5:$R$50,"Implemented")+COUNTIFS('Control Library'!$A$5:$A$50,"AI-CTRL-046",'Control Library'!$R$5:$R$50,"Implemented")</f>
        <v>0</v>
      </c>
      <c r="K382" s="43" t="str">
        <f aca="false">IF(I382=0,"No wiki control",IF(J382=I382,"Fully covered",IF(J382=0,"Not covered","Partly covered")))</f>
        <v>Not covered</v>
      </c>
      <c r="L382" s="9" t="s">
        <v>1567</v>
      </c>
    </row>
    <row r="383" customFormat="false" ht="23.85" hidden="false" customHeight="false" outlineLevel="0" collapsed="false">
      <c r="A383" s="51" t="s">
        <v>582</v>
      </c>
      <c r="B383" s="51" t="s">
        <v>583</v>
      </c>
      <c r="C383" s="5" t="s">
        <v>1636</v>
      </c>
      <c r="D383" s="6" t="s">
        <v>1637</v>
      </c>
      <c r="E383" s="6" t="s">
        <v>307</v>
      </c>
      <c r="F383" s="6" t="s">
        <v>725</v>
      </c>
      <c r="G383" s="6" t="s">
        <v>310</v>
      </c>
      <c r="H383" s="6"/>
      <c r="I383" s="26" t="n">
        <v>1</v>
      </c>
      <c r="J383" s="26" t="n">
        <f aca="false">COUNTIFS('Control Library'!$A$5:$A$50,"AI-CTRL-017",'Control Library'!$R$5:$R$50,"Implemented")</f>
        <v>0</v>
      </c>
      <c r="K383" s="43" t="str">
        <f aca="false">IF(I383=0,"No wiki control",IF(J383=I383,"Fully covered",IF(J383=0,"Not covered","Partly covered")))</f>
        <v>Not covered</v>
      </c>
      <c r="L383" s="9" t="s">
        <v>1567</v>
      </c>
    </row>
    <row r="384" customFormat="false" ht="23.85" hidden="false" customHeight="false" outlineLevel="0" collapsed="false">
      <c r="A384" s="51" t="s">
        <v>582</v>
      </c>
      <c r="B384" s="51" t="s">
        <v>583</v>
      </c>
      <c r="C384" s="5" t="s">
        <v>1638</v>
      </c>
      <c r="D384" s="6" t="s">
        <v>1639</v>
      </c>
      <c r="E384" s="6" t="s">
        <v>1640</v>
      </c>
      <c r="F384" s="6" t="s">
        <v>725</v>
      </c>
      <c r="G384" s="6" t="s">
        <v>1641</v>
      </c>
      <c r="H384" s="6"/>
      <c r="I384" s="26" t="n">
        <v>2</v>
      </c>
      <c r="J384" s="26" t="n">
        <f aca="false">COUNTIFS('Control Library'!$A$5:$A$50,"AI-CTRL-039",'Control Library'!$R$5:$R$50,"Implemented")+COUNTIFS('Control Library'!$A$5:$A$50,"AI-CTRL-041",'Control Library'!$R$5:$R$50,"Implemented")</f>
        <v>0</v>
      </c>
      <c r="K384" s="43" t="str">
        <f aca="false">IF(I384=0,"No wiki control",IF(J384=I384,"Fully covered",IF(J384=0,"Not covered","Partly covered")))</f>
        <v>Not covered</v>
      </c>
      <c r="L384" s="9" t="s">
        <v>1567</v>
      </c>
    </row>
    <row r="385" customFormat="false" ht="23.85" hidden="false" customHeight="false" outlineLevel="0" collapsed="false">
      <c r="A385" s="51" t="s">
        <v>582</v>
      </c>
      <c r="B385" s="51" t="s">
        <v>583</v>
      </c>
      <c r="C385" s="5" t="s">
        <v>1642</v>
      </c>
      <c r="D385" s="6" t="s">
        <v>1643</v>
      </c>
      <c r="E385" s="6" t="s">
        <v>1644</v>
      </c>
      <c r="F385" s="6" t="s">
        <v>725</v>
      </c>
      <c r="G385" s="6" t="s">
        <v>1645</v>
      </c>
      <c r="H385" s="6"/>
      <c r="I385" s="26" t="n">
        <v>2</v>
      </c>
      <c r="J385" s="26" t="n">
        <f aca="false">COUNTIFS('Control Library'!$A$5:$A$50,"AI-CTRL-035",'Control Library'!$R$5:$R$50,"Implemented")+COUNTIFS('Control Library'!$A$5:$A$50,"AI-CTRL-043",'Control Library'!$R$5:$R$50,"Implemented")</f>
        <v>0</v>
      </c>
      <c r="K385" s="43" t="str">
        <f aca="false">IF(I385=0,"No wiki control",IF(J385=I385,"Fully covered",IF(J385=0,"Not covered","Partly covered")))</f>
        <v>Not covered</v>
      </c>
      <c r="L385" s="9" t="s">
        <v>1567</v>
      </c>
    </row>
    <row r="386" customFormat="false" ht="23.85" hidden="false" customHeight="false" outlineLevel="0" collapsed="false">
      <c r="A386" s="51" t="s">
        <v>582</v>
      </c>
      <c r="B386" s="51" t="s">
        <v>583</v>
      </c>
      <c r="C386" s="5" t="s">
        <v>1646</v>
      </c>
      <c r="D386" s="6" t="s">
        <v>1647</v>
      </c>
      <c r="E386" s="6" t="s">
        <v>452</v>
      </c>
      <c r="F386" s="6" t="s">
        <v>725</v>
      </c>
      <c r="G386" s="6" t="s">
        <v>455</v>
      </c>
      <c r="H386" s="6"/>
      <c r="I386" s="26" t="n">
        <v>1</v>
      </c>
      <c r="J386" s="26" t="n">
        <f aca="false">COUNTIFS('Control Library'!$A$5:$A$50,"AI-CTRL-035",'Control Library'!$R$5:$R$50,"Implemented")</f>
        <v>0</v>
      </c>
      <c r="K386" s="43" t="str">
        <f aca="false">IF(I386=0,"No wiki control",IF(J386=I386,"Fully covered",IF(J386=0,"Not covered","Partly covered")))</f>
        <v>Not covered</v>
      </c>
      <c r="L386" s="9" t="s">
        <v>1567</v>
      </c>
    </row>
    <row r="387" customFormat="false" ht="23.85" hidden="false" customHeight="false" outlineLevel="0" collapsed="false">
      <c r="A387" s="51" t="s">
        <v>582</v>
      </c>
      <c r="B387" s="51" t="s">
        <v>583</v>
      </c>
      <c r="C387" s="5" t="s">
        <v>1648</v>
      </c>
      <c r="D387" s="6" t="s">
        <v>1649</v>
      </c>
      <c r="E387" s="6" t="s">
        <v>521</v>
      </c>
      <c r="F387" s="6" t="s">
        <v>725</v>
      </c>
      <c r="G387" s="6" t="s">
        <v>524</v>
      </c>
      <c r="H387" s="6"/>
      <c r="I387" s="26" t="n">
        <v>1</v>
      </c>
      <c r="J387" s="26" t="n">
        <f aca="false">COUNTIFS('Control Library'!$A$5:$A$50,"AI-CTRL-043",'Control Library'!$R$5:$R$50,"Implemented")</f>
        <v>0</v>
      </c>
      <c r="K387" s="43" t="str">
        <f aca="false">IF(I387=0,"No wiki control",IF(J387=I387,"Fully covered",IF(J387=0,"Not covered","Partly covered")))</f>
        <v>Not covered</v>
      </c>
      <c r="L387" s="9" t="s">
        <v>1567</v>
      </c>
    </row>
    <row r="388" customFormat="false" ht="46.25" hidden="false" customHeight="false" outlineLevel="0" collapsed="false">
      <c r="A388" s="51" t="s">
        <v>582</v>
      </c>
      <c r="B388" s="51" t="s">
        <v>583</v>
      </c>
      <c r="C388" s="5" t="s">
        <v>1650</v>
      </c>
      <c r="D388" s="6" t="s">
        <v>1651</v>
      </c>
      <c r="E388" s="6" t="s">
        <v>1652</v>
      </c>
      <c r="F388" s="6" t="s">
        <v>725</v>
      </c>
      <c r="G388" s="6" t="s">
        <v>1653</v>
      </c>
      <c r="H388" s="6"/>
      <c r="I388" s="26" t="n">
        <v>6</v>
      </c>
      <c r="J388"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Library'!$A$5:$A$50,"AI-CTRL-023",'Control Library'!$R$5:$R$50,"Implemented")+COUNTIFS('Control Library'!$A$5:$A$50,"AI-CTRL-045",'Control Library'!$R$5:$R$50,"Implemented")</f>
        <v>0</v>
      </c>
      <c r="K388" s="43" t="str">
        <f aca="false">IF(I388=0,"No wiki control",IF(J388=I388,"Fully covered",IF(J388=0,"Not covered","Partly covered")))</f>
        <v>Not covered</v>
      </c>
      <c r="L388" s="9" t="s">
        <v>1567</v>
      </c>
    </row>
    <row r="389" customFormat="false" ht="23.85" hidden="false" customHeight="false" outlineLevel="0" collapsed="false">
      <c r="A389" s="51" t="s">
        <v>582</v>
      </c>
      <c r="B389" s="51" t="s">
        <v>583</v>
      </c>
      <c r="C389" s="5" t="s">
        <v>1654</v>
      </c>
      <c r="D389" s="6" t="s">
        <v>1655</v>
      </c>
      <c r="E389" s="6" t="s">
        <v>800</v>
      </c>
      <c r="F389" s="6" t="s">
        <v>725</v>
      </c>
      <c r="G389" s="6" t="s">
        <v>541</v>
      </c>
      <c r="H389" s="6"/>
      <c r="I389" s="26" t="n">
        <v>2</v>
      </c>
      <c r="J389" s="26" t="n">
        <f aca="false">COUNTIFS('Control Library'!$A$5:$A$50,"AI-CTRL-023",'Control Library'!$R$5:$R$50,"Implemented")+COUNTIFS('Control Library'!$A$5:$A$50,"AI-CTRL-045",'Control Library'!$R$5:$R$50,"Implemented")</f>
        <v>0</v>
      </c>
      <c r="K389" s="43" t="str">
        <f aca="false">IF(I389=0,"No wiki control",IF(J389=I389,"Fully covered",IF(J389=0,"Not covered","Partly covered")))</f>
        <v>Not covered</v>
      </c>
      <c r="L389" s="9" t="s">
        <v>1567</v>
      </c>
    </row>
    <row r="390" customFormat="false" ht="23.85" hidden="false" customHeight="false" outlineLevel="0" collapsed="false">
      <c r="A390" s="51" t="s">
        <v>582</v>
      </c>
      <c r="B390" s="51" t="s">
        <v>583</v>
      </c>
      <c r="C390" s="5" t="s">
        <v>1656</v>
      </c>
      <c r="D390" s="6" t="s">
        <v>1657</v>
      </c>
      <c r="E390" s="6" t="s">
        <v>255</v>
      </c>
      <c r="F390" s="6" t="s">
        <v>725</v>
      </c>
      <c r="G390" s="6" t="s">
        <v>258</v>
      </c>
      <c r="H390" s="6"/>
      <c r="I390" s="26" t="n">
        <v>1</v>
      </c>
      <c r="J390" s="26" t="n">
        <f aca="false">COUNTIFS('Control Library'!$A$5:$A$50,"AI-CTRL-011",'Control Library'!$R$5:$R$50,"Implemented")</f>
        <v>0</v>
      </c>
      <c r="K390" s="43" t="str">
        <f aca="false">IF(I390=0,"No wiki control",IF(J390=I390,"Fully covered",IF(J390=0,"Not covered","Partly covered")))</f>
        <v>Not covered</v>
      </c>
      <c r="L390" s="9" t="s">
        <v>1567</v>
      </c>
    </row>
    <row r="391" customFormat="false" ht="23.85" hidden="false" customHeight="false" outlineLevel="0" collapsed="false">
      <c r="A391" s="51" t="s">
        <v>582</v>
      </c>
      <c r="B391" s="51" t="s">
        <v>583</v>
      </c>
      <c r="C391" s="5" t="s">
        <v>1658</v>
      </c>
      <c r="D391" s="6" t="s">
        <v>1659</v>
      </c>
      <c r="E391" s="6" t="s">
        <v>282</v>
      </c>
      <c r="F391" s="6" t="s">
        <v>725</v>
      </c>
      <c r="G391" s="6" t="s">
        <v>286</v>
      </c>
      <c r="H391" s="6"/>
      <c r="I391" s="26" t="n">
        <v>1</v>
      </c>
      <c r="J391" s="26" t="n">
        <f aca="false">COUNTIFS('Control Library'!$A$5:$A$50,"AI-CTRL-014",'Control Library'!$R$5:$R$50,"Implemented")</f>
        <v>0</v>
      </c>
      <c r="K391" s="43" t="str">
        <f aca="false">IF(I391=0,"No wiki control",IF(J391=I391,"Fully covered",IF(J391=0,"Not covered","Partly covered")))</f>
        <v>Not covered</v>
      </c>
      <c r="L391" s="9" t="s">
        <v>1567</v>
      </c>
    </row>
    <row r="392" customFormat="false" ht="23.85" hidden="false" customHeight="false" outlineLevel="0" collapsed="false">
      <c r="A392" s="51" t="s">
        <v>582</v>
      </c>
      <c r="B392" s="51" t="s">
        <v>583</v>
      </c>
      <c r="C392" s="5" t="s">
        <v>1660</v>
      </c>
      <c r="D392" s="6" t="s">
        <v>1661</v>
      </c>
      <c r="E392" s="6" t="s">
        <v>1662</v>
      </c>
      <c r="F392" s="6" t="s">
        <v>725</v>
      </c>
      <c r="G392" s="6" t="s">
        <v>1077</v>
      </c>
      <c r="H392" s="6"/>
      <c r="I392" s="26" t="n">
        <v>5</v>
      </c>
      <c r="J392"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Library'!$R$5:$R$50,"Implemented")+COUNTIFS('Control Library'!$A$5:$A$50,"AI-CTRL-046",'Control Library'!$R$5:$R$50,"Implemented")</f>
        <v>0</v>
      </c>
      <c r="K392" s="43" t="str">
        <f aca="false">IF(I392=0,"No wiki control",IF(J392=I392,"Fully covered",IF(J392=0,"Not covered","Partly covered")))</f>
        <v>Not covered</v>
      </c>
      <c r="L392" s="9" t="s">
        <v>1567</v>
      </c>
    </row>
    <row r="393" customFormat="false" ht="23.85" hidden="false" customHeight="false" outlineLevel="0" collapsed="false">
      <c r="A393" s="51" t="s">
        <v>582</v>
      </c>
      <c r="B393" s="51" t="s">
        <v>583</v>
      </c>
      <c r="C393" s="5" t="s">
        <v>1663</v>
      </c>
      <c r="D393" s="6"/>
      <c r="E393" s="6"/>
      <c r="F393" s="6" t="s">
        <v>635</v>
      </c>
      <c r="G393" s="6"/>
      <c r="H393" s="6"/>
      <c r="I393" s="26" t="n">
        <v>0</v>
      </c>
      <c r="J393" s="26" t="n">
        <f aca="false">0</f>
        <v>0</v>
      </c>
      <c r="K393" s="43" t="str">
        <f aca="false">IF(I393=0,"No wiki control",IF(J393=I393,"Fully covered",IF(J393=0,"Not covered","Partly covered")))</f>
        <v>No wiki control</v>
      </c>
      <c r="L393" s="9" t="s">
        <v>1567</v>
      </c>
    </row>
    <row r="394" customFormat="false" ht="23.85" hidden="false" customHeight="false" outlineLevel="0" collapsed="false">
      <c r="A394" s="51" t="s">
        <v>584</v>
      </c>
      <c r="B394" s="51" t="s">
        <v>583</v>
      </c>
      <c r="C394" s="5" t="s">
        <v>1664</v>
      </c>
      <c r="D394" s="6" t="s">
        <v>1665</v>
      </c>
      <c r="E394" s="6" t="s">
        <v>521</v>
      </c>
      <c r="F394" s="6" t="s">
        <v>725</v>
      </c>
      <c r="G394" s="6" t="s">
        <v>524</v>
      </c>
      <c r="H394" s="6"/>
      <c r="I394" s="26" t="n">
        <v>1</v>
      </c>
      <c r="J394" s="26" t="n">
        <f aca="false">COUNTIFS('Control Library'!$A$5:$A$50,"AI-CTRL-043",'Control Library'!$R$5:$R$50,"Implemented")</f>
        <v>0</v>
      </c>
      <c r="K394" s="43" t="str">
        <f aca="false">IF(I394=0,"No wiki control",IF(J394=I394,"Fully covered",IF(J394=0,"Not covered","Partly covered")))</f>
        <v>Not covered</v>
      </c>
      <c r="L394" s="9" t="s">
        <v>1567</v>
      </c>
    </row>
    <row r="395" customFormat="false" ht="23.85" hidden="false" customHeight="false" outlineLevel="0" collapsed="false">
      <c r="A395" s="51" t="s">
        <v>584</v>
      </c>
      <c r="B395" s="51" t="s">
        <v>583</v>
      </c>
      <c r="C395" s="5" t="s">
        <v>1666</v>
      </c>
      <c r="D395" s="6" t="s">
        <v>1667</v>
      </c>
      <c r="E395" s="6" t="s">
        <v>469</v>
      </c>
      <c r="F395" s="6" t="s">
        <v>725</v>
      </c>
      <c r="G395" s="6" t="s">
        <v>472</v>
      </c>
      <c r="H395" s="6"/>
      <c r="I395" s="26" t="n">
        <v>1</v>
      </c>
      <c r="J395" s="26" t="n">
        <f aca="false">COUNTIFS('Control Library'!$A$5:$A$50,"AI-CTRL-037",'Control Library'!$R$5:$R$50,"Implemented")</f>
        <v>0</v>
      </c>
      <c r="K395" s="43" t="str">
        <f aca="false">IF(I395=0,"No wiki control",IF(J395=I395,"Fully covered",IF(J395=0,"Not covered","Partly covered")))</f>
        <v>Not covered</v>
      </c>
      <c r="L395" s="9" t="s">
        <v>1567</v>
      </c>
    </row>
    <row r="396" customFormat="false" ht="23.85" hidden="false" customHeight="false" outlineLevel="0" collapsed="false">
      <c r="A396" s="51" t="s">
        <v>584</v>
      </c>
      <c r="B396" s="51" t="s">
        <v>583</v>
      </c>
      <c r="C396" s="5" t="s">
        <v>1668</v>
      </c>
      <c r="D396" s="6" t="s">
        <v>1669</v>
      </c>
      <c r="E396" s="6" t="s">
        <v>469</v>
      </c>
      <c r="F396" s="6" t="s">
        <v>725</v>
      </c>
      <c r="G396" s="6" t="s">
        <v>472</v>
      </c>
      <c r="H396" s="6"/>
      <c r="I396" s="26" t="n">
        <v>1</v>
      </c>
      <c r="J396" s="26" t="n">
        <f aca="false">COUNTIFS('Control Library'!$A$5:$A$50,"AI-CTRL-037",'Control Library'!$R$5:$R$50,"Implemented")</f>
        <v>0</v>
      </c>
      <c r="K396" s="43" t="str">
        <f aca="false">IF(I396=0,"No wiki control",IF(J396=I396,"Fully covered",IF(J396=0,"Not covered","Partly covered")))</f>
        <v>Not covered</v>
      </c>
      <c r="L396" s="9" t="s">
        <v>1567</v>
      </c>
    </row>
    <row r="397" customFormat="false" ht="23.85" hidden="false" customHeight="false" outlineLevel="0" collapsed="false">
      <c r="A397" s="51" t="s">
        <v>584</v>
      </c>
      <c r="B397" s="51" t="s">
        <v>583</v>
      </c>
      <c r="C397" s="5" t="s">
        <v>1670</v>
      </c>
      <c r="D397" s="6" t="s">
        <v>1671</v>
      </c>
      <c r="E397" s="6" t="s">
        <v>529</v>
      </c>
      <c r="F397" s="6" t="s">
        <v>725</v>
      </c>
      <c r="G397" s="6" t="s">
        <v>532</v>
      </c>
      <c r="H397" s="6"/>
      <c r="I397" s="26" t="n">
        <v>1</v>
      </c>
      <c r="J397" s="26" t="n">
        <f aca="false">COUNTIFS('Control Library'!$A$5:$A$50,"AI-CTRL-044",'Control Library'!$R$5:$R$50,"Implemented")</f>
        <v>0</v>
      </c>
      <c r="K397" s="43" t="str">
        <f aca="false">IF(I397=0,"No wiki control",IF(J397=I397,"Fully covered",IF(J397=0,"Not covered","Partly covered")))</f>
        <v>Not covered</v>
      </c>
      <c r="L397" s="9" t="s">
        <v>1567</v>
      </c>
    </row>
    <row r="398" customFormat="false" ht="23.85" hidden="false" customHeight="false" outlineLevel="0" collapsed="false">
      <c r="A398" s="51" t="s">
        <v>584</v>
      </c>
      <c r="B398" s="51" t="s">
        <v>583</v>
      </c>
      <c r="C398" s="5" t="s">
        <v>1672</v>
      </c>
      <c r="D398" s="6" t="s">
        <v>1673</v>
      </c>
      <c r="E398" s="6" t="s">
        <v>529</v>
      </c>
      <c r="F398" s="6" t="s">
        <v>725</v>
      </c>
      <c r="G398" s="6" t="s">
        <v>532</v>
      </c>
      <c r="H398" s="6"/>
      <c r="I398" s="26" t="n">
        <v>1</v>
      </c>
      <c r="J398" s="26" t="n">
        <f aca="false">COUNTIFS('Control Library'!$A$5:$A$50,"AI-CTRL-044",'Control Library'!$R$5:$R$50,"Implemented")</f>
        <v>0</v>
      </c>
      <c r="K398" s="43" t="str">
        <f aca="false">IF(I398=0,"No wiki control",IF(J398=I398,"Fully covered",IF(J398=0,"Not covered","Partly covered")))</f>
        <v>Not covered</v>
      </c>
      <c r="L398" s="9" t="s">
        <v>1567</v>
      </c>
    </row>
    <row r="399" customFormat="false" ht="23.85" hidden="false" customHeight="false" outlineLevel="0" collapsed="false">
      <c r="A399" s="51" t="s">
        <v>584</v>
      </c>
      <c r="B399" s="51" t="s">
        <v>583</v>
      </c>
      <c r="C399" s="5" t="s">
        <v>1674</v>
      </c>
      <c r="D399" s="6" t="s">
        <v>1675</v>
      </c>
      <c r="E399" s="6" t="s">
        <v>477</v>
      </c>
      <c r="F399" s="6" t="s">
        <v>725</v>
      </c>
      <c r="G399" s="6" t="s">
        <v>480</v>
      </c>
      <c r="H399" s="6"/>
      <c r="I399" s="26" t="n">
        <v>1</v>
      </c>
      <c r="J399" s="26" t="n">
        <f aca="false">COUNTIFS('Control Library'!$A$5:$A$50,"AI-CTRL-038",'Control Library'!$R$5:$R$50,"Implemented")</f>
        <v>0</v>
      </c>
      <c r="K399" s="43" t="str">
        <f aca="false">IF(I399=0,"No wiki control",IF(J399=I399,"Fully covered",IF(J399=0,"Not covered","Partly covered")))</f>
        <v>Not covered</v>
      </c>
      <c r="L399" s="9" t="s">
        <v>1567</v>
      </c>
    </row>
    <row r="400" customFormat="false" ht="23.85" hidden="false" customHeight="false" outlineLevel="0" collapsed="false">
      <c r="A400" s="51" t="s">
        <v>584</v>
      </c>
      <c r="B400" s="51" t="s">
        <v>583</v>
      </c>
      <c r="C400" s="5" t="s">
        <v>1676</v>
      </c>
      <c r="D400" s="6" t="s">
        <v>1677</v>
      </c>
      <c r="E400" s="6" t="s">
        <v>477</v>
      </c>
      <c r="F400" s="6" t="s">
        <v>725</v>
      </c>
      <c r="G400" s="6" t="s">
        <v>480</v>
      </c>
      <c r="H400" s="6"/>
      <c r="I400" s="26" t="n">
        <v>1</v>
      </c>
      <c r="J400" s="26" t="n">
        <f aca="false">COUNTIFS('Control Library'!$A$5:$A$50,"AI-CTRL-038",'Control Library'!$R$5:$R$50,"Implemented")</f>
        <v>0</v>
      </c>
      <c r="K400" s="43" t="str">
        <f aca="false">IF(I400=0,"No wiki control",IF(J400=I400,"Fully covered",IF(J400=0,"Not covered","Partly covered")))</f>
        <v>Not covered</v>
      </c>
      <c r="L400" s="9" t="s">
        <v>1567</v>
      </c>
    </row>
    <row r="401" customFormat="false" ht="23.85" hidden="false" customHeight="false" outlineLevel="0" collapsed="false">
      <c r="A401" s="51" t="s">
        <v>584</v>
      </c>
      <c r="B401" s="51" t="s">
        <v>583</v>
      </c>
      <c r="C401" s="5" t="s">
        <v>1678</v>
      </c>
      <c r="D401" s="6" t="s">
        <v>1679</v>
      </c>
      <c r="E401" s="6" t="s">
        <v>477</v>
      </c>
      <c r="F401" s="6" t="s">
        <v>725</v>
      </c>
      <c r="G401" s="6" t="s">
        <v>480</v>
      </c>
      <c r="H401" s="6"/>
      <c r="I401" s="26" t="n">
        <v>1</v>
      </c>
      <c r="J401" s="26" t="n">
        <f aca="false">COUNTIFS('Control Library'!$A$5:$A$50,"AI-CTRL-038",'Control Library'!$R$5:$R$50,"Implemented")</f>
        <v>0</v>
      </c>
      <c r="K401" s="43" t="str">
        <f aca="false">IF(I401=0,"No wiki control",IF(J401=I401,"Fully covered",IF(J401=0,"Not covered","Partly covered")))</f>
        <v>Not covered</v>
      </c>
      <c r="L401" s="9" t="s">
        <v>1567</v>
      </c>
    </row>
    <row r="402" customFormat="false" ht="23.85" hidden="false" customHeight="false" outlineLevel="0" collapsed="false">
      <c r="A402" s="51" t="s">
        <v>584</v>
      </c>
      <c r="B402" s="51" t="s">
        <v>583</v>
      </c>
      <c r="C402" s="5" t="s">
        <v>1680</v>
      </c>
      <c r="D402" s="6" t="s">
        <v>1681</v>
      </c>
      <c r="E402" s="6" t="s">
        <v>477</v>
      </c>
      <c r="F402" s="6" t="s">
        <v>725</v>
      </c>
      <c r="G402" s="6" t="s">
        <v>480</v>
      </c>
      <c r="H402" s="6"/>
      <c r="I402" s="26" t="n">
        <v>1</v>
      </c>
      <c r="J402" s="26" t="n">
        <f aca="false">COUNTIFS('Control Library'!$A$5:$A$50,"AI-CTRL-038",'Control Library'!$R$5:$R$50,"Implemented")</f>
        <v>0</v>
      </c>
      <c r="K402" s="43" t="str">
        <f aca="false">IF(I402=0,"No wiki control",IF(J402=I402,"Fully covered",IF(J402=0,"Not covered","Partly covered")))</f>
        <v>Not covered</v>
      </c>
      <c r="L402" s="9" t="s">
        <v>1567</v>
      </c>
    </row>
    <row r="403" customFormat="false" ht="23.85" hidden="false" customHeight="false" outlineLevel="0" collapsed="false">
      <c r="A403" s="51" t="s">
        <v>585</v>
      </c>
      <c r="B403" s="51" t="s">
        <v>583</v>
      </c>
      <c r="C403" s="5" t="s">
        <v>1682</v>
      </c>
      <c r="D403" s="6" t="s">
        <v>1683</v>
      </c>
      <c r="E403" s="6" t="s">
        <v>263</v>
      </c>
      <c r="F403" s="6" t="s">
        <v>725</v>
      </c>
      <c r="G403" s="6" t="s">
        <v>266</v>
      </c>
      <c r="H403" s="6"/>
      <c r="I403" s="26" t="n">
        <v>1</v>
      </c>
      <c r="J403" s="26" t="n">
        <f aca="false">COUNTIFS('Control Library'!$A$5:$A$50,"AI-CTRL-012",'Control Library'!$R$5:$R$50,"Implemented")</f>
        <v>0</v>
      </c>
      <c r="K403" s="43" t="str">
        <f aca="false">IF(I403=0,"No wiki control",IF(J403=I403,"Fully covered",IF(J403=0,"Not covered","Partly covered")))</f>
        <v>Not covered</v>
      </c>
      <c r="L403" s="9" t="s">
        <v>1684</v>
      </c>
    </row>
    <row r="404" customFormat="false" ht="23.85" hidden="false" customHeight="false" outlineLevel="0" collapsed="false">
      <c r="A404" s="51" t="s">
        <v>585</v>
      </c>
      <c r="B404" s="51" t="s">
        <v>583</v>
      </c>
      <c r="C404" s="5" t="s">
        <v>1591</v>
      </c>
      <c r="D404" s="6" t="s">
        <v>1685</v>
      </c>
      <c r="E404" s="6" t="s">
        <v>263</v>
      </c>
      <c r="F404" s="6" t="s">
        <v>725</v>
      </c>
      <c r="G404" s="6" t="s">
        <v>266</v>
      </c>
      <c r="H404" s="6"/>
      <c r="I404" s="26" t="n">
        <v>1</v>
      </c>
      <c r="J404" s="26" t="n">
        <f aca="false">COUNTIFS('Control Library'!$A$5:$A$50,"AI-CTRL-012",'Control Library'!$R$5:$R$50,"Implemented")</f>
        <v>0</v>
      </c>
      <c r="K404" s="43" t="str">
        <f aca="false">IF(I404=0,"No wiki control",IF(J404=I404,"Fully covered",IF(J404=0,"Not covered","Partly covered")))</f>
        <v>Not covered</v>
      </c>
      <c r="L404" s="9" t="s">
        <v>1684</v>
      </c>
    </row>
    <row r="405" customFormat="false" ht="23.85" hidden="false" customHeight="false" outlineLevel="0" collapsed="false">
      <c r="A405" s="51" t="s">
        <v>585</v>
      </c>
      <c r="B405" s="51" t="s">
        <v>583</v>
      </c>
      <c r="C405" s="5" t="s">
        <v>1595</v>
      </c>
      <c r="D405" s="6" t="s">
        <v>1686</v>
      </c>
      <c r="E405" s="6" t="s">
        <v>1385</v>
      </c>
      <c r="F405" s="6" t="s">
        <v>725</v>
      </c>
      <c r="G405" s="6" t="s">
        <v>1386</v>
      </c>
      <c r="H405" s="6"/>
      <c r="I405" s="26" t="n">
        <v>2</v>
      </c>
      <c r="J405" s="26" t="n">
        <f aca="false">COUNTIFS('Control Library'!$A$5:$A$50,"AI-CTRL-022",'Control Library'!$R$5:$R$50,"Implemented")+COUNTIFS('Control Library'!$A$5:$A$50,"AI-CTRL-023",'Control Library'!$R$5:$R$50,"Implemented")</f>
        <v>0</v>
      </c>
      <c r="K405" s="43" t="str">
        <f aca="false">IF(I405=0,"No wiki control",IF(J405=I405,"Fully covered",IF(J405=0,"Not covered","Partly covered")))</f>
        <v>Not covered</v>
      </c>
      <c r="L405" s="9" t="s">
        <v>1684</v>
      </c>
    </row>
    <row r="406" customFormat="false" ht="23.85" hidden="false" customHeight="false" outlineLevel="0" collapsed="false">
      <c r="A406" s="51" t="s">
        <v>585</v>
      </c>
      <c r="B406" s="51" t="s">
        <v>583</v>
      </c>
      <c r="C406" s="5" t="s">
        <v>1599</v>
      </c>
      <c r="D406" s="6" t="s">
        <v>1687</v>
      </c>
      <c r="E406" s="6" t="s">
        <v>263</v>
      </c>
      <c r="F406" s="6" t="s">
        <v>725</v>
      </c>
      <c r="G406" s="6" t="s">
        <v>266</v>
      </c>
      <c r="H406" s="6"/>
      <c r="I406" s="26" t="n">
        <v>1</v>
      </c>
      <c r="J406" s="26" t="n">
        <f aca="false">COUNTIFS('Control Library'!$A$5:$A$50,"AI-CTRL-012",'Control Library'!$R$5:$R$50,"Implemented")</f>
        <v>0</v>
      </c>
      <c r="K406" s="43" t="str">
        <f aca="false">IF(I406=0,"No wiki control",IF(J406=I406,"Fully covered",IF(J406=0,"Not covered","Partly covered")))</f>
        <v>Not covered</v>
      </c>
      <c r="L406" s="9" t="s">
        <v>1684</v>
      </c>
    </row>
    <row r="407" customFormat="false" ht="23.85" hidden="false" customHeight="false" outlineLevel="0" collapsed="false">
      <c r="A407" s="51" t="s">
        <v>585</v>
      </c>
      <c r="B407" s="51" t="s">
        <v>583</v>
      </c>
      <c r="C407" s="5" t="s">
        <v>1601</v>
      </c>
      <c r="D407" s="6" t="s">
        <v>1688</v>
      </c>
      <c r="E407" s="6" t="s">
        <v>521</v>
      </c>
      <c r="F407" s="6" t="s">
        <v>725</v>
      </c>
      <c r="G407" s="6" t="s">
        <v>524</v>
      </c>
      <c r="H407" s="6"/>
      <c r="I407" s="26" t="n">
        <v>1</v>
      </c>
      <c r="J407" s="26" t="n">
        <f aca="false">COUNTIFS('Control Library'!$A$5:$A$50,"AI-CTRL-043",'Control Library'!$R$5:$R$50,"Implemented")</f>
        <v>0</v>
      </c>
      <c r="K407" s="43" t="str">
        <f aca="false">IF(I407=0,"No wiki control",IF(J407=I407,"Fully covered",IF(J407=0,"Not covered","Partly covered")))</f>
        <v>Not covered</v>
      </c>
      <c r="L407" s="9" t="s">
        <v>1684</v>
      </c>
    </row>
    <row r="408" customFormat="false" ht="23.85" hidden="false" customHeight="false" outlineLevel="0" collapsed="false">
      <c r="A408" s="51" t="s">
        <v>585</v>
      </c>
      <c r="B408" s="51" t="s">
        <v>583</v>
      </c>
      <c r="C408" s="5" t="s">
        <v>1689</v>
      </c>
      <c r="D408" s="6"/>
      <c r="E408" s="6"/>
      <c r="F408" s="6" t="s">
        <v>635</v>
      </c>
      <c r="G408" s="6"/>
      <c r="H408" s="6"/>
      <c r="I408" s="26" t="n">
        <v>0</v>
      </c>
      <c r="J408" s="26" t="n">
        <f aca="false">0</f>
        <v>0</v>
      </c>
      <c r="K408" s="43" t="str">
        <f aca="false">IF(I408=0,"No wiki control",IF(J408=I408,"Fully covered",IF(J408=0,"Not covered","Partly covered")))</f>
        <v>No wiki control</v>
      </c>
      <c r="L408" s="9" t="s">
        <v>1684</v>
      </c>
    </row>
    <row r="409" customFormat="false" ht="23.85" hidden="false" customHeight="false" outlineLevel="0" collapsed="false">
      <c r="A409" s="51" t="s">
        <v>585</v>
      </c>
      <c r="B409" s="51" t="s">
        <v>583</v>
      </c>
      <c r="C409" s="5" t="s">
        <v>1690</v>
      </c>
      <c r="D409" s="6"/>
      <c r="E409" s="6"/>
      <c r="F409" s="6" t="s">
        <v>635</v>
      </c>
      <c r="G409" s="6"/>
      <c r="H409" s="6"/>
      <c r="I409" s="26" t="n">
        <v>0</v>
      </c>
      <c r="J409" s="26" t="n">
        <f aca="false">0</f>
        <v>0</v>
      </c>
      <c r="K409" s="43" t="str">
        <f aca="false">IF(I409=0,"No wiki control",IF(J409=I409,"Fully covered",IF(J409=0,"Not covered","Partly covered")))</f>
        <v>No wiki control</v>
      </c>
      <c r="L409" s="9" t="s">
        <v>1684</v>
      </c>
    </row>
    <row r="410" customFormat="false" ht="35.05" hidden="false" customHeight="false" outlineLevel="0" collapsed="false">
      <c r="A410" s="51" t="s">
        <v>585</v>
      </c>
      <c r="B410" s="51" t="s">
        <v>583</v>
      </c>
      <c r="C410" s="5" t="s">
        <v>1691</v>
      </c>
      <c r="D410" s="6" t="s">
        <v>1692</v>
      </c>
      <c r="E410" s="6" t="s">
        <v>1693</v>
      </c>
      <c r="F410" s="6" t="s">
        <v>725</v>
      </c>
      <c r="G410" s="6" t="s">
        <v>1694</v>
      </c>
      <c r="H410" s="6"/>
      <c r="I410" s="26" t="n">
        <v>3</v>
      </c>
      <c r="J410" s="26" t="n">
        <f aca="false">COUNTIFS('Control Library'!$A$5:$A$50,"AI-CTRL-011",'Control Library'!$R$5:$R$50,"Implemented")+COUNTIFS('Control Library'!$A$5:$A$50,"AI-CTRL-033",'Control Library'!$R$5:$R$50,"Implemented")+COUNTIFS('Control Library'!$A$5:$A$50,"AI-CTRL-042",'Control Library'!$R$5:$R$50,"Implemented")</f>
        <v>0</v>
      </c>
      <c r="K410" s="43" t="str">
        <f aca="false">IF(I410=0,"No wiki control",IF(J410=I410,"Fully covered",IF(J410=0,"Not covered","Partly covered")))</f>
        <v>Not covered</v>
      </c>
      <c r="L410" s="9" t="s">
        <v>1684</v>
      </c>
    </row>
    <row r="411" customFormat="false" ht="23.85" hidden="false" customHeight="false" outlineLevel="0" collapsed="false">
      <c r="A411" s="51" t="s">
        <v>585</v>
      </c>
      <c r="B411" s="51" t="s">
        <v>583</v>
      </c>
      <c r="C411" s="5" t="s">
        <v>1695</v>
      </c>
      <c r="D411" s="6" t="s">
        <v>1696</v>
      </c>
      <c r="E411" s="6" t="s">
        <v>1697</v>
      </c>
      <c r="F411" s="6" t="s">
        <v>725</v>
      </c>
      <c r="G411" s="6" t="s">
        <v>1698</v>
      </c>
      <c r="H411" s="6"/>
      <c r="I411" s="26" t="n">
        <v>4</v>
      </c>
      <c r="J411" s="26" t="n">
        <f aca="false">COUNTIFS('Control Library'!$A$5:$A$50,"AI-CTRL-001",'Control Library'!$R$5:$R$50,"Implemented")+COUNTIFS('Control Library'!$A$5:$A$50,"AI-CTRL-011",'Control Library'!$R$5:$R$50,"Implemented")+COUNTIFS('Control Library'!$A$5:$A$50,"AI-CTRL-029",'Control Library'!$R$5:$R$50,"Implemented")+COUNTIFS('Control Library'!$A$5:$A$50,"AI-CTRL-031",'Control Library'!$R$5:$R$50,"Implemented")</f>
        <v>0</v>
      </c>
      <c r="K411" s="43" t="str">
        <f aca="false">IF(I411=0,"No wiki control",IF(J411=I411,"Fully covered",IF(J411=0,"Not covered","Partly covered")))</f>
        <v>Not covered</v>
      </c>
      <c r="L411" s="9" t="s">
        <v>1684</v>
      </c>
    </row>
    <row r="412" customFormat="false" ht="23.85" hidden="false" customHeight="false" outlineLevel="0" collapsed="false">
      <c r="A412" s="51" t="s">
        <v>585</v>
      </c>
      <c r="B412" s="51" t="s">
        <v>583</v>
      </c>
      <c r="C412" s="5" t="s">
        <v>1699</v>
      </c>
      <c r="D412" s="6" t="s">
        <v>1700</v>
      </c>
      <c r="E412" s="6" t="s">
        <v>1701</v>
      </c>
      <c r="F412" s="6" t="s">
        <v>725</v>
      </c>
      <c r="G412" s="6" t="s">
        <v>1000</v>
      </c>
      <c r="H412" s="6"/>
      <c r="I412" s="26" t="n">
        <v>3</v>
      </c>
      <c r="J412" s="26" t="n">
        <f aca="false">COUNTIFS('Control Library'!$A$5:$A$50,"AI-CTRL-003",'Control Library'!$R$5:$R$50,"Implemented")+COUNTIFS('Control Library'!$A$5:$A$50,"AI-CTRL-010",'Control Library'!$R$5:$R$50,"Implemented")+COUNTIFS('Control Library'!$A$5:$A$50,"AI-CTRL-012",'Control Library'!$R$5:$R$50,"Implemented")</f>
        <v>0</v>
      </c>
      <c r="K412" s="43" t="str">
        <f aca="false">IF(I412=0,"No wiki control",IF(J412=I412,"Fully covered",IF(J412=0,"Not covered","Partly covered")))</f>
        <v>Not covered</v>
      </c>
      <c r="L412" s="9" t="s">
        <v>1684</v>
      </c>
    </row>
    <row r="413" customFormat="false" ht="23.85" hidden="false" customHeight="false" outlineLevel="0" collapsed="false">
      <c r="A413" s="51" t="s">
        <v>585</v>
      </c>
      <c r="B413" s="51" t="s">
        <v>583</v>
      </c>
      <c r="C413" s="5" t="s">
        <v>1702</v>
      </c>
      <c r="D413" s="6"/>
      <c r="E413" s="6"/>
      <c r="F413" s="6" t="s">
        <v>635</v>
      </c>
      <c r="G413" s="6"/>
      <c r="H413" s="6"/>
      <c r="I413" s="26" t="n">
        <v>0</v>
      </c>
      <c r="J413" s="26" t="n">
        <f aca="false">0</f>
        <v>0</v>
      </c>
      <c r="K413" s="43" t="str">
        <f aca="false">IF(I413=0,"No wiki control",IF(J413=I413,"Fully covered",IF(J413=0,"Not covered","Partly covered")))</f>
        <v>No wiki control</v>
      </c>
      <c r="L413" s="9" t="s">
        <v>1684</v>
      </c>
    </row>
    <row r="414" customFormat="false" ht="23.85" hidden="false" customHeight="false" outlineLevel="0" collapsed="false">
      <c r="A414" s="51" t="s">
        <v>585</v>
      </c>
      <c r="B414" s="51" t="s">
        <v>583</v>
      </c>
      <c r="C414" s="5" t="s">
        <v>1703</v>
      </c>
      <c r="D414" s="6" t="s">
        <v>1704</v>
      </c>
      <c r="E414" s="6" t="s">
        <v>1705</v>
      </c>
      <c r="F414" s="6" t="s">
        <v>725</v>
      </c>
      <c r="G414" s="6" t="s">
        <v>1706</v>
      </c>
      <c r="H414" s="6"/>
      <c r="I414" s="26" t="n">
        <v>4</v>
      </c>
      <c r="J414" s="26" t="n">
        <f aca="false">COUNTIFS('Control Library'!$A$5:$A$50,"AI-CTRL-002",'Control Library'!$R$5:$R$50,"Implemented")+COUNTIFS('Control Library'!$A$5:$A$50,"AI-CTRL-010",'Control Library'!$R$5:$R$50,"Implemented")+COUNTIFS('Control Library'!$A$5:$A$50,"AI-CTRL-011",'Control Library'!$R$5:$R$50,"Implemented")+COUNTIFS('Control Library'!$A$5:$A$50,"AI-CTRL-017",'Control Library'!$R$5:$R$50,"Implemented")</f>
        <v>0</v>
      </c>
      <c r="K414" s="43" t="str">
        <f aca="false">IF(I414=0,"No wiki control",IF(J414=I414,"Fully covered",IF(J414=0,"Not covered","Partly covered")))</f>
        <v>Not covered</v>
      </c>
      <c r="L414" s="9" t="s">
        <v>1684</v>
      </c>
    </row>
    <row r="415" customFormat="false" ht="23.85" hidden="false" customHeight="false" outlineLevel="0" collapsed="false">
      <c r="A415" s="51" t="s">
        <v>585</v>
      </c>
      <c r="B415" s="51" t="s">
        <v>583</v>
      </c>
      <c r="C415" s="5" t="s">
        <v>1707</v>
      </c>
      <c r="D415" s="6" t="s">
        <v>1708</v>
      </c>
      <c r="E415" s="6" t="s">
        <v>307</v>
      </c>
      <c r="F415" s="6" t="s">
        <v>725</v>
      </c>
      <c r="G415" s="6" t="s">
        <v>310</v>
      </c>
      <c r="H415" s="6"/>
      <c r="I415" s="26" t="n">
        <v>1</v>
      </c>
      <c r="J415" s="26" t="n">
        <f aca="false">COUNTIFS('Control Library'!$A$5:$A$50,"AI-CTRL-017",'Control Library'!$R$5:$R$50,"Implemented")</f>
        <v>0</v>
      </c>
      <c r="K415" s="43" t="str">
        <f aca="false">IF(I415=0,"No wiki control",IF(J415=I415,"Fully covered",IF(J415=0,"Not covered","Partly covered")))</f>
        <v>Not covered</v>
      </c>
      <c r="L415" s="9" t="s">
        <v>1684</v>
      </c>
    </row>
    <row r="416" customFormat="false" ht="23.85" hidden="false" customHeight="false" outlineLevel="0" collapsed="false">
      <c r="A416" s="51" t="s">
        <v>585</v>
      </c>
      <c r="B416" s="51" t="s">
        <v>583</v>
      </c>
      <c r="C416" s="5" t="s">
        <v>1709</v>
      </c>
      <c r="D416" s="6" t="s">
        <v>1710</v>
      </c>
      <c r="E416" s="6" t="s">
        <v>1711</v>
      </c>
      <c r="F416" s="6" t="s">
        <v>725</v>
      </c>
      <c r="G416" s="6" t="s">
        <v>1712</v>
      </c>
      <c r="H416" s="6"/>
      <c r="I416" s="26" t="n">
        <v>2</v>
      </c>
      <c r="J416" s="26" t="n">
        <f aca="false">COUNTIFS('Control Library'!$A$5:$A$50,"AI-CTRL-003",'Control Library'!$R$5:$R$50,"Implemented")+COUNTIFS('Control Library'!$A$5:$A$50,"AI-CTRL-007",'Control Library'!$R$5:$R$50,"Implemented")</f>
        <v>0</v>
      </c>
      <c r="K416" s="43" t="str">
        <f aca="false">IF(I416=0,"No wiki control",IF(J416=I416,"Fully covered",IF(J416=0,"Not covered","Partly covered")))</f>
        <v>Not covered</v>
      </c>
      <c r="L416" s="9" t="s">
        <v>1684</v>
      </c>
    </row>
    <row r="417" customFormat="false" ht="23.85" hidden="false" customHeight="false" outlineLevel="0" collapsed="false">
      <c r="A417" s="51" t="s">
        <v>585</v>
      </c>
      <c r="B417" s="51" t="s">
        <v>583</v>
      </c>
      <c r="C417" s="5" t="s">
        <v>1713</v>
      </c>
      <c r="D417" s="6" t="s">
        <v>1714</v>
      </c>
      <c r="E417" s="6" t="s">
        <v>1715</v>
      </c>
      <c r="F417" s="6" t="s">
        <v>725</v>
      </c>
      <c r="G417" s="6" t="s">
        <v>1716</v>
      </c>
      <c r="H417" s="6"/>
      <c r="I417" s="26" t="n">
        <v>5</v>
      </c>
      <c r="J417" s="26" t="n">
        <f aca="false">COUNTIFS('Control Library'!$A$5:$A$50,"AI-CTRL-006",'Control Library'!$R$5:$R$50,"Implemented")+COUNTIFS('Control Library'!$A$5:$A$50,"AI-CTRL-016",'Control Library'!$R$5:$R$50,"Implemented")+COUNTIFS('Control Library'!$A$5:$A$50,"AI-CTRL-018",'Control Library'!$R$5:$R$50,"Implemented")+COUNTIFS('Control Library'!$A$5:$A$50,"AI-CTRL-022",'Control Library'!$R$5:$R$50,"Implemented")+COUNTIFS('Control Library'!$A$5:$A$50,"AI-CTRL-028",'Control Library'!$R$5:$R$50,"Implemented")</f>
        <v>0</v>
      </c>
      <c r="K417" s="43" t="str">
        <f aca="false">IF(I417=0,"No wiki control",IF(J417=I417,"Fully covered",IF(J417=0,"Not covered","Partly covered")))</f>
        <v>Not covered</v>
      </c>
      <c r="L417" s="9" t="s">
        <v>1684</v>
      </c>
    </row>
    <row r="418" customFormat="false" ht="23.85" hidden="false" customHeight="false" outlineLevel="0" collapsed="false">
      <c r="A418" s="51" t="s">
        <v>585</v>
      </c>
      <c r="B418" s="51" t="s">
        <v>583</v>
      </c>
      <c r="C418" s="5" t="s">
        <v>1717</v>
      </c>
      <c r="D418" s="6" t="s">
        <v>1718</v>
      </c>
      <c r="E418" s="6" t="s">
        <v>291</v>
      </c>
      <c r="F418" s="6" t="s">
        <v>725</v>
      </c>
      <c r="G418" s="6" t="s">
        <v>295</v>
      </c>
      <c r="H418" s="6"/>
      <c r="I418" s="26" t="n">
        <v>1</v>
      </c>
      <c r="J418" s="26" t="n">
        <f aca="false">COUNTIFS('Control Library'!$A$5:$A$50,"AI-CTRL-015",'Control Library'!$R$5:$R$50,"Implemented")</f>
        <v>0</v>
      </c>
      <c r="K418" s="43" t="str">
        <f aca="false">IF(I418=0,"No wiki control",IF(J418=I418,"Fully covered",IF(J418=0,"Not covered","Partly covered")))</f>
        <v>Not covered</v>
      </c>
      <c r="L418" s="9" t="s">
        <v>1684</v>
      </c>
    </row>
    <row r="419" customFormat="false" ht="23.85" hidden="false" customHeight="false" outlineLevel="0" collapsed="false">
      <c r="A419" s="51" t="s">
        <v>585</v>
      </c>
      <c r="B419" s="51" t="s">
        <v>583</v>
      </c>
      <c r="C419" s="5" t="s">
        <v>1719</v>
      </c>
      <c r="D419" s="6" t="s">
        <v>1720</v>
      </c>
      <c r="E419" s="6" t="s">
        <v>291</v>
      </c>
      <c r="F419" s="6" t="s">
        <v>725</v>
      </c>
      <c r="G419" s="6" t="s">
        <v>295</v>
      </c>
      <c r="H419" s="6"/>
      <c r="I419" s="26" t="n">
        <v>1</v>
      </c>
      <c r="J419" s="26" t="n">
        <f aca="false">COUNTIFS('Control Library'!$A$5:$A$50,"AI-CTRL-015",'Control Library'!$R$5:$R$50,"Implemented")</f>
        <v>0</v>
      </c>
      <c r="K419" s="43" t="str">
        <f aca="false">IF(I419=0,"No wiki control",IF(J419=I419,"Fully covered",IF(J419=0,"Not covered","Partly covered")))</f>
        <v>Not covered</v>
      </c>
      <c r="L419" s="9" t="s">
        <v>1684</v>
      </c>
    </row>
    <row r="420" customFormat="false" ht="23.85" hidden="false" customHeight="false" outlineLevel="0" collapsed="false">
      <c r="A420" s="51" t="s">
        <v>585</v>
      </c>
      <c r="B420" s="51" t="s">
        <v>583</v>
      </c>
      <c r="C420" s="5" t="s">
        <v>1721</v>
      </c>
      <c r="D420" s="6" t="s">
        <v>1722</v>
      </c>
      <c r="E420" s="6" t="s">
        <v>1723</v>
      </c>
      <c r="F420" s="6" t="s">
        <v>725</v>
      </c>
      <c r="G420" s="6" t="s">
        <v>1724</v>
      </c>
      <c r="H420" s="6"/>
      <c r="I420" s="26" t="n">
        <v>2</v>
      </c>
      <c r="J420" s="26" t="n">
        <f aca="false">COUNTIFS('Control Library'!$A$5:$A$50,"AI-CTRL-016",'Control Library'!$R$5:$R$50,"Implemented")+COUNTIFS('Control Library'!$A$5:$A$50,"AI-CTRL-025",'Control Library'!$R$5:$R$50,"Implemented")</f>
        <v>0</v>
      </c>
      <c r="K420" s="43" t="str">
        <f aca="false">IF(I420=0,"No wiki control",IF(J420=I420,"Fully covered",IF(J420=0,"Not covered","Partly covered")))</f>
        <v>Not covered</v>
      </c>
      <c r="L420" s="9" t="s">
        <v>1684</v>
      </c>
    </row>
    <row r="421" customFormat="false" ht="23.85" hidden="false" customHeight="false" outlineLevel="0" collapsed="false">
      <c r="A421" s="51" t="s">
        <v>585</v>
      </c>
      <c r="B421" s="51" t="s">
        <v>583</v>
      </c>
      <c r="C421" s="5" t="s">
        <v>1725</v>
      </c>
      <c r="D421" s="6" t="s">
        <v>1726</v>
      </c>
      <c r="E421" s="6" t="s">
        <v>1727</v>
      </c>
      <c r="F421" s="6" t="s">
        <v>725</v>
      </c>
      <c r="G421" s="6" t="s">
        <v>1048</v>
      </c>
      <c r="H421" s="6"/>
      <c r="I421" s="26" t="n">
        <v>2</v>
      </c>
      <c r="J421" s="26" t="n">
        <f aca="false">COUNTIFS('Control Library'!$A$5:$A$50,"AI-CTRL-014",'Control Library'!$R$5:$R$50,"Implemented")+COUNTIFS('Control Library'!$A$5:$A$50,"AI-CTRL-024",'Control Library'!$R$5:$R$50,"Implemented")</f>
        <v>0</v>
      </c>
      <c r="K421" s="43" t="str">
        <f aca="false">IF(I421=0,"No wiki control",IF(J421=I421,"Fully covered",IF(J421=0,"Not covered","Partly covered")))</f>
        <v>Not covered</v>
      </c>
      <c r="L421" s="9" t="s">
        <v>1684</v>
      </c>
    </row>
    <row r="422" customFormat="false" ht="23.85" hidden="false" customHeight="false" outlineLevel="0" collapsed="false">
      <c r="A422" s="51" t="s">
        <v>585</v>
      </c>
      <c r="B422" s="51" t="s">
        <v>583</v>
      </c>
      <c r="C422" s="5" t="s">
        <v>1728</v>
      </c>
      <c r="D422" s="6" t="s">
        <v>1729</v>
      </c>
      <c r="E422" s="6" t="s">
        <v>1730</v>
      </c>
      <c r="F422" s="6" t="s">
        <v>725</v>
      </c>
      <c r="G422" s="6" t="s">
        <v>1731</v>
      </c>
      <c r="H422" s="6"/>
      <c r="I422" s="26" t="n">
        <v>2</v>
      </c>
      <c r="J422" s="26" t="n">
        <f aca="false">COUNTIFS('Control Library'!$A$5:$A$50,"AI-CTRL-014",'Control Library'!$R$5:$R$50,"Implemented")+COUNTIFS('Control Library'!$A$5:$A$50,"AI-CTRL-046",'Control Library'!$R$5:$R$50,"Implemented")</f>
        <v>0</v>
      </c>
      <c r="K422" s="43" t="str">
        <f aca="false">IF(I422=0,"No wiki control",IF(J422=I422,"Fully covered",IF(J422=0,"Not covered","Partly covered")))</f>
        <v>Not covered</v>
      </c>
      <c r="L422" s="9" t="s">
        <v>1684</v>
      </c>
    </row>
    <row r="423" customFormat="false" ht="23.85" hidden="false" customHeight="false" outlineLevel="0" collapsed="false">
      <c r="A423" s="51" t="s">
        <v>585</v>
      </c>
      <c r="B423" s="51" t="s">
        <v>583</v>
      </c>
      <c r="C423" s="5" t="s">
        <v>1732</v>
      </c>
      <c r="D423" s="6" t="s">
        <v>1733</v>
      </c>
      <c r="E423" s="6" t="s">
        <v>1734</v>
      </c>
      <c r="F423" s="6" t="s">
        <v>725</v>
      </c>
      <c r="G423" s="6" t="s">
        <v>1048</v>
      </c>
      <c r="H423" s="6"/>
      <c r="I423" s="26" t="n">
        <v>4</v>
      </c>
      <c r="J423" s="26" t="n">
        <f aca="false">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423" s="43" t="str">
        <f aca="false">IF(I423=0,"No wiki control",IF(J423=I423,"Fully covered",IF(J423=0,"Not covered","Partly covered")))</f>
        <v>Not covered</v>
      </c>
      <c r="L423" s="9" t="s">
        <v>1684</v>
      </c>
    </row>
    <row r="424" customFormat="false" ht="23.85" hidden="false" customHeight="false" outlineLevel="0" collapsed="false">
      <c r="A424" s="51" t="s">
        <v>585</v>
      </c>
      <c r="B424" s="51" t="s">
        <v>583</v>
      </c>
      <c r="C424" s="5" t="s">
        <v>1735</v>
      </c>
      <c r="D424" s="6" t="s">
        <v>1736</v>
      </c>
      <c r="E424" s="6" t="s">
        <v>282</v>
      </c>
      <c r="F424" s="6" t="s">
        <v>725</v>
      </c>
      <c r="G424" s="6" t="s">
        <v>286</v>
      </c>
      <c r="H424" s="6"/>
      <c r="I424" s="26" t="n">
        <v>1</v>
      </c>
      <c r="J424" s="26" t="n">
        <f aca="false">COUNTIFS('Control Library'!$A$5:$A$50,"AI-CTRL-014",'Control Library'!$R$5:$R$50,"Implemented")</f>
        <v>0</v>
      </c>
      <c r="K424" s="43" t="str">
        <f aca="false">IF(I424=0,"No wiki control",IF(J424=I424,"Fully covered",IF(J424=0,"Not covered","Partly covered")))</f>
        <v>Not covered</v>
      </c>
      <c r="L424" s="9" t="s">
        <v>1684</v>
      </c>
    </row>
    <row r="425" customFormat="false" ht="23.85" hidden="false" customHeight="false" outlineLevel="0" collapsed="false">
      <c r="A425" s="51" t="s">
        <v>585</v>
      </c>
      <c r="B425" s="51" t="s">
        <v>583</v>
      </c>
      <c r="C425" s="5" t="s">
        <v>1737</v>
      </c>
      <c r="D425" s="6" t="s">
        <v>1738</v>
      </c>
      <c r="E425" s="6" t="s">
        <v>1739</v>
      </c>
      <c r="F425" s="6" t="s">
        <v>725</v>
      </c>
      <c r="G425" s="6" t="s">
        <v>286</v>
      </c>
      <c r="H425" s="6"/>
      <c r="I425" s="26" t="n">
        <v>3</v>
      </c>
      <c r="J425" s="26" t="n">
        <f aca="false">COUNTIFS('Control Library'!$A$5:$A$50,"AI-CTRL-007",'Control Library'!$R$5:$R$50,"Implemented")+COUNTIFS('Control Library'!$A$5:$A$50,"AI-CTRL-014",'Control Library'!$R$5:$R$50,"Implemented")+COUNTIFS('Control Library'!$A$5:$A$50,"AI-CTRL-032",'Control Library'!$R$5:$R$50,"Implemented")</f>
        <v>0</v>
      </c>
      <c r="K425" s="43" t="str">
        <f aca="false">IF(I425=0,"No wiki control",IF(J425=I425,"Fully covered",IF(J425=0,"Not covered","Partly covered")))</f>
        <v>Not covered</v>
      </c>
      <c r="L425" s="9" t="s">
        <v>1684</v>
      </c>
    </row>
    <row r="426" customFormat="false" ht="23.85" hidden="false" customHeight="false" outlineLevel="0" collapsed="false">
      <c r="A426" s="51" t="s">
        <v>585</v>
      </c>
      <c r="B426" s="51" t="s">
        <v>583</v>
      </c>
      <c r="C426" s="5" t="s">
        <v>1740</v>
      </c>
      <c r="D426" s="6" t="s">
        <v>1741</v>
      </c>
      <c r="E426" s="6" t="s">
        <v>452</v>
      </c>
      <c r="F426" s="6" t="s">
        <v>725</v>
      </c>
      <c r="G426" s="6" t="s">
        <v>455</v>
      </c>
      <c r="H426" s="6"/>
      <c r="I426" s="26" t="n">
        <v>1</v>
      </c>
      <c r="J426" s="26" t="n">
        <f aca="false">COUNTIFS('Control Library'!$A$5:$A$50,"AI-CTRL-035",'Control Library'!$R$5:$R$50,"Implemented")</f>
        <v>0</v>
      </c>
      <c r="K426" s="43" t="str">
        <f aca="false">IF(I426=0,"No wiki control",IF(J426=I426,"Fully covered",IF(J426=0,"Not covered","Partly covered")))</f>
        <v>Not covered</v>
      </c>
      <c r="L426" s="9" t="s">
        <v>1684</v>
      </c>
    </row>
    <row r="427" customFormat="false" ht="23.85" hidden="false" customHeight="false" outlineLevel="0" collapsed="false">
      <c r="A427" s="51" t="s">
        <v>585</v>
      </c>
      <c r="B427" s="51" t="s">
        <v>583</v>
      </c>
      <c r="C427" s="5" t="s">
        <v>1742</v>
      </c>
      <c r="D427" s="6" t="s">
        <v>1743</v>
      </c>
      <c r="E427" s="6" t="s">
        <v>1744</v>
      </c>
      <c r="F427" s="6" t="s">
        <v>725</v>
      </c>
      <c r="G427" s="6" t="s">
        <v>455</v>
      </c>
      <c r="H427" s="6"/>
      <c r="I427" s="26" t="n">
        <v>2</v>
      </c>
      <c r="J427" s="26" t="n">
        <f aca="false">COUNTIFS('Control Library'!$A$5:$A$50,"AI-CTRL-009",'Control Library'!$R$5:$R$50,"Implemented")+COUNTIFS('Control Library'!$A$5:$A$50,"AI-CTRL-035",'Control Library'!$R$5:$R$50,"Implemented")</f>
        <v>0</v>
      </c>
      <c r="K427" s="43" t="str">
        <f aca="false">IF(I427=0,"No wiki control",IF(J427=I427,"Fully covered",IF(J427=0,"Not covered","Partly covered")))</f>
        <v>Not covered</v>
      </c>
      <c r="L427" s="9" t="s">
        <v>1684</v>
      </c>
    </row>
    <row r="428" customFormat="false" ht="23.85" hidden="false" customHeight="false" outlineLevel="0" collapsed="false">
      <c r="A428" s="51" t="s">
        <v>585</v>
      </c>
      <c r="B428" s="51" t="s">
        <v>583</v>
      </c>
      <c r="C428" s="5" t="s">
        <v>1745</v>
      </c>
      <c r="D428" s="6" t="s">
        <v>1746</v>
      </c>
      <c r="E428" s="6" t="s">
        <v>1747</v>
      </c>
      <c r="F428" s="6" t="s">
        <v>725</v>
      </c>
      <c r="G428" s="6" t="s">
        <v>1748</v>
      </c>
      <c r="H428" s="6"/>
      <c r="I428" s="26" t="n">
        <v>2</v>
      </c>
      <c r="J428" s="26" t="n">
        <f aca="false">COUNTIFS('Control Library'!$A$5:$A$50,"AI-CTRL-025",'Control Library'!$R$5:$R$50,"Implemented")+COUNTIFS('Control Library'!$A$5:$A$50,"AI-CTRL-035",'Control Library'!$R$5:$R$50,"Implemented")</f>
        <v>0</v>
      </c>
      <c r="K428" s="43" t="str">
        <f aca="false">IF(I428=0,"No wiki control",IF(J428=I428,"Fully covered",IF(J428=0,"Not covered","Partly covered")))</f>
        <v>Not covered</v>
      </c>
      <c r="L428" s="9" t="s">
        <v>1684</v>
      </c>
    </row>
    <row r="429" customFormat="false" ht="23.85" hidden="false" customHeight="false" outlineLevel="0" collapsed="false">
      <c r="A429" s="51" t="s">
        <v>585</v>
      </c>
      <c r="B429" s="51" t="s">
        <v>583</v>
      </c>
      <c r="C429" s="5" t="s">
        <v>1749</v>
      </c>
      <c r="D429" s="6" t="s">
        <v>1750</v>
      </c>
      <c r="E429" s="6" t="s">
        <v>452</v>
      </c>
      <c r="F429" s="6" t="s">
        <v>725</v>
      </c>
      <c r="G429" s="6" t="s">
        <v>455</v>
      </c>
      <c r="H429" s="6"/>
      <c r="I429" s="26" t="n">
        <v>1</v>
      </c>
      <c r="J429" s="26" t="n">
        <f aca="false">COUNTIFS('Control Library'!$A$5:$A$50,"AI-CTRL-035",'Control Library'!$R$5:$R$50,"Implemented")</f>
        <v>0</v>
      </c>
      <c r="K429" s="43" t="str">
        <f aca="false">IF(I429=0,"No wiki control",IF(J429=I429,"Fully covered",IF(J429=0,"Not covered","Partly covered")))</f>
        <v>Not covered</v>
      </c>
      <c r="L429" s="9" t="s">
        <v>1684</v>
      </c>
    </row>
    <row r="430" customFormat="false" ht="23.85" hidden="false" customHeight="false" outlineLevel="0" collapsed="false">
      <c r="A430" s="51" t="s">
        <v>585</v>
      </c>
      <c r="B430" s="51" t="s">
        <v>583</v>
      </c>
      <c r="C430" s="5" t="s">
        <v>1751</v>
      </c>
      <c r="D430" s="6" t="s">
        <v>1752</v>
      </c>
      <c r="E430" s="6" t="s">
        <v>1753</v>
      </c>
      <c r="F430" s="6" t="s">
        <v>725</v>
      </c>
      <c r="G430" s="6" t="s">
        <v>1754</v>
      </c>
      <c r="H430" s="6"/>
      <c r="I430" s="26" t="n">
        <v>2</v>
      </c>
      <c r="J430" s="26" t="n">
        <f aca="false">COUNTIFS('Control Library'!$A$5:$A$50,"AI-CTRL-008",'Control Library'!$R$5:$R$50,"Implemented")+COUNTIFS('Control Library'!$A$5:$A$50,"AI-CTRL-035",'Control Library'!$R$5:$R$50,"Implemented")</f>
        <v>0</v>
      </c>
      <c r="K430" s="43" t="str">
        <f aca="false">IF(I430=0,"No wiki control",IF(J430=I430,"Fully covered",IF(J430=0,"Not covered","Partly covered")))</f>
        <v>Not covered</v>
      </c>
      <c r="L430" s="9" t="s">
        <v>1684</v>
      </c>
    </row>
    <row r="431" customFormat="false" ht="23.85" hidden="false" customHeight="false" outlineLevel="0" collapsed="false">
      <c r="A431" s="51" t="s">
        <v>585</v>
      </c>
      <c r="B431" s="51" t="s">
        <v>583</v>
      </c>
      <c r="C431" s="5" t="s">
        <v>1755</v>
      </c>
      <c r="D431" s="6" t="s">
        <v>1756</v>
      </c>
      <c r="E431" s="6" t="s">
        <v>494</v>
      </c>
      <c r="F431" s="6" t="s">
        <v>725</v>
      </c>
      <c r="G431" s="6" t="s">
        <v>498</v>
      </c>
      <c r="H431" s="6"/>
      <c r="I431" s="26" t="n">
        <v>1</v>
      </c>
      <c r="J431" s="26" t="n">
        <f aca="false">COUNTIFS('Control Library'!$A$5:$A$50,"AI-CTRL-040",'Control Library'!$R$5:$R$50,"Implemented")</f>
        <v>0</v>
      </c>
      <c r="K431" s="43" t="str">
        <f aca="false">IF(I431=0,"No wiki control",IF(J431=I431,"Fully covered",IF(J431=0,"Not covered","Partly covered")))</f>
        <v>Not covered</v>
      </c>
      <c r="L431" s="9" t="s">
        <v>1684</v>
      </c>
    </row>
    <row r="432" customFormat="false" ht="23.85" hidden="false" customHeight="false" outlineLevel="0" collapsed="false">
      <c r="A432" s="51" t="s">
        <v>585</v>
      </c>
      <c r="B432" s="51" t="s">
        <v>583</v>
      </c>
      <c r="C432" s="5" t="s">
        <v>1757</v>
      </c>
      <c r="D432" s="6" t="s">
        <v>1758</v>
      </c>
      <c r="E432" s="6" t="s">
        <v>494</v>
      </c>
      <c r="F432" s="6" t="s">
        <v>725</v>
      </c>
      <c r="G432" s="6" t="s">
        <v>498</v>
      </c>
      <c r="H432" s="6"/>
      <c r="I432" s="26" t="n">
        <v>1</v>
      </c>
      <c r="J432" s="26" t="n">
        <f aca="false">COUNTIFS('Control Library'!$A$5:$A$50,"AI-CTRL-040",'Control Library'!$R$5:$R$50,"Implemented")</f>
        <v>0</v>
      </c>
      <c r="K432" s="43" t="str">
        <f aca="false">IF(I432=0,"No wiki control",IF(J432=I432,"Fully covered",IF(J432=0,"Not covered","Partly covered")))</f>
        <v>Not covered</v>
      </c>
      <c r="L432" s="9" t="s">
        <v>1684</v>
      </c>
    </row>
    <row r="433" customFormat="false" ht="23.85" hidden="false" customHeight="false" outlineLevel="0" collapsed="false">
      <c r="A433" s="51" t="s">
        <v>585</v>
      </c>
      <c r="B433" s="51" t="s">
        <v>583</v>
      </c>
      <c r="C433" s="5" t="s">
        <v>1759</v>
      </c>
      <c r="D433" s="6" t="s">
        <v>1760</v>
      </c>
      <c r="E433" s="6" t="s">
        <v>1761</v>
      </c>
      <c r="F433" s="6" t="s">
        <v>725</v>
      </c>
      <c r="G433" s="6" t="s">
        <v>992</v>
      </c>
      <c r="H433" s="6"/>
      <c r="I433" s="26" t="n">
        <v>5</v>
      </c>
      <c r="J433"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433" s="43" t="str">
        <f aca="false">IF(I433=0,"No wiki control",IF(J433=I433,"Fully covered",IF(J433=0,"Not covered","Partly covered")))</f>
        <v>Not covered</v>
      </c>
      <c r="L433" s="9" t="s">
        <v>1684</v>
      </c>
    </row>
    <row r="434" customFormat="false" ht="23.85" hidden="false" customHeight="false" outlineLevel="0" collapsed="false">
      <c r="A434" s="51" t="s">
        <v>585</v>
      </c>
      <c r="B434" s="51" t="s">
        <v>583</v>
      </c>
      <c r="C434" s="5" t="s">
        <v>1762</v>
      </c>
      <c r="D434" s="6" t="s">
        <v>1763</v>
      </c>
      <c r="E434" s="6" t="s">
        <v>548</v>
      </c>
      <c r="F434" s="6" t="s">
        <v>725</v>
      </c>
      <c r="G434" s="6" t="s">
        <v>552</v>
      </c>
      <c r="H434" s="6"/>
      <c r="I434" s="26" t="n">
        <v>1</v>
      </c>
      <c r="J434" s="26" t="n">
        <f aca="false">COUNTIFS('Control Library'!$A$5:$A$50,"AI-CTRL-046",'Control Library'!$R$5:$R$50,"Implemented")</f>
        <v>0</v>
      </c>
      <c r="K434" s="43" t="str">
        <f aca="false">IF(I434=0,"No wiki control",IF(J434=I434,"Fully covered",IF(J434=0,"Not covered","Partly covered")))</f>
        <v>Not covered</v>
      </c>
      <c r="L434" s="9" t="s">
        <v>1684</v>
      </c>
    </row>
    <row r="435" customFormat="false" ht="23.85" hidden="false" customHeight="false" outlineLevel="0" collapsed="false">
      <c r="A435" s="51" t="s">
        <v>585</v>
      </c>
      <c r="B435" s="51" t="s">
        <v>583</v>
      </c>
      <c r="C435" s="5" t="s">
        <v>1764</v>
      </c>
      <c r="D435" s="6" t="s">
        <v>1765</v>
      </c>
      <c r="E435" s="6" t="s">
        <v>1766</v>
      </c>
      <c r="F435" s="6" t="s">
        <v>725</v>
      </c>
      <c r="G435" s="6" t="s">
        <v>1767</v>
      </c>
      <c r="H435" s="6"/>
      <c r="I435" s="26" t="n">
        <v>3</v>
      </c>
      <c r="J435" s="26" t="n">
        <f aca="false">COUNTIFS('Control Library'!$A$5:$A$50,"AI-CTRL-007",'Control Library'!$R$5:$R$50,"Implemented")+COUNTIFS('Control Library'!$A$5:$A$50,"AI-CTRL-008",'Control Library'!$R$5:$R$50,"Implemented")+COUNTIFS('Control Library'!$A$5:$A$50,"AI-CTRL-038",'Control Library'!$R$5:$R$50,"Implemented")</f>
        <v>0</v>
      </c>
      <c r="K435" s="43" t="str">
        <f aca="false">IF(I435=0,"No wiki control",IF(J435=I435,"Fully covered",IF(J435=0,"Not covered","Partly covered")))</f>
        <v>Not covered</v>
      </c>
      <c r="L435" s="9" t="s">
        <v>1684</v>
      </c>
    </row>
    <row r="436" customFormat="false" ht="23.85" hidden="false" customHeight="false" outlineLevel="0" collapsed="false">
      <c r="A436" s="51" t="s">
        <v>585</v>
      </c>
      <c r="B436" s="51" t="s">
        <v>583</v>
      </c>
      <c r="C436" s="5" t="s">
        <v>1768</v>
      </c>
      <c r="D436" s="6" t="s">
        <v>1769</v>
      </c>
      <c r="E436" s="6" t="s">
        <v>1597</v>
      </c>
      <c r="F436" s="6" t="s">
        <v>725</v>
      </c>
      <c r="G436" s="6" t="s">
        <v>1598</v>
      </c>
      <c r="H436" s="6"/>
      <c r="I436" s="26" t="n">
        <v>2</v>
      </c>
      <c r="J436" s="26" t="n">
        <f aca="false">COUNTIFS('Control Library'!$A$5:$A$50,"AI-CTRL-013",'Control Library'!$R$5:$R$50,"Implemented")+COUNTIFS('Control Library'!$A$5:$A$50,"AI-CTRL-042",'Control Library'!$R$5:$R$50,"Implemented")</f>
        <v>0</v>
      </c>
      <c r="K436" s="43" t="str">
        <f aca="false">IF(I436=0,"No wiki control",IF(J436=I436,"Fully covered",IF(J436=0,"Not covered","Partly covered")))</f>
        <v>Not covered</v>
      </c>
      <c r="L436" s="9" t="s">
        <v>1684</v>
      </c>
    </row>
    <row r="437" customFormat="false" ht="23.85" hidden="false" customHeight="false" outlineLevel="0" collapsed="false">
      <c r="A437" s="51" t="s">
        <v>585</v>
      </c>
      <c r="B437" s="51" t="s">
        <v>583</v>
      </c>
      <c r="C437" s="5" t="s">
        <v>1770</v>
      </c>
      <c r="D437" s="6" t="s">
        <v>1771</v>
      </c>
      <c r="E437" s="6" t="s">
        <v>477</v>
      </c>
      <c r="F437" s="6" t="s">
        <v>725</v>
      </c>
      <c r="G437" s="6" t="s">
        <v>480</v>
      </c>
      <c r="H437" s="6"/>
      <c r="I437" s="26" t="n">
        <v>1</v>
      </c>
      <c r="J437" s="26" t="n">
        <f aca="false">COUNTIFS('Control Library'!$A$5:$A$50,"AI-CTRL-038",'Control Library'!$R$5:$R$50,"Implemented")</f>
        <v>0</v>
      </c>
      <c r="K437" s="43" t="str">
        <f aca="false">IF(I437=0,"No wiki control",IF(J437=I437,"Fully covered",IF(J437=0,"Not covered","Partly covered")))</f>
        <v>Not covered</v>
      </c>
      <c r="L437" s="9" t="s">
        <v>1684</v>
      </c>
    </row>
    <row r="438" customFormat="false" ht="23.85" hidden="false" customHeight="false" outlineLevel="0" collapsed="false">
      <c r="A438" s="51" t="s">
        <v>585</v>
      </c>
      <c r="B438" s="51" t="s">
        <v>583</v>
      </c>
      <c r="C438" s="5" t="s">
        <v>1772</v>
      </c>
      <c r="D438" s="6" t="s">
        <v>1773</v>
      </c>
      <c r="E438" s="6" t="s">
        <v>477</v>
      </c>
      <c r="F438" s="6" t="s">
        <v>725</v>
      </c>
      <c r="G438" s="6" t="s">
        <v>480</v>
      </c>
      <c r="H438" s="6"/>
      <c r="I438" s="26" t="n">
        <v>1</v>
      </c>
      <c r="J438" s="26" t="n">
        <f aca="false">COUNTIFS('Control Library'!$A$5:$A$50,"AI-CTRL-038",'Control Library'!$R$5:$R$50,"Implemented")</f>
        <v>0</v>
      </c>
      <c r="K438" s="43" t="str">
        <f aca="false">IF(I438=0,"No wiki control",IF(J438=I438,"Fully covered",IF(J438=0,"Not covered","Partly covered")))</f>
        <v>Not covered</v>
      </c>
      <c r="L438" s="9" t="s">
        <v>1684</v>
      </c>
    </row>
    <row r="439" customFormat="false" ht="23.85" hidden="false" customHeight="false" outlineLevel="0" collapsed="false">
      <c r="A439" s="51" t="s">
        <v>585</v>
      </c>
      <c r="B439" s="51" t="s">
        <v>583</v>
      </c>
      <c r="C439" s="5" t="s">
        <v>1774</v>
      </c>
      <c r="D439" s="6"/>
      <c r="E439" s="6"/>
      <c r="F439" s="6" t="s">
        <v>635</v>
      </c>
      <c r="G439" s="6"/>
      <c r="H439" s="6"/>
      <c r="I439" s="26" t="n">
        <v>0</v>
      </c>
      <c r="J439" s="26" t="n">
        <f aca="false">0</f>
        <v>0</v>
      </c>
      <c r="K439" s="43" t="str">
        <f aca="false">IF(I439=0,"No wiki control",IF(J439=I439,"Fully covered",IF(J439=0,"Not covered","Partly covered")))</f>
        <v>No wiki control</v>
      </c>
      <c r="L439" s="9" t="s">
        <v>1684</v>
      </c>
    </row>
    <row r="440" customFormat="false" ht="23.85" hidden="false" customHeight="false" outlineLevel="0" collapsed="false">
      <c r="A440" s="51" t="s">
        <v>585</v>
      </c>
      <c r="B440" s="51" t="s">
        <v>583</v>
      </c>
      <c r="C440" s="5" t="s">
        <v>1775</v>
      </c>
      <c r="D440" s="6"/>
      <c r="E440" s="6"/>
      <c r="F440" s="6" t="s">
        <v>635</v>
      </c>
      <c r="G440" s="6"/>
      <c r="H440" s="6"/>
      <c r="I440" s="26" t="n">
        <v>0</v>
      </c>
      <c r="J440" s="26" t="n">
        <f aca="false">0</f>
        <v>0</v>
      </c>
      <c r="K440" s="43" t="str">
        <f aca="false">IF(I440=0,"No wiki control",IF(J440=I440,"Fully covered",IF(J440=0,"Not covered","Partly covered")))</f>
        <v>No wiki control</v>
      </c>
      <c r="L440" s="9" t="s">
        <v>1684</v>
      </c>
    </row>
    <row r="441" customFormat="false" ht="23.85" hidden="false" customHeight="false" outlineLevel="0" collapsed="false">
      <c r="A441" s="51" t="s">
        <v>585</v>
      </c>
      <c r="B441" s="51" t="s">
        <v>583</v>
      </c>
      <c r="C441" s="5" t="s">
        <v>1776</v>
      </c>
      <c r="D441" s="6"/>
      <c r="E441" s="6"/>
      <c r="F441" s="6" t="s">
        <v>635</v>
      </c>
      <c r="G441" s="6"/>
      <c r="H441" s="6"/>
      <c r="I441" s="26" t="n">
        <v>0</v>
      </c>
      <c r="J441" s="26" t="n">
        <f aca="false">0</f>
        <v>0</v>
      </c>
      <c r="K441" s="43" t="str">
        <f aca="false">IF(I441=0,"No wiki control",IF(J441=I441,"Fully covered",IF(J441=0,"Not covered","Partly covered")))</f>
        <v>No wiki control</v>
      </c>
      <c r="L441" s="9" t="s">
        <v>1684</v>
      </c>
    </row>
    <row r="442" customFormat="false" ht="23.85" hidden="false" customHeight="false" outlineLevel="0" collapsed="false">
      <c r="A442" s="51" t="s">
        <v>585</v>
      </c>
      <c r="B442" s="51" t="s">
        <v>583</v>
      </c>
      <c r="C442" s="5" t="s">
        <v>1777</v>
      </c>
      <c r="D442" s="6" t="s">
        <v>1778</v>
      </c>
      <c r="E442" s="6" t="s">
        <v>529</v>
      </c>
      <c r="F442" s="6" t="s">
        <v>725</v>
      </c>
      <c r="G442" s="6" t="s">
        <v>532</v>
      </c>
      <c r="H442" s="6"/>
      <c r="I442" s="26" t="n">
        <v>1</v>
      </c>
      <c r="J442" s="26" t="n">
        <f aca="false">COUNTIFS('Control Library'!$A$5:$A$50,"AI-CTRL-044",'Control Library'!$R$5:$R$50,"Implemented")</f>
        <v>0</v>
      </c>
      <c r="K442" s="43" t="str">
        <f aca="false">IF(I442=0,"No wiki control",IF(J442=I442,"Fully covered",IF(J442=0,"Not covered","Partly covered")))</f>
        <v>Not covered</v>
      </c>
      <c r="L442" s="9" t="s">
        <v>1684</v>
      </c>
    </row>
    <row r="443" customFormat="false" ht="23.85" hidden="false" customHeight="false" outlineLevel="0" collapsed="false">
      <c r="A443" s="51" t="s">
        <v>585</v>
      </c>
      <c r="B443" s="51" t="s">
        <v>583</v>
      </c>
      <c r="C443" s="5" t="s">
        <v>1779</v>
      </c>
      <c r="D443" s="6"/>
      <c r="E443" s="6"/>
      <c r="F443" s="6" t="s">
        <v>635</v>
      </c>
      <c r="G443" s="6"/>
      <c r="H443" s="6"/>
      <c r="I443" s="26" t="n">
        <v>0</v>
      </c>
      <c r="J443" s="26" t="n">
        <f aca="false">0</f>
        <v>0</v>
      </c>
      <c r="K443" s="43" t="str">
        <f aca="false">IF(I443=0,"No wiki control",IF(J443=I443,"Fully covered",IF(J443=0,"Not covered","Partly covered")))</f>
        <v>No wiki control</v>
      </c>
      <c r="L443" s="9" t="s">
        <v>1684</v>
      </c>
    </row>
    <row r="444" customFormat="false" ht="23.85" hidden="false" customHeight="false" outlineLevel="0" collapsed="false">
      <c r="A444" s="51" t="s">
        <v>585</v>
      </c>
      <c r="B444" s="51" t="s">
        <v>583</v>
      </c>
      <c r="C444" s="5" t="s">
        <v>1780</v>
      </c>
      <c r="D444" s="6"/>
      <c r="E444" s="6"/>
      <c r="F444" s="6" t="s">
        <v>635</v>
      </c>
      <c r="G444" s="6"/>
      <c r="H444" s="6"/>
      <c r="I444" s="26" t="n">
        <v>0</v>
      </c>
      <c r="J444" s="26" t="n">
        <f aca="false">0</f>
        <v>0</v>
      </c>
      <c r="K444" s="43" t="str">
        <f aca="false">IF(I444=0,"No wiki control",IF(J444=I444,"Fully covered",IF(J444=0,"Not covered","Partly covered")))</f>
        <v>No wiki control</v>
      </c>
      <c r="L444" s="9" t="s">
        <v>1684</v>
      </c>
    </row>
    <row r="445" customFormat="false" ht="23.85" hidden="false" customHeight="false" outlineLevel="0" collapsed="false">
      <c r="A445" s="51" t="s">
        <v>585</v>
      </c>
      <c r="B445" s="51" t="s">
        <v>583</v>
      </c>
      <c r="C445" s="5" t="s">
        <v>1781</v>
      </c>
      <c r="D445" s="6"/>
      <c r="E445" s="6"/>
      <c r="F445" s="6" t="s">
        <v>635</v>
      </c>
      <c r="G445" s="6"/>
      <c r="H445" s="6"/>
      <c r="I445" s="26" t="n">
        <v>0</v>
      </c>
      <c r="J445" s="26" t="n">
        <f aca="false">0</f>
        <v>0</v>
      </c>
      <c r="K445" s="43" t="str">
        <f aca="false">IF(I445=0,"No wiki control",IF(J445=I445,"Fully covered",IF(J445=0,"Not covered","Partly covered")))</f>
        <v>No wiki control</v>
      </c>
      <c r="L445" s="9" t="s">
        <v>1684</v>
      </c>
    </row>
    <row r="446" customFormat="false" ht="23.85" hidden="false" customHeight="false" outlineLevel="0" collapsed="false">
      <c r="A446" s="51" t="s">
        <v>585</v>
      </c>
      <c r="B446" s="51" t="s">
        <v>583</v>
      </c>
      <c r="C446" s="5" t="s">
        <v>1782</v>
      </c>
      <c r="D446" s="6"/>
      <c r="E446" s="6"/>
      <c r="F446" s="6" t="s">
        <v>635</v>
      </c>
      <c r="G446" s="6"/>
      <c r="H446" s="6"/>
      <c r="I446" s="26" t="n">
        <v>0</v>
      </c>
      <c r="J446" s="26" t="n">
        <f aca="false">0</f>
        <v>0</v>
      </c>
      <c r="K446" s="43" t="str">
        <f aca="false">IF(I446=0,"No wiki control",IF(J446=I446,"Fully covered",IF(J446=0,"Not covered","Partly covered")))</f>
        <v>No wiki control</v>
      </c>
      <c r="L446" s="9" t="s">
        <v>1684</v>
      </c>
    </row>
    <row r="447" customFormat="false" ht="23.85" hidden="false" customHeight="false" outlineLevel="0" collapsed="false">
      <c r="A447" s="51" t="s">
        <v>585</v>
      </c>
      <c r="B447" s="51" t="s">
        <v>583</v>
      </c>
      <c r="C447" s="5" t="s">
        <v>1783</v>
      </c>
      <c r="D447" s="6" t="s">
        <v>1784</v>
      </c>
      <c r="E447" s="6" t="s">
        <v>452</v>
      </c>
      <c r="F447" s="6" t="s">
        <v>725</v>
      </c>
      <c r="G447" s="6" t="s">
        <v>455</v>
      </c>
      <c r="H447" s="6"/>
      <c r="I447" s="26" t="n">
        <v>1</v>
      </c>
      <c r="J447" s="26" t="n">
        <f aca="false">COUNTIFS('Control Library'!$A$5:$A$50,"AI-CTRL-035",'Control Library'!$R$5:$R$50,"Implemented")</f>
        <v>0</v>
      </c>
      <c r="K447" s="43" t="str">
        <f aca="false">IF(I447=0,"No wiki control",IF(J447=I447,"Fully covered",IF(J447=0,"Not covered","Partly covered")))</f>
        <v>Not covered</v>
      </c>
      <c r="L447" s="9" t="s">
        <v>1684</v>
      </c>
    </row>
    <row r="448" customFormat="false" ht="23.85" hidden="false" customHeight="false" outlineLevel="0" collapsed="false">
      <c r="A448" s="51" t="s">
        <v>585</v>
      </c>
      <c r="B448" s="51" t="s">
        <v>583</v>
      </c>
      <c r="C448" s="5" t="s">
        <v>1785</v>
      </c>
      <c r="D448" s="6"/>
      <c r="E448" s="6"/>
      <c r="F448" s="6" t="s">
        <v>635</v>
      </c>
      <c r="G448" s="6"/>
      <c r="H448" s="6"/>
      <c r="I448" s="26" t="n">
        <v>0</v>
      </c>
      <c r="J448" s="26" t="n">
        <f aca="false">0</f>
        <v>0</v>
      </c>
      <c r="K448" s="43" t="str">
        <f aca="false">IF(I448=0,"No wiki control",IF(J448=I448,"Fully covered",IF(J448=0,"Not covered","Partly covered")))</f>
        <v>No wiki control</v>
      </c>
      <c r="L448" s="9" t="s">
        <v>1684</v>
      </c>
    </row>
    <row r="449" customFormat="false" ht="23.85" hidden="false" customHeight="false" outlineLevel="0" collapsed="false">
      <c r="A449" s="51" t="s">
        <v>585</v>
      </c>
      <c r="B449" s="51" t="s">
        <v>583</v>
      </c>
      <c r="C449" s="5" t="s">
        <v>1626</v>
      </c>
      <c r="D449" s="6"/>
      <c r="E449" s="6"/>
      <c r="F449" s="6" t="s">
        <v>635</v>
      </c>
      <c r="G449" s="6"/>
      <c r="H449" s="6"/>
      <c r="I449" s="26" t="n">
        <v>0</v>
      </c>
      <c r="J449" s="26" t="n">
        <f aca="false">0</f>
        <v>0</v>
      </c>
      <c r="K449" s="43" t="str">
        <f aca="false">IF(I449=0,"No wiki control",IF(J449=I449,"Fully covered",IF(J449=0,"Not covered","Partly covered")))</f>
        <v>No wiki control</v>
      </c>
      <c r="L449" s="9" t="s">
        <v>1684</v>
      </c>
    </row>
    <row r="450" customFormat="false" ht="23.85" hidden="false" customHeight="false" outlineLevel="0" collapsed="false">
      <c r="A450" s="51" t="s">
        <v>585</v>
      </c>
      <c r="B450" s="51" t="s">
        <v>583</v>
      </c>
      <c r="C450" s="5" t="s">
        <v>1628</v>
      </c>
      <c r="D450" s="6"/>
      <c r="E450" s="6"/>
      <c r="F450" s="6" t="s">
        <v>635</v>
      </c>
      <c r="G450" s="6"/>
      <c r="H450" s="6"/>
      <c r="I450" s="26" t="n">
        <v>0</v>
      </c>
      <c r="J450" s="26" t="n">
        <f aca="false">0</f>
        <v>0</v>
      </c>
      <c r="K450" s="43" t="str">
        <f aca="false">IF(I450=0,"No wiki control",IF(J450=I450,"Fully covered",IF(J450=0,"Not covered","Partly covered")))</f>
        <v>No wiki control</v>
      </c>
      <c r="L450" s="9" t="s">
        <v>1684</v>
      </c>
    </row>
    <row r="451" customFormat="false" ht="23.85" hidden="false" customHeight="false" outlineLevel="0" collapsed="false">
      <c r="A451" s="51" t="s">
        <v>585</v>
      </c>
      <c r="B451" s="51" t="s">
        <v>583</v>
      </c>
      <c r="C451" s="5" t="s">
        <v>1630</v>
      </c>
      <c r="D451" s="6"/>
      <c r="E451" s="6"/>
      <c r="F451" s="6" t="s">
        <v>635</v>
      </c>
      <c r="G451" s="6"/>
      <c r="H451" s="6"/>
      <c r="I451" s="26" t="n">
        <v>0</v>
      </c>
      <c r="J451" s="26" t="n">
        <f aca="false">0</f>
        <v>0</v>
      </c>
      <c r="K451" s="43" t="str">
        <f aca="false">IF(I451=0,"No wiki control",IF(J451=I451,"Fully covered",IF(J451=0,"Not covered","Partly covered")))</f>
        <v>No wiki control</v>
      </c>
      <c r="L451" s="9" t="s">
        <v>1684</v>
      </c>
    </row>
    <row r="452" customFormat="false" ht="23.85" hidden="false" customHeight="false" outlineLevel="0" collapsed="false">
      <c r="A452" s="51" t="s">
        <v>585</v>
      </c>
      <c r="B452" s="51" t="s">
        <v>583</v>
      </c>
      <c r="C452" s="5" t="s">
        <v>1632</v>
      </c>
      <c r="D452" s="6"/>
      <c r="E452" s="6"/>
      <c r="F452" s="6" t="s">
        <v>635</v>
      </c>
      <c r="G452" s="6"/>
      <c r="H452" s="6"/>
      <c r="I452" s="26" t="n">
        <v>0</v>
      </c>
      <c r="J452" s="26" t="n">
        <f aca="false">0</f>
        <v>0</v>
      </c>
      <c r="K452" s="43" t="str">
        <f aca="false">IF(I452=0,"No wiki control",IF(J452=I452,"Fully covered",IF(J452=0,"Not covered","Partly covered")))</f>
        <v>No wiki control</v>
      </c>
      <c r="L452" s="9" t="s">
        <v>1684</v>
      </c>
    </row>
    <row r="453" customFormat="false" ht="23.85" hidden="false" customHeight="false" outlineLevel="0" collapsed="false">
      <c r="A453" s="51" t="s">
        <v>585</v>
      </c>
      <c r="B453" s="51" t="s">
        <v>583</v>
      </c>
      <c r="C453" s="5" t="s">
        <v>1636</v>
      </c>
      <c r="D453" s="6"/>
      <c r="E453" s="6"/>
      <c r="F453" s="6" t="s">
        <v>635</v>
      </c>
      <c r="G453" s="6"/>
      <c r="H453" s="6"/>
      <c r="I453" s="26" t="n">
        <v>0</v>
      </c>
      <c r="J453" s="26" t="n">
        <f aca="false">0</f>
        <v>0</v>
      </c>
      <c r="K453" s="43" t="str">
        <f aca="false">IF(I453=0,"No wiki control",IF(J453=I453,"Fully covered",IF(J453=0,"Not covered","Partly covered")))</f>
        <v>No wiki control</v>
      </c>
      <c r="L453" s="9" t="s">
        <v>1684</v>
      </c>
    </row>
    <row r="454" customFormat="false" ht="23.85" hidden="false" customHeight="false" outlineLevel="0" collapsed="false">
      <c r="A454" s="51" t="s">
        <v>585</v>
      </c>
      <c r="B454" s="51" t="s">
        <v>583</v>
      </c>
      <c r="C454" s="5" t="s">
        <v>1786</v>
      </c>
      <c r="D454" s="6"/>
      <c r="E454" s="6"/>
      <c r="F454" s="6" t="s">
        <v>635</v>
      </c>
      <c r="G454" s="6"/>
      <c r="H454" s="6"/>
      <c r="I454" s="26" t="n">
        <v>0</v>
      </c>
      <c r="J454" s="26" t="n">
        <f aca="false">0</f>
        <v>0</v>
      </c>
      <c r="K454" s="43" t="str">
        <f aca="false">IF(I454=0,"No wiki control",IF(J454=I454,"Fully covered",IF(J454=0,"Not covered","Partly covered")))</f>
        <v>No wiki control</v>
      </c>
      <c r="L454" s="9" t="s">
        <v>1684</v>
      </c>
    </row>
    <row r="455" customFormat="false" ht="23.85" hidden="false" customHeight="false" outlineLevel="0" collapsed="false">
      <c r="A455" s="51" t="s">
        <v>585</v>
      </c>
      <c r="B455" s="51" t="s">
        <v>583</v>
      </c>
      <c r="C455" s="5" t="s">
        <v>1787</v>
      </c>
      <c r="D455" s="6"/>
      <c r="E455" s="6"/>
      <c r="F455" s="6" t="s">
        <v>635</v>
      </c>
      <c r="G455" s="6"/>
      <c r="H455" s="6"/>
      <c r="I455" s="26" t="n">
        <v>0</v>
      </c>
      <c r="J455" s="26" t="n">
        <f aca="false">0</f>
        <v>0</v>
      </c>
      <c r="K455" s="43" t="str">
        <f aca="false">IF(I455=0,"No wiki control",IF(J455=I455,"Fully covered",IF(J455=0,"Not covered","Partly covered")))</f>
        <v>No wiki control</v>
      </c>
      <c r="L455" s="9" t="s">
        <v>1684</v>
      </c>
    </row>
    <row r="456" customFormat="false" ht="23.85" hidden="false" customHeight="false" outlineLevel="0" collapsed="false">
      <c r="A456" s="51" t="s">
        <v>585</v>
      </c>
      <c r="B456" s="51" t="s">
        <v>583</v>
      </c>
      <c r="C456" s="5" t="s">
        <v>1788</v>
      </c>
      <c r="D456" s="6"/>
      <c r="E456" s="6"/>
      <c r="F456" s="6" t="s">
        <v>635</v>
      </c>
      <c r="G456" s="6"/>
      <c r="H456" s="6"/>
      <c r="I456" s="26" t="n">
        <v>0</v>
      </c>
      <c r="J456" s="26" t="n">
        <f aca="false">0</f>
        <v>0</v>
      </c>
      <c r="K456" s="43" t="str">
        <f aca="false">IF(I456=0,"No wiki control",IF(J456=I456,"Fully covered",IF(J456=0,"Not covered","Partly covered")))</f>
        <v>No wiki control</v>
      </c>
      <c r="L456" s="9" t="s">
        <v>1684</v>
      </c>
    </row>
    <row r="457" customFormat="false" ht="23.85" hidden="false" customHeight="false" outlineLevel="0" collapsed="false">
      <c r="A457" s="51" t="s">
        <v>585</v>
      </c>
      <c r="B457" s="51" t="s">
        <v>583</v>
      </c>
      <c r="C457" s="5" t="s">
        <v>1789</v>
      </c>
      <c r="D457" s="6"/>
      <c r="E457" s="6"/>
      <c r="F457" s="6" t="s">
        <v>635</v>
      </c>
      <c r="G457" s="6"/>
      <c r="H457" s="6"/>
      <c r="I457" s="26" t="n">
        <v>0</v>
      </c>
      <c r="J457" s="26" t="n">
        <f aca="false">0</f>
        <v>0</v>
      </c>
      <c r="K457" s="43" t="str">
        <f aca="false">IF(I457=0,"No wiki control",IF(J457=I457,"Fully covered",IF(J457=0,"Not covered","Partly covered")))</f>
        <v>No wiki control</v>
      </c>
      <c r="L457" s="9" t="s">
        <v>1684</v>
      </c>
    </row>
    <row r="458" customFormat="false" ht="23.85" hidden="false" customHeight="false" outlineLevel="0" collapsed="false">
      <c r="A458" s="51" t="s">
        <v>585</v>
      </c>
      <c r="B458" s="51" t="s">
        <v>583</v>
      </c>
      <c r="C458" s="5" t="s">
        <v>1790</v>
      </c>
      <c r="D458" s="6"/>
      <c r="E458" s="6"/>
      <c r="F458" s="6" t="s">
        <v>635</v>
      </c>
      <c r="G458" s="6"/>
      <c r="H458" s="6"/>
      <c r="I458" s="26" t="n">
        <v>0</v>
      </c>
      <c r="J458" s="26" t="n">
        <f aca="false">0</f>
        <v>0</v>
      </c>
      <c r="K458" s="43" t="str">
        <f aca="false">IF(I458=0,"No wiki control",IF(J458=I458,"Fully covered",IF(J458=0,"Not covered","Partly covered")))</f>
        <v>No wiki control</v>
      </c>
      <c r="L458" s="9" t="s">
        <v>1684</v>
      </c>
    </row>
    <row r="459" customFormat="false" ht="23.85" hidden="false" customHeight="false" outlineLevel="0" collapsed="false">
      <c r="A459" s="51" t="s">
        <v>585</v>
      </c>
      <c r="B459" s="51" t="s">
        <v>583</v>
      </c>
      <c r="C459" s="5" t="s">
        <v>1791</v>
      </c>
      <c r="D459" s="6"/>
      <c r="E459" s="6"/>
      <c r="F459" s="6" t="s">
        <v>635</v>
      </c>
      <c r="G459" s="6"/>
      <c r="H459" s="6"/>
      <c r="I459" s="26" t="n">
        <v>0</v>
      </c>
      <c r="J459" s="26" t="n">
        <f aca="false">0</f>
        <v>0</v>
      </c>
      <c r="K459" s="43" t="str">
        <f aca="false">IF(I459=0,"No wiki control",IF(J459=I459,"Fully covered",IF(J459=0,"Not covered","Partly covered")))</f>
        <v>No wiki control</v>
      </c>
      <c r="L459" s="9" t="s">
        <v>1684</v>
      </c>
    </row>
    <row r="460" customFormat="false" ht="23.85" hidden="false" customHeight="false" outlineLevel="0" collapsed="false">
      <c r="A460" s="51" t="s">
        <v>585</v>
      </c>
      <c r="B460" s="51" t="s">
        <v>583</v>
      </c>
      <c r="C460" s="5" t="s">
        <v>1792</v>
      </c>
      <c r="D460" s="6"/>
      <c r="E460" s="6"/>
      <c r="F460" s="6" t="s">
        <v>635</v>
      </c>
      <c r="G460" s="6"/>
      <c r="H460" s="6"/>
      <c r="I460" s="26" t="n">
        <v>0</v>
      </c>
      <c r="J460" s="26" t="n">
        <f aca="false">0</f>
        <v>0</v>
      </c>
      <c r="K460" s="43" t="str">
        <f aca="false">IF(I460=0,"No wiki control",IF(J460=I460,"Fully covered",IF(J460=0,"Not covered","Partly covered")))</f>
        <v>No wiki control</v>
      </c>
      <c r="L460" s="9" t="s">
        <v>1684</v>
      </c>
    </row>
    <row r="461" customFormat="false" ht="23.85" hidden="false" customHeight="false" outlineLevel="0" collapsed="false">
      <c r="A461" s="51" t="s">
        <v>585</v>
      </c>
      <c r="B461" s="51" t="s">
        <v>583</v>
      </c>
      <c r="C461" s="5" t="s">
        <v>1793</v>
      </c>
      <c r="D461" s="6"/>
      <c r="E461" s="6"/>
      <c r="F461" s="6" t="s">
        <v>635</v>
      </c>
      <c r="G461" s="6"/>
      <c r="H461" s="6"/>
      <c r="I461" s="26" t="n">
        <v>0</v>
      </c>
      <c r="J461" s="26" t="n">
        <f aca="false">0</f>
        <v>0</v>
      </c>
      <c r="K461" s="43" t="str">
        <f aca="false">IF(I461=0,"No wiki control",IF(J461=I461,"Fully covered",IF(J461=0,"Not covered","Partly covered")))</f>
        <v>No wiki control</v>
      </c>
      <c r="L461" s="9" t="s">
        <v>1684</v>
      </c>
    </row>
    <row r="462" customFormat="false" ht="23.85" hidden="false" customHeight="false" outlineLevel="0" collapsed="false">
      <c r="A462" s="51" t="s">
        <v>585</v>
      </c>
      <c r="B462" s="51" t="s">
        <v>583</v>
      </c>
      <c r="C462" s="5" t="s">
        <v>1794</v>
      </c>
      <c r="D462" s="6"/>
      <c r="E462" s="6"/>
      <c r="F462" s="6" t="s">
        <v>635</v>
      </c>
      <c r="G462" s="6"/>
      <c r="H462" s="6"/>
      <c r="I462" s="26" t="n">
        <v>0</v>
      </c>
      <c r="J462" s="26" t="n">
        <f aca="false">0</f>
        <v>0</v>
      </c>
      <c r="K462" s="43" t="str">
        <f aca="false">IF(I462=0,"No wiki control",IF(J462=I462,"Fully covered",IF(J462=0,"Not covered","Partly covered")))</f>
        <v>No wiki control</v>
      </c>
      <c r="L462" s="9" t="s">
        <v>1684</v>
      </c>
    </row>
    <row r="463" customFormat="false" ht="23.85" hidden="false" customHeight="false" outlineLevel="0" collapsed="false">
      <c r="A463" s="51" t="s">
        <v>585</v>
      </c>
      <c r="B463" s="51" t="s">
        <v>583</v>
      </c>
      <c r="C463" s="5" t="s">
        <v>1638</v>
      </c>
      <c r="D463" s="6" t="s">
        <v>1795</v>
      </c>
      <c r="E463" s="6" t="s">
        <v>300</v>
      </c>
      <c r="F463" s="6" t="s">
        <v>725</v>
      </c>
      <c r="G463" s="6" t="s">
        <v>303</v>
      </c>
      <c r="H463" s="6"/>
      <c r="I463" s="26" t="n">
        <v>1</v>
      </c>
      <c r="J463" s="26" t="n">
        <f aca="false">COUNTIFS('Control Library'!$A$5:$A$50,"AI-CTRL-016",'Control Library'!$R$5:$R$50,"Implemented")</f>
        <v>0</v>
      </c>
      <c r="K463" s="43" t="str">
        <f aca="false">IF(I463=0,"No wiki control",IF(J463=I463,"Fully covered",IF(J463=0,"Not covered","Partly covered")))</f>
        <v>Not covered</v>
      </c>
      <c r="L463" s="9" t="s">
        <v>1684</v>
      </c>
    </row>
    <row r="464" customFormat="false" ht="23.85" hidden="false" customHeight="false" outlineLevel="0" collapsed="false">
      <c r="A464" s="51" t="s">
        <v>585</v>
      </c>
      <c r="B464" s="51" t="s">
        <v>583</v>
      </c>
      <c r="C464" s="5" t="s">
        <v>1642</v>
      </c>
      <c r="D464" s="6" t="s">
        <v>1796</v>
      </c>
      <c r="E464" s="6" t="s">
        <v>1797</v>
      </c>
      <c r="F464" s="6" t="s">
        <v>725</v>
      </c>
      <c r="G464" s="6" t="s">
        <v>1798</v>
      </c>
      <c r="H464" s="6"/>
      <c r="I464" s="26" t="n">
        <v>5</v>
      </c>
      <c r="J464" s="26" t="n">
        <f aca="false">COUNTIFS('Control Library'!$A$5:$A$50,"AI-CTRL-016",'Control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f>
        <v>0</v>
      </c>
      <c r="K464" s="43" t="str">
        <f aca="false">IF(I464=0,"No wiki control",IF(J464=I464,"Fully covered",IF(J464=0,"Not covered","Partly covered")))</f>
        <v>Not covered</v>
      </c>
      <c r="L464" s="9" t="s">
        <v>1684</v>
      </c>
    </row>
    <row r="465" customFormat="false" ht="23.85" hidden="false" customHeight="false" outlineLevel="0" collapsed="false">
      <c r="A465" s="51" t="s">
        <v>585</v>
      </c>
      <c r="B465" s="51" t="s">
        <v>583</v>
      </c>
      <c r="C465" s="5" t="s">
        <v>1646</v>
      </c>
      <c r="D465" s="6" t="s">
        <v>1799</v>
      </c>
      <c r="E465" s="6" t="s">
        <v>1800</v>
      </c>
      <c r="F465" s="6" t="s">
        <v>725</v>
      </c>
      <c r="G465" s="6" t="s">
        <v>1801</v>
      </c>
      <c r="H465" s="6"/>
      <c r="I465" s="26" t="n">
        <v>2</v>
      </c>
      <c r="J465" s="26" t="n">
        <f aca="false">COUNTIFS('Control Library'!$A$5:$A$50,"AI-CTRL-004",'Control Library'!$R$5:$R$50,"Implemented")+COUNTIFS('Control Library'!$A$5:$A$50,"AI-CTRL-030",'Control Library'!$R$5:$R$50,"Implemented")</f>
        <v>0</v>
      </c>
      <c r="K465" s="43" t="str">
        <f aca="false">IF(I465=0,"No wiki control",IF(J465=I465,"Fully covered",IF(J465=0,"Not covered","Partly covered")))</f>
        <v>Not covered</v>
      </c>
      <c r="L465" s="9" t="s">
        <v>1684</v>
      </c>
    </row>
    <row r="466" customFormat="false" ht="23.85" hidden="false" customHeight="false" outlineLevel="0" collapsed="false">
      <c r="A466" s="51" t="s">
        <v>585</v>
      </c>
      <c r="B466" s="51" t="s">
        <v>583</v>
      </c>
      <c r="C466" s="5" t="s">
        <v>1648</v>
      </c>
      <c r="D466" s="6" t="s">
        <v>1802</v>
      </c>
      <c r="E466" s="6" t="s">
        <v>291</v>
      </c>
      <c r="F466" s="6" t="s">
        <v>725</v>
      </c>
      <c r="G466" s="6" t="s">
        <v>295</v>
      </c>
      <c r="H466" s="6"/>
      <c r="I466" s="26" t="n">
        <v>1</v>
      </c>
      <c r="J466" s="26" t="n">
        <f aca="false">COUNTIFS('Control Library'!$A$5:$A$50,"AI-CTRL-015",'Control Library'!$R$5:$R$50,"Implemented")</f>
        <v>0</v>
      </c>
      <c r="K466" s="43" t="str">
        <f aca="false">IF(I466=0,"No wiki control",IF(J466=I466,"Fully covered",IF(J466=0,"Not covered","Partly covered")))</f>
        <v>Not covered</v>
      </c>
      <c r="L466" s="9" t="s">
        <v>1684</v>
      </c>
    </row>
    <row r="467" customFormat="false" ht="23.85" hidden="false" customHeight="false" outlineLevel="0" collapsed="false">
      <c r="A467" s="51" t="s">
        <v>585</v>
      </c>
      <c r="B467" s="51" t="s">
        <v>583</v>
      </c>
      <c r="C467" s="5" t="s">
        <v>1803</v>
      </c>
      <c r="D467" s="6" t="s">
        <v>1804</v>
      </c>
      <c r="E467" s="6" t="s">
        <v>766</v>
      </c>
      <c r="F467" s="6" t="s">
        <v>725</v>
      </c>
      <c r="G467" s="6" t="s">
        <v>767</v>
      </c>
      <c r="H467" s="6"/>
      <c r="I467" s="26" t="n">
        <v>2</v>
      </c>
      <c r="J467" s="26" t="n">
        <f aca="false">COUNTIFS('Control Library'!$A$5:$A$50,"AI-CTRL-036",'Control Library'!$R$5:$R$50,"Implemented")+COUNTIFS('Control Library'!$A$5:$A$50,"AI-CTRL-040",'Control Library'!$R$5:$R$50,"Implemented")</f>
        <v>0</v>
      </c>
      <c r="K467" s="43" t="str">
        <f aca="false">IF(I467=0,"No wiki control",IF(J467=I467,"Fully covered",IF(J467=0,"Not covered","Partly covered")))</f>
        <v>Not covered</v>
      </c>
      <c r="L467" s="9" t="s">
        <v>1684</v>
      </c>
    </row>
    <row r="468" customFormat="false" ht="23.85" hidden="false" customHeight="false" outlineLevel="0" collapsed="false">
      <c r="A468" s="51" t="s">
        <v>585</v>
      </c>
      <c r="B468" s="51" t="s">
        <v>583</v>
      </c>
      <c r="C468" s="5" t="s">
        <v>1805</v>
      </c>
      <c r="D468" s="6" t="s">
        <v>1806</v>
      </c>
      <c r="E468" s="6" t="s">
        <v>339</v>
      </c>
      <c r="F468" s="6" t="s">
        <v>725</v>
      </c>
      <c r="G468" s="6" t="s">
        <v>343</v>
      </c>
      <c r="H468" s="6"/>
      <c r="I468" s="26" t="n">
        <v>1</v>
      </c>
      <c r="J468" s="26" t="n">
        <f aca="false">COUNTIFS('Control Library'!$A$5:$A$50,"AI-CTRL-021",'Control Library'!$R$5:$R$50,"Implemented")</f>
        <v>0</v>
      </c>
      <c r="K468" s="43" t="str">
        <f aca="false">IF(I468=0,"No wiki control",IF(J468=I468,"Fully covered",IF(J468=0,"Not covered","Partly covered")))</f>
        <v>Not covered</v>
      </c>
      <c r="L468" s="9" t="s">
        <v>1684</v>
      </c>
    </row>
    <row r="469" customFormat="false" ht="35.05" hidden="false" customHeight="false" outlineLevel="0" collapsed="false">
      <c r="A469" s="51" t="s">
        <v>585</v>
      </c>
      <c r="B469" s="51" t="s">
        <v>583</v>
      </c>
      <c r="C469" s="5" t="s">
        <v>1807</v>
      </c>
      <c r="D469" s="6" t="s">
        <v>1808</v>
      </c>
      <c r="E469" s="6" t="s">
        <v>1809</v>
      </c>
      <c r="F469" s="6" t="s">
        <v>725</v>
      </c>
      <c r="G469" s="6" t="s">
        <v>1810</v>
      </c>
      <c r="H469" s="6"/>
      <c r="I469" s="26" t="n">
        <v>3</v>
      </c>
      <c r="J469" s="26" t="n">
        <f aca="false">COUNTIFS('Control Library'!$A$5:$A$50,"AI-CTRL-031",'Control Library'!$R$5:$R$50,"Implemented")+COUNTIFS('Control Library'!$A$5:$A$50,"AI-CTRL-032",'Control Library'!$R$5:$R$50,"Implemented")+COUNTIFS('Control Library'!$A$5:$A$50,"AI-CTRL-034",'Control Library'!$R$5:$R$50,"Implemented")</f>
        <v>0</v>
      </c>
      <c r="K469" s="43" t="str">
        <f aca="false">IF(I469=0,"No wiki control",IF(J469=I469,"Fully covered",IF(J469=0,"Not covered","Partly covered")))</f>
        <v>Not covered</v>
      </c>
      <c r="L469" s="9" t="s">
        <v>1684</v>
      </c>
    </row>
    <row r="470" customFormat="false" ht="23.85" hidden="false" customHeight="false" outlineLevel="0" collapsed="false">
      <c r="A470" s="51" t="s">
        <v>585</v>
      </c>
      <c r="B470" s="51" t="s">
        <v>583</v>
      </c>
      <c r="C470" s="5" t="s">
        <v>1811</v>
      </c>
      <c r="D470" s="6" t="s">
        <v>1812</v>
      </c>
      <c r="E470" s="6" t="s">
        <v>1080</v>
      </c>
      <c r="F470" s="6" t="s">
        <v>725</v>
      </c>
      <c r="G470" s="6" t="s">
        <v>1081</v>
      </c>
      <c r="H470" s="6"/>
      <c r="I470" s="26" t="n">
        <v>3</v>
      </c>
      <c r="J470" s="26" t="n">
        <f aca="false">COUNTIFS('Control Library'!$A$5:$A$50,"AI-CTRL-024",'Control Library'!$R$5:$R$50,"Implemented")+COUNTIFS('Control Library'!$A$5:$A$50,"AI-CTRL-030",'Control Library'!$R$5:$R$50,"Implemented")+COUNTIFS('Control Library'!$A$5:$A$50,"AI-CTRL-032",'Control Library'!$R$5:$R$50,"Implemented")</f>
        <v>0</v>
      </c>
      <c r="K470" s="43" t="str">
        <f aca="false">IF(I470=0,"No wiki control",IF(J470=I470,"Fully covered",IF(J470=0,"Not covered","Partly covered")))</f>
        <v>Not covered</v>
      </c>
      <c r="L470" s="9" t="s">
        <v>1684</v>
      </c>
    </row>
    <row r="471" customFormat="false" ht="23.85" hidden="false" customHeight="false" outlineLevel="0" collapsed="false">
      <c r="A471" s="51" t="s">
        <v>585</v>
      </c>
      <c r="B471" s="51" t="s">
        <v>583</v>
      </c>
      <c r="C471" s="5" t="s">
        <v>1813</v>
      </c>
      <c r="D471" s="6" t="s">
        <v>1814</v>
      </c>
      <c r="E471" s="6" t="s">
        <v>1815</v>
      </c>
      <c r="F471" s="6" t="s">
        <v>725</v>
      </c>
      <c r="G471" s="6" t="s">
        <v>1816</v>
      </c>
      <c r="H471" s="6"/>
      <c r="I471" s="26" t="n">
        <v>3</v>
      </c>
      <c r="J471" s="26" t="n">
        <f aca="false">COUNTIFS('Control Library'!$A$5:$A$50,"AI-CTRL-007",'Control Library'!$R$5:$R$50,"Implemented")+COUNTIFS('Control Library'!$A$5:$A$50,"AI-CTRL-013",'Control Library'!$R$5:$R$50,"Implemented")+COUNTIFS('Control Library'!$A$5:$A$50,"AI-CTRL-017",'Control Library'!$R$5:$R$50,"Implemented")</f>
        <v>0</v>
      </c>
      <c r="K471" s="43" t="str">
        <f aca="false">IF(I471=0,"No wiki control",IF(J471=I471,"Fully covered",IF(J471=0,"Not covered","Partly covered")))</f>
        <v>Not covered</v>
      </c>
      <c r="L471" s="9" t="s">
        <v>1684</v>
      </c>
    </row>
    <row r="472" customFormat="false" ht="23.85" hidden="false" customHeight="false" outlineLevel="0" collapsed="false">
      <c r="A472" s="51" t="s">
        <v>585</v>
      </c>
      <c r="B472" s="51" t="s">
        <v>583</v>
      </c>
      <c r="C472" s="5" t="s">
        <v>1817</v>
      </c>
      <c r="D472" s="6" t="s">
        <v>1818</v>
      </c>
      <c r="E472" s="6" t="s">
        <v>1819</v>
      </c>
      <c r="F472" s="6" t="s">
        <v>725</v>
      </c>
      <c r="G472" s="6" t="s">
        <v>1816</v>
      </c>
      <c r="H472" s="6"/>
      <c r="I472" s="26" t="n">
        <v>3</v>
      </c>
      <c r="J472" s="26" t="n">
        <f aca="false">COUNTIFS('Control Library'!$A$5:$A$50,"AI-CTRL-002",'Control Library'!$R$5:$R$50,"Implemented")+COUNTIFS('Control Library'!$A$5:$A$50,"AI-CTRL-013",'Control Library'!$R$5:$R$50,"Implemented")+COUNTIFS('Control Library'!$A$5:$A$50,"AI-CTRL-017",'Control Library'!$R$5:$R$50,"Implemented")</f>
        <v>0</v>
      </c>
      <c r="K472" s="43" t="str">
        <f aca="false">IF(I472=0,"No wiki control",IF(J472=I472,"Fully covered",IF(J472=0,"Not covered","Partly covered")))</f>
        <v>Not covered</v>
      </c>
      <c r="L472" s="9" t="s">
        <v>1684</v>
      </c>
    </row>
    <row r="473" customFormat="false" ht="35.05" hidden="false" customHeight="false" outlineLevel="0" collapsed="false">
      <c r="A473" s="51" t="s">
        <v>585</v>
      </c>
      <c r="B473" s="51" t="s">
        <v>583</v>
      </c>
      <c r="C473" s="5" t="s">
        <v>1820</v>
      </c>
      <c r="D473" s="6" t="s">
        <v>1821</v>
      </c>
      <c r="E473" s="6" t="s">
        <v>1822</v>
      </c>
      <c r="F473" s="6" t="s">
        <v>725</v>
      </c>
      <c r="G473" s="6" t="s">
        <v>1823</v>
      </c>
      <c r="H473" s="6"/>
      <c r="I473" s="26" t="n">
        <v>7</v>
      </c>
      <c r="J473"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473" s="43" t="str">
        <f aca="false">IF(I473=0,"No wiki control",IF(J473=I473,"Fully covered",IF(J473=0,"Not covered","Partly covered")))</f>
        <v>Not covered</v>
      </c>
      <c r="L473" s="9" t="s">
        <v>1684</v>
      </c>
    </row>
    <row r="474" customFormat="false" ht="23.85" hidden="false" customHeight="false" outlineLevel="0" collapsed="false">
      <c r="A474" s="51" t="s">
        <v>585</v>
      </c>
      <c r="B474" s="51" t="s">
        <v>583</v>
      </c>
      <c r="C474" s="5" t="s">
        <v>1824</v>
      </c>
      <c r="D474" s="6" t="s">
        <v>1825</v>
      </c>
      <c r="E474" s="6" t="s">
        <v>494</v>
      </c>
      <c r="F474" s="6" t="s">
        <v>725</v>
      </c>
      <c r="G474" s="6" t="s">
        <v>498</v>
      </c>
      <c r="H474" s="6"/>
      <c r="I474" s="26" t="n">
        <v>1</v>
      </c>
      <c r="J474" s="26" t="n">
        <f aca="false">COUNTIFS('Control Library'!$A$5:$A$50,"AI-CTRL-040",'Control Library'!$R$5:$R$50,"Implemented")</f>
        <v>0</v>
      </c>
      <c r="K474" s="43" t="str">
        <f aca="false">IF(I474=0,"No wiki control",IF(J474=I474,"Fully covered",IF(J474=0,"Not covered","Partly covered")))</f>
        <v>Not covered</v>
      </c>
      <c r="L474" s="9" t="s">
        <v>1684</v>
      </c>
    </row>
    <row r="475" customFormat="false" ht="23.85" hidden="false" customHeight="false" outlineLevel="0" collapsed="false">
      <c r="A475" s="51" t="s">
        <v>585</v>
      </c>
      <c r="B475" s="51" t="s">
        <v>583</v>
      </c>
      <c r="C475" s="5" t="s">
        <v>1826</v>
      </c>
      <c r="D475" s="6" t="s">
        <v>1827</v>
      </c>
      <c r="E475" s="6" t="s">
        <v>494</v>
      </c>
      <c r="F475" s="6" t="s">
        <v>725</v>
      </c>
      <c r="G475" s="6" t="s">
        <v>498</v>
      </c>
      <c r="H475" s="6"/>
      <c r="I475" s="26" t="n">
        <v>1</v>
      </c>
      <c r="J475" s="26" t="n">
        <f aca="false">COUNTIFS('Control Library'!$A$5:$A$50,"AI-CTRL-040",'Control Library'!$R$5:$R$50,"Implemented")</f>
        <v>0</v>
      </c>
      <c r="K475" s="43" t="str">
        <f aca="false">IF(I475=0,"No wiki control",IF(J475=I475,"Fully covered",IF(J475=0,"Not covered","Partly covered")))</f>
        <v>Not covered</v>
      </c>
      <c r="L475" s="9" t="s">
        <v>1684</v>
      </c>
    </row>
    <row r="476" customFormat="false" ht="23.85" hidden="false" customHeight="false" outlineLevel="0" collapsed="false">
      <c r="A476" s="51" t="s">
        <v>585</v>
      </c>
      <c r="B476" s="51" t="s">
        <v>583</v>
      </c>
      <c r="C476" s="5" t="s">
        <v>1828</v>
      </c>
      <c r="D476" s="6" t="s">
        <v>1829</v>
      </c>
      <c r="E476" s="6" t="s">
        <v>1095</v>
      </c>
      <c r="F476" s="6" t="s">
        <v>725</v>
      </c>
      <c r="G476" s="6" t="s">
        <v>1096</v>
      </c>
      <c r="H476" s="6"/>
      <c r="I476" s="26" t="n">
        <v>3</v>
      </c>
      <c r="J476" s="26" t="n">
        <f aca="false">COUNTIFS('Control Library'!$A$5:$A$50,"AI-CTRL-006",'Control Library'!$R$5:$R$50,"Implemented")+COUNTIFS('Control Library'!$A$5:$A$50,"AI-CTRL-008",'Control Library'!$R$5:$R$50,"Implemented")+COUNTIFS('Control Library'!$A$5:$A$50,"AI-CTRL-009",'Control Library'!$R$5:$R$50,"Implemented")</f>
        <v>0</v>
      </c>
      <c r="K476" s="43" t="str">
        <f aca="false">IF(I476=0,"No wiki control",IF(J476=I476,"Fully covered",IF(J476=0,"Not covered","Partly covered")))</f>
        <v>Not covered</v>
      </c>
      <c r="L476" s="9" t="s">
        <v>1684</v>
      </c>
    </row>
    <row r="477" customFormat="false" ht="35.05" hidden="false" customHeight="false" outlineLevel="0" collapsed="false">
      <c r="A477" s="51" t="s">
        <v>585</v>
      </c>
      <c r="B477" s="51" t="s">
        <v>583</v>
      </c>
      <c r="C477" s="5" t="s">
        <v>1830</v>
      </c>
      <c r="D477" s="6" t="s">
        <v>1831</v>
      </c>
      <c r="E477" s="6" t="s">
        <v>1832</v>
      </c>
      <c r="F477" s="6" t="s">
        <v>725</v>
      </c>
      <c r="G477" s="6" t="s">
        <v>1833</v>
      </c>
      <c r="H477" s="6"/>
      <c r="I477" s="26" t="n">
        <v>5</v>
      </c>
      <c r="J477" s="26" t="n">
        <f aca="false">COUNTIFS('Control Library'!$A$5:$A$50,"AI-CTRL-001",'Control Library'!$R$5:$R$50,"Implemented")+COUNTIFS('Control Library'!$A$5:$A$50,"AI-CTRL-005",'Control Library'!$R$5:$R$50,"Implemented")+COUNTIFS('Control Library'!$A$5:$A$50,"AI-CTRL-006",'Control Library'!$R$5:$R$50,"Implemented")+COUNTIFS('Control Library'!$A$5:$A$50,"AI-CTRL-009",'Control Library'!$R$5:$R$50,"Implemented")+COUNTIFS('Control Library'!$A$5:$A$50,"AI-CTRL-036",'Control Library'!$R$5:$R$50,"Implemented")</f>
        <v>0</v>
      </c>
      <c r="K477" s="43" t="str">
        <f aca="false">IF(I477=0,"No wiki control",IF(J477=I477,"Fully covered",IF(J477=0,"Not covered","Partly covered")))</f>
        <v>Not covered</v>
      </c>
      <c r="L477" s="9" t="s">
        <v>1684</v>
      </c>
    </row>
    <row r="478" customFormat="false" ht="23.85" hidden="false" customHeight="false" outlineLevel="0" collapsed="false">
      <c r="A478" s="51" t="s">
        <v>585</v>
      </c>
      <c r="B478" s="51" t="s">
        <v>583</v>
      </c>
      <c r="C478" s="5" t="s">
        <v>1834</v>
      </c>
      <c r="D478" s="6" t="s">
        <v>1835</v>
      </c>
      <c r="E478" s="6" t="s">
        <v>230</v>
      </c>
      <c r="F478" s="6" t="s">
        <v>725</v>
      </c>
      <c r="G478" s="6" t="s">
        <v>234</v>
      </c>
      <c r="H478" s="6"/>
      <c r="I478" s="26" t="n">
        <v>1</v>
      </c>
      <c r="J478" s="26" t="n">
        <f aca="false">COUNTIFS('Control Library'!$A$5:$A$50,"AI-CTRL-008",'Control Library'!$R$5:$R$50,"Implemented")</f>
        <v>0</v>
      </c>
      <c r="K478" s="43" t="str">
        <f aca="false">IF(I478=0,"No wiki control",IF(J478=I478,"Fully covered",IF(J478=0,"Not covered","Partly covered")))</f>
        <v>Not covered</v>
      </c>
      <c r="L478" s="9" t="s">
        <v>1684</v>
      </c>
    </row>
    <row r="479" customFormat="false" ht="23.85" hidden="false" customHeight="false" outlineLevel="0" collapsed="false">
      <c r="A479" s="51" t="s">
        <v>585</v>
      </c>
      <c r="B479" s="51" t="s">
        <v>583</v>
      </c>
      <c r="C479" s="5" t="s">
        <v>1836</v>
      </c>
      <c r="D479" s="6"/>
      <c r="E479" s="6"/>
      <c r="F479" s="6" t="s">
        <v>635</v>
      </c>
      <c r="G479" s="6"/>
      <c r="H479" s="6"/>
      <c r="I479" s="26" t="n">
        <v>0</v>
      </c>
      <c r="J479" s="26" t="n">
        <f aca="false">0</f>
        <v>0</v>
      </c>
      <c r="K479" s="43" t="str">
        <f aca="false">IF(I479=0,"No wiki control",IF(J479=I479,"Fully covered",IF(J479=0,"Not covered","Partly covered")))</f>
        <v>No wiki control</v>
      </c>
      <c r="L479" s="9" t="s">
        <v>1684</v>
      </c>
    </row>
    <row r="480" customFormat="false" ht="23.85" hidden="false" customHeight="false" outlineLevel="0" collapsed="false">
      <c r="A480" s="51" t="s">
        <v>585</v>
      </c>
      <c r="B480" s="51" t="s">
        <v>583</v>
      </c>
      <c r="C480" s="5" t="s">
        <v>1837</v>
      </c>
      <c r="D480" s="6" t="s">
        <v>1838</v>
      </c>
      <c r="E480" s="6" t="s">
        <v>720</v>
      </c>
      <c r="F480" s="6" t="s">
        <v>725</v>
      </c>
      <c r="G480" s="6" t="s">
        <v>803</v>
      </c>
      <c r="H480" s="6"/>
      <c r="I480" s="26" t="n">
        <v>2</v>
      </c>
      <c r="J480" s="26" t="n">
        <f aca="false">COUNTIFS('Control Library'!$A$5:$A$50,"AI-CTRL-024",'Control Library'!$R$5:$R$50,"Implemented")+COUNTIFS('Control Library'!$A$5:$A$50,"AI-CTRL-031",'Control Library'!$R$5:$R$50,"Implemented")</f>
        <v>0</v>
      </c>
      <c r="K480" s="43" t="str">
        <f aca="false">IF(I480=0,"No wiki control",IF(J480=I480,"Fully covered",IF(J480=0,"Not covered","Partly covered")))</f>
        <v>Not covered</v>
      </c>
      <c r="L480" s="9" t="s">
        <v>1684</v>
      </c>
    </row>
    <row r="481" customFormat="false" ht="23.85" hidden="false" customHeight="false" outlineLevel="0" collapsed="false">
      <c r="A481" s="51" t="s">
        <v>585</v>
      </c>
      <c r="B481" s="51" t="s">
        <v>583</v>
      </c>
      <c r="C481" s="5" t="s">
        <v>1839</v>
      </c>
      <c r="D481" s="6" t="s">
        <v>1840</v>
      </c>
      <c r="E481" s="6" t="s">
        <v>427</v>
      </c>
      <c r="F481" s="6" t="s">
        <v>725</v>
      </c>
      <c r="G481" s="6" t="s">
        <v>430</v>
      </c>
      <c r="H481" s="6"/>
      <c r="I481" s="26" t="n">
        <v>1</v>
      </c>
      <c r="J481" s="26" t="n">
        <f aca="false">COUNTIFS('Control Library'!$A$5:$A$50,"AI-CTRL-032",'Control Library'!$R$5:$R$50,"Implemented")</f>
        <v>0</v>
      </c>
      <c r="K481" s="43" t="str">
        <f aca="false">IF(I481=0,"No wiki control",IF(J481=I481,"Fully covered",IF(J481=0,"Not covered","Partly covered")))</f>
        <v>Not covered</v>
      </c>
      <c r="L481" s="9" t="s">
        <v>1684</v>
      </c>
    </row>
    <row r="482" customFormat="false" ht="23.85" hidden="false" customHeight="false" outlineLevel="0" collapsed="false">
      <c r="A482" s="51" t="s">
        <v>585</v>
      </c>
      <c r="B482" s="51" t="s">
        <v>583</v>
      </c>
      <c r="C482" s="5" t="s">
        <v>1841</v>
      </c>
      <c r="D482" s="6"/>
      <c r="E482" s="6"/>
      <c r="F482" s="6" t="s">
        <v>635</v>
      </c>
      <c r="G482" s="6"/>
      <c r="H482" s="6"/>
      <c r="I482" s="26" t="n">
        <v>0</v>
      </c>
      <c r="J482" s="26" t="n">
        <f aca="false">0</f>
        <v>0</v>
      </c>
      <c r="K482" s="43" t="str">
        <f aca="false">IF(I482=0,"No wiki control",IF(J482=I482,"Fully covered",IF(J482=0,"Not covered","Partly covered")))</f>
        <v>No wiki control</v>
      </c>
      <c r="L482" s="9" t="s">
        <v>1684</v>
      </c>
    </row>
    <row r="483" customFormat="false" ht="23.85" hidden="false" customHeight="false" outlineLevel="0" collapsed="false">
      <c r="A483" s="51" t="s">
        <v>585</v>
      </c>
      <c r="B483" s="51" t="s">
        <v>583</v>
      </c>
      <c r="C483" s="5" t="s">
        <v>1842</v>
      </c>
      <c r="D483" s="6" t="s">
        <v>1843</v>
      </c>
      <c r="E483" s="6" t="s">
        <v>1844</v>
      </c>
      <c r="F483" s="6" t="s">
        <v>725</v>
      </c>
      <c r="G483" s="6" t="s">
        <v>1845</v>
      </c>
      <c r="H483" s="6"/>
      <c r="I483" s="26" t="n">
        <v>2</v>
      </c>
      <c r="J483" s="26" t="n">
        <f aca="false">COUNTIFS('Control Library'!$A$5:$A$50,"AI-CTRL-027",'Control Library'!$R$5:$R$50,"Implemented")+COUNTIFS('Control Library'!$A$5:$A$50,"AI-CTRL-032",'Control Library'!$R$5:$R$50,"Implemented")</f>
        <v>0</v>
      </c>
      <c r="K483" s="43" t="str">
        <f aca="false">IF(I483=0,"No wiki control",IF(J483=I483,"Fully covered",IF(J483=0,"Not covered","Partly covered")))</f>
        <v>Not covered</v>
      </c>
      <c r="L483" s="9" t="s">
        <v>1684</v>
      </c>
    </row>
    <row r="484" customFormat="false" ht="23.85" hidden="false" customHeight="false" outlineLevel="0" collapsed="false">
      <c r="A484" s="51" t="s">
        <v>585</v>
      </c>
      <c r="B484" s="51" t="s">
        <v>583</v>
      </c>
      <c r="C484" s="5" t="s">
        <v>1846</v>
      </c>
      <c r="D484" s="6" t="s">
        <v>1847</v>
      </c>
      <c r="E484" s="6" t="s">
        <v>1848</v>
      </c>
      <c r="F484" s="6" t="s">
        <v>725</v>
      </c>
      <c r="G484" s="6" t="s">
        <v>251</v>
      </c>
      <c r="H484" s="6"/>
      <c r="I484" s="26" t="n">
        <v>2</v>
      </c>
      <c r="J484" s="26" t="n">
        <f aca="false">COUNTIFS('Control Library'!$A$5:$A$50,"AI-CTRL-001",'Control Library'!$R$5:$R$50,"Implemented")+COUNTIFS('Control Library'!$A$5:$A$50,"AI-CTRL-010",'Control Library'!$R$5:$R$50,"Implemented")</f>
        <v>0</v>
      </c>
      <c r="K484" s="43" t="str">
        <f aca="false">IF(I484=0,"No wiki control",IF(J484=I484,"Fully covered",IF(J484=0,"Not covered","Partly covered")))</f>
        <v>Not covered</v>
      </c>
      <c r="L484" s="9" t="s">
        <v>1684</v>
      </c>
    </row>
    <row r="485" customFormat="false" ht="23.85" hidden="false" customHeight="false" outlineLevel="0" collapsed="false">
      <c r="A485" s="51" t="s">
        <v>585</v>
      </c>
      <c r="B485" s="51" t="s">
        <v>583</v>
      </c>
      <c r="C485" s="5" t="s">
        <v>1849</v>
      </c>
      <c r="D485" s="6" t="s">
        <v>1850</v>
      </c>
      <c r="E485" s="6" t="s">
        <v>1413</v>
      </c>
      <c r="F485" s="6" t="s">
        <v>725</v>
      </c>
      <c r="G485" s="6" t="s">
        <v>778</v>
      </c>
      <c r="H485" s="6"/>
      <c r="I485" s="26" t="n">
        <v>3</v>
      </c>
      <c r="J485" s="26" t="n">
        <f aca="false">COUNTIFS('Control Library'!$A$5:$A$50,"AI-CTRL-017",'Control Library'!$R$5:$R$50,"Implemented")+COUNTIFS('Control Library'!$A$5:$A$50,"AI-CTRL-028",'Control Library'!$R$5:$R$50,"Implemented")+COUNTIFS('Control Library'!$A$5:$A$50,"AI-CTRL-032",'Control Library'!$R$5:$R$50,"Implemented")</f>
        <v>0</v>
      </c>
      <c r="K485" s="43" t="str">
        <f aca="false">IF(I485=0,"No wiki control",IF(J485=I485,"Fully covered",IF(J485=0,"Not covered","Partly covered")))</f>
        <v>Not covered</v>
      </c>
      <c r="L485" s="9" t="s">
        <v>1684</v>
      </c>
    </row>
    <row r="486" customFormat="false" ht="23.85" hidden="false" customHeight="false" outlineLevel="0" collapsed="false">
      <c r="A486" s="51" t="s">
        <v>585</v>
      </c>
      <c r="B486" s="51" t="s">
        <v>583</v>
      </c>
      <c r="C486" s="5" t="s">
        <v>1851</v>
      </c>
      <c r="D486" s="6" t="s">
        <v>1852</v>
      </c>
      <c r="E486" s="6" t="s">
        <v>1853</v>
      </c>
      <c r="F486" s="6" t="s">
        <v>725</v>
      </c>
      <c r="G486" s="6" t="s">
        <v>438</v>
      </c>
      <c r="H486" s="6"/>
      <c r="I486" s="26" t="n">
        <v>2</v>
      </c>
      <c r="J486" s="26" t="n">
        <f aca="false">COUNTIFS('Control Library'!$A$5:$A$50,"AI-CTRL-030",'Control Library'!$R$5:$R$50,"Implemented")+COUNTIFS('Control Library'!$A$5:$A$50,"AI-CTRL-033",'Control Library'!$R$5:$R$50,"Implemented")</f>
        <v>0</v>
      </c>
      <c r="K486" s="43" t="str">
        <f aca="false">IF(I486=0,"No wiki control",IF(J486=I486,"Fully covered",IF(J486=0,"Not covered","Partly covered")))</f>
        <v>Not covered</v>
      </c>
      <c r="L486" s="9" t="s">
        <v>1684</v>
      </c>
    </row>
    <row r="487" customFormat="false" ht="23.85" hidden="false" customHeight="false" outlineLevel="0" collapsed="false">
      <c r="A487" s="51" t="s">
        <v>585</v>
      </c>
      <c r="B487" s="51" t="s">
        <v>583</v>
      </c>
      <c r="C487" s="5" t="s">
        <v>1854</v>
      </c>
      <c r="D487" s="6" t="s">
        <v>1855</v>
      </c>
      <c r="E487" s="6" t="s">
        <v>1856</v>
      </c>
      <c r="F487" s="6" t="s">
        <v>725</v>
      </c>
      <c r="G487" s="6" t="s">
        <v>1857</v>
      </c>
      <c r="H487" s="6"/>
      <c r="I487" s="26" t="n">
        <v>3</v>
      </c>
      <c r="J487" s="26" t="n">
        <f aca="false">COUNTIFS('Control Library'!$A$5:$A$50,"AI-CTRL-005",'Control Library'!$R$5:$R$50,"Implemented")+COUNTIFS('Control Library'!$A$5:$A$50,"AI-CTRL-020",'Control Library'!$R$5:$R$50,"Implemented")+COUNTIFS('Control Library'!$A$5:$A$50,"AI-CTRL-021",'Control Library'!$R$5:$R$50,"Implemented")</f>
        <v>0</v>
      </c>
      <c r="K487" s="43" t="str">
        <f aca="false">IF(I487=0,"No wiki control",IF(J487=I487,"Fully covered",IF(J487=0,"Not covered","Partly covered")))</f>
        <v>Not covered</v>
      </c>
      <c r="L487" s="9" t="s">
        <v>1684</v>
      </c>
    </row>
    <row r="488" customFormat="false" ht="35.05" hidden="false" customHeight="false" outlineLevel="0" collapsed="false">
      <c r="A488" s="51" t="s">
        <v>585</v>
      </c>
      <c r="B488" s="51" t="s">
        <v>583</v>
      </c>
      <c r="C488" s="5" t="s">
        <v>1858</v>
      </c>
      <c r="D488" s="6" t="s">
        <v>1859</v>
      </c>
      <c r="E488" s="6" t="s">
        <v>1860</v>
      </c>
      <c r="F488" s="6" t="s">
        <v>725</v>
      </c>
      <c r="G488" s="6" t="s">
        <v>1861</v>
      </c>
      <c r="H488" s="6"/>
      <c r="I488" s="26" t="n">
        <v>3</v>
      </c>
      <c r="J488" s="26" t="n">
        <f aca="false">COUNTIFS('Control Library'!$A$5:$A$50,"AI-CTRL-005",'Control Library'!$R$5:$R$50,"Implemented")+COUNTIFS('Control Library'!$A$5:$A$50,"AI-CTRL-027",'Control Library'!$R$5:$R$50,"Implemented")+COUNTIFS('Control Library'!$A$5:$A$50,"AI-CTRL-033",'Control Library'!$R$5:$R$50,"Implemented")</f>
        <v>0</v>
      </c>
      <c r="K488" s="43" t="str">
        <f aca="false">IF(I488=0,"No wiki control",IF(J488=I488,"Fully covered",IF(J488=0,"Not covered","Partly covered")))</f>
        <v>Not covered</v>
      </c>
      <c r="L488" s="9" t="s">
        <v>1684</v>
      </c>
    </row>
    <row r="489" customFormat="false" ht="23.85" hidden="false" customHeight="false" outlineLevel="0" collapsed="false">
      <c r="A489" s="51" t="s">
        <v>585</v>
      </c>
      <c r="B489" s="51" t="s">
        <v>583</v>
      </c>
      <c r="C489" s="5" t="s">
        <v>1862</v>
      </c>
      <c r="D489" s="6" t="s">
        <v>1863</v>
      </c>
      <c r="E489" s="6" t="s">
        <v>1864</v>
      </c>
      <c r="F489" s="6" t="s">
        <v>725</v>
      </c>
      <c r="G489" s="6" t="s">
        <v>1865</v>
      </c>
      <c r="H489" s="6"/>
      <c r="I489" s="26" t="n">
        <v>2</v>
      </c>
      <c r="J489" s="26" t="n">
        <f aca="false">COUNTIFS('Control Library'!$A$5:$A$50,"AI-CTRL-004",'Control Library'!$R$5:$R$50,"Implemented")+COUNTIFS('Control Library'!$A$5:$A$50,"AI-CTRL-020",'Control Library'!$R$5:$R$50,"Implemented")</f>
        <v>0</v>
      </c>
      <c r="K489" s="43" t="str">
        <f aca="false">IF(I489=0,"No wiki control",IF(J489=I489,"Fully covered",IF(J489=0,"Not covered","Partly covered")))</f>
        <v>Not covered</v>
      </c>
      <c r="L489" s="9" t="s">
        <v>1684</v>
      </c>
    </row>
    <row r="490" customFormat="false" ht="23.85" hidden="false" customHeight="false" outlineLevel="0" collapsed="false">
      <c r="A490" s="51" t="s">
        <v>585</v>
      </c>
      <c r="B490" s="51" t="s">
        <v>583</v>
      </c>
      <c r="C490" s="5" t="s">
        <v>1866</v>
      </c>
      <c r="D490" s="6" t="s">
        <v>1867</v>
      </c>
      <c r="E490" s="6" t="s">
        <v>1868</v>
      </c>
      <c r="F490" s="6" t="s">
        <v>725</v>
      </c>
      <c r="G490" s="6" t="s">
        <v>755</v>
      </c>
      <c r="H490" s="6"/>
      <c r="I490" s="26" t="n">
        <v>3</v>
      </c>
      <c r="J490" s="26" t="n">
        <f aca="false">COUNTIFS('Control Library'!$A$5:$A$50,"AI-CTRL-030",'Control Library'!$R$5:$R$50,"Implemented")+COUNTIFS('Control Library'!$A$5:$A$50,"AI-CTRL-033",'Control Library'!$R$5:$R$50,"Implemented")+COUNTIFS('Control Library'!$A$5:$A$50,"AI-CTRL-034",'Control Library'!$R$5:$R$50,"Implemented")</f>
        <v>0</v>
      </c>
      <c r="K490" s="43" t="str">
        <f aca="false">IF(I490=0,"No wiki control",IF(J490=I490,"Fully covered",IF(J490=0,"Not covered","Partly covered")))</f>
        <v>Not covered</v>
      </c>
      <c r="L490" s="9" t="s">
        <v>1684</v>
      </c>
    </row>
    <row r="491" customFormat="false" ht="23.85" hidden="false" customHeight="false" outlineLevel="0" collapsed="false">
      <c r="A491" s="51" t="s">
        <v>585</v>
      </c>
      <c r="B491" s="51" t="s">
        <v>583</v>
      </c>
      <c r="C491" s="5" t="s">
        <v>1869</v>
      </c>
      <c r="D491" s="6" t="s">
        <v>1870</v>
      </c>
      <c r="E491" s="6" t="s">
        <v>419</v>
      </c>
      <c r="F491" s="6" t="s">
        <v>725</v>
      </c>
      <c r="G491" s="6" t="s">
        <v>423</v>
      </c>
      <c r="H491" s="6"/>
      <c r="I491" s="26" t="n">
        <v>1</v>
      </c>
      <c r="J491" s="26" t="n">
        <f aca="false">COUNTIFS('Control Library'!$A$5:$A$50,"AI-CTRL-031",'Control Library'!$R$5:$R$50,"Implemented")</f>
        <v>0</v>
      </c>
      <c r="K491" s="43" t="str">
        <f aca="false">IF(I491=0,"No wiki control",IF(J491=I491,"Fully covered",IF(J491=0,"Not covered","Partly covered")))</f>
        <v>Not covered</v>
      </c>
      <c r="L491" s="9" t="s">
        <v>1684</v>
      </c>
    </row>
    <row r="492" customFormat="false" ht="23.85" hidden="false" customHeight="false" outlineLevel="0" collapsed="false">
      <c r="A492" s="51" t="s">
        <v>585</v>
      </c>
      <c r="B492" s="51" t="s">
        <v>583</v>
      </c>
      <c r="C492" s="5" t="s">
        <v>1871</v>
      </c>
      <c r="D492" s="6" t="s">
        <v>1872</v>
      </c>
      <c r="E492" s="6" t="s">
        <v>1873</v>
      </c>
      <c r="F492" s="6" t="s">
        <v>725</v>
      </c>
      <c r="G492" s="6" t="s">
        <v>1874</v>
      </c>
      <c r="H492" s="6"/>
      <c r="I492" s="26" t="n">
        <v>2</v>
      </c>
      <c r="J492" s="26" t="n">
        <f aca="false">COUNTIFS('Control Library'!$A$5:$A$50,"AI-CTRL-027",'Control Library'!$R$5:$R$50,"Implemented")+COUNTIFS('Control Library'!$A$5:$A$50,"AI-CTRL-030",'Control Library'!$R$5:$R$50,"Implemented")</f>
        <v>0</v>
      </c>
      <c r="K492" s="43" t="str">
        <f aca="false">IF(I492=0,"No wiki control",IF(J492=I492,"Fully covered",IF(J492=0,"Not covered","Partly covered")))</f>
        <v>Not covered</v>
      </c>
      <c r="L492" s="9" t="s">
        <v>1684</v>
      </c>
    </row>
    <row r="493" customFormat="false" ht="35.05" hidden="false" customHeight="false" outlineLevel="0" collapsed="false">
      <c r="A493" s="51" t="s">
        <v>585</v>
      </c>
      <c r="B493" s="51" t="s">
        <v>583</v>
      </c>
      <c r="C493" s="5" t="s">
        <v>1875</v>
      </c>
      <c r="D493" s="6" t="s">
        <v>1876</v>
      </c>
      <c r="E493" s="6" t="s">
        <v>1877</v>
      </c>
      <c r="F493" s="6" t="s">
        <v>725</v>
      </c>
      <c r="G493" s="6" t="s">
        <v>1878</v>
      </c>
      <c r="H493" s="6"/>
      <c r="I493" s="26" t="n">
        <v>4</v>
      </c>
      <c r="J493" s="26" t="n">
        <f aca="false">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493" s="43" t="str">
        <f aca="false">IF(I493=0,"No wiki control",IF(J493=I493,"Fully covered",IF(J493=0,"Not covered","Partly covered")))</f>
        <v>Not covered</v>
      </c>
      <c r="L493" s="9" t="s">
        <v>1684</v>
      </c>
    </row>
    <row r="494" customFormat="false" ht="23.85" hidden="false" customHeight="false" outlineLevel="0" collapsed="false">
      <c r="A494" s="51" t="s">
        <v>585</v>
      </c>
      <c r="B494" s="51" t="s">
        <v>583</v>
      </c>
      <c r="C494" s="5" t="s">
        <v>1879</v>
      </c>
      <c r="D494" s="6" t="s">
        <v>1880</v>
      </c>
      <c r="E494" s="6" t="s">
        <v>1881</v>
      </c>
      <c r="F494" s="6" t="s">
        <v>725</v>
      </c>
      <c r="G494" s="6" t="s">
        <v>1545</v>
      </c>
      <c r="H494" s="6"/>
      <c r="I494" s="26" t="n">
        <v>2</v>
      </c>
      <c r="J494" s="26" t="n">
        <f aca="false">COUNTIFS('Control Library'!$A$5:$A$50,"AI-CTRL-017",'Control Library'!$R$5:$R$50,"Implemented")+COUNTIFS('Control Library'!$A$5:$A$50,"AI-CTRL-029",'Control Library'!$R$5:$R$50,"Implemented")</f>
        <v>0</v>
      </c>
      <c r="K494" s="43" t="str">
        <f aca="false">IF(I494=0,"No wiki control",IF(J494=I494,"Fully covered",IF(J494=0,"Not covered","Partly covered")))</f>
        <v>Not covered</v>
      </c>
      <c r="L494" s="9" t="s">
        <v>1684</v>
      </c>
    </row>
    <row r="495" customFormat="false" ht="23.85" hidden="false" customHeight="false" outlineLevel="0" collapsed="false">
      <c r="A495" s="51" t="s">
        <v>585</v>
      </c>
      <c r="B495" s="51" t="s">
        <v>583</v>
      </c>
      <c r="C495" s="5" t="s">
        <v>1882</v>
      </c>
      <c r="D495" s="6"/>
      <c r="E495" s="6"/>
      <c r="F495" s="6" t="s">
        <v>635</v>
      </c>
      <c r="G495" s="6"/>
      <c r="H495" s="6"/>
      <c r="I495" s="26" t="n">
        <v>0</v>
      </c>
      <c r="J495" s="26" t="n">
        <f aca="false">0</f>
        <v>0</v>
      </c>
      <c r="K495" s="43" t="str">
        <f aca="false">IF(I495=0,"No wiki control",IF(J495=I495,"Fully covered",IF(J495=0,"Not covered","Partly covered")))</f>
        <v>No wiki control</v>
      </c>
      <c r="L495" s="9" t="s">
        <v>1684</v>
      </c>
    </row>
    <row r="496" customFormat="false" ht="23.85" hidden="false" customHeight="false" outlineLevel="0" collapsed="false">
      <c r="A496" s="51" t="s">
        <v>586</v>
      </c>
      <c r="B496" s="51" t="s">
        <v>583</v>
      </c>
      <c r="C496" s="5" t="s">
        <v>1666</v>
      </c>
      <c r="D496" s="6" t="s">
        <v>1883</v>
      </c>
      <c r="E496" s="6" t="s">
        <v>469</v>
      </c>
      <c r="F496" s="6" t="s">
        <v>725</v>
      </c>
      <c r="G496" s="6" t="s">
        <v>472</v>
      </c>
      <c r="H496" s="6"/>
      <c r="I496" s="26" t="n">
        <v>1</v>
      </c>
      <c r="J496" s="26" t="n">
        <f aca="false">COUNTIFS('Control Library'!$A$5:$A$50,"AI-CTRL-037",'Control Library'!$R$5:$R$50,"Implemented")</f>
        <v>0</v>
      </c>
      <c r="K496" s="43" t="str">
        <f aca="false">IF(I496=0,"No wiki control",IF(J496=I496,"Fully covered",IF(J496=0,"Not covered","Partly covered")))</f>
        <v>Not covered</v>
      </c>
      <c r="L496" s="9" t="s">
        <v>1684</v>
      </c>
    </row>
    <row r="497" customFormat="false" ht="23.85" hidden="false" customHeight="false" outlineLevel="0" collapsed="false">
      <c r="A497" s="51" t="s">
        <v>586</v>
      </c>
      <c r="B497" s="51" t="s">
        <v>583</v>
      </c>
      <c r="C497" s="5" t="s">
        <v>1668</v>
      </c>
      <c r="D497" s="6" t="s">
        <v>1884</v>
      </c>
      <c r="E497" s="6" t="s">
        <v>469</v>
      </c>
      <c r="F497" s="6" t="s">
        <v>725</v>
      </c>
      <c r="G497" s="6" t="s">
        <v>472</v>
      </c>
      <c r="H497" s="6"/>
      <c r="I497" s="26" t="n">
        <v>1</v>
      </c>
      <c r="J497" s="26" t="n">
        <f aca="false">COUNTIFS('Control Library'!$A$5:$A$50,"AI-CTRL-037",'Control Library'!$R$5:$R$50,"Implemented")</f>
        <v>0</v>
      </c>
      <c r="K497" s="43" t="str">
        <f aca="false">IF(I497=0,"No wiki control",IF(J497=I497,"Fully covered",IF(J497=0,"Not covered","Partly covered")))</f>
        <v>Not covered</v>
      </c>
      <c r="L497" s="9" t="s">
        <v>1684</v>
      </c>
    </row>
    <row r="498" customFormat="false" ht="23.85" hidden="false" customHeight="false" outlineLevel="0" collapsed="false">
      <c r="A498" s="51" t="s">
        <v>586</v>
      </c>
      <c r="B498" s="51" t="s">
        <v>583</v>
      </c>
      <c r="C498" s="5" t="s">
        <v>1676</v>
      </c>
      <c r="D498" s="6" t="s">
        <v>1677</v>
      </c>
      <c r="E498" s="6" t="s">
        <v>477</v>
      </c>
      <c r="F498" s="6" t="s">
        <v>725</v>
      </c>
      <c r="G498" s="6" t="s">
        <v>480</v>
      </c>
      <c r="H498" s="6"/>
      <c r="I498" s="26" t="n">
        <v>1</v>
      </c>
      <c r="J498" s="26" t="n">
        <f aca="false">COUNTIFS('Control Library'!$A$5:$A$50,"AI-CTRL-038",'Control Library'!$R$5:$R$50,"Implemented")</f>
        <v>0</v>
      </c>
      <c r="K498" s="43" t="str">
        <f aca="false">IF(I498=0,"No wiki control",IF(J498=I498,"Fully covered",IF(J498=0,"Not covered","Partly covered")))</f>
        <v>Not covered</v>
      </c>
      <c r="L498" s="9" t="s">
        <v>1684</v>
      </c>
    </row>
    <row r="499" customFormat="false" ht="23.85" hidden="false" customHeight="false" outlineLevel="0" collapsed="false">
      <c r="A499" s="51" t="s">
        <v>587</v>
      </c>
      <c r="B499" s="51" t="s">
        <v>583</v>
      </c>
      <c r="C499" s="5" t="s">
        <v>1885</v>
      </c>
      <c r="D499" s="6" t="s">
        <v>1886</v>
      </c>
      <c r="E499" s="6" t="s">
        <v>263</v>
      </c>
      <c r="F499" s="6" t="s">
        <v>725</v>
      </c>
      <c r="G499" s="6" t="s">
        <v>266</v>
      </c>
      <c r="H499" s="6"/>
      <c r="I499" s="26" t="n">
        <v>1</v>
      </c>
      <c r="J499" s="26" t="n">
        <f aca="false">COUNTIFS('Control Library'!$A$5:$A$50,"AI-CTRL-012",'Control Library'!$R$5:$R$50,"Implemented")</f>
        <v>0</v>
      </c>
      <c r="K499" s="43" t="str">
        <f aca="false">IF(I499=0,"No wiki control",IF(J499=I499,"Fully covered",IF(J499=0,"Not covered","Partly covered")))</f>
        <v>Not covered</v>
      </c>
      <c r="L499" s="9" t="s">
        <v>1887</v>
      </c>
    </row>
    <row r="500" customFormat="false" ht="23.85" hidden="false" customHeight="false" outlineLevel="0" collapsed="false">
      <c r="A500" s="51" t="s">
        <v>587</v>
      </c>
      <c r="B500" s="51" t="s">
        <v>583</v>
      </c>
      <c r="C500" s="5" t="s">
        <v>1888</v>
      </c>
      <c r="D500" s="6" t="s">
        <v>1889</v>
      </c>
      <c r="E500" s="6"/>
      <c r="F500" s="6" t="s">
        <v>635</v>
      </c>
      <c r="G500" s="6"/>
      <c r="H500" s="6"/>
      <c r="I500" s="26" t="n">
        <v>0</v>
      </c>
      <c r="J500" s="26" t="n">
        <f aca="false">0</f>
        <v>0</v>
      </c>
      <c r="K500" s="43" t="str">
        <f aca="false">IF(I500=0,"No wiki control",IF(J500=I500,"Fully covered",IF(J500=0,"Not covered","Partly covered")))</f>
        <v>No wiki control</v>
      </c>
      <c r="L500" s="9" t="s">
        <v>1887</v>
      </c>
    </row>
    <row r="501" customFormat="false" ht="23.85" hidden="false" customHeight="false" outlineLevel="0" collapsed="false">
      <c r="A501" s="51" t="s">
        <v>587</v>
      </c>
      <c r="B501" s="51" t="s">
        <v>583</v>
      </c>
      <c r="C501" s="5" t="s">
        <v>1890</v>
      </c>
      <c r="D501" s="6" t="s">
        <v>1891</v>
      </c>
      <c r="E501" s="6"/>
      <c r="F501" s="6" t="s">
        <v>635</v>
      </c>
      <c r="G501" s="6"/>
      <c r="H501" s="6"/>
      <c r="I501" s="26" t="n">
        <v>0</v>
      </c>
      <c r="J501" s="26" t="n">
        <f aca="false">0</f>
        <v>0</v>
      </c>
      <c r="K501" s="43" t="str">
        <f aca="false">IF(I501=0,"No wiki control",IF(J501=I501,"Fully covered",IF(J501=0,"Not covered","Partly covered")))</f>
        <v>No wiki control</v>
      </c>
      <c r="L501" s="9" t="s">
        <v>1887</v>
      </c>
    </row>
    <row r="502" customFormat="false" ht="23.85" hidden="false" customHeight="false" outlineLevel="0" collapsed="false">
      <c r="A502" s="51" t="s">
        <v>587</v>
      </c>
      <c r="B502" s="51" t="s">
        <v>583</v>
      </c>
      <c r="C502" s="5" t="s">
        <v>1892</v>
      </c>
      <c r="D502" s="6" t="s">
        <v>1893</v>
      </c>
      <c r="E502" s="6"/>
      <c r="F502" s="6" t="s">
        <v>635</v>
      </c>
      <c r="G502" s="6"/>
      <c r="H502" s="6"/>
      <c r="I502" s="26" t="n">
        <v>0</v>
      </c>
      <c r="J502" s="26" t="n">
        <f aca="false">0</f>
        <v>0</v>
      </c>
      <c r="K502" s="43" t="str">
        <f aca="false">IF(I502=0,"No wiki control",IF(J502=I502,"Fully covered",IF(J502=0,"Not covered","Partly covered")))</f>
        <v>No wiki control</v>
      </c>
      <c r="L502" s="9" t="s">
        <v>1887</v>
      </c>
    </row>
    <row r="503" customFormat="false" ht="23.85" hidden="false" customHeight="false" outlineLevel="0" collapsed="false">
      <c r="A503" s="51" t="s">
        <v>588</v>
      </c>
      <c r="B503" s="51" t="s">
        <v>583</v>
      </c>
      <c r="C503" s="5" t="s">
        <v>1894</v>
      </c>
      <c r="D503" s="6" t="s">
        <v>1895</v>
      </c>
      <c r="E503" s="6" t="s">
        <v>512</v>
      </c>
      <c r="F503" s="6" t="s">
        <v>725</v>
      </c>
      <c r="G503" s="6" t="s">
        <v>515</v>
      </c>
      <c r="H503" s="6"/>
      <c r="I503" s="26" t="n">
        <v>1</v>
      </c>
      <c r="J503" s="26" t="n">
        <f aca="false">COUNTIFS('Control Library'!$A$5:$A$50,"AI-CTRL-042",'Control Library'!$R$5:$R$50,"Implemented")</f>
        <v>0</v>
      </c>
      <c r="K503" s="43" t="str">
        <f aca="false">IF(I503=0,"No wiki control",IF(J503=I503,"Fully covered",IF(J503=0,"Not covered","Partly covered")))</f>
        <v>Not covered</v>
      </c>
      <c r="L503" s="9" t="s">
        <v>1887</v>
      </c>
    </row>
    <row r="504" customFormat="false" ht="46.25" hidden="false" customHeight="false" outlineLevel="0" collapsed="false">
      <c r="A504" s="51" t="s">
        <v>588</v>
      </c>
      <c r="B504" s="51" t="s">
        <v>583</v>
      </c>
      <c r="C504" s="5" t="s">
        <v>1896</v>
      </c>
      <c r="D504" s="6" t="s">
        <v>1897</v>
      </c>
      <c r="E504" s="6" t="s">
        <v>1058</v>
      </c>
      <c r="F504" s="6" t="s">
        <v>725</v>
      </c>
      <c r="G504" s="6" t="s">
        <v>1059</v>
      </c>
      <c r="H504" s="6"/>
      <c r="I504" s="26" t="n">
        <v>2</v>
      </c>
      <c r="J504" s="26" t="n">
        <f aca="false">COUNTIFS('Control Library'!$A$5:$A$50,"AI-CTRL-011",'Control Library'!$R$5:$R$50,"Implemented")+COUNTIFS('Control Library'!$A$5:$A$50,"AI-CTRL-042",'Control Library'!$R$5:$R$50,"Implemented")</f>
        <v>0</v>
      </c>
      <c r="K504" s="43" t="str">
        <f aca="false">IF(I504=0,"No wiki control",IF(J504=I504,"Fully covered",IF(J504=0,"Not covered","Partly covered")))</f>
        <v>Not covered</v>
      </c>
      <c r="L504" s="9" t="s">
        <v>1887</v>
      </c>
    </row>
    <row r="505" customFormat="false" ht="46.25" hidden="false" customHeight="false" outlineLevel="0" collapsed="false">
      <c r="A505" s="51" t="s">
        <v>588</v>
      </c>
      <c r="B505" s="51" t="s">
        <v>583</v>
      </c>
      <c r="C505" s="5" t="s">
        <v>1898</v>
      </c>
      <c r="D505" s="6" t="s">
        <v>1899</v>
      </c>
      <c r="E505" s="6" t="s">
        <v>512</v>
      </c>
      <c r="F505" s="6" t="s">
        <v>725</v>
      </c>
      <c r="G505" s="6" t="s">
        <v>515</v>
      </c>
      <c r="H505" s="6"/>
      <c r="I505" s="26" t="n">
        <v>1</v>
      </c>
      <c r="J505" s="26" t="n">
        <f aca="false">COUNTIFS('Control Library'!$A$5:$A$50,"AI-CTRL-042",'Control Library'!$R$5:$R$50,"Implemented")</f>
        <v>0</v>
      </c>
      <c r="K505" s="43" t="str">
        <f aca="false">IF(I505=0,"No wiki control",IF(J505=I505,"Fully covered",IF(J505=0,"Not covered","Partly covered")))</f>
        <v>Not covered</v>
      </c>
      <c r="L505" s="9" t="s">
        <v>1887</v>
      </c>
    </row>
    <row r="506" customFormat="false" ht="23.85" hidden="false" customHeight="false" outlineLevel="0" collapsed="false">
      <c r="A506" s="51" t="s">
        <v>588</v>
      </c>
      <c r="B506" s="51" t="s">
        <v>583</v>
      </c>
      <c r="C506" s="5" t="s">
        <v>1900</v>
      </c>
      <c r="D506" s="6" t="s">
        <v>1900</v>
      </c>
      <c r="E506" s="6" t="s">
        <v>512</v>
      </c>
      <c r="F506" s="6" t="s">
        <v>725</v>
      </c>
      <c r="G506" s="6" t="s">
        <v>515</v>
      </c>
      <c r="H506" s="6"/>
      <c r="I506" s="26" t="n">
        <v>1</v>
      </c>
      <c r="J506" s="26" t="n">
        <f aca="false">COUNTIFS('Control Library'!$A$5:$A$50,"AI-CTRL-042",'Control Library'!$R$5:$R$50,"Implemented")</f>
        <v>0</v>
      </c>
      <c r="K506" s="43" t="str">
        <f aca="false">IF(I506=0,"No wiki control",IF(J506=I506,"Fully covered",IF(J506=0,"Not covered","Partly covered")))</f>
        <v>Not covered</v>
      </c>
      <c r="L506" s="9" t="s">
        <v>1887</v>
      </c>
    </row>
    <row r="507" customFormat="false" ht="23.85" hidden="false" customHeight="false" outlineLevel="0" collapsed="false">
      <c r="A507" s="51" t="s">
        <v>588</v>
      </c>
      <c r="B507" s="51" t="s">
        <v>583</v>
      </c>
      <c r="C507" s="5" t="s">
        <v>1901</v>
      </c>
      <c r="D507" s="6" t="s">
        <v>1901</v>
      </c>
      <c r="E507" s="6" t="s">
        <v>1902</v>
      </c>
      <c r="F507" s="6" t="s">
        <v>725</v>
      </c>
      <c r="G507" s="6" t="s">
        <v>1903</v>
      </c>
      <c r="H507" s="6"/>
      <c r="I507" s="26" t="n">
        <v>2</v>
      </c>
      <c r="J507" s="26" t="n">
        <f aca="false">COUNTIFS('Control Library'!$A$5:$A$50,"AI-CTRL-029",'Control Library'!$R$5:$R$50,"Implemented")+COUNTIFS('Control Library'!$A$5:$A$50,"AI-CTRL-042",'Control Library'!$R$5:$R$50,"Implemented")</f>
        <v>0</v>
      </c>
      <c r="K507" s="43" t="str">
        <f aca="false">IF(I507=0,"No wiki control",IF(J507=I507,"Fully covered",IF(J507=0,"Not covered","Partly covered")))</f>
        <v>Not covered</v>
      </c>
      <c r="L507" s="9" t="s">
        <v>1887</v>
      </c>
    </row>
    <row r="508" customFormat="false" ht="46.25" hidden="false" customHeight="false" outlineLevel="0" collapsed="false">
      <c r="A508" s="51" t="s">
        <v>588</v>
      </c>
      <c r="B508" s="51" t="s">
        <v>583</v>
      </c>
      <c r="C508" s="5" t="s">
        <v>1904</v>
      </c>
      <c r="D508" s="6" t="s">
        <v>1905</v>
      </c>
      <c r="E508" s="6" t="s">
        <v>1906</v>
      </c>
      <c r="F508" s="6" t="s">
        <v>725</v>
      </c>
      <c r="G508" s="6" t="s">
        <v>515</v>
      </c>
      <c r="H508" s="6"/>
      <c r="I508" s="26" t="n">
        <v>2</v>
      </c>
      <c r="J508" s="26" t="n">
        <f aca="false">COUNTIFS('Control Library'!$A$5:$A$50,"AI-CTRL-007",'Control Library'!$R$5:$R$50,"Implemented")+COUNTIFS('Control Library'!$A$5:$A$50,"AI-CTRL-042",'Control Library'!$R$5:$R$50,"Implemented")</f>
        <v>0</v>
      </c>
      <c r="K508" s="43" t="str">
        <f aca="false">IF(I508=0,"No wiki control",IF(J508=I508,"Fully covered",IF(J508=0,"Not covered","Partly covered")))</f>
        <v>Not covered</v>
      </c>
      <c r="L508" s="9" t="s">
        <v>1887</v>
      </c>
    </row>
    <row r="509" customFormat="false" ht="35.05" hidden="false" customHeight="false" outlineLevel="0" collapsed="false">
      <c r="A509" s="51" t="s">
        <v>588</v>
      </c>
      <c r="B509" s="51" t="s">
        <v>583</v>
      </c>
      <c r="C509" s="5" t="s">
        <v>1907</v>
      </c>
      <c r="D509" s="6" t="s">
        <v>1907</v>
      </c>
      <c r="E509" s="6" t="s">
        <v>512</v>
      </c>
      <c r="F509" s="6" t="s">
        <v>725</v>
      </c>
      <c r="G509" s="6" t="s">
        <v>515</v>
      </c>
      <c r="H509" s="6"/>
      <c r="I509" s="26" t="n">
        <v>1</v>
      </c>
      <c r="J509" s="26" t="n">
        <f aca="false">COUNTIFS('Control Library'!$A$5:$A$50,"AI-CTRL-042",'Control Library'!$R$5:$R$50,"Implemented")</f>
        <v>0</v>
      </c>
      <c r="K509" s="43" t="str">
        <f aca="false">IF(I509=0,"No wiki control",IF(J509=I509,"Fully covered",IF(J509=0,"Not covered","Partly covered")))</f>
        <v>Not covered</v>
      </c>
      <c r="L509" s="9" t="s">
        <v>1887</v>
      </c>
    </row>
    <row r="510" customFormat="false" ht="23.85" hidden="false" customHeight="false" outlineLevel="0" collapsed="false">
      <c r="A510" s="51" t="s">
        <v>588</v>
      </c>
      <c r="B510" s="51" t="s">
        <v>583</v>
      </c>
      <c r="C510" s="5" t="s">
        <v>1908</v>
      </c>
      <c r="D510" s="6" t="s">
        <v>1908</v>
      </c>
      <c r="E510" s="6" t="s">
        <v>1909</v>
      </c>
      <c r="F510" s="6" t="s">
        <v>725</v>
      </c>
      <c r="G510" s="6" t="s">
        <v>1910</v>
      </c>
      <c r="H510" s="6"/>
      <c r="I510" s="26" t="n">
        <v>2</v>
      </c>
      <c r="J510" s="26" t="n">
        <f aca="false">COUNTIFS('Control Library'!$A$5:$A$50,"AI-CTRL-041",'Control Library'!$R$5:$R$50,"Implemented")+COUNTIFS('Control Library'!$A$5:$A$50,"AI-CTRL-042",'Control Library'!$R$5:$R$50,"Implemented")</f>
        <v>0</v>
      </c>
      <c r="K510" s="43" t="str">
        <f aca="false">IF(I510=0,"No wiki control",IF(J510=I510,"Fully covered",IF(J510=0,"Not covered","Partly covered")))</f>
        <v>Not covered</v>
      </c>
      <c r="L510" s="9" t="s">
        <v>1887</v>
      </c>
    </row>
    <row r="511" customFormat="false" ht="35.05" hidden="false" customHeight="false" outlineLevel="0" collapsed="false">
      <c r="A511" s="51" t="s">
        <v>588</v>
      </c>
      <c r="B511" s="51" t="s">
        <v>583</v>
      </c>
      <c r="C511" s="5" t="s">
        <v>1911</v>
      </c>
      <c r="D511" s="6" t="s">
        <v>1912</v>
      </c>
      <c r="E511" s="6"/>
      <c r="F511" s="6" t="s">
        <v>635</v>
      </c>
      <c r="G511" s="6"/>
      <c r="H511" s="6"/>
      <c r="I511" s="26" t="n">
        <v>0</v>
      </c>
      <c r="J511" s="26" t="n">
        <f aca="false">0</f>
        <v>0</v>
      </c>
      <c r="K511" s="43" t="str">
        <f aca="false">IF(I511=0,"No wiki control",IF(J511=I511,"Fully covered",IF(J511=0,"Not covered","Partly covered")))</f>
        <v>No wiki control</v>
      </c>
      <c r="L511" s="9" t="s">
        <v>1887</v>
      </c>
    </row>
    <row r="512" customFormat="false" ht="23.85" hidden="false" customHeight="false" outlineLevel="0" collapsed="false">
      <c r="A512" s="51" t="s">
        <v>589</v>
      </c>
      <c r="B512" s="51" t="s">
        <v>583</v>
      </c>
      <c r="C512" s="5" t="s">
        <v>1913</v>
      </c>
      <c r="D512" s="6" t="s">
        <v>1914</v>
      </c>
      <c r="E512" s="6" t="s">
        <v>1915</v>
      </c>
      <c r="F512" s="6" t="s">
        <v>725</v>
      </c>
      <c r="G512" s="6" t="s">
        <v>1916</v>
      </c>
      <c r="H512" s="6"/>
      <c r="I512" s="26" t="n">
        <v>2</v>
      </c>
      <c r="J512" s="26" t="n">
        <f aca="false">COUNTIFS('Control Library'!$A$5:$A$50,"AI-CTRL-011",'Control Library'!$R$5:$R$50,"Implemented")+COUNTIFS('Control Library'!$A$5:$A$50,"AI-CTRL-014",'Control Library'!$R$5:$R$50,"Implemented")</f>
        <v>0</v>
      </c>
      <c r="K512" s="43" t="str">
        <f aca="false">IF(I512=0,"No wiki control",IF(J512=I512,"Fully covered",IF(J512=0,"Not covered","Partly covered")))</f>
        <v>Not covered</v>
      </c>
      <c r="L512" s="9" t="s">
        <v>1887</v>
      </c>
    </row>
    <row r="513" customFormat="false" ht="35.05" hidden="false" customHeight="false" outlineLevel="0" collapsed="false">
      <c r="A513" s="51" t="s">
        <v>589</v>
      </c>
      <c r="B513" s="51" t="s">
        <v>583</v>
      </c>
      <c r="C513" s="5" t="s">
        <v>1917</v>
      </c>
      <c r="D513" s="6" t="s">
        <v>1918</v>
      </c>
      <c r="E513" s="6" t="s">
        <v>477</v>
      </c>
      <c r="F513" s="6" t="s">
        <v>725</v>
      </c>
      <c r="G513" s="6" t="s">
        <v>480</v>
      </c>
      <c r="H513" s="6"/>
      <c r="I513" s="26" t="n">
        <v>1</v>
      </c>
      <c r="J513" s="26" t="n">
        <f aca="false">COUNTIFS('Control Library'!$A$5:$A$50,"AI-CTRL-038",'Control Library'!$R$5:$R$50,"Implemented")</f>
        <v>0</v>
      </c>
      <c r="K513" s="43" t="str">
        <f aca="false">IF(I513=0,"No wiki control",IF(J513=I513,"Fully covered",IF(J513=0,"Not covered","Partly covered")))</f>
        <v>Not covered</v>
      </c>
      <c r="L513" s="9" t="s">
        <v>1887</v>
      </c>
    </row>
    <row r="514" customFormat="false" ht="23.85" hidden="false" customHeight="false" outlineLevel="0" collapsed="false">
      <c r="A514" s="51" t="s">
        <v>589</v>
      </c>
      <c r="B514" s="51" t="s">
        <v>583</v>
      </c>
      <c r="C514" s="5" t="s">
        <v>1919</v>
      </c>
      <c r="D514" s="6" t="s">
        <v>1919</v>
      </c>
      <c r="E514" s="6" t="s">
        <v>477</v>
      </c>
      <c r="F514" s="6" t="s">
        <v>725</v>
      </c>
      <c r="G514" s="6" t="s">
        <v>480</v>
      </c>
      <c r="H514" s="6"/>
      <c r="I514" s="26" t="n">
        <v>1</v>
      </c>
      <c r="J514" s="26" t="n">
        <f aca="false">COUNTIFS('Control Library'!$A$5:$A$50,"AI-CTRL-038",'Control Library'!$R$5:$R$50,"Implemented")</f>
        <v>0</v>
      </c>
      <c r="K514" s="43" t="str">
        <f aca="false">IF(I514=0,"No wiki control",IF(J514=I514,"Fully covered",IF(J514=0,"Not covered","Partly covered")))</f>
        <v>Not covered</v>
      </c>
      <c r="L514" s="9" t="s">
        <v>1887</v>
      </c>
    </row>
    <row r="515" customFormat="false" ht="23.85" hidden="false" customHeight="false" outlineLevel="0" collapsed="false">
      <c r="A515" s="51" t="s">
        <v>589</v>
      </c>
      <c r="B515" s="51" t="s">
        <v>583</v>
      </c>
      <c r="C515" s="5" t="s">
        <v>1920</v>
      </c>
      <c r="D515" s="6" t="s">
        <v>1920</v>
      </c>
      <c r="E515" s="6" t="s">
        <v>255</v>
      </c>
      <c r="F515" s="6" t="s">
        <v>725</v>
      </c>
      <c r="G515" s="6" t="s">
        <v>258</v>
      </c>
      <c r="H515" s="6"/>
      <c r="I515" s="26" t="n">
        <v>1</v>
      </c>
      <c r="J515" s="26" t="n">
        <f aca="false">COUNTIFS('Control Library'!$A$5:$A$50,"AI-CTRL-011",'Control Library'!$R$5:$R$50,"Implemented")</f>
        <v>0</v>
      </c>
      <c r="K515" s="43" t="str">
        <f aca="false">IF(I515=0,"No wiki control",IF(J515=I515,"Fully covered",IF(J515=0,"Not covered","Partly covered")))</f>
        <v>Not covered</v>
      </c>
      <c r="L515" s="9" t="s">
        <v>1887</v>
      </c>
    </row>
    <row r="516" customFormat="false" ht="35.05" hidden="false" customHeight="false" outlineLevel="0" collapsed="false">
      <c r="A516" s="51" t="s">
        <v>589</v>
      </c>
      <c r="B516" s="51" t="s">
        <v>583</v>
      </c>
      <c r="C516" s="5" t="s">
        <v>1921</v>
      </c>
      <c r="D516" s="6" t="s">
        <v>1921</v>
      </c>
      <c r="E516" s="6"/>
      <c r="F516" s="6" t="s">
        <v>635</v>
      </c>
      <c r="G516" s="6"/>
      <c r="H516" s="6"/>
      <c r="I516" s="26" t="n">
        <v>0</v>
      </c>
      <c r="J516" s="26" t="n">
        <f aca="false">0</f>
        <v>0</v>
      </c>
      <c r="K516" s="43" t="str">
        <f aca="false">IF(I516=0,"No wiki control",IF(J516=I516,"Fully covered",IF(J516=0,"Not covered","Partly covered")))</f>
        <v>No wiki control</v>
      </c>
      <c r="L516" s="9" t="s">
        <v>1887</v>
      </c>
    </row>
    <row r="517" customFormat="false" ht="23.85" hidden="false" customHeight="false" outlineLevel="0" collapsed="false">
      <c r="A517" s="51" t="s">
        <v>590</v>
      </c>
      <c r="B517" s="51" t="s">
        <v>583</v>
      </c>
      <c r="C517" s="5" t="s">
        <v>1922</v>
      </c>
      <c r="D517" s="6" t="s">
        <v>1923</v>
      </c>
      <c r="E517" s="6"/>
      <c r="F517" s="6" t="s">
        <v>635</v>
      </c>
      <c r="G517" s="6"/>
      <c r="H517" s="6"/>
      <c r="I517" s="26" t="n">
        <v>0</v>
      </c>
      <c r="J517" s="26" t="n">
        <f aca="false">0</f>
        <v>0</v>
      </c>
      <c r="K517" s="43" t="str">
        <f aca="false">IF(I517=0,"No wiki control",IF(J517=I517,"Fully covered",IF(J517=0,"Not covered","Partly covered")))</f>
        <v>No wiki control</v>
      </c>
      <c r="L517" s="9" t="s">
        <v>1887</v>
      </c>
    </row>
    <row r="518" customFormat="false" ht="23.85" hidden="false" customHeight="false" outlineLevel="0" collapsed="false">
      <c r="A518" s="51" t="s">
        <v>590</v>
      </c>
      <c r="B518" s="51" t="s">
        <v>583</v>
      </c>
      <c r="C518" s="5" t="s">
        <v>1924</v>
      </c>
      <c r="D518" s="6" t="s">
        <v>1924</v>
      </c>
      <c r="E518" s="6" t="s">
        <v>1155</v>
      </c>
      <c r="F518" s="6" t="s">
        <v>725</v>
      </c>
      <c r="G518" s="6" t="s">
        <v>1156</v>
      </c>
      <c r="H518" s="6"/>
      <c r="I518" s="26" t="n">
        <v>2</v>
      </c>
      <c r="J518" s="26" t="n">
        <f aca="false">COUNTIFS('Control Library'!$A$5:$A$50,"AI-CTRL-013",'Control Library'!$R$5:$R$50,"Implemented")+COUNTIFS('Control Library'!$A$5:$A$50,"AI-CTRL-043",'Control Library'!$R$5:$R$50,"Implemented")</f>
        <v>0</v>
      </c>
      <c r="K518" s="43" t="str">
        <f aca="false">IF(I518=0,"No wiki control",IF(J518=I518,"Fully covered",IF(J518=0,"Not covered","Partly covered")))</f>
        <v>Not covered</v>
      </c>
      <c r="L518" s="9" t="s">
        <v>1887</v>
      </c>
    </row>
    <row r="519" customFormat="false" ht="23.85" hidden="false" customHeight="false" outlineLevel="0" collapsed="false">
      <c r="A519" s="51" t="s">
        <v>590</v>
      </c>
      <c r="B519" s="51" t="s">
        <v>583</v>
      </c>
      <c r="C519" s="5" t="s">
        <v>1925</v>
      </c>
      <c r="D519" s="6" t="s">
        <v>1925</v>
      </c>
      <c r="E519" s="6" t="s">
        <v>529</v>
      </c>
      <c r="F519" s="6" t="s">
        <v>725</v>
      </c>
      <c r="G519" s="6" t="s">
        <v>532</v>
      </c>
      <c r="H519" s="6"/>
      <c r="I519" s="26" t="n">
        <v>1</v>
      </c>
      <c r="J519" s="26" t="n">
        <f aca="false">COUNTIFS('Control Library'!$A$5:$A$50,"AI-CTRL-044",'Control Library'!$R$5:$R$50,"Implemented")</f>
        <v>0</v>
      </c>
      <c r="K519" s="43" t="str">
        <f aca="false">IF(I519=0,"No wiki control",IF(J519=I519,"Fully covered",IF(J519=0,"Not covered","Partly covered")))</f>
        <v>Not covered</v>
      </c>
      <c r="L519" s="9" t="s">
        <v>1887</v>
      </c>
    </row>
    <row r="520" customFormat="false" ht="35.05" hidden="false" customHeight="false" outlineLevel="0" collapsed="false">
      <c r="A520" s="51" t="s">
        <v>590</v>
      </c>
      <c r="B520" s="51" t="s">
        <v>583</v>
      </c>
      <c r="C520" s="5" t="s">
        <v>1926</v>
      </c>
      <c r="D520" s="6" t="s">
        <v>1926</v>
      </c>
      <c r="E520" s="6" t="s">
        <v>1927</v>
      </c>
      <c r="F520" s="6" t="s">
        <v>725</v>
      </c>
      <c r="G520" s="6" t="s">
        <v>1928</v>
      </c>
      <c r="H520" s="6"/>
      <c r="I520" s="26" t="n">
        <v>3</v>
      </c>
      <c r="J520" s="26" t="n">
        <f aca="false">COUNTIFS('Control Library'!$A$5:$A$50,"AI-CTRL-013",'Control Library'!$R$5:$R$50,"Implemented")+COUNTIFS('Control Library'!$A$5:$A$50,"AI-CTRL-017",'Control Library'!$R$5:$R$50,"Implemented")+COUNTIFS('Control Library'!$A$5:$A$50,"AI-CTRL-029",'Control Library'!$R$5:$R$50,"Implemented")</f>
        <v>0</v>
      </c>
      <c r="K520" s="43" t="str">
        <f aca="false">IF(I520=0,"No wiki control",IF(J520=I520,"Fully covered",IF(J520=0,"Not covered","Partly covered")))</f>
        <v>Not covered</v>
      </c>
      <c r="L520" s="9" t="s">
        <v>1887</v>
      </c>
    </row>
    <row r="521" customFormat="false" ht="23.85" hidden="false" customHeight="false" outlineLevel="0" collapsed="false">
      <c r="A521" s="51" t="s">
        <v>590</v>
      </c>
      <c r="B521" s="51" t="s">
        <v>583</v>
      </c>
      <c r="C521" s="5" t="s">
        <v>1929</v>
      </c>
      <c r="D521" s="6" t="s">
        <v>1929</v>
      </c>
      <c r="E521" s="6" t="s">
        <v>538</v>
      </c>
      <c r="F521" s="6" t="s">
        <v>725</v>
      </c>
      <c r="G521" s="6" t="s">
        <v>541</v>
      </c>
      <c r="H521" s="6"/>
      <c r="I521" s="26" t="n">
        <v>1</v>
      </c>
      <c r="J521" s="26" t="n">
        <f aca="false">COUNTIFS('Control Library'!$A$5:$A$50,"AI-CTRL-045",'Control Library'!$R$5:$R$50,"Implemented")</f>
        <v>0</v>
      </c>
      <c r="K521" s="43" t="str">
        <f aca="false">IF(I521=0,"No wiki control",IF(J521=I521,"Fully covered",IF(J521=0,"Not covered","Partly covered")))</f>
        <v>Not covered</v>
      </c>
      <c r="L521" s="9" t="s">
        <v>1887</v>
      </c>
    </row>
    <row r="522" customFormat="false" ht="23.85" hidden="false" customHeight="false" outlineLevel="0" collapsed="false">
      <c r="A522" s="51" t="s">
        <v>590</v>
      </c>
      <c r="B522" s="51" t="s">
        <v>583</v>
      </c>
      <c r="C522" s="5" t="s">
        <v>1930</v>
      </c>
      <c r="D522" s="6" t="s">
        <v>1930</v>
      </c>
      <c r="E522" s="6" t="s">
        <v>255</v>
      </c>
      <c r="F522" s="6" t="s">
        <v>725</v>
      </c>
      <c r="G522" s="6" t="s">
        <v>258</v>
      </c>
      <c r="H522" s="6"/>
      <c r="I522" s="26" t="n">
        <v>1</v>
      </c>
      <c r="J522" s="26" t="n">
        <f aca="false">COUNTIFS('Control Library'!$A$5:$A$50,"AI-CTRL-011",'Control Library'!$R$5:$R$50,"Implemented")</f>
        <v>0</v>
      </c>
      <c r="K522" s="43" t="str">
        <f aca="false">IF(I522=0,"No wiki control",IF(J522=I522,"Fully covered",IF(J522=0,"Not covered","Partly covered")))</f>
        <v>Not covered</v>
      </c>
      <c r="L522" s="9" t="s">
        <v>1887</v>
      </c>
    </row>
    <row r="523" customFormat="false" ht="35.05" hidden="false" customHeight="false" outlineLevel="0" collapsed="false">
      <c r="A523" s="51" t="s">
        <v>590</v>
      </c>
      <c r="B523" s="51" t="s">
        <v>583</v>
      </c>
      <c r="C523" s="5" t="s">
        <v>1931</v>
      </c>
      <c r="D523" s="6" t="s">
        <v>1932</v>
      </c>
      <c r="E523" s="6" t="s">
        <v>469</v>
      </c>
      <c r="F523" s="6" t="s">
        <v>725</v>
      </c>
      <c r="G523" s="6" t="s">
        <v>472</v>
      </c>
      <c r="H523" s="6"/>
      <c r="I523" s="26" t="n">
        <v>1</v>
      </c>
      <c r="J523" s="26" t="n">
        <f aca="false">COUNTIFS('Control Library'!$A$5:$A$50,"AI-CTRL-037",'Control Library'!$R$5:$R$50,"Implemented")</f>
        <v>0</v>
      </c>
      <c r="K523" s="43" t="str">
        <f aca="false">IF(I523=0,"No wiki control",IF(J523=I523,"Fully covered",IF(J523=0,"Not covered","Partly covered")))</f>
        <v>Not covered</v>
      </c>
      <c r="L523" s="9" t="s">
        <v>1887</v>
      </c>
    </row>
    <row r="524" customFormat="false" ht="23.85" hidden="false" customHeight="false" outlineLevel="0" collapsed="false">
      <c r="A524" s="51" t="s">
        <v>591</v>
      </c>
      <c r="B524" s="51" t="s">
        <v>583</v>
      </c>
      <c r="C524" s="5" t="s">
        <v>1933</v>
      </c>
      <c r="D524" s="6" t="s">
        <v>1934</v>
      </c>
      <c r="E524" s="6" t="s">
        <v>1640</v>
      </c>
      <c r="F524" s="6" t="s">
        <v>725</v>
      </c>
      <c r="G524" s="6" t="s">
        <v>1641</v>
      </c>
      <c r="H524" s="6"/>
      <c r="I524" s="26" t="n">
        <v>2</v>
      </c>
      <c r="J524" s="26" t="n">
        <f aca="false">COUNTIFS('Control Library'!$A$5:$A$50,"AI-CTRL-039",'Control Library'!$R$5:$R$50,"Implemented")+COUNTIFS('Control Library'!$A$5:$A$50,"AI-CTRL-041",'Control Library'!$R$5:$R$50,"Implemented")</f>
        <v>0</v>
      </c>
      <c r="K524" s="43" t="str">
        <f aca="false">IF(I524=0,"No wiki control",IF(J524=I524,"Fully covered",IF(J524=0,"Not covered","Partly covered")))</f>
        <v>Not covered</v>
      </c>
      <c r="L524" s="9" t="s">
        <v>1887</v>
      </c>
    </row>
    <row r="525" customFormat="false" ht="23.85" hidden="false" customHeight="false" outlineLevel="0" collapsed="false">
      <c r="A525" s="51" t="s">
        <v>591</v>
      </c>
      <c r="B525" s="51" t="s">
        <v>583</v>
      </c>
      <c r="C525" s="5" t="s">
        <v>1935</v>
      </c>
      <c r="D525" s="6" t="s">
        <v>1936</v>
      </c>
      <c r="E525" s="6" t="s">
        <v>1640</v>
      </c>
      <c r="F525" s="6" t="s">
        <v>725</v>
      </c>
      <c r="G525" s="6" t="s">
        <v>1641</v>
      </c>
      <c r="H525" s="6"/>
      <c r="I525" s="26" t="n">
        <v>2</v>
      </c>
      <c r="J525" s="26" t="n">
        <f aca="false">COUNTIFS('Control Library'!$A$5:$A$50,"AI-CTRL-039",'Control Library'!$R$5:$R$50,"Implemented")+COUNTIFS('Control Library'!$A$5:$A$50,"AI-CTRL-041",'Control Library'!$R$5:$R$50,"Implemented")</f>
        <v>0</v>
      </c>
      <c r="K525" s="43" t="str">
        <f aca="false">IF(I525=0,"No wiki control",IF(J525=I525,"Fully covered",IF(J525=0,"Not covered","Partly covered")))</f>
        <v>Not covered</v>
      </c>
      <c r="L525" s="9" t="s">
        <v>1887</v>
      </c>
    </row>
    <row r="526" customFormat="false" ht="23.85" hidden="false" customHeight="false" outlineLevel="0" collapsed="false">
      <c r="A526" s="51" t="s">
        <v>591</v>
      </c>
      <c r="B526" s="51" t="s">
        <v>583</v>
      </c>
      <c r="C526" s="5" t="s">
        <v>1937</v>
      </c>
      <c r="D526" s="6" t="s">
        <v>1937</v>
      </c>
      <c r="E526" s="6" t="s">
        <v>1938</v>
      </c>
      <c r="F526" s="6" t="s">
        <v>725</v>
      </c>
      <c r="G526" s="6" t="s">
        <v>1816</v>
      </c>
      <c r="H526" s="6"/>
      <c r="I526" s="26" t="n">
        <v>2</v>
      </c>
      <c r="J526" s="26" t="n">
        <f aca="false">COUNTIFS('Control Library'!$A$5:$A$50,"AI-CTRL-013",'Control Library'!$R$5:$R$50,"Implemented")+COUNTIFS('Control Library'!$A$5:$A$50,"AI-CTRL-017",'Control Library'!$R$5:$R$50,"Implemented")</f>
        <v>0</v>
      </c>
      <c r="K526" s="43" t="str">
        <f aca="false">IF(I526=0,"No wiki control",IF(J526=I526,"Fully covered",IF(J526=0,"Not covered","Partly covered")))</f>
        <v>Not covered</v>
      </c>
      <c r="L526" s="9" t="s">
        <v>1887</v>
      </c>
    </row>
    <row r="527" customFormat="false" ht="35.05" hidden="false" customHeight="false" outlineLevel="0" collapsed="false">
      <c r="A527" s="51" t="s">
        <v>591</v>
      </c>
      <c r="B527" s="51" t="s">
        <v>583</v>
      </c>
      <c r="C527" s="5" t="s">
        <v>1939</v>
      </c>
      <c r="D527" s="6" t="s">
        <v>1940</v>
      </c>
      <c r="E527" s="6" t="s">
        <v>1941</v>
      </c>
      <c r="F527" s="6" t="s">
        <v>725</v>
      </c>
      <c r="G527" s="6" t="s">
        <v>1942</v>
      </c>
      <c r="H527" s="6"/>
      <c r="I527" s="26" t="n">
        <v>4</v>
      </c>
      <c r="J527" s="26" t="n">
        <f aca="false">COUNTIFS('Control Library'!$A$5:$A$50,"AI-CTRL-028",'Control Library'!$R$5:$R$50,"Implemented")+COUNTIFS('Control Library'!$A$5:$A$50,"AI-CTRL-029",'Control Library'!$R$5:$R$50,"Implemented")+COUNTIFS('Control Library'!$A$5:$A$50,"AI-CTRL-032",'Control Library'!$R$5:$R$50,"Implemented")+COUNTIFS('Control Library'!$A$5:$A$50,"AI-CTRL-034",'Control Library'!$R$5:$R$50,"Implemented")</f>
        <v>0</v>
      </c>
      <c r="K527" s="43" t="str">
        <f aca="false">IF(I527=0,"No wiki control",IF(J527=I527,"Fully covered",IF(J527=0,"Not covered","Partly covered")))</f>
        <v>Not covered</v>
      </c>
      <c r="L527" s="9" t="s">
        <v>1887</v>
      </c>
    </row>
    <row r="528" customFormat="false" ht="35.05" hidden="false" customHeight="false" outlineLevel="0" collapsed="false">
      <c r="A528" s="51" t="s">
        <v>591</v>
      </c>
      <c r="B528" s="51" t="s">
        <v>583</v>
      </c>
      <c r="C528" s="5" t="s">
        <v>1943</v>
      </c>
      <c r="D528" s="6" t="s">
        <v>1944</v>
      </c>
      <c r="E528" s="6" t="s">
        <v>1945</v>
      </c>
      <c r="F528" s="6" t="s">
        <v>725</v>
      </c>
      <c r="G528" s="6" t="s">
        <v>1946</v>
      </c>
      <c r="H528" s="6"/>
      <c r="I528" s="26" t="n">
        <v>3</v>
      </c>
      <c r="J528" s="26" t="n">
        <f aca="false">COUNTIFS('Control Library'!$A$5:$A$50,"AI-CTRL-023",'Control Library'!$R$5:$R$50,"Implemented")+COUNTIFS('Control Library'!$A$5:$A$50,"AI-CTRL-025",'Control Library'!$R$5:$R$50,"Implemented")+COUNTIFS('Control Library'!$A$5:$A$50,"AI-CTRL-045",'Control Library'!$R$5:$R$50,"Implemented")</f>
        <v>0</v>
      </c>
      <c r="K528" s="43" t="str">
        <f aca="false">IF(I528=0,"No wiki control",IF(J528=I528,"Fully covered",IF(J528=0,"Not covered","Partly covered")))</f>
        <v>Not covered</v>
      </c>
      <c r="L528" s="9" t="s">
        <v>1887</v>
      </c>
    </row>
    <row r="529" customFormat="false" ht="23.85" hidden="false" customHeight="false" outlineLevel="0" collapsed="false">
      <c r="A529" s="51" t="s">
        <v>591</v>
      </c>
      <c r="B529" s="51" t="s">
        <v>583</v>
      </c>
      <c r="C529" s="5" t="s">
        <v>1947</v>
      </c>
      <c r="D529" s="6" t="s">
        <v>1947</v>
      </c>
      <c r="E529" s="6"/>
      <c r="F529" s="6" t="s">
        <v>635</v>
      </c>
      <c r="G529" s="6"/>
      <c r="H529" s="6"/>
      <c r="I529" s="26" t="n">
        <v>0</v>
      </c>
      <c r="J529" s="26" t="n">
        <f aca="false">0</f>
        <v>0</v>
      </c>
      <c r="K529" s="43" t="str">
        <f aca="false">IF(I529=0,"No wiki control",IF(J529=I529,"Fully covered",IF(J529=0,"Not covered","Partly covered")))</f>
        <v>No wiki control</v>
      </c>
      <c r="L529" s="9" t="s">
        <v>1887</v>
      </c>
    </row>
    <row r="530" customFormat="false" ht="23.85" hidden="false" customHeight="false" outlineLevel="0" collapsed="false">
      <c r="A530" s="51" t="s">
        <v>591</v>
      </c>
      <c r="B530" s="51" t="s">
        <v>583</v>
      </c>
      <c r="C530" s="5" t="s">
        <v>1948</v>
      </c>
      <c r="D530" s="6" t="s">
        <v>1948</v>
      </c>
      <c r="E530" s="6" t="s">
        <v>754</v>
      </c>
      <c r="F530" s="6" t="s">
        <v>725</v>
      </c>
      <c r="G530" s="6" t="s">
        <v>755</v>
      </c>
      <c r="H530" s="6"/>
      <c r="I530" s="26" t="n">
        <v>2</v>
      </c>
      <c r="J530" s="26" t="n">
        <f aca="false">COUNTIFS('Control Library'!$A$5:$A$50,"AI-CTRL-033",'Control Library'!$R$5:$R$50,"Implemented")+COUNTIFS('Control Library'!$A$5:$A$50,"AI-CTRL-034",'Control Library'!$R$5:$R$50,"Implemented")</f>
        <v>0</v>
      </c>
      <c r="K530" s="43" t="str">
        <f aca="false">IF(I530=0,"No wiki control",IF(J530=I530,"Fully covered",IF(J530=0,"Not covered","Partly covered")))</f>
        <v>Not covered</v>
      </c>
      <c r="L530" s="9" t="s">
        <v>1887</v>
      </c>
    </row>
    <row r="531" customFormat="false" ht="23.85" hidden="false" customHeight="false" outlineLevel="0" collapsed="false">
      <c r="A531" s="51" t="s">
        <v>592</v>
      </c>
      <c r="B531" s="51" t="s">
        <v>583</v>
      </c>
      <c r="C531" s="5" t="s">
        <v>1949</v>
      </c>
      <c r="D531" s="6" t="s">
        <v>1950</v>
      </c>
      <c r="E531" s="6" t="s">
        <v>282</v>
      </c>
      <c r="F531" s="6" t="s">
        <v>725</v>
      </c>
      <c r="G531" s="6" t="s">
        <v>286</v>
      </c>
      <c r="H531" s="6"/>
      <c r="I531" s="26" t="n">
        <v>1</v>
      </c>
      <c r="J531" s="26" t="n">
        <f aca="false">COUNTIFS('Control Library'!$A$5:$A$50,"AI-CTRL-014",'Control Library'!$R$5:$R$50,"Implemented")</f>
        <v>0</v>
      </c>
      <c r="K531" s="43" t="str">
        <f aca="false">IF(I531=0,"No wiki control",IF(J531=I531,"Fully covered",IF(J531=0,"Not covered","Partly covered")))</f>
        <v>Not covered</v>
      </c>
      <c r="L531" s="9" t="s">
        <v>1887</v>
      </c>
    </row>
    <row r="532" customFormat="false" ht="23.85" hidden="false" customHeight="false" outlineLevel="0" collapsed="false">
      <c r="A532" s="51" t="s">
        <v>592</v>
      </c>
      <c r="B532" s="51" t="s">
        <v>583</v>
      </c>
      <c r="C532" s="5" t="s">
        <v>1951</v>
      </c>
      <c r="D532" s="6" t="s">
        <v>1952</v>
      </c>
      <c r="E532" s="6" t="s">
        <v>1953</v>
      </c>
      <c r="F532" s="6" t="s">
        <v>725</v>
      </c>
      <c r="G532" s="6" t="s">
        <v>1954</v>
      </c>
      <c r="H532" s="6"/>
      <c r="I532" s="26" t="n">
        <v>2</v>
      </c>
      <c r="J532" s="26" t="n">
        <f aca="false">COUNTIFS('Control Library'!$A$5:$A$50,"AI-CTRL-031",'Control Library'!$R$5:$R$50,"Implemented")+COUNTIFS('Control Library'!$A$5:$A$50,"AI-CTRL-037",'Control Library'!$R$5:$R$50,"Implemented")</f>
        <v>0</v>
      </c>
      <c r="K532" s="43" t="str">
        <f aca="false">IF(I532=0,"No wiki control",IF(J532=I532,"Fully covered",IF(J532=0,"Not covered","Partly covered")))</f>
        <v>Not covered</v>
      </c>
      <c r="L532" s="9" t="s">
        <v>1887</v>
      </c>
    </row>
    <row r="533" customFormat="false" ht="23.85" hidden="false" customHeight="false" outlineLevel="0" collapsed="false">
      <c r="A533" s="51" t="s">
        <v>592</v>
      </c>
      <c r="B533" s="51" t="s">
        <v>583</v>
      </c>
      <c r="C533" s="5" t="s">
        <v>1955</v>
      </c>
      <c r="D533" s="6" t="s">
        <v>1956</v>
      </c>
      <c r="E533" s="6" t="s">
        <v>754</v>
      </c>
      <c r="F533" s="6" t="s">
        <v>725</v>
      </c>
      <c r="G533" s="6" t="s">
        <v>755</v>
      </c>
      <c r="H533" s="6"/>
      <c r="I533" s="26" t="n">
        <v>2</v>
      </c>
      <c r="J533" s="26" t="n">
        <f aca="false">COUNTIFS('Control Library'!$A$5:$A$50,"AI-CTRL-033",'Control Library'!$R$5:$R$50,"Implemented")+COUNTIFS('Control Library'!$A$5:$A$50,"AI-CTRL-034",'Control Library'!$R$5:$R$50,"Implemented")</f>
        <v>0</v>
      </c>
      <c r="K533" s="43" t="str">
        <f aca="false">IF(I533=0,"No wiki control",IF(J533=I533,"Fully covered",IF(J533=0,"Not covered","Partly covered")))</f>
        <v>Not covered</v>
      </c>
      <c r="L533" s="9" t="s">
        <v>1887</v>
      </c>
    </row>
    <row r="534" customFormat="false" ht="23.85" hidden="false" customHeight="false" outlineLevel="0" collapsed="false">
      <c r="A534" s="51" t="s">
        <v>592</v>
      </c>
      <c r="B534" s="51" t="s">
        <v>583</v>
      </c>
      <c r="C534" s="5" t="s">
        <v>1957</v>
      </c>
      <c r="D534" s="6" t="s">
        <v>1958</v>
      </c>
      <c r="E534" s="6" t="s">
        <v>1959</v>
      </c>
      <c r="F534" s="6" t="s">
        <v>725</v>
      </c>
      <c r="G534" s="6" t="s">
        <v>1960</v>
      </c>
      <c r="H534" s="6"/>
      <c r="I534" s="26" t="n">
        <v>2</v>
      </c>
      <c r="J534" s="26" t="n">
        <f aca="false">COUNTIFS('Control Library'!$A$5:$A$50,"AI-CTRL-009",'Control Library'!$R$5:$R$50,"Implemented")+COUNTIFS('Control Library'!$A$5:$A$50,"AI-CTRL-040",'Control Library'!$R$5:$R$50,"Implemented")</f>
        <v>0</v>
      </c>
      <c r="K534" s="43" t="str">
        <f aca="false">IF(I534=0,"No wiki control",IF(J534=I534,"Fully covered",IF(J534=0,"Not covered","Partly covered")))</f>
        <v>Not covered</v>
      </c>
      <c r="L534" s="9" t="s">
        <v>1887</v>
      </c>
    </row>
    <row r="535" customFormat="false" ht="23.85" hidden="false" customHeight="false" outlineLevel="0" collapsed="false">
      <c r="A535" s="51" t="s">
        <v>592</v>
      </c>
      <c r="B535" s="51" t="s">
        <v>583</v>
      </c>
      <c r="C535" s="5" t="s">
        <v>1961</v>
      </c>
      <c r="D535" s="6" t="s">
        <v>1961</v>
      </c>
      <c r="E535" s="6" t="s">
        <v>1881</v>
      </c>
      <c r="F535" s="6" t="s">
        <v>725</v>
      </c>
      <c r="G535" s="6" t="s">
        <v>1545</v>
      </c>
      <c r="H535" s="6"/>
      <c r="I535" s="26" t="n">
        <v>2</v>
      </c>
      <c r="J535" s="26" t="n">
        <f aca="false">COUNTIFS('Control Library'!$A$5:$A$50,"AI-CTRL-017",'Control Library'!$R$5:$R$50,"Implemented")+COUNTIFS('Control Library'!$A$5:$A$50,"AI-CTRL-029",'Control Library'!$R$5:$R$50,"Implemented")</f>
        <v>0</v>
      </c>
      <c r="K535" s="43" t="str">
        <f aca="false">IF(I535=0,"No wiki control",IF(J535=I535,"Fully covered",IF(J535=0,"Not covered","Partly covered")))</f>
        <v>Not covered</v>
      </c>
      <c r="L535" s="9" t="s">
        <v>1887</v>
      </c>
    </row>
    <row r="536" customFormat="false" ht="23.85" hidden="false" customHeight="false" outlineLevel="0" collapsed="false">
      <c r="A536" s="51" t="s">
        <v>592</v>
      </c>
      <c r="B536" s="51" t="s">
        <v>583</v>
      </c>
      <c r="C536" s="5" t="s">
        <v>1962</v>
      </c>
      <c r="D536" s="6" t="s">
        <v>1962</v>
      </c>
      <c r="E536" s="6" t="s">
        <v>443</v>
      </c>
      <c r="F536" s="6" t="s">
        <v>725</v>
      </c>
      <c r="G536" s="6" t="s">
        <v>446</v>
      </c>
      <c r="H536" s="6"/>
      <c r="I536" s="26" t="n">
        <v>1</v>
      </c>
      <c r="J536" s="26" t="n">
        <f aca="false">COUNTIFS('Control Library'!$A$5:$A$50,"AI-CTRL-034",'Control Library'!$R$5:$R$50,"Implemented")</f>
        <v>0</v>
      </c>
      <c r="K536" s="43" t="str">
        <f aca="false">IF(I536=0,"No wiki control",IF(J536=I536,"Fully covered",IF(J536=0,"Not covered","Partly covered")))</f>
        <v>Not covered</v>
      </c>
      <c r="L536" s="9" t="s">
        <v>1887</v>
      </c>
    </row>
    <row r="537" customFormat="false" ht="23.85" hidden="false" customHeight="false" outlineLevel="0" collapsed="false">
      <c r="A537" s="51" t="s">
        <v>592</v>
      </c>
      <c r="B537" s="51" t="s">
        <v>583</v>
      </c>
      <c r="C537" s="5" t="s">
        <v>1963</v>
      </c>
      <c r="D537" s="6" t="s">
        <v>1963</v>
      </c>
      <c r="E537" s="6" t="s">
        <v>1964</v>
      </c>
      <c r="F537" s="6" t="s">
        <v>725</v>
      </c>
      <c r="G537" s="6" t="s">
        <v>1965</v>
      </c>
      <c r="H537" s="6"/>
      <c r="I537" s="26" t="n">
        <v>2</v>
      </c>
      <c r="J537" s="26" t="n">
        <f aca="false">COUNTIFS('Control Library'!$A$5:$A$50,"AI-CTRL-011",'Control Library'!$R$5:$R$50,"Implemented")+COUNTIFS('Control Library'!$A$5:$A$50,"AI-CTRL-030",'Control Library'!$R$5:$R$50,"Implemented")</f>
        <v>0</v>
      </c>
      <c r="K537" s="43" t="str">
        <f aca="false">IF(I537=0,"No wiki control",IF(J537=I537,"Fully covered",IF(J537=0,"Not covered","Partly covered")))</f>
        <v>Not covered</v>
      </c>
      <c r="L537" s="9" t="s">
        <v>1887</v>
      </c>
    </row>
    <row r="538" customFormat="false" ht="23.85" hidden="false" customHeight="false" outlineLevel="0" collapsed="false">
      <c r="A538" s="51" t="s">
        <v>592</v>
      </c>
      <c r="B538" s="51" t="s">
        <v>583</v>
      </c>
      <c r="C538" s="5" t="s">
        <v>1966</v>
      </c>
      <c r="D538" s="6" t="s">
        <v>1966</v>
      </c>
      <c r="E538" s="6" t="s">
        <v>324</v>
      </c>
      <c r="F538" s="6" t="s">
        <v>725</v>
      </c>
      <c r="G538" s="6" t="s">
        <v>327</v>
      </c>
      <c r="H538" s="6"/>
      <c r="I538" s="26" t="n">
        <v>1</v>
      </c>
      <c r="J538" s="26" t="n">
        <f aca="false">COUNTIFS('Control Library'!$A$5:$A$50,"AI-CTRL-019",'Control Library'!$R$5:$R$50,"Implemented")</f>
        <v>0</v>
      </c>
      <c r="K538" s="43" t="str">
        <f aca="false">IF(I538=0,"No wiki control",IF(J538=I538,"Fully covered",IF(J538=0,"Not covered","Partly covered")))</f>
        <v>Not covered</v>
      </c>
      <c r="L538" s="9" t="s">
        <v>1887</v>
      </c>
    </row>
    <row r="539" customFormat="false" ht="23.85" hidden="false" customHeight="false" outlineLevel="0" collapsed="false">
      <c r="A539" s="51" t="s">
        <v>593</v>
      </c>
      <c r="B539" s="51" t="s">
        <v>583</v>
      </c>
      <c r="C539" s="5" t="s">
        <v>1967</v>
      </c>
      <c r="D539" s="6" t="s">
        <v>1968</v>
      </c>
      <c r="E539" s="6"/>
      <c r="F539" s="6" t="s">
        <v>635</v>
      </c>
      <c r="G539" s="6"/>
      <c r="H539" s="6"/>
      <c r="I539" s="26" t="n">
        <v>0</v>
      </c>
      <c r="J539" s="26" t="n">
        <f aca="false">0</f>
        <v>0</v>
      </c>
      <c r="K539" s="43" t="str">
        <f aca="false">IF(I539=0,"No wiki control",IF(J539=I539,"Fully covered",IF(J539=0,"Not covered","Partly covered")))</f>
        <v>No wiki control</v>
      </c>
      <c r="L539" s="9" t="s">
        <v>1887</v>
      </c>
    </row>
    <row r="540" customFormat="false" ht="23.85" hidden="false" customHeight="false" outlineLevel="0" collapsed="false">
      <c r="A540" s="51" t="s">
        <v>593</v>
      </c>
      <c r="B540" s="51" t="s">
        <v>583</v>
      </c>
      <c r="C540" s="5" t="s">
        <v>1969</v>
      </c>
      <c r="D540" s="6" t="s">
        <v>1970</v>
      </c>
      <c r="E540" s="6" t="s">
        <v>1881</v>
      </c>
      <c r="F540" s="6" t="s">
        <v>725</v>
      </c>
      <c r="G540" s="6" t="s">
        <v>1545</v>
      </c>
      <c r="H540" s="6"/>
      <c r="I540" s="26" t="n">
        <v>2</v>
      </c>
      <c r="J540" s="26" t="n">
        <f aca="false">COUNTIFS('Control Library'!$A$5:$A$50,"AI-CTRL-017",'Control Library'!$R$5:$R$50,"Implemented")+COUNTIFS('Control Library'!$A$5:$A$50,"AI-CTRL-029",'Control Library'!$R$5:$R$50,"Implemented")</f>
        <v>0</v>
      </c>
      <c r="K540" s="43" t="str">
        <f aca="false">IF(I540=0,"No wiki control",IF(J540=I540,"Fully covered",IF(J540=0,"Not covered","Partly covered")))</f>
        <v>Not covered</v>
      </c>
      <c r="L540" s="9" t="s">
        <v>1887</v>
      </c>
    </row>
    <row r="541" customFormat="false" ht="23.85" hidden="false" customHeight="false" outlineLevel="0" collapsed="false">
      <c r="A541" s="51" t="s">
        <v>593</v>
      </c>
      <c r="B541" s="51" t="s">
        <v>583</v>
      </c>
      <c r="C541" s="5" t="s">
        <v>1971</v>
      </c>
      <c r="D541" s="6" t="s">
        <v>1972</v>
      </c>
      <c r="E541" s="6" t="s">
        <v>1973</v>
      </c>
      <c r="F541" s="6" t="s">
        <v>725</v>
      </c>
      <c r="G541" s="6" t="s">
        <v>1501</v>
      </c>
      <c r="H541" s="6"/>
      <c r="I541" s="26" t="n">
        <v>2</v>
      </c>
      <c r="J541" s="26" t="n">
        <f aca="false">COUNTIFS('Control Library'!$A$5:$A$50,"AI-CTRL-030",'Control Library'!$R$5:$R$50,"Implemented")+COUNTIFS('Control Library'!$A$5:$A$50,"AI-CTRL-034",'Control Library'!$R$5:$R$50,"Implemented")</f>
        <v>0</v>
      </c>
      <c r="K541" s="43" t="str">
        <f aca="false">IF(I541=0,"No wiki control",IF(J541=I541,"Fully covered",IF(J541=0,"Not covered","Partly covered")))</f>
        <v>Not covered</v>
      </c>
      <c r="L541" s="9" t="s">
        <v>1887</v>
      </c>
    </row>
    <row r="542" customFormat="false" ht="23.85" hidden="false" customHeight="false" outlineLevel="0" collapsed="false">
      <c r="A542" s="51" t="s">
        <v>593</v>
      </c>
      <c r="B542" s="51" t="s">
        <v>583</v>
      </c>
      <c r="C542" s="5" t="s">
        <v>1974</v>
      </c>
      <c r="D542" s="6" t="s">
        <v>1975</v>
      </c>
      <c r="E542" s="6" t="s">
        <v>1976</v>
      </c>
      <c r="F542" s="6" t="s">
        <v>725</v>
      </c>
      <c r="G542" s="6" t="s">
        <v>1977</v>
      </c>
      <c r="H542" s="6"/>
      <c r="I542" s="26" t="n">
        <v>2</v>
      </c>
      <c r="J542" s="26" t="n">
        <f aca="false">COUNTIFS('Control Library'!$A$5:$A$50,"AI-CTRL-005",'Control Library'!$R$5:$R$50,"Implemented")+COUNTIFS('Control Library'!$A$5:$A$50,"AI-CTRL-030",'Control Library'!$R$5:$R$50,"Implemented")</f>
        <v>0</v>
      </c>
      <c r="K542" s="43" t="str">
        <f aca="false">IF(I542=0,"No wiki control",IF(J542=I542,"Fully covered",IF(J542=0,"Not covered","Partly covered")))</f>
        <v>Not covered</v>
      </c>
      <c r="L542" s="9" t="s">
        <v>1887</v>
      </c>
    </row>
    <row r="543" customFormat="false" ht="35.05" hidden="false" customHeight="false" outlineLevel="0" collapsed="false">
      <c r="A543" s="51" t="s">
        <v>594</v>
      </c>
      <c r="B543" s="51" t="s">
        <v>583</v>
      </c>
      <c r="C543" s="5" t="s">
        <v>1978</v>
      </c>
      <c r="D543" s="6" t="s">
        <v>1979</v>
      </c>
      <c r="E543" s="6"/>
      <c r="F543" s="6" t="s">
        <v>635</v>
      </c>
      <c r="G543" s="6"/>
      <c r="H543" s="6"/>
      <c r="I543" s="26" t="n">
        <v>0</v>
      </c>
      <c r="J543" s="26" t="n">
        <f aca="false">0</f>
        <v>0</v>
      </c>
      <c r="K543" s="43" t="str">
        <f aca="false">IF(I543=0,"No wiki control",IF(J543=I543,"Fully covered",IF(J543=0,"Not covered","Partly covered")))</f>
        <v>No wiki control</v>
      </c>
      <c r="L543" s="9" t="s">
        <v>1887</v>
      </c>
    </row>
    <row r="544" customFormat="false" ht="35.05" hidden="false" customHeight="false" outlineLevel="0" collapsed="false">
      <c r="A544" s="51" t="s">
        <v>594</v>
      </c>
      <c r="B544" s="51" t="s">
        <v>583</v>
      </c>
      <c r="C544" s="5" t="s">
        <v>1980</v>
      </c>
      <c r="D544" s="6" t="s">
        <v>1981</v>
      </c>
      <c r="E544" s="6"/>
      <c r="F544" s="6" t="s">
        <v>635</v>
      </c>
      <c r="G544" s="6"/>
      <c r="H544" s="6"/>
      <c r="I544" s="26" t="n">
        <v>0</v>
      </c>
      <c r="J544" s="26" t="n">
        <f aca="false">0</f>
        <v>0</v>
      </c>
      <c r="K544" s="43" t="str">
        <f aca="false">IF(I544=0,"No wiki control",IF(J544=I544,"Fully covered",IF(J544=0,"Not covered","Partly covered")))</f>
        <v>No wiki control</v>
      </c>
      <c r="L544" s="9" t="s">
        <v>1887</v>
      </c>
    </row>
    <row r="545" customFormat="false" ht="23.85" hidden="false" customHeight="false" outlineLevel="0" collapsed="false">
      <c r="A545" s="51" t="s">
        <v>594</v>
      </c>
      <c r="B545" s="51" t="s">
        <v>583</v>
      </c>
      <c r="C545" s="5" t="s">
        <v>1982</v>
      </c>
      <c r="D545" s="6" t="s">
        <v>1982</v>
      </c>
      <c r="E545" s="6"/>
      <c r="F545" s="6" t="s">
        <v>635</v>
      </c>
      <c r="G545" s="6"/>
      <c r="H545" s="6"/>
      <c r="I545" s="26" t="n">
        <v>0</v>
      </c>
      <c r="J545" s="26" t="n">
        <f aca="false">0</f>
        <v>0</v>
      </c>
      <c r="K545" s="43" t="str">
        <f aca="false">IF(I545=0,"No wiki control",IF(J545=I545,"Fully covered",IF(J545=0,"Not covered","Partly covered")))</f>
        <v>No wiki control</v>
      </c>
      <c r="L545" s="9" t="s">
        <v>1887</v>
      </c>
    </row>
    <row r="546" customFormat="false" ht="46.25" hidden="false" customHeight="false" outlineLevel="0" collapsed="false">
      <c r="A546" s="51" t="s">
        <v>594</v>
      </c>
      <c r="B546" s="51" t="s">
        <v>583</v>
      </c>
      <c r="C546" s="5" t="s">
        <v>1983</v>
      </c>
      <c r="D546" s="6" t="s">
        <v>1984</v>
      </c>
      <c r="E546" s="6" t="s">
        <v>1985</v>
      </c>
      <c r="F546" s="6" t="s">
        <v>725</v>
      </c>
      <c r="G546" s="6" t="s">
        <v>1986</v>
      </c>
      <c r="H546" s="6"/>
      <c r="I546" s="26" t="n">
        <v>5</v>
      </c>
      <c r="J546" s="26" t="n">
        <f aca="false">COUNTIFS('Control Library'!$A$5:$A$50,"AI-CTRL-034",'Control Library'!$R$5:$R$50,"Implemented")+COUNTIFS('Control Library'!$A$5:$A$50,"AI-CTRL-039",'Control Library'!$R$5:$R$50,"Implemented")+COUNTIFS('Control Library'!$A$5:$A$50,"AI-CTRL-040",'Control Library'!$R$5:$R$50,"Implemented")+COUNTIFS('Control Library'!$A$5:$A$50,"AI-CTRL-041",'Control Library'!$R$5:$R$50,"Implemented")+COUNTIFS('Control Library'!$A$5:$A$50,"AI-CTRL-045",'Control Library'!$R$5:$R$50,"Implemented")</f>
        <v>0</v>
      </c>
      <c r="K546" s="43" t="str">
        <f aca="false">IF(I546=0,"No wiki control",IF(J546=I546,"Fully covered",IF(J546=0,"Not covered","Partly covered")))</f>
        <v>Not covered</v>
      </c>
      <c r="L546" s="9" t="s">
        <v>1887</v>
      </c>
    </row>
    <row r="547" customFormat="false" ht="23.85" hidden="false" customHeight="false" outlineLevel="0" collapsed="false">
      <c r="A547" s="51" t="s">
        <v>595</v>
      </c>
      <c r="B547" s="51" t="s">
        <v>583</v>
      </c>
      <c r="C547" s="5" t="s">
        <v>1987</v>
      </c>
      <c r="D547" s="6" t="s">
        <v>1988</v>
      </c>
      <c r="E547" s="6" t="s">
        <v>1881</v>
      </c>
      <c r="F547" s="6" t="s">
        <v>725</v>
      </c>
      <c r="G547" s="6" t="s">
        <v>1545</v>
      </c>
      <c r="H547" s="6"/>
      <c r="I547" s="26" t="n">
        <v>2</v>
      </c>
      <c r="J547" s="26" t="n">
        <f aca="false">COUNTIFS('Control Library'!$A$5:$A$50,"AI-CTRL-017",'Control Library'!$R$5:$R$50,"Implemented")+COUNTIFS('Control Library'!$A$5:$A$50,"AI-CTRL-029",'Control Library'!$R$5:$R$50,"Implemented")</f>
        <v>0</v>
      </c>
      <c r="K547" s="43" t="str">
        <f aca="false">IF(I547=0,"No wiki control",IF(J547=I547,"Fully covered",IF(J547=0,"Not covered","Partly covered")))</f>
        <v>Not covered</v>
      </c>
      <c r="L547" s="9" t="s">
        <v>1887</v>
      </c>
    </row>
    <row r="548" customFormat="false" ht="35.05" hidden="false" customHeight="false" outlineLevel="0" collapsed="false">
      <c r="A548" s="51" t="s">
        <v>595</v>
      </c>
      <c r="B548" s="51" t="s">
        <v>583</v>
      </c>
      <c r="C548" s="5" t="s">
        <v>1989</v>
      </c>
      <c r="D548" s="6" t="s">
        <v>1990</v>
      </c>
      <c r="E548" s="6" t="s">
        <v>871</v>
      </c>
      <c r="F548" s="6" t="s">
        <v>725</v>
      </c>
      <c r="G548" s="6" t="s">
        <v>327</v>
      </c>
      <c r="H548" s="6"/>
      <c r="I548" s="26" t="n">
        <v>2</v>
      </c>
      <c r="J548" s="26" t="n">
        <f aca="false">COUNTIFS('Control Library'!$A$5:$A$50,"AI-CTRL-019",'Control Library'!$R$5:$R$50,"Implemented")+COUNTIFS('Control Library'!$A$5:$A$50,"AI-CTRL-029",'Control Library'!$R$5:$R$50,"Implemented")</f>
        <v>0</v>
      </c>
      <c r="K548" s="43" t="str">
        <f aca="false">IF(I548=0,"No wiki control",IF(J548=I548,"Fully covered",IF(J548=0,"Not covered","Partly covered")))</f>
        <v>Not covered</v>
      </c>
      <c r="L548" s="9" t="s">
        <v>1887</v>
      </c>
    </row>
    <row r="549" customFormat="false" ht="23.85" hidden="false" customHeight="false" outlineLevel="0" collapsed="false">
      <c r="A549" s="51" t="s">
        <v>595</v>
      </c>
      <c r="B549" s="51" t="s">
        <v>583</v>
      </c>
      <c r="C549" s="5" t="s">
        <v>1991</v>
      </c>
      <c r="D549" s="6" t="s">
        <v>1992</v>
      </c>
      <c r="E549" s="6"/>
      <c r="F549" s="6" t="s">
        <v>635</v>
      </c>
      <c r="G549" s="6"/>
      <c r="H549" s="6"/>
      <c r="I549" s="26" t="n">
        <v>0</v>
      </c>
      <c r="J549" s="26" t="n">
        <f aca="false">0</f>
        <v>0</v>
      </c>
      <c r="K549" s="43" t="str">
        <f aca="false">IF(I549=0,"No wiki control",IF(J549=I549,"Fully covered",IF(J549=0,"Not covered","Partly covered")))</f>
        <v>No wiki control</v>
      </c>
      <c r="L549" s="9" t="s">
        <v>1887</v>
      </c>
    </row>
    <row r="550" customFormat="false" ht="23.85" hidden="false" customHeight="false" outlineLevel="0" collapsed="false">
      <c r="A550" s="51" t="s">
        <v>595</v>
      </c>
      <c r="B550" s="51" t="s">
        <v>583</v>
      </c>
      <c r="C550" s="5" t="s">
        <v>1993</v>
      </c>
      <c r="D550" s="6" t="s">
        <v>1994</v>
      </c>
      <c r="E550" s="6" t="s">
        <v>1995</v>
      </c>
      <c r="F550" s="6" t="s">
        <v>725</v>
      </c>
      <c r="G550" s="6" t="s">
        <v>1432</v>
      </c>
      <c r="H550" s="6"/>
      <c r="I550" s="26" t="n">
        <v>2</v>
      </c>
      <c r="J550" s="26" t="n">
        <f aca="false">COUNTIFS('Control Library'!$A$5:$A$50,"AI-CTRL-014",'Control Library'!$R$5:$R$50,"Implemented")+COUNTIFS('Control Library'!$A$5:$A$50,"AI-CTRL-031",'Control Library'!$R$5:$R$50,"Implemented")</f>
        <v>0</v>
      </c>
      <c r="K550" s="43" t="str">
        <f aca="false">IF(I550=0,"No wiki control",IF(J550=I550,"Fully covered",IF(J550=0,"Not covered","Partly covered")))</f>
        <v>Not covered</v>
      </c>
      <c r="L550" s="9" t="s">
        <v>1887</v>
      </c>
    </row>
    <row r="551" customFormat="false" ht="23.85" hidden="false" customHeight="false" outlineLevel="0" collapsed="false">
      <c r="A551" s="51" t="s">
        <v>595</v>
      </c>
      <c r="B551" s="51" t="s">
        <v>583</v>
      </c>
      <c r="C551" s="5" t="s">
        <v>1996</v>
      </c>
      <c r="D551" s="6" t="s">
        <v>1997</v>
      </c>
      <c r="E551" s="6"/>
      <c r="F551" s="6" t="s">
        <v>635</v>
      </c>
      <c r="G551" s="6"/>
      <c r="H551" s="6"/>
      <c r="I551" s="26" t="n">
        <v>0</v>
      </c>
      <c r="J551" s="26" t="n">
        <f aca="false">0</f>
        <v>0</v>
      </c>
      <c r="K551" s="43" t="str">
        <f aca="false">IF(I551=0,"No wiki control",IF(J551=I551,"Fully covered",IF(J551=0,"Not covered","Partly covered")))</f>
        <v>No wiki control</v>
      </c>
      <c r="L551" s="9" t="s">
        <v>1887</v>
      </c>
    </row>
    <row r="552" customFormat="false" ht="23.85" hidden="false" customHeight="false" outlineLevel="0" collapsed="false">
      <c r="A552" s="51" t="s">
        <v>595</v>
      </c>
      <c r="B552" s="51" t="s">
        <v>583</v>
      </c>
      <c r="C552" s="5" t="s">
        <v>1998</v>
      </c>
      <c r="D552" s="6" t="s">
        <v>1999</v>
      </c>
      <c r="E552" s="6" t="s">
        <v>403</v>
      </c>
      <c r="F552" s="6" t="s">
        <v>725</v>
      </c>
      <c r="G552" s="6" t="s">
        <v>398</v>
      </c>
      <c r="H552" s="6"/>
      <c r="I552" s="26" t="n">
        <v>1</v>
      </c>
      <c r="J552" s="26" t="n">
        <f aca="false">COUNTIFS('Control Library'!$A$5:$A$50,"AI-CTRL-029",'Control Library'!$R$5:$R$50,"Implemented")</f>
        <v>0</v>
      </c>
      <c r="K552" s="43" t="str">
        <f aca="false">IF(I552=0,"No wiki control",IF(J552=I552,"Fully covered",IF(J552=0,"Not covered","Partly covered")))</f>
        <v>Not covered</v>
      </c>
      <c r="L552" s="9" t="s">
        <v>1887</v>
      </c>
    </row>
    <row r="553" customFormat="false" ht="23.85" hidden="false" customHeight="false" outlineLevel="0" collapsed="false">
      <c r="A553" s="51" t="s">
        <v>595</v>
      </c>
      <c r="B553" s="51" t="s">
        <v>583</v>
      </c>
      <c r="C553" s="5" t="s">
        <v>2000</v>
      </c>
      <c r="D553" s="6" t="s">
        <v>2001</v>
      </c>
      <c r="E553" s="6"/>
      <c r="F553" s="6" t="s">
        <v>635</v>
      </c>
      <c r="G553" s="6"/>
      <c r="H553" s="6"/>
      <c r="I553" s="26" t="n">
        <v>0</v>
      </c>
      <c r="J553" s="26" t="n">
        <f aca="false">0</f>
        <v>0</v>
      </c>
      <c r="K553" s="43" t="str">
        <f aca="false">IF(I553=0,"No wiki control",IF(J553=I553,"Fully covered",IF(J553=0,"Not covered","Partly covered")))</f>
        <v>No wiki control</v>
      </c>
      <c r="L553" s="9" t="s">
        <v>1887</v>
      </c>
    </row>
    <row r="554" customFormat="false" ht="23.85" hidden="false" customHeight="false" outlineLevel="0" collapsed="false">
      <c r="A554" s="53" t="s">
        <v>596</v>
      </c>
      <c r="B554" s="53" t="s">
        <v>597</v>
      </c>
      <c r="C554" s="5" t="s">
        <v>2002</v>
      </c>
      <c r="D554" s="6" t="s">
        <v>2003</v>
      </c>
      <c r="E554" s="6" t="s">
        <v>1744</v>
      </c>
      <c r="F554" s="6" t="s">
        <v>725</v>
      </c>
      <c r="G554" s="6" t="s">
        <v>455</v>
      </c>
      <c r="H554" s="6"/>
      <c r="I554" s="26" t="n">
        <v>2</v>
      </c>
      <c r="J554" s="26" t="n">
        <f aca="false">COUNTIFS('Control Library'!$A$5:$A$50,"AI-CTRL-009",'Control Library'!$R$5:$R$50,"Implemented")+COUNTIFS('Control Library'!$A$5:$A$50,"AI-CTRL-035",'Control Library'!$R$5:$R$50,"Implemented")</f>
        <v>0</v>
      </c>
      <c r="K554" s="43" t="str">
        <f aca="false">IF(I554=0,"No wiki control",IF(J554=I554,"Fully covered",IF(J554=0,"Not covered","Partly covered")))</f>
        <v>Not covered</v>
      </c>
      <c r="L554" s="9" t="s">
        <v>2004</v>
      </c>
    </row>
    <row r="555" customFormat="false" ht="46.25" hidden="false" customHeight="false" outlineLevel="0" collapsed="false">
      <c r="A555" s="53" t="s">
        <v>596</v>
      </c>
      <c r="B555" s="53" t="s">
        <v>597</v>
      </c>
      <c r="C555" s="5" t="s">
        <v>2005</v>
      </c>
      <c r="D555" s="6" t="s">
        <v>2006</v>
      </c>
      <c r="E555" s="6" t="s">
        <v>2007</v>
      </c>
      <c r="F555" s="6" t="s">
        <v>725</v>
      </c>
      <c r="G555" s="6" t="s">
        <v>2008</v>
      </c>
      <c r="H555" s="6"/>
      <c r="I555" s="26" t="n">
        <v>8</v>
      </c>
      <c r="J555" s="26" t="n">
        <f aca="false">COUNTIFS('Control Library'!$A$5:$A$50,"AI-CTRL-001",'Control Library'!$R$5:$R$50,"Implemented")+COUNTIFS('Control Library'!$A$5:$A$50,"AI-CTRL-002",'Control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Library'!$A$5:$A$50,"AI-CTRL-021",'Control Library'!$R$5:$R$50,"Implemented")+COUNTIFS('Control Library'!$A$5:$A$50,"AI-CTRL-036",'Control Library'!$R$5:$R$50,"Implemented")</f>
        <v>0</v>
      </c>
      <c r="K555" s="43" t="str">
        <f aca="false">IF(I555=0,"No wiki control",IF(J555=I555,"Fully covered",IF(J555=0,"Not covered","Partly covered")))</f>
        <v>Not covered</v>
      </c>
      <c r="L555" s="9" t="s">
        <v>2004</v>
      </c>
    </row>
    <row r="556" customFormat="false" ht="23.85" hidden="false" customHeight="false" outlineLevel="0" collapsed="false">
      <c r="A556" s="53" t="s">
        <v>596</v>
      </c>
      <c r="B556" s="53" t="s">
        <v>597</v>
      </c>
      <c r="C556" s="5" t="s">
        <v>2009</v>
      </c>
      <c r="D556" s="6" t="s">
        <v>2010</v>
      </c>
      <c r="E556" s="6" t="s">
        <v>1761</v>
      </c>
      <c r="F556" s="6" t="s">
        <v>725</v>
      </c>
      <c r="G556" s="6" t="s">
        <v>992</v>
      </c>
      <c r="H556" s="6"/>
      <c r="I556" s="26" t="n">
        <v>5</v>
      </c>
      <c r="J556"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556" s="43" t="str">
        <f aca="false">IF(I556=0,"No wiki control",IF(J556=I556,"Fully covered",IF(J556=0,"Not covered","Partly covered")))</f>
        <v>Not covered</v>
      </c>
      <c r="L556" s="9" t="s">
        <v>2004</v>
      </c>
    </row>
    <row r="557" customFormat="false" ht="23.85" hidden="false" customHeight="false" outlineLevel="0" collapsed="false">
      <c r="A557" s="53" t="s">
        <v>596</v>
      </c>
      <c r="B557" s="53" t="s">
        <v>597</v>
      </c>
      <c r="C557" s="5" t="s">
        <v>2011</v>
      </c>
      <c r="D557" s="6" t="s">
        <v>2012</v>
      </c>
      <c r="E557" s="6" t="s">
        <v>477</v>
      </c>
      <c r="F557" s="6" t="s">
        <v>725</v>
      </c>
      <c r="G557" s="6" t="s">
        <v>480</v>
      </c>
      <c r="H557" s="6"/>
      <c r="I557" s="26" t="n">
        <v>1</v>
      </c>
      <c r="J557" s="26" t="n">
        <f aca="false">COUNTIFS('Control Library'!$A$5:$A$50,"AI-CTRL-038",'Control Library'!$R$5:$R$50,"Implemented")</f>
        <v>0</v>
      </c>
      <c r="K557" s="43" t="str">
        <f aca="false">IF(I557=0,"No wiki control",IF(J557=I557,"Fully covered",IF(J557=0,"Not covered","Partly covered")))</f>
        <v>Not covered</v>
      </c>
      <c r="L557" s="9" t="s">
        <v>2004</v>
      </c>
    </row>
    <row r="558" customFormat="false" ht="23.85" hidden="false" customHeight="false" outlineLevel="0" collapsed="false">
      <c r="A558" s="53" t="s">
        <v>596</v>
      </c>
      <c r="B558" s="53" t="s">
        <v>597</v>
      </c>
      <c r="C558" s="5" t="s">
        <v>2013</v>
      </c>
      <c r="D558" s="6" t="s">
        <v>2014</v>
      </c>
      <c r="E558" s="6" t="s">
        <v>999</v>
      </c>
      <c r="F558" s="6" t="s">
        <v>725</v>
      </c>
      <c r="G558" s="6" t="s">
        <v>1000</v>
      </c>
      <c r="H558" s="6"/>
      <c r="I558" s="26" t="n">
        <v>2</v>
      </c>
      <c r="J558" s="26" t="n">
        <f aca="false">COUNTIFS('Control Library'!$A$5:$A$50,"AI-CTRL-010",'Control Library'!$R$5:$R$50,"Implemented")+COUNTIFS('Control Library'!$A$5:$A$50,"AI-CTRL-012",'Control Library'!$R$5:$R$50,"Implemented")</f>
        <v>0</v>
      </c>
      <c r="K558" s="43" t="str">
        <f aca="false">IF(I558=0,"No wiki control",IF(J558=I558,"Fully covered",IF(J558=0,"Not covered","Partly covered")))</f>
        <v>Not covered</v>
      </c>
      <c r="L558" s="9" t="s">
        <v>2004</v>
      </c>
    </row>
    <row r="559" customFormat="false" ht="23.85" hidden="false" customHeight="false" outlineLevel="0" collapsed="false">
      <c r="A559" s="53" t="s">
        <v>596</v>
      </c>
      <c r="B559" s="53" t="s">
        <v>597</v>
      </c>
      <c r="C559" s="5" t="s">
        <v>2015</v>
      </c>
      <c r="D559" s="6" t="s">
        <v>2016</v>
      </c>
      <c r="E559" s="6" t="s">
        <v>821</v>
      </c>
      <c r="F559" s="6" t="s">
        <v>725</v>
      </c>
      <c r="G559" s="6" t="s">
        <v>472</v>
      </c>
      <c r="H559" s="6"/>
      <c r="I559" s="26" t="n">
        <v>2</v>
      </c>
      <c r="J559" s="26" t="n">
        <f aca="false">COUNTIFS('Control Library'!$A$5:$A$50,"AI-CTRL-011",'Control Library'!$R$5:$R$50,"Implemented")+COUNTIFS('Control Library'!$A$5:$A$50,"AI-CTRL-037",'Control Library'!$R$5:$R$50,"Implemented")</f>
        <v>0</v>
      </c>
      <c r="K559" s="43" t="str">
        <f aca="false">IF(I559=0,"No wiki control",IF(J559=I559,"Fully covered",IF(J559=0,"Not covered","Partly covered")))</f>
        <v>Not covered</v>
      </c>
      <c r="L559" s="9" t="s">
        <v>2004</v>
      </c>
    </row>
    <row r="560" customFormat="false" ht="35.05" hidden="false" customHeight="false" outlineLevel="0" collapsed="false">
      <c r="A560" s="53" t="s">
        <v>596</v>
      </c>
      <c r="B560" s="53" t="s">
        <v>597</v>
      </c>
      <c r="C560" s="5" t="s">
        <v>2017</v>
      </c>
      <c r="D560" s="6" t="s">
        <v>2018</v>
      </c>
      <c r="E560" s="6" t="s">
        <v>2019</v>
      </c>
      <c r="F560" s="6" t="s">
        <v>725</v>
      </c>
      <c r="G560" s="6" t="s">
        <v>2020</v>
      </c>
      <c r="H560" s="6"/>
      <c r="I560" s="26" t="n">
        <v>2</v>
      </c>
      <c r="J560" s="26" t="n">
        <f aca="false">COUNTIFS('Control Library'!$A$5:$A$50,"AI-CTRL-012",'Control Library'!$R$5:$R$50,"Implemented")+COUNTIFS('Control Library'!$A$5:$A$50,"AI-CTRL-045",'Control Library'!$R$5:$R$50,"Implemented")</f>
        <v>0</v>
      </c>
      <c r="K560" s="43" t="str">
        <f aca="false">IF(I560=0,"No wiki control",IF(J560=I560,"Fully covered",IF(J560=0,"Not covered","Partly covered")))</f>
        <v>Not covered</v>
      </c>
      <c r="L560" s="9" t="s">
        <v>2004</v>
      </c>
    </row>
    <row r="561" customFormat="false" ht="23.85" hidden="false" customHeight="false" outlineLevel="0" collapsed="false">
      <c r="A561" s="53" t="s">
        <v>596</v>
      </c>
      <c r="B561" s="53" t="s">
        <v>597</v>
      </c>
      <c r="C561" s="5" t="s">
        <v>2021</v>
      </c>
      <c r="D561" s="6" t="s">
        <v>2022</v>
      </c>
      <c r="E561" s="6" t="s">
        <v>2023</v>
      </c>
      <c r="F561" s="6" t="s">
        <v>725</v>
      </c>
      <c r="G561" s="6" t="s">
        <v>1048</v>
      </c>
      <c r="H561" s="6"/>
      <c r="I561" s="26" t="n">
        <v>5</v>
      </c>
      <c r="J561" s="26" t="n">
        <f aca="false">COUNTIFS('Control Library'!$A$5:$A$50,"AI-CTRL-007",'Control Library'!$R$5:$R$50,"Implemented")+COUNTIFS('Control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561" s="43" t="str">
        <f aca="false">IF(I561=0,"No wiki control",IF(J561=I561,"Fully covered",IF(J561=0,"Not covered","Partly covered")))</f>
        <v>Not covered</v>
      </c>
      <c r="L561" s="9" t="s">
        <v>2004</v>
      </c>
    </row>
    <row r="562" customFormat="false" ht="35.05" hidden="false" customHeight="false" outlineLevel="0" collapsed="false">
      <c r="A562" s="53" t="s">
        <v>596</v>
      </c>
      <c r="B562" s="53" t="s">
        <v>597</v>
      </c>
      <c r="C562" s="5" t="s">
        <v>2024</v>
      </c>
      <c r="D562" s="6" t="s">
        <v>2025</v>
      </c>
      <c r="E562" s="6" t="s">
        <v>2026</v>
      </c>
      <c r="F562" s="6" t="s">
        <v>725</v>
      </c>
      <c r="G562" s="6" t="s">
        <v>2027</v>
      </c>
      <c r="H562" s="6"/>
      <c r="I562" s="26" t="n">
        <v>5</v>
      </c>
      <c r="J562" s="26" t="n">
        <f aca="false">COUNTIFS('Control Library'!$A$5:$A$50,"AI-CTRL-001",'Control Library'!$R$5:$R$50,"Implemented")+COUNTIFS('Control Library'!$A$5:$A$50,"AI-CTRL-011",'Control Library'!$R$5:$R$50,"Implemented")+COUNTIFS('Control Library'!$A$5:$A$50,"AI-CTRL-017",'Control Library'!$R$5:$R$50,"Implemented")+COUNTIFS('Control Library'!$A$5:$A$50,"AI-CTRL-029",'Control Library'!$R$5:$R$50,"Implemented")+COUNTIFS('Control Library'!$A$5:$A$50,"AI-CTRL-031",'Control Library'!$R$5:$R$50,"Implemented")</f>
        <v>0</v>
      </c>
      <c r="K562" s="43" t="str">
        <f aca="false">IF(I562=0,"No wiki control",IF(J562=I562,"Fully covered",IF(J562=0,"Not covered","Partly covered")))</f>
        <v>Not covered</v>
      </c>
      <c r="L562" s="9" t="s">
        <v>2004</v>
      </c>
    </row>
    <row r="563" customFormat="false" ht="35.05" hidden="false" customHeight="false" outlineLevel="0" collapsed="false">
      <c r="A563" s="53" t="s">
        <v>596</v>
      </c>
      <c r="B563" s="53" t="s">
        <v>597</v>
      </c>
      <c r="C563" s="5" t="s">
        <v>2028</v>
      </c>
      <c r="D563" s="6" t="s">
        <v>2029</v>
      </c>
      <c r="E563" s="6" t="s">
        <v>1180</v>
      </c>
      <c r="F563" s="6" t="s">
        <v>725</v>
      </c>
      <c r="G563" s="6" t="s">
        <v>1181</v>
      </c>
      <c r="H563" s="6"/>
      <c r="I563" s="26" t="n">
        <v>2</v>
      </c>
      <c r="J563" s="26" t="n">
        <f aca="false">COUNTIFS('Control Library'!$A$5:$A$50,"AI-CTRL-034",'Control Library'!$R$5:$R$50,"Implemented")+COUNTIFS('Control Library'!$A$5:$A$50,"AI-CTRL-038",'Control Library'!$R$5:$R$50,"Implemented")</f>
        <v>0</v>
      </c>
      <c r="K563" s="43" t="str">
        <f aca="false">IF(I563=0,"No wiki control",IF(J563=I563,"Fully covered",IF(J563=0,"Not covered","Partly covered")))</f>
        <v>Not covered</v>
      </c>
      <c r="L563" s="9" t="s">
        <v>2004</v>
      </c>
    </row>
    <row r="564" customFormat="false" ht="46.25" hidden="false" customHeight="false" outlineLevel="0" collapsed="false">
      <c r="A564" s="53" t="s">
        <v>596</v>
      </c>
      <c r="B564" s="53" t="s">
        <v>597</v>
      </c>
      <c r="C564" s="5" t="s">
        <v>2030</v>
      </c>
      <c r="D564" s="6" t="s">
        <v>2031</v>
      </c>
      <c r="E564" s="6" t="s">
        <v>2032</v>
      </c>
      <c r="F564" s="6" t="s">
        <v>725</v>
      </c>
      <c r="G564" s="6" t="s">
        <v>2033</v>
      </c>
      <c r="H564" s="6"/>
      <c r="I564" s="26" t="n">
        <v>6</v>
      </c>
      <c r="J564" s="26"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Library'!$A$5:$A$50,"AI-CTRL-042",'Control Library'!$R$5:$R$50,"Implemented")</f>
        <v>0</v>
      </c>
      <c r="K564" s="43" t="str">
        <f aca="false">IF(I564=0,"No wiki control",IF(J564=I564,"Fully covered",IF(J564=0,"Not covered","Partly covered")))</f>
        <v>Not covered</v>
      </c>
      <c r="L564" s="9" t="s">
        <v>2004</v>
      </c>
    </row>
    <row r="565" customFormat="false" ht="35.05" hidden="false" customHeight="false" outlineLevel="0" collapsed="false">
      <c r="A565" s="53" t="s">
        <v>596</v>
      </c>
      <c r="B565" s="53" t="s">
        <v>597</v>
      </c>
      <c r="C565" s="5" t="s">
        <v>2034</v>
      </c>
      <c r="D565" s="6" t="s">
        <v>2035</v>
      </c>
      <c r="E565" s="6" t="s">
        <v>2036</v>
      </c>
      <c r="F565" s="6" t="s">
        <v>725</v>
      </c>
      <c r="G565" s="6" t="s">
        <v>2037</v>
      </c>
      <c r="H565" s="6"/>
      <c r="I565" s="26" t="n">
        <v>8</v>
      </c>
      <c r="J565" s="26"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Library'!$A$5:$A$50,"AI-CTRL-023",'Control Library'!$R$5:$R$50,"Implemented")+COUNTIFS('Control Library'!$A$5:$A$50,"AI-CTRL-028",'Control Library'!$R$5:$R$50,"Implemented")+COUNTIFS('Control Library'!$A$5:$A$50,"AI-CTRL-030",'Control Library'!$R$5:$R$50,"Implemented")</f>
        <v>0</v>
      </c>
      <c r="K565" s="43" t="str">
        <f aca="false">IF(I565=0,"No wiki control",IF(J565=I565,"Fully covered",IF(J565=0,"Not covered","Partly covered")))</f>
        <v>Not covered</v>
      </c>
      <c r="L565" s="9" t="s">
        <v>2004</v>
      </c>
    </row>
    <row r="566" customFormat="false" ht="23.85" hidden="false" customHeight="false" outlineLevel="0" collapsed="false">
      <c r="A566" s="53" t="s">
        <v>596</v>
      </c>
      <c r="B566" s="53" t="s">
        <v>597</v>
      </c>
      <c r="C566" s="5" t="s">
        <v>2038</v>
      </c>
      <c r="D566" s="6" t="s">
        <v>2039</v>
      </c>
      <c r="E566" s="6" t="s">
        <v>529</v>
      </c>
      <c r="F566" s="6" t="s">
        <v>725</v>
      </c>
      <c r="G566" s="6" t="s">
        <v>532</v>
      </c>
      <c r="H566" s="6"/>
      <c r="I566" s="26" t="n">
        <v>1</v>
      </c>
      <c r="J566" s="26" t="n">
        <f aca="false">COUNTIFS('Control Library'!$A$5:$A$50,"AI-CTRL-044",'Control Library'!$R$5:$R$50,"Implemented")</f>
        <v>0</v>
      </c>
      <c r="K566" s="43" t="str">
        <f aca="false">IF(I566=0,"No wiki control",IF(J566=I566,"Fully covered",IF(J566=0,"Not covered","Partly covered")))</f>
        <v>Not covered</v>
      </c>
      <c r="L566" s="9" t="s">
        <v>2004</v>
      </c>
    </row>
    <row r="567" customFormat="false" ht="68.65" hidden="false" customHeight="false" outlineLevel="0" collapsed="false">
      <c r="A567" s="53" t="s">
        <v>596</v>
      </c>
      <c r="B567" s="53" t="s">
        <v>597</v>
      </c>
      <c r="C567" s="5" t="s">
        <v>2040</v>
      </c>
      <c r="D567" s="6" t="s">
        <v>2041</v>
      </c>
      <c r="E567" s="6" t="s">
        <v>2042</v>
      </c>
      <c r="F567" s="6" t="s">
        <v>725</v>
      </c>
      <c r="G567" s="6" t="s">
        <v>2043</v>
      </c>
      <c r="H567" s="6"/>
      <c r="I567" s="26" t="n">
        <v>15</v>
      </c>
      <c r="J567" s="26" t="n">
        <f aca="false">COUNTIFS('Control Library'!$A$5:$A$50,"AI-CTRL-002",'Control Library'!$R$5:$R$50,"Implemented")+COUNTIFS('Control Library'!$A$5:$A$50,"AI-CTRL-003",'Control Library'!$R$5:$R$50,"Implemented")+COUNTIFS('Control Library'!$A$5:$A$50,"AI-CTRL-004",'Control Library'!$R$5:$R$50,"Implemented")+COUNTIFS('Control Library'!$A$5:$A$50,"AI-CTRL-005",'Control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Library'!$A$5:$A$50,"AI-CTRL-019",'Control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Library'!$R$5:$R$50,"Implemented")+COUNTIFS('Control Library'!$A$5:$A$50,"AI-CTRL-032",'Control Library'!$R$5:$R$50,"Implemented")</f>
        <v>0</v>
      </c>
      <c r="K567" s="43" t="str">
        <f aca="false">IF(I567=0,"No wiki control",IF(J567=I567,"Fully covered",IF(J567=0,"Not covered","Partly covered")))</f>
        <v>Not covered</v>
      </c>
      <c r="L567" s="9" t="s">
        <v>2004</v>
      </c>
    </row>
    <row r="568" customFormat="false" ht="35.05" hidden="false" customHeight="false" outlineLevel="0" collapsed="false">
      <c r="A568" s="53" t="s">
        <v>596</v>
      </c>
      <c r="B568" s="53" t="s">
        <v>597</v>
      </c>
      <c r="C568" s="5" t="s">
        <v>2044</v>
      </c>
      <c r="D568" s="6" t="s">
        <v>2045</v>
      </c>
      <c r="E568" s="6" t="s">
        <v>2046</v>
      </c>
      <c r="F568" s="6" t="s">
        <v>725</v>
      </c>
      <c r="G568" s="6" t="s">
        <v>1588</v>
      </c>
      <c r="H568" s="6"/>
      <c r="I568" s="26" t="n">
        <v>4</v>
      </c>
      <c r="J568" s="26" t="n">
        <f aca="false">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568" s="43" t="str">
        <f aca="false">IF(I568=0,"No wiki control",IF(J568=I568,"Fully covered",IF(J568=0,"Not covered","Partly covered")))</f>
        <v>Not covered</v>
      </c>
      <c r="L568" s="9" t="s">
        <v>2004</v>
      </c>
    </row>
    <row r="569" customFormat="false" ht="57.45" hidden="false" customHeight="false" outlineLevel="0" collapsed="false">
      <c r="A569" s="53" t="s">
        <v>596</v>
      </c>
      <c r="B569" s="53" t="s">
        <v>597</v>
      </c>
      <c r="C569" s="5" t="s">
        <v>2047</v>
      </c>
      <c r="D569" s="6" t="s">
        <v>2048</v>
      </c>
      <c r="E569" s="6" t="s">
        <v>2049</v>
      </c>
      <c r="F569" s="6" t="s">
        <v>725</v>
      </c>
      <c r="G569" s="6" t="s">
        <v>2050</v>
      </c>
      <c r="H569" s="6"/>
      <c r="I569" s="26" t="n">
        <v>9</v>
      </c>
      <c r="J569" s="26" t="n">
        <f aca="false">COUNTIFS('Control Library'!$A$5:$A$50,"AI-CTRL-004",'Control Library'!$R$5:$R$50,"Implemented")+COUNTIFS('Control Library'!$A$5:$A$50,"AI-CTRL-005",'Control Library'!$R$5:$R$50,"Implemented")+COUNTIFS('Control Library'!$A$5:$A$50,"AI-CTRL-008",'Control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Library'!$A$5:$A$50,"AI-CTRL-032",'Control Library'!$R$5:$R$50,"Implemented")+COUNTIFS('Control Library'!$A$5:$A$50,"AI-CTRL-033",'Control Library'!$R$5:$R$50,"Implemented")</f>
        <v>0</v>
      </c>
      <c r="K569" s="43" t="str">
        <f aca="false">IF(I569=0,"No wiki control",IF(J569=I569,"Fully covered",IF(J569=0,"Not covered","Partly covered")))</f>
        <v>Not covered</v>
      </c>
      <c r="L569" s="9" t="s">
        <v>2004</v>
      </c>
    </row>
    <row r="570" customFormat="false" ht="23.85" hidden="false" customHeight="false" outlineLevel="0" collapsed="false">
      <c r="A570" s="53" t="s">
        <v>596</v>
      </c>
      <c r="B570" s="53" t="s">
        <v>597</v>
      </c>
      <c r="C570" s="5" t="s">
        <v>2051</v>
      </c>
      <c r="D570" s="6"/>
      <c r="E570" s="6"/>
      <c r="F570" s="6" t="s">
        <v>635</v>
      </c>
      <c r="G570" s="6"/>
      <c r="H570" s="6"/>
      <c r="I570" s="26" t="n">
        <v>0</v>
      </c>
      <c r="J570" s="26" t="n">
        <f aca="false">0</f>
        <v>0</v>
      </c>
      <c r="K570" s="43" t="str">
        <f aca="false">IF(I570=0,"No wiki control",IF(J570=I570,"Fully covered",IF(J570=0,"Not covered","Partly covered")))</f>
        <v>No wiki control</v>
      </c>
      <c r="L570" s="9" t="s">
        <v>2004</v>
      </c>
    </row>
    <row r="571" customFormat="false" ht="23.85" hidden="false" customHeight="false" outlineLevel="0" collapsed="false">
      <c r="A571" s="53" t="s">
        <v>596</v>
      </c>
      <c r="B571" s="53" t="s">
        <v>597</v>
      </c>
      <c r="C571" s="5" t="s">
        <v>2052</v>
      </c>
      <c r="D571" s="6" t="s">
        <v>2053</v>
      </c>
      <c r="E571" s="6" t="s">
        <v>2054</v>
      </c>
      <c r="F571" s="6" t="s">
        <v>725</v>
      </c>
      <c r="G571" s="6" t="s">
        <v>2055</v>
      </c>
      <c r="H571" s="6"/>
      <c r="I571" s="26" t="n">
        <v>2</v>
      </c>
      <c r="J571" s="26" t="n">
        <f aca="false">COUNTIFS('Control Library'!$A$5:$A$50,"AI-CTRL-035",'Control Library'!$R$5:$R$50,"Implemented")+COUNTIFS('Control Library'!$A$5:$A$50,"AI-CTRL-040",'Control Library'!$R$5:$R$50,"Implemented")</f>
        <v>0</v>
      </c>
      <c r="K571" s="43" t="str">
        <f aca="false">IF(I571=0,"No wiki control",IF(J571=I571,"Fully covered",IF(J571=0,"Not covered","Partly covered")))</f>
        <v>Not covered</v>
      </c>
      <c r="L571" s="9" t="s">
        <v>2004</v>
      </c>
    </row>
    <row r="572" customFormat="false" ht="23.85" hidden="false" customHeight="false" outlineLevel="0" collapsed="false">
      <c r="A572" s="53" t="s">
        <v>596</v>
      </c>
      <c r="B572" s="53" t="s">
        <v>597</v>
      </c>
      <c r="C572" s="5" t="s">
        <v>2056</v>
      </c>
      <c r="D572" s="6" t="s">
        <v>2057</v>
      </c>
      <c r="E572" s="6" t="s">
        <v>452</v>
      </c>
      <c r="F572" s="6" t="s">
        <v>725</v>
      </c>
      <c r="G572" s="6" t="s">
        <v>455</v>
      </c>
      <c r="H572" s="6"/>
      <c r="I572" s="26" t="n">
        <v>1</v>
      </c>
      <c r="J572" s="26" t="n">
        <f aca="false">COUNTIFS('Control Library'!$A$5:$A$50,"AI-CTRL-035",'Control Library'!$R$5:$R$50,"Implemented")</f>
        <v>0</v>
      </c>
      <c r="K572" s="43" t="str">
        <f aca="false">IF(I572=0,"No wiki control",IF(J572=I572,"Fully covered",IF(J572=0,"Not covered","Partly covered")))</f>
        <v>Not covered</v>
      </c>
      <c r="L572" s="9" t="s">
        <v>2004</v>
      </c>
    </row>
    <row r="573" customFormat="false" ht="23.85" hidden="false" customHeight="false" outlineLevel="0" collapsed="false">
      <c r="A573" s="53" t="s">
        <v>596</v>
      </c>
      <c r="B573" s="53" t="s">
        <v>597</v>
      </c>
      <c r="C573" s="5" t="s">
        <v>2058</v>
      </c>
      <c r="D573" s="6" t="s">
        <v>2059</v>
      </c>
      <c r="E573" s="6" t="s">
        <v>1644</v>
      </c>
      <c r="F573" s="6" t="s">
        <v>725</v>
      </c>
      <c r="G573" s="6" t="s">
        <v>1645</v>
      </c>
      <c r="H573" s="6"/>
      <c r="I573" s="26" t="n">
        <v>2</v>
      </c>
      <c r="J573" s="26" t="n">
        <f aca="false">COUNTIFS('Control Library'!$A$5:$A$50,"AI-CTRL-035",'Control Library'!$R$5:$R$50,"Implemented")+COUNTIFS('Control Library'!$A$5:$A$50,"AI-CTRL-043",'Control Library'!$R$5:$R$50,"Implemented")</f>
        <v>0</v>
      </c>
      <c r="K573" s="43" t="str">
        <f aca="false">IF(I573=0,"No wiki control",IF(J573=I573,"Fully covered",IF(J573=0,"Not covered","Partly covered")))</f>
        <v>Not covered</v>
      </c>
      <c r="L573" s="9" t="s">
        <v>2004</v>
      </c>
    </row>
    <row r="574" customFormat="false" ht="23.85" hidden="false" customHeight="false" outlineLevel="0" collapsed="false">
      <c r="A574" s="53" t="s">
        <v>596</v>
      </c>
      <c r="B574" s="53" t="s">
        <v>597</v>
      </c>
      <c r="C574" s="5" t="s">
        <v>2060</v>
      </c>
      <c r="D574" s="6" t="s">
        <v>2061</v>
      </c>
      <c r="E574" s="6" t="s">
        <v>1747</v>
      </c>
      <c r="F574" s="6" t="s">
        <v>725</v>
      </c>
      <c r="G574" s="6" t="s">
        <v>1748</v>
      </c>
      <c r="H574" s="6"/>
      <c r="I574" s="26" t="n">
        <v>2</v>
      </c>
      <c r="J574" s="26" t="n">
        <f aca="false">COUNTIFS('Control Library'!$A$5:$A$50,"AI-CTRL-025",'Control Library'!$R$5:$R$50,"Implemented")+COUNTIFS('Control Library'!$A$5:$A$50,"AI-CTRL-035",'Control Library'!$R$5:$R$50,"Implemented")</f>
        <v>0</v>
      </c>
      <c r="K574" s="43" t="str">
        <f aca="false">IF(I574=0,"No wiki control",IF(J574=I574,"Fully covered",IF(J574=0,"Not covered","Partly covered")))</f>
        <v>Not covered</v>
      </c>
      <c r="L574" s="9" t="s">
        <v>2004</v>
      </c>
    </row>
    <row r="575" customFormat="false" ht="23.85" hidden="false" customHeight="false" outlineLevel="0" collapsed="false">
      <c r="A575" s="53" t="s">
        <v>596</v>
      </c>
      <c r="B575" s="53" t="s">
        <v>597</v>
      </c>
      <c r="C575" s="5" t="s">
        <v>2062</v>
      </c>
      <c r="D575" s="6" t="s">
        <v>2063</v>
      </c>
      <c r="E575" s="6" t="s">
        <v>1747</v>
      </c>
      <c r="F575" s="6" t="s">
        <v>725</v>
      </c>
      <c r="G575" s="6" t="s">
        <v>1748</v>
      </c>
      <c r="H575" s="6"/>
      <c r="I575" s="26" t="n">
        <v>2</v>
      </c>
      <c r="J575" s="26" t="n">
        <f aca="false">COUNTIFS('Control Library'!$A$5:$A$50,"AI-CTRL-025",'Control Library'!$R$5:$R$50,"Implemented")+COUNTIFS('Control Library'!$A$5:$A$50,"AI-CTRL-035",'Control Library'!$R$5:$R$50,"Implemented")</f>
        <v>0</v>
      </c>
      <c r="K575" s="43" t="str">
        <f aca="false">IF(I575=0,"No wiki control",IF(J575=I575,"Fully covered",IF(J575=0,"Not covered","Partly covered")))</f>
        <v>Not covered</v>
      </c>
      <c r="L575" s="9" t="s">
        <v>2004</v>
      </c>
    </row>
    <row r="576" customFormat="false" ht="23.85" hidden="false" customHeight="false" outlineLevel="0" collapsed="false">
      <c r="A576" s="53" t="s">
        <v>598</v>
      </c>
      <c r="B576" s="53" t="s">
        <v>597</v>
      </c>
      <c r="C576" s="5" t="s">
        <v>2064</v>
      </c>
      <c r="D576" s="6" t="s">
        <v>2065</v>
      </c>
      <c r="E576" s="6" t="s">
        <v>2066</v>
      </c>
      <c r="F576" s="6" t="s">
        <v>725</v>
      </c>
      <c r="G576" s="6" t="s">
        <v>258</v>
      </c>
      <c r="H576" s="6"/>
      <c r="I576" s="26" t="n">
        <v>2</v>
      </c>
      <c r="J576" s="26" t="n">
        <f aca="false">COUNTIFS('Control Library'!$A$5:$A$50,"AI-CTRL-001",'Control Library'!$R$5:$R$50,"Implemented")+COUNTIFS('Control Library'!$A$5:$A$50,"AI-CTRL-011",'Control Library'!$R$5:$R$50,"Implemented")</f>
        <v>0</v>
      </c>
      <c r="K576" s="43" t="str">
        <f aca="false">IF(I576=0,"No wiki control",IF(J576=I576,"Fully covered",IF(J576=0,"Not covered","Partly covered")))</f>
        <v>Not covered</v>
      </c>
      <c r="L576" s="9" t="s">
        <v>2067</v>
      </c>
    </row>
    <row r="577" customFormat="false" ht="23.85" hidden="false" customHeight="false" outlineLevel="0" collapsed="false">
      <c r="A577" s="53" t="s">
        <v>598</v>
      </c>
      <c r="B577" s="53" t="s">
        <v>597</v>
      </c>
      <c r="C577" s="5" t="s">
        <v>2068</v>
      </c>
      <c r="D577" s="6" t="s">
        <v>2069</v>
      </c>
      <c r="E577" s="6" t="s">
        <v>2070</v>
      </c>
      <c r="F577" s="6" t="s">
        <v>725</v>
      </c>
      <c r="G577" s="6" t="s">
        <v>2071</v>
      </c>
      <c r="H577" s="6"/>
      <c r="I577" s="26" t="n">
        <v>4</v>
      </c>
      <c r="J577" s="26" t="n">
        <f aca="false">COUNTIFS('Control Library'!$A$5:$A$50,"AI-CTRL-001",'Control Library'!$R$5:$R$50,"Implemented")+COUNTIFS('Control Library'!$A$5:$A$50,"AI-CTRL-011",'Control Library'!$R$5:$R$50,"Implemented")+COUNTIFS('Control Library'!$A$5:$A$50,"AI-CTRL-024",'Control Library'!$R$5:$R$50,"Implemented")+COUNTIFS('Control Library'!$A$5:$A$50,"AI-CTRL-031",'Control Library'!$R$5:$R$50,"Implemented")</f>
        <v>0</v>
      </c>
      <c r="K577" s="43" t="str">
        <f aca="false">IF(I577=0,"No wiki control",IF(J577=I577,"Fully covered",IF(J577=0,"Not covered","Partly covered")))</f>
        <v>Not covered</v>
      </c>
      <c r="L577" s="9" t="s">
        <v>2067</v>
      </c>
    </row>
    <row r="578" customFormat="false" ht="57.45" hidden="false" customHeight="false" outlineLevel="0" collapsed="false">
      <c r="A578" s="53" t="s">
        <v>598</v>
      </c>
      <c r="B578" s="53" t="s">
        <v>597</v>
      </c>
      <c r="C578" s="5" t="s">
        <v>2072</v>
      </c>
      <c r="D578" s="6" t="s">
        <v>2073</v>
      </c>
      <c r="E578" s="6" t="s">
        <v>2074</v>
      </c>
      <c r="F578" s="6" t="s">
        <v>725</v>
      </c>
      <c r="G578" s="6" t="s">
        <v>2075</v>
      </c>
      <c r="H578" s="6"/>
      <c r="I578" s="26" t="n">
        <v>12</v>
      </c>
      <c r="J578" s="26"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f>
        <v>0</v>
      </c>
      <c r="K578" s="43" t="str">
        <f aca="false">IF(I578=0,"No wiki control",IF(J578=I578,"Fully covered",IF(J578=0,"Not covered","Partly covered")))</f>
        <v>Not covered</v>
      </c>
      <c r="L578" s="9" t="s">
        <v>2067</v>
      </c>
    </row>
    <row r="579" customFormat="false" ht="23.85" hidden="false" customHeight="false" outlineLevel="0" collapsed="false">
      <c r="A579" s="53" t="s">
        <v>598</v>
      </c>
      <c r="B579" s="53" t="s">
        <v>597</v>
      </c>
      <c r="C579" s="5" t="s">
        <v>2076</v>
      </c>
      <c r="D579" s="6" t="s">
        <v>2077</v>
      </c>
      <c r="E579" s="6" t="s">
        <v>2078</v>
      </c>
      <c r="F579" s="6" t="s">
        <v>725</v>
      </c>
      <c r="G579" s="6" t="s">
        <v>1845</v>
      </c>
      <c r="H579" s="6"/>
      <c r="I579" s="26" t="n">
        <v>3</v>
      </c>
      <c r="J579" s="26" t="n">
        <f aca="false">COUNTIFS('Control Library'!$A$5:$A$50,"AI-CTRL-027",'Control Library'!$R$5:$R$50,"Implemented")+COUNTIFS('Control Library'!$A$5:$A$50,"AI-CTRL-030",'Control Library'!$R$5:$R$50,"Implemented")+COUNTIFS('Control Library'!$A$5:$A$50,"AI-CTRL-032",'Control Library'!$R$5:$R$50,"Implemented")</f>
        <v>0</v>
      </c>
      <c r="K579" s="43" t="str">
        <f aca="false">IF(I579=0,"No wiki control",IF(J579=I579,"Fully covered",IF(J579=0,"Not covered","Partly covered")))</f>
        <v>Not covered</v>
      </c>
      <c r="L579" s="9" t="s">
        <v>2067</v>
      </c>
    </row>
    <row r="580" customFormat="false" ht="23.85" hidden="false" customHeight="false" outlineLevel="0" collapsed="false">
      <c r="A580" s="53" t="s">
        <v>598</v>
      </c>
      <c r="B580" s="53" t="s">
        <v>597</v>
      </c>
      <c r="C580" s="5" t="s">
        <v>2079</v>
      </c>
      <c r="D580" s="6" t="s">
        <v>2080</v>
      </c>
      <c r="E580" s="6" t="s">
        <v>796</v>
      </c>
      <c r="F580" s="6" t="s">
        <v>725</v>
      </c>
      <c r="G580" s="6" t="s">
        <v>797</v>
      </c>
      <c r="H580" s="6"/>
      <c r="I580" s="26" t="n">
        <v>2</v>
      </c>
      <c r="J580" s="26" t="n">
        <f aca="false">COUNTIFS('Control Library'!$A$5:$A$50,"AI-CTRL-015",'Control Library'!$R$5:$R$50,"Implemented")+COUNTIFS('Control Library'!$A$5:$A$50,"AI-CTRL-016",'Control Library'!$R$5:$R$50,"Implemented")</f>
        <v>0</v>
      </c>
      <c r="K580" s="43" t="str">
        <f aca="false">IF(I580=0,"No wiki control",IF(J580=I580,"Fully covered",IF(J580=0,"Not covered","Partly covered")))</f>
        <v>Not covered</v>
      </c>
      <c r="L580" s="9" t="s">
        <v>2067</v>
      </c>
    </row>
    <row r="581" customFormat="false" ht="35.05" hidden="false" customHeight="false" outlineLevel="0" collapsed="false">
      <c r="A581" s="53" t="s">
        <v>598</v>
      </c>
      <c r="B581" s="53" t="s">
        <v>597</v>
      </c>
      <c r="C581" s="5" t="s">
        <v>2081</v>
      </c>
      <c r="D581" s="6" t="s">
        <v>2082</v>
      </c>
      <c r="E581" s="6" t="s">
        <v>2083</v>
      </c>
      <c r="F581" s="6" t="s">
        <v>725</v>
      </c>
      <c r="G581" s="6" t="s">
        <v>2084</v>
      </c>
      <c r="H581" s="6"/>
      <c r="I581" s="26" t="n">
        <v>7</v>
      </c>
      <c r="J581" s="26"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Library'!$A$5:$A$50,"AI-CTRL-025",'Control Library'!$R$5:$R$50,"Implemented")+COUNTIFS('Control Library'!$A$5:$A$50,"AI-CTRL-028",'Control Library'!$R$5:$R$50,"Implemented")</f>
        <v>0</v>
      </c>
      <c r="K581" s="43" t="str">
        <f aca="false">IF(I581=0,"No wiki control",IF(J581=I581,"Fully covered",IF(J581=0,"Not covered","Partly covered")))</f>
        <v>Not covered</v>
      </c>
      <c r="L581" s="9" t="s">
        <v>2067</v>
      </c>
    </row>
    <row r="582" customFormat="false" ht="35.05" hidden="false" customHeight="false" outlineLevel="0" collapsed="false">
      <c r="A582" s="53" t="s">
        <v>598</v>
      </c>
      <c r="B582" s="53" t="s">
        <v>597</v>
      </c>
      <c r="C582" s="5" t="s">
        <v>2085</v>
      </c>
      <c r="D582" s="6" t="s">
        <v>2086</v>
      </c>
      <c r="E582" s="6" t="s">
        <v>1809</v>
      </c>
      <c r="F582" s="6" t="s">
        <v>725</v>
      </c>
      <c r="G582" s="6" t="s">
        <v>1810</v>
      </c>
      <c r="H582" s="6"/>
      <c r="I582" s="26" t="n">
        <v>3</v>
      </c>
      <c r="J582" s="26" t="n">
        <f aca="false">COUNTIFS('Control Library'!$A$5:$A$50,"AI-CTRL-031",'Control Library'!$R$5:$R$50,"Implemented")+COUNTIFS('Control Library'!$A$5:$A$50,"AI-CTRL-032",'Control Library'!$R$5:$R$50,"Implemented")+COUNTIFS('Control Library'!$A$5:$A$50,"AI-CTRL-034",'Control Library'!$R$5:$R$50,"Implemented")</f>
        <v>0</v>
      </c>
      <c r="K582" s="43" t="str">
        <f aca="false">IF(I582=0,"No wiki control",IF(J582=I582,"Fully covered",IF(J582=0,"Not covered","Partly covered")))</f>
        <v>Not covered</v>
      </c>
      <c r="L582" s="9" t="s">
        <v>2067</v>
      </c>
    </row>
    <row r="583" customFormat="false" ht="23.85" hidden="false" customHeight="false" outlineLevel="0" collapsed="false">
      <c r="A583" s="53" t="s">
        <v>598</v>
      </c>
      <c r="B583" s="53" t="s">
        <v>597</v>
      </c>
      <c r="C583" s="5" t="s">
        <v>2087</v>
      </c>
      <c r="D583" s="6" t="s">
        <v>2088</v>
      </c>
      <c r="E583" s="6" t="s">
        <v>1095</v>
      </c>
      <c r="F583" s="6" t="s">
        <v>725</v>
      </c>
      <c r="G583" s="6" t="s">
        <v>1096</v>
      </c>
      <c r="H583" s="6"/>
      <c r="I583" s="26" t="n">
        <v>3</v>
      </c>
      <c r="J583" s="26" t="n">
        <f aca="false">COUNTIFS('Control Library'!$A$5:$A$50,"AI-CTRL-006",'Control Library'!$R$5:$R$50,"Implemented")+COUNTIFS('Control Library'!$A$5:$A$50,"AI-CTRL-008",'Control Library'!$R$5:$R$50,"Implemented")+COUNTIFS('Control Library'!$A$5:$A$50,"AI-CTRL-009",'Control Library'!$R$5:$R$50,"Implemented")</f>
        <v>0</v>
      </c>
      <c r="K583" s="43" t="str">
        <f aca="false">IF(I583=0,"No wiki control",IF(J583=I583,"Fully covered",IF(J583=0,"Not covered","Partly covered")))</f>
        <v>Not covered</v>
      </c>
      <c r="L583" s="9" t="s">
        <v>2067</v>
      </c>
    </row>
    <row r="584" customFormat="false" ht="23.85" hidden="false" customHeight="false" outlineLevel="0" collapsed="false">
      <c r="A584" s="53" t="s">
        <v>598</v>
      </c>
      <c r="B584" s="53" t="s">
        <v>597</v>
      </c>
      <c r="C584" s="5" t="s">
        <v>2089</v>
      </c>
      <c r="D584" s="6" t="s">
        <v>2090</v>
      </c>
      <c r="E584" s="6" t="s">
        <v>2091</v>
      </c>
      <c r="F584" s="6" t="s">
        <v>725</v>
      </c>
      <c r="G584" s="6" t="s">
        <v>2092</v>
      </c>
      <c r="H584" s="6"/>
      <c r="I584" s="26" t="n">
        <v>3</v>
      </c>
      <c r="J584" s="26" t="n">
        <f aca="false">COUNTIFS('Control Library'!$A$5:$A$50,"AI-CTRL-001",'Control Library'!$R$5:$R$50,"Implemented")+COUNTIFS('Control Library'!$A$5:$A$50,"AI-CTRL-003",'Control Library'!$R$5:$R$50,"Implemented")+COUNTIFS('Control Library'!$A$5:$A$50,"AI-CTRL-010",'Control Library'!$R$5:$R$50,"Implemented")</f>
        <v>0</v>
      </c>
      <c r="K584" s="43" t="str">
        <f aca="false">IF(I584=0,"No wiki control",IF(J584=I584,"Fully covered",IF(J584=0,"Not covered","Partly covered")))</f>
        <v>Not covered</v>
      </c>
      <c r="L584" s="9" t="s">
        <v>2067</v>
      </c>
    </row>
    <row r="585" customFormat="false" ht="23.85" hidden="false" customHeight="false" outlineLevel="0" collapsed="false">
      <c r="A585" s="53" t="s">
        <v>598</v>
      </c>
      <c r="B585" s="53" t="s">
        <v>597</v>
      </c>
      <c r="C585" s="5" t="s">
        <v>2093</v>
      </c>
      <c r="D585" s="6" t="s">
        <v>2094</v>
      </c>
      <c r="E585" s="6" t="s">
        <v>339</v>
      </c>
      <c r="F585" s="6" t="s">
        <v>725</v>
      </c>
      <c r="G585" s="6" t="s">
        <v>343</v>
      </c>
      <c r="H585" s="6"/>
      <c r="I585" s="26" t="n">
        <v>1</v>
      </c>
      <c r="J585" s="26" t="n">
        <f aca="false">COUNTIFS('Control Library'!$A$5:$A$50,"AI-CTRL-021",'Control Library'!$R$5:$R$50,"Implemented")</f>
        <v>0</v>
      </c>
      <c r="K585" s="43" t="str">
        <f aca="false">IF(I585=0,"No wiki control",IF(J585=I585,"Fully covered",IF(J585=0,"Not covered","Partly covered")))</f>
        <v>Not covered</v>
      </c>
      <c r="L585" s="9" t="s">
        <v>2067</v>
      </c>
    </row>
    <row r="586" customFormat="false" ht="23.85" hidden="false" customHeight="false" outlineLevel="0" collapsed="false">
      <c r="A586" s="53" t="s">
        <v>598</v>
      </c>
      <c r="B586" s="53" t="s">
        <v>597</v>
      </c>
      <c r="C586" s="5" t="s">
        <v>2095</v>
      </c>
      <c r="D586" s="6" t="s">
        <v>2096</v>
      </c>
      <c r="E586" s="6" t="s">
        <v>494</v>
      </c>
      <c r="F586" s="6" t="s">
        <v>725</v>
      </c>
      <c r="G586" s="6" t="s">
        <v>498</v>
      </c>
      <c r="H586" s="6"/>
      <c r="I586" s="26" t="n">
        <v>1</v>
      </c>
      <c r="J586" s="26" t="n">
        <f aca="false">COUNTIFS('Control Library'!$A$5:$A$50,"AI-CTRL-040",'Control Library'!$R$5:$R$50,"Implemented")</f>
        <v>0</v>
      </c>
      <c r="K586" s="43" t="str">
        <f aca="false">IF(I586=0,"No wiki control",IF(J586=I586,"Fully covered",IF(J586=0,"Not covered","Partly covered")))</f>
        <v>Not covered</v>
      </c>
      <c r="L586" s="9" t="s">
        <v>2067</v>
      </c>
    </row>
    <row r="587" customFormat="false" ht="23.85" hidden="false" customHeight="false" outlineLevel="0" collapsed="false">
      <c r="A587" s="53" t="s">
        <v>598</v>
      </c>
      <c r="B587" s="53" t="s">
        <v>597</v>
      </c>
      <c r="C587" s="5" t="s">
        <v>2097</v>
      </c>
      <c r="D587" s="6" t="s">
        <v>2098</v>
      </c>
      <c r="E587" s="6" t="s">
        <v>1844</v>
      </c>
      <c r="F587" s="6" t="s">
        <v>725</v>
      </c>
      <c r="G587" s="6" t="s">
        <v>1845</v>
      </c>
      <c r="H587" s="6"/>
      <c r="I587" s="26" t="n">
        <v>2</v>
      </c>
      <c r="J587" s="26" t="n">
        <f aca="false">COUNTIFS('Control Library'!$A$5:$A$50,"AI-CTRL-027",'Control Library'!$R$5:$R$50,"Implemented")+COUNTIFS('Control Library'!$A$5:$A$50,"AI-CTRL-032",'Control Library'!$R$5:$R$50,"Implemented")</f>
        <v>0</v>
      </c>
      <c r="K587" s="43" t="str">
        <f aca="false">IF(I587=0,"No wiki control",IF(J587=I587,"Fully covered",IF(J587=0,"Not covered","Partly covered")))</f>
        <v>Not covered</v>
      </c>
      <c r="L587" s="9" t="s">
        <v>2067</v>
      </c>
    </row>
    <row r="588" customFormat="false" ht="23.85" hidden="false" customHeight="false" outlineLevel="0" collapsed="false">
      <c r="A588" s="53" t="s">
        <v>598</v>
      </c>
      <c r="B588" s="53" t="s">
        <v>597</v>
      </c>
      <c r="C588" s="5" t="s">
        <v>2099</v>
      </c>
      <c r="D588" s="6" t="s">
        <v>2100</v>
      </c>
      <c r="E588" s="6" t="s">
        <v>2101</v>
      </c>
      <c r="F588" s="6" t="s">
        <v>725</v>
      </c>
      <c r="G588" s="6" t="s">
        <v>2102</v>
      </c>
      <c r="H588" s="6"/>
      <c r="I588" s="26" t="n">
        <v>3</v>
      </c>
      <c r="J588" s="26" t="n">
        <f aca="false">COUNTIFS('Control Library'!$A$5:$A$50,"AI-CTRL-005",'Control Library'!$R$5:$R$50,"Implemented")+COUNTIFS('Control Library'!$A$5:$A$50,"AI-CTRL-009",'Control Library'!$R$5:$R$50,"Implemented")+COUNTIFS('Control Library'!$A$5:$A$50,"AI-CTRL-032",'Control Library'!$R$5:$R$50,"Implemented")</f>
        <v>0</v>
      </c>
      <c r="K588" s="43" t="str">
        <f aca="false">IF(I588=0,"No wiki control",IF(J588=I588,"Fully covered",IF(J588=0,"Not covered","Partly covered")))</f>
        <v>Not covered</v>
      </c>
      <c r="L588" s="9" t="s">
        <v>2067</v>
      </c>
    </row>
    <row r="589" customFormat="false" ht="23.85" hidden="false" customHeight="false" outlineLevel="0" collapsed="false">
      <c r="A589" s="53" t="s">
        <v>598</v>
      </c>
      <c r="B589" s="53" t="s">
        <v>597</v>
      </c>
      <c r="C589" s="5" t="s">
        <v>2103</v>
      </c>
      <c r="D589" s="6" t="s">
        <v>2104</v>
      </c>
      <c r="E589" s="6" t="s">
        <v>529</v>
      </c>
      <c r="F589" s="6" t="s">
        <v>725</v>
      </c>
      <c r="G589" s="6" t="s">
        <v>532</v>
      </c>
      <c r="H589" s="6"/>
      <c r="I589" s="26" t="n">
        <v>1</v>
      </c>
      <c r="J589" s="26" t="n">
        <f aca="false">COUNTIFS('Control Library'!$A$5:$A$50,"AI-CTRL-044",'Control Library'!$R$5:$R$50,"Implemented")</f>
        <v>0</v>
      </c>
      <c r="K589" s="43" t="str">
        <f aca="false">IF(I589=0,"No wiki control",IF(J589=I589,"Fully covered",IF(J589=0,"Not covered","Partly covered")))</f>
        <v>Not covered</v>
      </c>
      <c r="L589" s="9" t="s">
        <v>2067</v>
      </c>
    </row>
    <row r="590" customFormat="false" ht="23.85" hidden="false" customHeight="false" outlineLevel="0" collapsed="false">
      <c r="A590" s="53" t="s">
        <v>598</v>
      </c>
      <c r="B590" s="53" t="s">
        <v>597</v>
      </c>
      <c r="C590" s="5" t="s">
        <v>2105</v>
      </c>
      <c r="D590" s="6" t="s">
        <v>2106</v>
      </c>
      <c r="E590" s="6" t="s">
        <v>2107</v>
      </c>
      <c r="F590" s="6" t="s">
        <v>725</v>
      </c>
      <c r="G590" s="6" t="s">
        <v>1048</v>
      </c>
      <c r="H590" s="6"/>
      <c r="I590" s="26" t="n">
        <v>4</v>
      </c>
      <c r="J590"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590" s="43" t="str">
        <f aca="false">IF(I590=0,"No wiki control",IF(J590=I590,"Fully covered",IF(J590=0,"Not covered","Partly covered")))</f>
        <v>Not covered</v>
      </c>
      <c r="L590" s="9" t="s">
        <v>2067</v>
      </c>
    </row>
    <row r="591" customFormat="false" ht="46.25" hidden="false" customHeight="false" outlineLevel="0" collapsed="false">
      <c r="A591" s="53" t="s">
        <v>598</v>
      </c>
      <c r="B591" s="53" t="s">
        <v>597</v>
      </c>
      <c r="C591" s="5" t="s">
        <v>2108</v>
      </c>
      <c r="D591" s="6" t="s">
        <v>2109</v>
      </c>
      <c r="E591" s="6" t="s">
        <v>2110</v>
      </c>
      <c r="F591" s="6" t="s">
        <v>725</v>
      </c>
      <c r="G591" s="6" t="s">
        <v>2111</v>
      </c>
      <c r="H591" s="6"/>
      <c r="I591" s="26" t="n">
        <v>8</v>
      </c>
      <c r="J591" s="26" t="n">
        <f aca="false">COUNTIFS('Control Library'!$A$5:$A$50,"AI-CTRL-004",'Control Library'!$R$5:$R$50,"Implemented")+COUNTIFS('Control Library'!$A$5:$A$50,"AI-CTRL-005",'Control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Library'!$A$5:$A$50,"AI-CTRL-031",'Control Library'!$R$5:$R$50,"Implemented")+COUNTIFS('Control Library'!$A$5:$A$50,"AI-CTRL-033",'Control Library'!$R$5:$R$50,"Implemented")</f>
        <v>0</v>
      </c>
      <c r="K591" s="43" t="str">
        <f aca="false">IF(I591=0,"No wiki control",IF(J591=I591,"Fully covered",IF(J591=0,"Not covered","Partly covered")))</f>
        <v>Not covered</v>
      </c>
      <c r="L591" s="9" t="s">
        <v>2067</v>
      </c>
    </row>
    <row r="592" customFormat="false" ht="23.85" hidden="false" customHeight="false" outlineLevel="0" collapsed="false">
      <c r="A592" s="53" t="s">
        <v>598</v>
      </c>
      <c r="B592" s="53" t="s">
        <v>597</v>
      </c>
      <c r="C592" s="5" t="s">
        <v>2112</v>
      </c>
      <c r="D592" s="6" t="s">
        <v>2113</v>
      </c>
      <c r="E592" s="6" t="s">
        <v>2114</v>
      </c>
      <c r="F592" s="6" t="s">
        <v>725</v>
      </c>
      <c r="G592" s="6" t="s">
        <v>2115</v>
      </c>
      <c r="H592" s="6"/>
      <c r="I592" s="26" t="n">
        <v>3</v>
      </c>
      <c r="J592" s="26" t="n">
        <f aca="false">COUNTIFS('Control Library'!$A$5:$A$50,"AI-CTRL-025",'Control Library'!$R$5:$R$50,"Implemented")+COUNTIFS('Control Library'!$A$5:$A$50,"AI-CTRL-035",'Control Library'!$R$5:$R$50,"Implemented")+COUNTIFS('Control Library'!$A$5:$A$50,"AI-CTRL-043",'Control Library'!$R$5:$R$50,"Implemented")</f>
        <v>0</v>
      </c>
      <c r="K592" s="43" t="str">
        <f aca="false">IF(I592=0,"No wiki control",IF(J592=I592,"Fully covered",IF(J592=0,"Not covered","Partly covered")))</f>
        <v>Not covered</v>
      </c>
      <c r="L592" s="9" t="s">
        <v>2067</v>
      </c>
    </row>
    <row r="593" customFormat="false" ht="23.85" hidden="false" customHeight="false" outlineLevel="0" collapsed="false">
      <c r="A593" s="53" t="s">
        <v>598</v>
      </c>
      <c r="B593" s="53" t="s">
        <v>597</v>
      </c>
      <c r="C593" s="5" t="s">
        <v>2116</v>
      </c>
      <c r="D593" s="6" t="s">
        <v>2117</v>
      </c>
      <c r="E593" s="6" t="s">
        <v>443</v>
      </c>
      <c r="F593" s="6" t="s">
        <v>725</v>
      </c>
      <c r="G593" s="6" t="s">
        <v>446</v>
      </c>
      <c r="H593" s="6"/>
      <c r="I593" s="26" t="n">
        <v>1</v>
      </c>
      <c r="J593" s="26" t="n">
        <f aca="false">COUNTIFS('Control Library'!$A$5:$A$50,"AI-CTRL-034",'Control Library'!$R$5:$R$50,"Implemented")</f>
        <v>0</v>
      </c>
      <c r="K593" s="43" t="str">
        <f aca="false">IF(I593=0,"No wiki control",IF(J593=I593,"Fully covered",IF(J593=0,"Not covered","Partly covered")))</f>
        <v>Not covered</v>
      </c>
      <c r="L593" s="9" t="s">
        <v>2067</v>
      </c>
    </row>
    <row r="594" customFormat="false" ht="23.85" hidden="false" customHeight="false" outlineLevel="0" collapsed="false">
      <c r="A594" s="53" t="s">
        <v>599</v>
      </c>
      <c r="B594" s="53" t="s">
        <v>597</v>
      </c>
      <c r="C594" s="5" t="s">
        <v>2118</v>
      </c>
      <c r="D594" s="6" t="s">
        <v>2119</v>
      </c>
      <c r="E594" s="6" t="s">
        <v>766</v>
      </c>
      <c r="F594" s="6" t="s">
        <v>725</v>
      </c>
      <c r="G594" s="6" t="s">
        <v>767</v>
      </c>
      <c r="H594" s="6"/>
      <c r="I594" s="26" t="n">
        <v>2</v>
      </c>
      <c r="J594" s="26" t="n">
        <f aca="false">COUNTIFS('Control Library'!$A$5:$A$50,"AI-CTRL-036",'Control Library'!$R$5:$R$50,"Implemented")+COUNTIFS('Control Library'!$A$5:$A$50,"AI-CTRL-040",'Control Library'!$R$5:$R$50,"Implemented")</f>
        <v>0</v>
      </c>
      <c r="K594" s="43" t="str">
        <f aca="false">IF(I594=0,"No wiki control",IF(J594=I594,"Fully covered",IF(J594=0,"Not covered","Partly covered")))</f>
        <v>Not covered</v>
      </c>
      <c r="L594" s="9" t="s">
        <v>2120</v>
      </c>
    </row>
    <row r="595" customFormat="false" ht="23.85" hidden="false" customHeight="false" outlineLevel="0" collapsed="false">
      <c r="A595" s="53" t="s">
        <v>599</v>
      </c>
      <c r="B595" s="53" t="s">
        <v>597</v>
      </c>
      <c r="C595" s="5" t="s">
        <v>2121</v>
      </c>
      <c r="D595" s="6" t="s">
        <v>2122</v>
      </c>
      <c r="E595" s="6" t="s">
        <v>494</v>
      </c>
      <c r="F595" s="6" t="s">
        <v>725</v>
      </c>
      <c r="G595" s="6" t="s">
        <v>498</v>
      </c>
      <c r="H595" s="6"/>
      <c r="I595" s="26" t="n">
        <v>1</v>
      </c>
      <c r="J595" s="26" t="n">
        <f aca="false">COUNTIFS('Control Library'!$A$5:$A$50,"AI-CTRL-040",'Control Library'!$R$5:$R$50,"Implemented")</f>
        <v>0</v>
      </c>
      <c r="K595" s="43" t="str">
        <f aca="false">IF(I595=0,"No wiki control",IF(J595=I595,"Fully covered",IF(J595=0,"Not covered","Partly covered")))</f>
        <v>Not covered</v>
      </c>
      <c r="L595" s="9" t="s">
        <v>2120</v>
      </c>
    </row>
    <row r="596" customFormat="false" ht="23.85" hidden="false" customHeight="false" outlineLevel="0" collapsed="false">
      <c r="A596" s="53" t="s">
        <v>599</v>
      </c>
      <c r="B596" s="53" t="s">
        <v>597</v>
      </c>
      <c r="C596" s="5" t="s">
        <v>2123</v>
      </c>
      <c r="D596" s="6" t="s">
        <v>2124</v>
      </c>
      <c r="E596" s="6" t="s">
        <v>494</v>
      </c>
      <c r="F596" s="6" t="s">
        <v>725</v>
      </c>
      <c r="G596" s="6" t="s">
        <v>498</v>
      </c>
      <c r="H596" s="6"/>
      <c r="I596" s="26" t="n">
        <v>1</v>
      </c>
      <c r="J596" s="26" t="n">
        <f aca="false">COUNTIFS('Control Library'!$A$5:$A$50,"AI-CTRL-040",'Control Library'!$R$5:$R$50,"Implemented")</f>
        <v>0</v>
      </c>
      <c r="K596" s="43" t="str">
        <f aca="false">IF(I596=0,"No wiki control",IF(J596=I596,"Fully covered",IF(J596=0,"Not covered","Partly covered")))</f>
        <v>Not covered</v>
      </c>
      <c r="L596" s="9" t="s">
        <v>2120</v>
      </c>
    </row>
    <row r="597" customFormat="false" ht="23.85" hidden="false" customHeight="false" outlineLevel="0" collapsed="false">
      <c r="A597" s="53" t="s">
        <v>599</v>
      </c>
      <c r="B597" s="53" t="s">
        <v>597</v>
      </c>
      <c r="C597" s="5" t="s">
        <v>2125</v>
      </c>
      <c r="D597" s="6" t="s">
        <v>2126</v>
      </c>
      <c r="E597" s="6" t="s">
        <v>2127</v>
      </c>
      <c r="F597" s="6" t="s">
        <v>725</v>
      </c>
      <c r="G597" s="6" t="s">
        <v>2128</v>
      </c>
      <c r="H597" s="6"/>
      <c r="I597" s="26" t="n">
        <v>5</v>
      </c>
      <c r="J597" s="26" t="n">
        <f aca="false">COUNTIFS('Control Library'!$A$5:$A$50,"AI-CTRL-002",'Control Library'!$R$5:$R$50,"Implemented")+COUNTIFS('Control Library'!$A$5:$A$50,"AI-CTRL-003",'Control Library'!$R$5:$R$50,"Implemented")+COUNTIFS('Control Library'!$A$5:$A$50,"AI-CTRL-007",'Control Library'!$R$5:$R$50,"Implemented")+COUNTIFS('Control Library'!$A$5:$A$50,"AI-CTRL-017",'Control Library'!$R$5:$R$50,"Implemented")+COUNTIFS('Control Library'!$A$5:$A$50,"AI-CTRL-028",'Control Library'!$R$5:$R$50,"Implemented")</f>
        <v>0</v>
      </c>
      <c r="K597" s="43" t="str">
        <f aca="false">IF(I597=0,"No wiki control",IF(J597=I597,"Fully covered",IF(J597=0,"Not covered","Partly covered")))</f>
        <v>Not covered</v>
      </c>
      <c r="L597" s="9" t="s">
        <v>2120</v>
      </c>
    </row>
    <row r="598" customFormat="false" ht="23.85" hidden="false" customHeight="false" outlineLevel="0" collapsed="false">
      <c r="A598" s="53" t="s">
        <v>599</v>
      </c>
      <c r="B598" s="53" t="s">
        <v>597</v>
      </c>
      <c r="C598" s="5" t="s">
        <v>2129</v>
      </c>
      <c r="D598" s="6" t="s">
        <v>2130</v>
      </c>
      <c r="E598" s="6" t="s">
        <v>2131</v>
      </c>
      <c r="F598" s="6" t="s">
        <v>725</v>
      </c>
      <c r="G598" s="6" t="s">
        <v>2132</v>
      </c>
      <c r="H598" s="6"/>
      <c r="I598" s="26" t="n">
        <v>2</v>
      </c>
      <c r="J598" s="26" t="n">
        <f aca="false">COUNTIFS('Control Library'!$A$5:$A$50,"AI-CTRL-007",'Control Library'!$R$5:$R$50,"Implemented")+COUNTIFS('Control Library'!$A$5:$A$50,"AI-CTRL-017",'Control Library'!$R$5:$R$50,"Implemented")</f>
        <v>0</v>
      </c>
      <c r="K598" s="43" t="str">
        <f aca="false">IF(I598=0,"No wiki control",IF(J598=I598,"Fully covered",IF(J598=0,"Not covered","Partly covered")))</f>
        <v>Not covered</v>
      </c>
      <c r="L598" s="9" t="s">
        <v>2120</v>
      </c>
    </row>
    <row r="599" customFormat="false" ht="23.85" hidden="false" customHeight="false" outlineLevel="0" collapsed="false">
      <c r="A599" s="53" t="s">
        <v>599</v>
      </c>
      <c r="B599" s="53" t="s">
        <v>597</v>
      </c>
      <c r="C599" s="5" t="s">
        <v>2133</v>
      </c>
      <c r="D599" s="6"/>
      <c r="E599" s="6"/>
      <c r="F599" s="6" t="s">
        <v>635</v>
      </c>
      <c r="G599" s="6"/>
      <c r="H599" s="6"/>
      <c r="I599" s="26" t="n">
        <v>0</v>
      </c>
      <c r="J599" s="26" t="n">
        <f aca="false">0</f>
        <v>0</v>
      </c>
      <c r="K599" s="43" t="str">
        <f aca="false">IF(I599=0,"No wiki control",IF(J599=I599,"Fully covered",IF(J599=0,"Not covered","Partly covered")))</f>
        <v>No wiki control</v>
      </c>
      <c r="L599" s="9" t="s">
        <v>2120</v>
      </c>
    </row>
    <row r="600" customFormat="false" ht="23.85" hidden="false" customHeight="false" outlineLevel="0" collapsed="false">
      <c r="A600" s="53" t="s">
        <v>599</v>
      </c>
      <c r="B600" s="53" t="s">
        <v>597</v>
      </c>
      <c r="C600" s="5" t="s">
        <v>2134</v>
      </c>
      <c r="D600" s="6"/>
      <c r="E600" s="6"/>
      <c r="F600" s="6" t="s">
        <v>635</v>
      </c>
      <c r="G600" s="6"/>
      <c r="H600" s="6"/>
      <c r="I600" s="26" t="n">
        <v>0</v>
      </c>
      <c r="J600" s="26" t="n">
        <f aca="false">0</f>
        <v>0</v>
      </c>
      <c r="K600" s="43" t="str">
        <f aca="false">IF(I600=0,"No wiki control",IF(J600=I600,"Fully covered",IF(J600=0,"Not covered","Partly covered")))</f>
        <v>No wiki control</v>
      </c>
      <c r="L600" s="9" t="s">
        <v>2120</v>
      </c>
    </row>
    <row r="601" customFormat="false" ht="23.85" hidden="false" customHeight="false" outlineLevel="0" collapsed="false">
      <c r="A601" s="53" t="s">
        <v>599</v>
      </c>
      <c r="B601" s="53" t="s">
        <v>597</v>
      </c>
      <c r="C601" s="5" t="s">
        <v>2135</v>
      </c>
      <c r="D601" s="6" t="s">
        <v>2136</v>
      </c>
      <c r="E601" s="6" t="s">
        <v>263</v>
      </c>
      <c r="F601" s="6" t="s">
        <v>725</v>
      </c>
      <c r="G601" s="6" t="s">
        <v>266</v>
      </c>
      <c r="H601" s="6"/>
      <c r="I601" s="26" t="n">
        <v>1</v>
      </c>
      <c r="J601" s="26" t="n">
        <f aca="false">COUNTIFS('Control Library'!$A$5:$A$50,"AI-CTRL-012",'Control Library'!$R$5:$R$50,"Implemented")</f>
        <v>0</v>
      </c>
      <c r="K601" s="43" t="str">
        <f aca="false">IF(I601=0,"No wiki control",IF(J601=I601,"Fully covered",IF(J601=0,"Not covered","Partly covered")))</f>
        <v>Not covered</v>
      </c>
      <c r="L601" s="9" t="s">
        <v>2120</v>
      </c>
    </row>
    <row r="602" customFormat="false" ht="23.85" hidden="false" customHeight="false" outlineLevel="0" collapsed="false">
      <c r="A602" s="53" t="s">
        <v>599</v>
      </c>
      <c r="B602" s="53" t="s">
        <v>597</v>
      </c>
      <c r="C602" s="5" t="s">
        <v>2137</v>
      </c>
      <c r="D602" s="6" t="s">
        <v>1671</v>
      </c>
      <c r="E602" s="6" t="s">
        <v>529</v>
      </c>
      <c r="F602" s="6" t="s">
        <v>725</v>
      </c>
      <c r="G602" s="6" t="s">
        <v>532</v>
      </c>
      <c r="H602" s="6"/>
      <c r="I602" s="26" t="n">
        <v>1</v>
      </c>
      <c r="J602" s="26" t="n">
        <f aca="false">COUNTIFS('Control Library'!$A$5:$A$50,"AI-CTRL-044",'Control Library'!$R$5:$R$50,"Implemented")</f>
        <v>0</v>
      </c>
      <c r="K602" s="43" t="str">
        <f aca="false">IF(I602=0,"No wiki control",IF(J602=I602,"Fully covered",IF(J602=0,"Not covered","Partly covered")))</f>
        <v>Not covered</v>
      </c>
      <c r="L602" s="9" t="s">
        <v>2120</v>
      </c>
    </row>
    <row r="603" customFormat="false" ht="23.85" hidden="false" customHeight="false" outlineLevel="0" collapsed="false">
      <c r="A603" s="53" t="s">
        <v>599</v>
      </c>
      <c r="B603" s="53" t="s">
        <v>597</v>
      </c>
      <c r="C603" s="5" t="s">
        <v>2138</v>
      </c>
      <c r="D603" s="6"/>
      <c r="E603" s="6"/>
      <c r="F603" s="6" t="s">
        <v>635</v>
      </c>
      <c r="G603" s="6"/>
      <c r="H603" s="6"/>
      <c r="I603" s="26" t="n">
        <v>0</v>
      </c>
      <c r="J603" s="26" t="n">
        <f aca="false">0</f>
        <v>0</v>
      </c>
      <c r="K603" s="43" t="str">
        <f aca="false">IF(I603=0,"No wiki control",IF(J603=I603,"Fully covered",IF(J603=0,"Not covered","Partly covered")))</f>
        <v>No wiki control</v>
      </c>
      <c r="L603" s="9" t="s">
        <v>2120</v>
      </c>
    </row>
    <row r="604" customFormat="false" ht="23.85" hidden="false" customHeight="false" outlineLevel="0" collapsed="false">
      <c r="A604" s="53" t="s">
        <v>599</v>
      </c>
      <c r="B604" s="53" t="s">
        <v>597</v>
      </c>
      <c r="C604" s="5" t="s">
        <v>2139</v>
      </c>
      <c r="D604" s="6"/>
      <c r="E604" s="6"/>
      <c r="F604" s="6" t="s">
        <v>635</v>
      </c>
      <c r="G604" s="6"/>
      <c r="H604" s="6"/>
      <c r="I604" s="26" t="n">
        <v>0</v>
      </c>
      <c r="J604" s="26" t="n">
        <f aca="false">0</f>
        <v>0</v>
      </c>
      <c r="K604" s="43" t="str">
        <f aca="false">IF(I604=0,"No wiki control",IF(J604=I604,"Fully covered",IF(J604=0,"Not covered","Partly covered")))</f>
        <v>No wiki control</v>
      </c>
      <c r="L604" s="9" t="s">
        <v>2120</v>
      </c>
    </row>
    <row r="605" customFormat="false" ht="23.85" hidden="false" customHeight="false" outlineLevel="0" collapsed="false">
      <c r="A605" s="53" t="s">
        <v>599</v>
      </c>
      <c r="B605" s="53" t="s">
        <v>597</v>
      </c>
      <c r="C605" s="5" t="s">
        <v>2140</v>
      </c>
      <c r="D605" s="6" t="s">
        <v>2141</v>
      </c>
      <c r="E605" s="6" t="s">
        <v>961</v>
      </c>
      <c r="F605" s="6" t="s">
        <v>725</v>
      </c>
      <c r="G605" s="6" t="s">
        <v>266</v>
      </c>
      <c r="H605" s="6"/>
      <c r="I605" s="26" t="n">
        <v>2</v>
      </c>
      <c r="J605" s="26" t="n">
        <f aca="false">COUNTIFS('Control Library'!$A$5:$A$50,"AI-CTRL-012",'Control Library'!$R$5:$R$50,"Implemented")+COUNTIFS('Control Library'!$A$5:$A$50,"AI-CTRL-044",'Control Library'!$R$5:$R$50,"Implemented")</f>
        <v>0</v>
      </c>
      <c r="K605" s="43" t="str">
        <f aca="false">IF(I605=0,"No wiki control",IF(J605=I605,"Fully covered",IF(J605=0,"Not covered","Partly covered")))</f>
        <v>Not covered</v>
      </c>
      <c r="L605" s="9" t="s">
        <v>2120</v>
      </c>
    </row>
    <row r="606" customFormat="false" ht="23.85" hidden="false" customHeight="false" outlineLevel="0" collapsed="false">
      <c r="A606" s="53" t="s">
        <v>599</v>
      </c>
      <c r="B606" s="53" t="s">
        <v>597</v>
      </c>
      <c r="C606" s="5" t="s">
        <v>2142</v>
      </c>
      <c r="D606" s="6" t="s">
        <v>2143</v>
      </c>
      <c r="E606" s="6" t="s">
        <v>521</v>
      </c>
      <c r="F606" s="6" t="s">
        <v>725</v>
      </c>
      <c r="G606" s="6" t="s">
        <v>524</v>
      </c>
      <c r="H606" s="6"/>
      <c r="I606" s="26" t="n">
        <v>1</v>
      </c>
      <c r="J606" s="26" t="n">
        <f aca="false">COUNTIFS('Control Library'!$A$5:$A$50,"AI-CTRL-043",'Control Library'!$R$5:$R$50,"Implemented")</f>
        <v>0</v>
      </c>
      <c r="K606" s="43" t="str">
        <f aca="false">IF(I606=0,"No wiki control",IF(J606=I606,"Fully covered",IF(J606=0,"Not covered","Partly covered")))</f>
        <v>Not covered</v>
      </c>
      <c r="L606" s="9" t="s">
        <v>2120</v>
      </c>
    </row>
    <row r="607" customFormat="false" ht="23.85" hidden="false" customHeight="false" outlineLevel="0" collapsed="false">
      <c r="A607" s="53" t="s">
        <v>599</v>
      </c>
      <c r="B607" s="53" t="s">
        <v>597</v>
      </c>
      <c r="C607" s="5" t="s">
        <v>2144</v>
      </c>
      <c r="D607" s="6" t="s">
        <v>2145</v>
      </c>
      <c r="E607" s="6" t="s">
        <v>821</v>
      </c>
      <c r="F607" s="6" t="s">
        <v>725</v>
      </c>
      <c r="G607" s="6" t="s">
        <v>472</v>
      </c>
      <c r="H607" s="6"/>
      <c r="I607" s="26" t="n">
        <v>2</v>
      </c>
      <c r="J607" s="26" t="n">
        <f aca="false">COUNTIFS('Control Library'!$A$5:$A$50,"AI-CTRL-011",'Control Library'!$R$5:$R$50,"Implemented")+COUNTIFS('Control Library'!$A$5:$A$50,"AI-CTRL-037",'Control Library'!$R$5:$R$50,"Implemented")</f>
        <v>0</v>
      </c>
      <c r="K607" s="43" t="str">
        <f aca="false">IF(I607=0,"No wiki control",IF(J607=I607,"Fully covered",IF(J607=0,"Not covered","Partly covered")))</f>
        <v>Not covered</v>
      </c>
      <c r="L607" s="9" t="s">
        <v>2120</v>
      </c>
    </row>
    <row r="608" customFormat="false" ht="23.85" hidden="false" customHeight="false" outlineLevel="0" collapsed="false">
      <c r="A608" s="53" t="s">
        <v>599</v>
      </c>
      <c r="B608" s="53" t="s">
        <v>597</v>
      </c>
      <c r="C608" s="5" t="s">
        <v>2146</v>
      </c>
      <c r="D608" s="6" t="s">
        <v>2147</v>
      </c>
      <c r="E608" s="6" t="s">
        <v>2148</v>
      </c>
      <c r="F608" s="6" t="s">
        <v>725</v>
      </c>
      <c r="G608" s="6" t="s">
        <v>1059</v>
      </c>
      <c r="H608" s="6"/>
      <c r="I608" s="26" t="n">
        <v>3</v>
      </c>
      <c r="J608" s="26" t="n">
        <f aca="false">COUNTIFS('Control Library'!$A$5:$A$50,"AI-CTRL-011",'Control Library'!$R$5:$R$50,"Implemented")+COUNTIFS('Control Library'!$A$5:$A$50,"AI-CTRL-037",'Control Library'!$R$5:$R$50,"Implemented")+COUNTIFS('Control Library'!$A$5:$A$50,"AI-CTRL-042",'Control Library'!$R$5:$R$50,"Implemented")</f>
        <v>0</v>
      </c>
      <c r="K608" s="43" t="str">
        <f aca="false">IF(I608=0,"No wiki control",IF(J608=I608,"Fully covered",IF(J608=0,"Not covered","Partly covered")))</f>
        <v>Not covered</v>
      </c>
      <c r="L608" s="9" t="s">
        <v>2120</v>
      </c>
    </row>
    <row r="609" customFormat="false" ht="23.85" hidden="false" customHeight="false" outlineLevel="0" collapsed="false">
      <c r="A609" s="53" t="s">
        <v>599</v>
      </c>
      <c r="B609" s="53" t="s">
        <v>597</v>
      </c>
      <c r="C609" s="5" t="s">
        <v>2149</v>
      </c>
      <c r="D609" s="6"/>
      <c r="E609" s="6"/>
      <c r="F609" s="6" t="s">
        <v>635</v>
      </c>
      <c r="G609" s="6"/>
      <c r="H609" s="6"/>
      <c r="I609" s="26" t="n">
        <v>0</v>
      </c>
      <c r="J609" s="26" t="n">
        <f aca="false">0</f>
        <v>0</v>
      </c>
      <c r="K609" s="43" t="str">
        <f aca="false">IF(I609=0,"No wiki control",IF(J609=I609,"Fully covered",IF(J609=0,"Not covered","Partly covered")))</f>
        <v>No wiki control</v>
      </c>
      <c r="L609" s="9" t="s">
        <v>2120</v>
      </c>
    </row>
    <row r="610" customFormat="false" ht="23.85" hidden="false" customHeight="false" outlineLevel="0" collapsed="false">
      <c r="A610" s="53" t="s">
        <v>599</v>
      </c>
      <c r="B610" s="53" t="s">
        <v>597</v>
      </c>
      <c r="C610" s="5" t="s">
        <v>2150</v>
      </c>
      <c r="D610" s="6" t="s">
        <v>2151</v>
      </c>
      <c r="E610" s="6" t="s">
        <v>434</v>
      </c>
      <c r="F610" s="6" t="s">
        <v>725</v>
      </c>
      <c r="G610" s="6" t="s">
        <v>438</v>
      </c>
      <c r="H610" s="6"/>
      <c r="I610" s="26" t="n">
        <v>1</v>
      </c>
      <c r="J610" s="26" t="n">
        <f aca="false">COUNTIFS('Control Library'!$A$5:$A$50,"AI-CTRL-033",'Control Library'!$R$5:$R$50,"Implemented")</f>
        <v>0</v>
      </c>
      <c r="K610" s="43" t="str">
        <f aca="false">IF(I610=0,"No wiki control",IF(J610=I610,"Fully covered",IF(J610=0,"Not covered","Partly covered")))</f>
        <v>Not covered</v>
      </c>
      <c r="L610" s="9" t="s">
        <v>2120</v>
      </c>
    </row>
    <row r="611" customFormat="false" ht="35.05" hidden="false" customHeight="false" outlineLevel="0" collapsed="false">
      <c r="A611" s="53" t="s">
        <v>599</v>
      </c>
      <c r="B611" s="53" t="s">
        <v>597</v>
      </c>
      <c r="C611" s="5" t="s">
        <v>2152</v>
      </c>
      <c r="D611" s="6" t="s">
        <v>2153</v>
      </c>
      <c r="E611" s="6" t="s">
        <v>1180</v>
      </c>
      <c r="F611" s="6" t="s">
        <v>725</v>
      </c>
      <c r="G611" s="6" t="s">
        <v>1181</v>
      </c>
      <c r="H611" s="6"/>
      <c r="I611" s="26" t="n">
        <v>2</v>
      </c>
      <c r="J611" s="26" t="n">
        <f aca="false">COUNTIFS('Control Library'!$A$5:$A$50,"AI-CTRL-034",'Control Library'!$R$5:$R$50,"Implemented")+COUNTIFS('Control Library'!$A$5:$A$50,"AI-CTRL-038",'Control Library'!$R$5:$R$50,"Implemented")</f>
        <v>0</v>
      </c>
      <c r="K611" s="43" t="str">
        <f aca="false">IF(I611=0,"No wiki control",IF(J611=I611,"Fully covered",IF(J611=0,"Not covered","Partly covered")))</f>
        <v>Not covered</v>
      </c>
      <c r="L611" s="9" t="s">
        <v>2120</v>
      </c>
    </row>
    <row r="612" customFormat="false" ht="23.85" hidden="false" customHeight="false" outlineLevel="0" collapsed="false">
      <c r="A612" s="53" t="s">
        <v>599</v>
      </c>
      <c r="B612" s="53" t="s">
        <v>597</v>
      </c>
      <c r="C612" s="5" t="s">
        <v>2154</v>
      </c>
      <c r="D612" s="6" t="s">
        <v>2155</v>
      </c>
      <c r="E612" s="6" t="s">
        <v>477</v>
      </c>
      <c r="F612" s="6" t="s">
        <v>725</v>
      </c>
      <c r="G612" s="6" t="s">
        <v>480</v>
      </c>
      <c r="H612" s="6"/>
      <c r="I612" s="26" t="n">
        <v>1</v>
      </c>
      <c r="J612" s="26" t="n">
        <f aca="false">COUNTIFS('Control Library'!$A$5:$A$50,"AI-CTRL-038",'Control Library'!$R$5:$R$50,"Implemented")</f>
        <v>0</v>
      </c>
      <c r="K612" s="43" t="str">
        <f aca="false">IF(I612=0,"No wiki control",IF(J612=I612,"Fully covered",IF(J612=0,"Not covered","Partly covered")))</f>
        <v>Not covered</v>
      </c>
      <c r="L612" s="9" t="s">
        <v>2120</v>
      </c>
    </row>
    <row r="613" customFormat="false" ht="23.85" hidden="false" customHeight="false" outlineLevel="0" collapsed="false">
      <c r="A613" s="53" t="s">
        <v>599</v>
      </c>
      <c r="B613" s="53" t="s">
        <v>597</v>
      </c>
      <c r="C613" s="5" t="s">
        <v>2156</v>
      </c>
      <c r="D613" s="6"/>
      <c r="E613" s="6"/>
      <c r="F613" s="6" t="s">
        <v>635</v>
      </c>
      <c r="G613" s="6"/>
      <c r="H613" s="6"/>
      <c r="I613" s="26" t="n">
        <v>0</v>
      </c>
      <c r="J613" s="26" t="n">
        <f aca="false">0</f>
        <v>0</v>
      </c>
      <c r="K613" s="43" t="str">
        <f aca="false">IF(I613=0,"No wiki control",IF(J613=I613,"Fully covered",IF(J613=0,"Not covered","Partly covered")))</f>
        <v>No wiki control</v>
      </c>
      <c r="L613" s="9" t="s">
        <v>2120</v>
      </c>
    </row>
    <row r="614" customFormat="false" ht="23.85" hidden="false" customHeight="false" outlineLevel="0" collapsed="false">
      <c r="A614" s="53" t="s">
        <v>599</v>
      </c>
      <c r="B614" s="53" t="s">
        <v>597</v>
      </c>
      <c r="C614" s="5" t="s">
        <v>2157</v>
      </c>
      <c r="D614" s="6"/>
      <c r="E614" s="6"/>
      <c r="F614" s="6" t="s">
        <v>635</v>
      </c>
      <c r="G614" s="6"/>
      <c r="H614" s="6"/>
      <c r="I614" s="26" t="n">
        <v>0</v>
      </c>
      <c r="J614" s="26" t="n">
        <f aca="false">0</f>
        <v>0</v>
      </c>
      <c r="K614" s="43" t="str">
        <f aca="false">IF(I614=0,"No wiki control",IF(J614=I614,"Fully covered",IF(J614=0,"Not covered","Partly covered")))</f>
        <v>No wiki control</v>
      </c>
      <c r="L614" s="9" t="s">
        <v>2120</v>
      </c>
    </row>
    <row r="615" customFormat="false" ht="23.85" hidden="false" customHeight="false" outlineLevel="0" collapsed="false">
      <c r="A615" s="53" t="s">
        <v>599</v>
      </c>
      <c r="B615" s="53" t="s">
        <v>597</v>
      </c>
      <c r="C615" s="5" t="s">
        <v>2158</v>
      </c>
      <c r="D615" s="6" t="s">
        <v>2159</v>
      </c>
      <c r="E615" s="6" t="s">
        <v>999</v>
      </c>
      <c r="F615" s="6" t="s">
        <v>725</v>
      </c>
      <c r="G615" s="6" t="s">
        <v>1000</v>
      </c>
      <c r="H615" s="6"/>
      <c r="I615" s="26" t="n">
        <v>2</v>
      </c>
      <c r="J615" s="26" t="n">
        <f aca="false">COUNTIFS('Control Library'!$A$5:$A$50,"AI-CTRL-010",'Control Library'!$R$5:$R$50,"Implemented")+COUNTIFS('Control Library'!$A$5:$A$50,"AI-CTRL-012",'Control Library'!$R$5:$R$50,"Implemented")</f>
        <v>0</v>
      </c>
      <c r="K615" s="43" t="str">
        <f aca="false">IF(I615=0,"No wiki control",IF(J615=I615,"Fully covered",IF(J615=0,"Not covered","Partly covered")))</f>
        <v>Not covered</v>
      </c>
      <c r="L615" s="9" t="s">
        <v>2120</v>
      </c>
    </row>
    <row r="616" customFormat="false" ht="46.25" hidden="false" customHeight="false" outlineLevel="0" collapsed="false">
      <c r="A616" s="53" t="s">
        <v>599</v>
      </c>
      <c r="B616" s="53" t="s">
        <v>597</v>
      </c>
      <c r="C616" s="5" t="s">
        <v>2160</v>
      </c>
      <c r="D616" s="6" t="s">
        <v>2161</v>
      </c>
      <c r="E616" s="6" t="s">
        <v>2162</v>
      </c>
      <c r="F616" s="6" t="s">
        <v>725</v>
      </c>
      <c r="G616" s="6" t="s">
        <v>2163</v>
      </c>
      <c r="H616" s="6"/>
      <c r="I616" s="26" t="n">
        <v>10</v>
      </c>
      <c r="J616" s="26" t="n">
        <f aca="false">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Library'!$R$5:$R$50,"Implemented")+COUNTIFS('Control Library'!$A$5:$A$50,"AI-CTRL-030",'Control Library'!$R$5:$R$50,"Implemented")+COUNTIFS('Control Library'!$A$5:$A$50,"AI-CTRL-032",'Control Library'!$R$5:$R$50,"Implemented")</f>
        <v>0</v>
      </c>
      <c r="K616" s="43" t="str">
        <f aca="false">IF(I616=0,"No wiki control",IF(J616=I616,"Fully covered",IF(J616=0,"Not covered","Partly covered")))</f>
        <v>Not covered</v>
      </c>
      <c r="L616" s="9" t="s">
        <v>2120</v>
      </c>
    </row>
    <row r="617" customFormat="false" ht="23.85" hidden="false" customHeight="false" outlineLevel="0" collapsed="false">
      <c r="A617" s="53" t="s">
        <v>599</v>
      </c>
      <c r="B617" s="53" t="s">
        <v>597</v>
      </c>
      <c r="C617" s="5" t="s">
        <v>2164</v>
      </c>
      <c r="D617" s="6" t="s">
        <v>2165</v>
      </c>
      <c r="E617" s="6" t="s">
        <v>2166</v>
      </c>
      <c r="F617" s="6" t="s">
        <v>725</v>
      </c>
      <c r="G617" s="6" t="s">
        <v>2167</v>
      </c>
      <c r="H617" s="6"/>
      <c r="I617" s="26" t="n">
        <v>2</v>
      </c>
      <c r="J617" s="26" t="n">
        <f aca="false">COUNTIFS('Control Library'!$A$5:$A$50,"AI-CTRL-015",'Control Library'!$R$5:$R$50,"Implemented")+COUNTIFS('Control Library'!$A$5:$A$50,"AI-CTRL-025",'Control Library'!$R$5:$R$50,"Implemented")</f>
        <v>0</v>
      </c>
      <c r="K617" s="43" t="str">
        <f aca="false">IF(I617=0,"No wiki control",IF(J617=I617,"Fully covered",IF(J617=0,"Not covered","Partly covered")))</f>
        <v>Not covered</v>
      </c>
      <c r="L617" s="9" t="s">
        <v>2120</v>
      </c>
    </row>
    <row r="618" customFormat="false" ht="23.85" hidden="false" customHeight="false" outlineLevel="0" collapsed="false">
      <c r="A618" s="53" t="s">
        <v>599</v>
      </c>
      <c r="B618" s="53" t="s">
        <v>597</v>
      </c>
      <c r="C618" s="5" t="s">
        <v>2168</v>
      </c>
      <c r="D618" s="6" t="s">
        <v>2169</v>
      </c>
      <c r="E618" s="6" t="s">
        <v>2170</v>
      </c>
      <c r="F618" s="6" t="s">
        <v>725</v>
      </c>
      <c r="G618" s="6" t="s">
        <v>784</v>
      </c>
      <c r="H618" s="6"/>
      <c r="I618" s="26" t="n">
        <v>3</v>
      </c>
      <c r="J618" s="26" t="n">
        <f aca="false">COUNTIFS('Control Library'!$A$5:$A$50,"AI-CTRL-016",'Control Library'!$R$5:$R$50,"Implemented")+COUNTIFS('Control Library'!$A$5:$A$50,"AI-CTRL-018",'Control Library'!$R$5:$R$50,"Implemented")+COUNTIFS('Control Library'!$A$5:$A$50,"AI-CTRL-022",'Control Library'!$R$5:$R$50,"Implemented")</f>
        <v>0</v>
      </c>
      <c r="K618" s="43" t="str">
        <f aca="false">IF(I618=0,"No wiki control",IF(J618=I618,"Fully covered",IF(J618=0,"Not covered","Partly covered")))</f>
        <v>Not covered</v>
      </c>
      <c r="L618" s="9" t="s">
        <v>2120</v>
      </c>
    </row>
    <row r="619" customFormat="false" ht="23.85" hidden="false" customHeight="false" outlineLevel="0" collapsed="false">
      <c r="A619" s="53" t="s">
        <v>599</v>
      </c>
      <c r="B619" s="53" t="s">
        <v>597</v>
      </c>
      <c r="C619" s="5" t="s">
        <v>2171</v>
      </c>
      <c r="D619" s="6"/>
      <c r="E619" s="6"/>
      <c r="F619" s="6" t="s">
        <v>635</v>
      </c>
      <c r="G619" s="6"/>
      <c r="H619" s="6"/>
      <c r="I619" s="26" t="n">
        <v>0</v>
      </c>
      <c r="J619" s="26" t="n">
        <f aca="false">0</f>
        <v>0</v>
      </c>
      <c r="K619" s="43" t="str">
        <f aca="false">IF(I619=0,"No wiki control",IF(J619=I619,"Fully covered",IF(J619=0,"Not covered","Partly covered")))</f>
        <v>No wiki control</v>
      </c>
      <c r="L619" s="9" t="s">
        <v>2120</v>
      </c>
    </row>
    <row r="620" customFormat="false" ht="23.85" hidden="false" customHeight="false" outlineLevel="0" collapsed="false">
      <c r="A620" s="53" t="s">
        <v>599</v>
      </c>
      <c r="B620" s="53" t="s">
        <v>597</v>
      </c>
      <c r="C620" s="5" t="s">
        <v>2172</v>
      </c>
      <c r="D620" s="6"/>
      <c r="E620" s="6"/>
      <c r="F620" s="6" t="s">
        <v>635</v>
      </c>
      <c r="G620" s="6"/>
      <c r="H620" s="6"/>
      <c r="I620" s="26" t="n">
        <v>0</v>
      </c>
      <c r="J620" s="26" t="n">
        <f aca="false">0</f>
        <v>0</v>
      </c>
      <c r="K620" s="43" t="str">
        <f aca="false">IF(I620=0,"No wiki control",IF(J620=I620,"Fully covered",IF(J620=0,"Not covered","Partly covered")))</f>
        <v>No wiki control</v>
      </c>
      <c r="L620" s="9" t="s">
        <v>2120</v>
      </c>
    </row>
    <row r="621" customFormat="false" ht="35.05" hidden="false" customHeight="false" outlineLevel="0" collapsed="false">
      <c r="A621" s="53" t="s">
        <v>599</v>
      </c>
      <c r="B621" s="53" t="s">
        <v>597</v>
      </c>
      <c r="C621" s="5" t="s">
        <v>2173</v>
      </c>
      <c r="D621" s="6" t="s">
        <v>2174</v>
      </c>
      <c r="E621" s="6" t="s">
        <v>2175</v>
      </c>
      <c r="F621" s="6" t="s">
        <v>725</v>
      </c>
      <c r="G621" s="6" t="s">
        <v>2176</v>
      </c>
      <c r="H621" s="6"/>
      <c r="I621" s="26" t="n">
        <v>3</v>
      </c>
      <c r="J621" s="26" t="n">
        <f aca="false">COUNTIFS('Control Library'!$A$5:$A$50,"AI-CTRL-005",'Control Library'!$R$5:$R$50,"Implemented")+COUNTIFS('Control Library'!$A$5:$A$50,"AI-CTRL-027",'Control Library'!$R$5:$R$50,"Implemented")+COUNTIFS('Control Library'!$A$5:$A$50,"AI-CTRL-032",'Control Library'!$R$5:$R$50,"Implemented")</f>
        <v>0</v>
      </c>
      <c r="K621" s="43" t="str">
        <f aca="false">IF(I621=0,"No wiki control",IF(J621=I621,"Fully covered",IF(J621=0,"Not covered","Partly covered")))</f>
        <v>Not covered</v>
      </c>
      <c r="L621" s="9" t="s">
        <v>2120</v>
      </c>
    </row>
    <row r="622" customFormat="false" ht="35.05" hidden="false" customHeight="false" outlineLevel="0" collapsed="false">
      <c r="A622" s="53" t="s">
        <v>599</v>
      </c>
      <c r="B622" s="53" t="s">
        <v>597</v>
      </c>
      <c r="C622" s="5" t="s">
        <v>2177</v>
      </c>
      <c r="D622" s="6" t="s">
        <v>2178</v>
      </c>
      <c r="E622" s="6" t="s">
        <v>1822</v>
      </c>
      <c r="F622" s="6" t="s">
        <v>725</v>
      </c>
      <c r="G622" s="6" t="s">
        <v>1823</v>
      </c>
      <c r="H622" s="6"/>
      <c r="I622" s="26" t="n">
        <v>7</v>
      </c>
      <c r="J622"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622" s="43" t="str">
        <f aca="false">IF(I622=0,"No wiki control",IF(J622=I622,"Fully covered",IF(J622=0,"Not covered","Partly covered")))</f>
        <v>Not covered</v>
      </c>
      <c r="L622" s="9" t="s">
        <v>2120</v>
      </c>
    </row>
    <row r="623" customFormat="false" ht="35.05" hidden="false" customHeight="false" outlineLevel="0" collapsed="false">
      <c r="A623" s="53" t="s">
        <v>599</v>
      </c>
      <c r="B623" s="53" t="s">
        <v>597</v>
      </c>
      <c r="C623" s="5" t="s">
        <v>2179</v>
      </c>
      <c r="D623" s="6" t="s">
        <v>2180</v>
      </c>
      <c r="E623" s="6" t="s">
        <v>2181</v>
      </c>
      <c r="F623" s="6" t="s">
        <v>725</v>
      </c>
      <c r="G623" s="6" t="s">
        <v>2182</v>
      </c>
      <c r="H623" s="6"/>
      <c r="I623" s="26" t="n">
        <v>4</v>
      </c>
      <c r="J623" s="26" t="n">
        <f aca="false">COUNTIFS('Control Library'!$A$5:$A$50,"AI-CTRL-001",'Control Library'!$R$5:$R$50,"Implemented")+COUNTIFS('Control Library'!$A$5:$A$50,"AI-CTRL-021",'Control Library'!$R$5:$R$50,"Implemented")+COUNTIFS('Control Library'!$A$5:$A$50,"AI-CTRL-024",'Control Library'!$R$5:$R$50,"Implemented")+COUNTIFS('Control Library'!$A$5:$A$50,"AI-CTRL-027",'Control Library'!$R$5:$R$50,"Implemented")</f>
        <v>0</v>
      </c>
      <c r="K623" s="43" t="str">
        <f aca="false">IF(I623=0,"No wiki control",IF(J623=I623,"Fully covered",IF(J623=0,"Not covered","Partly covered")))</f>
        <v>Not covered</v>
      </c>
      <c r="L623" s="9" t="s">
        <v>2120</v>
      </c>
    </row>
    <row r="624" customFormat="false" ht="35.05" hidden="false" customHeight="false" outlineLevel="0" collapsed="false">
      <c r="A624" s="53" t="s">
        <v>599</v>
      </c>
      <c r="B624" s="53" t="s">
        <v>597</v>
      </c>
      <c r="C624" s="5" t="s">
        <v>2183</v>
      </c>
      <c r="D624" s="6" t="s">
        <v>2184</v>
      </c>
      <c r="E624" s="6" t="s">
        <v>1809</v>
      </c>
      <c r="F624" s="6" t="s">
        <v>725</v>
      </c>
      <c r="G624" s="6" t="s">
        <v>1810</v>
      </c>
      <c r="H624" s="6"/>
      <c r="I624" s="26" t="n">
        <v>3</v>
      </c>
      <c r="J624" s="26" t="n">
        <f aca="false">COUNTIFS('Control Library'!$A$5:$A$50,"AI-CTRL-031",'Control Library'!$R$5:$R$50,"Implemented")+COUNTIFS('Control Library'!$A$5:$A$50,"AI-CTRL-032",'Control Library'!$R$5:$R$50,"Implemented")+COUNTIFS('Control Library'!$A$5:$A$50,"AI-CTRL-034",'Control Library'!$R$5:$R$50,"Implemented")</f>
        <v>0</v>
      </c>
      <c r="K624" s="43" t="str">
        <f aca="false">IF(I624=0,"No wiki control",IF(J624=I624,"Fully covered",IF(J624=0,"Not covered","Partly covered")))</f>
        <v>Not covered</v>
      </c>
      <c r="L624" s="9" t="s">
        <v>2120</v>
      </c>
    </row>
    <row r="625" customFormat="false" ht="35.05" hidden="false" customHeight="false" outlineLevel="0" collapsed="false">
      <c r="A625" s="53" t="s">
        <v>599</v>
      </c>
      <c r="B625" s="53" t="s">
        <v>597</v>
      </c>
      <c r="C625" s="5" t="s">
        <v>2185</v>
      </c>
      <c r="D625" s="6" t="s">
        <v>2186</v>
      </c>
      <c r="E625" s="6" t="s">
        <v>2187</v>
      </c>
      <c r="F625" s="6" t="s">
        <v>725</v>
      </c>
      <c r="G625" s="6" t="s">
        <v>2188</v>
      </c>
      <c r="H625" s="6"/>
      <c r="I625" s="26" t="n">
        <v>5</v>
      </c>
      <c r="J625" s="26"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f>
        <v>0</v>
      </c>
      <c r="K625" s="43" t="str">
        <f aca="false">IF(I625=0,"No wiki control",IF(J625=I625,"Fully covered",IF(J625=0,"Not covered","Partly covered")))</f>
        <v>Not covered</v>
      </c>
      <c r="L625" s="9" t="s">
        <v>2120</v>
      </c>
    </row>
    <row r="626" customFormat="false" ht="23.85" hidden="false" customHeight="false" outlineLevel="0" collapsed="false">
      <c r="A626" s="53" t="s">
        <v>599</v>
      </c>
      <c r="B626" s="53" t="s">
        <v>597</v>
      </c>
      <c r="C626" s="5" t="s">
        <v>2189</v>
      </c>
      <c r="D626" s="6" t="s">
        <v>2190</v>
      </c>
      <c r="E626" s="6" t="s">
        <v>1744</v>
      </c>
      <c r="F626" s="6" t="s">
        <v>725</v>
      </c>
      <c r="G626" s="6" t="s">
        <v>455</v>
      </c>
      <c r="H626" s="6"/>
      <c r="I626" s="26" t="n">
        <v>2</v>
      </c>
      <c r="J626" s="26" t="n">
        <f aca="false">COUNTIFS('Control Library'!$A$5:$A$50,"AI-CTRL-009",'Control Library'!$R$5:$R$50,"Implemented")+COUNTIFS('Control Library'!$A$5:$A$50,"AI-CTRL-035",'Control Library'!$R$5:$R$50,"Implemented")</f>
        <v>0</v>
      </c>
      <c r="K626" s="43" t="str">
        <f aca="false">IF(I626=0,"No wiki control",IF(J626=I626,"Fully covered",IF(J626=0,"Not covered","Partly covered")))</f>
        <v>Not covered</v>
      </c>
      <c r="L626" s="9" t="s">
        <v>2120</v>
      </c>
    </row>
    <row r="627" customFormat="false" ht="23.85" hidden="false" customHeight="false" outlineLevel="0" collapsed="false">
      <c r="A627" s="53" t="s">
        <v>599</v>
      </c>
      <c r="B627" s="53" t="s">
        <v>597</v>
      </c>
      <c r="C627" s="5" t="s">
        <v>2191</v>
      </c>
      <c r="D627" s="6" t="s">
        <v>2192</v>
      </c>
      <c r="E627" s="6" t="s">
        <v>1747</v>
      </c>
      <c r="F627" s="6" t="s">
        <v>725</v>
      </c>
      <c r="G627" s="6" t="s">
        <v>1748</v>
      </c>
      <c r="H627" s="6"/>
      <c r="I627" s="26" t="n">
        <v>2</v>
      </c>
      <c r="J627" s="26" t="n">
        <f aca="false">COUNTIFS('Control Library'!$A$5:$A$50,"AI-CTRL-025",'Control Library'!$R$5:$R$50,"Implemented")+COUNTIFS('Control Library'!$A$5:$A$50,"AI-CTRL-035",'Control Library'!$R$5:$R$50,"Implemented")</f>
        <v>0</v>
      </c>
      <c r="K627" s="43" t="str">
        <f aca="false">IF(I627=0,"No wiki control",IF(J627=I627,"Fully covered",IF(J627=0,"Not covered","Partly covered")))</f>
        <v>Not covered</v>
      </c>
      <c r="L627" s="9" t="s">
        <v>2120</v>
      </c>
    </row>
    <row r="628" customFormat="false" ht="23.85" hidden="false" customHeight="false" outlineLevel="0" collapsed="false">
      <c r="A628" s="53" t="s">
        <v>599</v>
      </c>
      <c r="B628" s="53" t="s">
        <v>597</v>
      </c>
      <c r="C628" s="5" t="s">
        <v>2193</v>
      </c>
      <c r="D628" s="6" t="s">
        <v>2194</v>
      </c>
      <c r="E628" s="6" t="s">
        <v>452</v>
      </c>
      <c r="F628" s="6" t="s">
        <v>725</v>
      </c>
      <c r="G628" s="6" t="s">
        <v>455</v>
      </c>
      <c r="H628" s="6"/>
      <c r="I628" s="26" t="n">
        <v>1</v>
      </c>
      <c r="J628" s="26" t="n">
        <f aca="false">COUNTIFS('Control Library'!$A$5:$A$50,"AI-CTRL-035",'Control Library'!$R$5:$R$50,"Implemented")</f>
        <v>0</v>
      </c>
      <c r="K628" s="43" t="str">
        <f aca="false">IF(I628=0,"No wiki control",IF(J628=I628,"Fully covered",IF(J628=0,"Not covered","Partly covered")))</f>
        <v>Not covered</v>
      </c>
      <c r="L628" s="9" t="s">
        <v>2120</v>
      </c>
    </row>
    <row r="629" customFormat="false" ht="35.05" hidden="false" customHeight="false" outlineLevel="0" collapsed="false">
      <c r="A629" s="53" t="s">
        <v>599</v>
      </c>
      <c r="B629" s="53" t="s">
        <v>597</v>
      </c>
      <c r="C629" s="5" t="s">
        <v>2195</v>
      </c>
      <c r="D629" s="6" t="s">
        <v>1876</v>
      </c>
      <c r="E629" s="6" t="s">
        <v>2196</v>
      </c>
      <c r="F629" s="6" t="s">
        <v>725</v>
      </c>
      <c r="G629" s="6" t="s">
        <v>2197</v>
      </c>
      <c r="H629" s="6"/>
      <c r="I629" s="26" t="n">
        <v>5</v>
      </c>
      <c r="J629" s="26" t="n">
        <f aca="false">COUNTIFS('Control Library'!$A$5:$A$50,"AI-CTRL-004",'Control Library'!$R$5:$R$50,"Implemented")+COUNTIFS('Control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629" s="43" t="str">
        <f aca="false">IF(I629=0,"No wiki control",IF(J629=I629,"Fully covered",IF(J629=0,"Not covered","Partly covered")))</f>
        <v>Not covered</v>
      </c>
      <c r="L629" s="9" t="s">
        <v>2120</v>
      </c>
    </row>
    <row r="630" customFormat="false" ht="23.85" hidden="false" customHeight="false" outlineLevel="0" collapsed="false">
      <c r="A630" s="53" t="s">
        <v>599</v>
      </c>
      <c r="B630" s="53" t="s">
        <v>597</v>
      </c>
      <c r="C630" s="5" t="s">
        <v>2198</v>
      </c>
      <c r="D630" s="6" t="s">
        <v>2199</v>
      </c>
      <c r="E630" s="6" t="s">
        <v>2200</v>
      </c>
      <c r="F630" s="6" t="s">
        <v>725</v>
      </c>
      <c r="G630" s="6" t="s">
        <v>2201</v>
      </c>
      <c r="H630" s="6"/>
      <c r="I630" s="26" t="n">
        <v>2</v>
      </c>
      <c r="J630" s="26" t="n">
        <f aca="false">COUNTIFS('Control Library'!$A$5:$A$50,"AI-CTRL-037",'Control Library'!$R$5:$R$50,"Implemented")+COUNTIFS('Control Library'!$A$5:$A$50,"AI-CTRL-040",'Control Library'!$R$5:$R$50,"Implemented")</f>
        <v>0</v>
      </c>
      <c r="K630" s="43" t="str">
        <f aca="false">IF(I630=0,"No wiki control",IF(J630=I630,"Fully covered",IF(J630=0,"Not covered","Partly covered")))</f>
        <v>Not covered</v>
      </c>
      <c r="L630" s="9" t="s">
        <v>2120</v>
      </c>
    </row>
    <row r="631" customFormat="false" ht="23.85" hidden="false" customHeight="false" outlineLevel="0" collapsed="false">
      <c r="A631" s="53" t="s">
        <v>599</v>
      </c>
      <c r="B631" s="53" t="s">
        <v>597</v>
      </c>
      <c r="C631" s="5" t="s">
        <v>2202</v>
      </c>
      <c r="D631" s="6" t="s">
        <v>2203</v>
      </c>
      <c r="E631" s="6" t="s">
        <v>2107</v>
      </c>
      <c r="F631" s="6" t="s">
        <v>725</v>
      </c>
      <c r="G631" s="6" t="s">
        <v>1048</v>
      </c>
      <c r="H631" s="6"/>
      <c r="I631" s="26" t="n">
        <v>4</v>
      </c>
      <c r="J631"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631" s="43" t="str">
        <f aca="false">IF(I631=0,"No wiki control",IF(J631=I631,"Fully covered",IF(J631=0,"Not covered","Partly covered")))</f>
        <v>Not covered</v>
      </c>
      <c r="L631" s="9" t="s">
        <v>2120</v>
      </c>
    </row>
    <row r="632" customFormat="false" ht="23.85" hidden="false" customHeight="false" outlineLevel="0" collapsed="false">
      <c r="A632" s="53" t="s">
        <v>599</v>
      </c>
      <c r="B632" s="53" t="s">
        <v>597</v>
      </c>
      <c r="C632" s="5" t="s">
        <v>2204</v>
      </c>
      <c r="D632" s="6" t="s">
        <v>2205</v>
      </c>
      <c r="E632" s="6" t="s">
        <v>272</v>
      </c>
      <c r="F632" s="6" t="s">
        <v>725</v>
      </c>
      <c r="G632" s="6" t="s">
        <v>276</v>
      </c>
      <c r="H632" s="6"/>
      <c r="I632" s="26" t="n">
        <v>1</v>
      </c>
      <c r="J632" s="26" t="n">
        <f aca="false">COUNTIFS('Control Library'!$A$5:$A$50,"AI-CTRL-013",'Control Library'!$R$5:$R$50,"Implemented")</f>
        <v>0</v>
      </c>
      <c r="K632" s="43" t="str">
        <f aca="false">IF(I632=0,"No wiki control",IF(J632=I632,"Fully covered",IF(J632=0,"Not covered","Partly covered")))</f>
        <v>Not covered</v>
      </c>
      <c r="L632" s="9" t="s">
        <v>2120</v>
      </c>
    </row>
    <row r="633" customFormat="false" ht="23.85" hidden="false" customHeight="false" outlineLevel="0" collapsed="false">
      <c r="A633" s="53" t="s">
        <v>599</v>
      </c>
      <c r="B633" s="53" t="s">
        <v>597</v>
      </c>
      <c r="C633" s="5" t="s">
        <v>2206</v>
      </c>
      <c r="D633" s="6"/>
      <c r="E633" s="6"/>
      <c r="F633" s="6" t="s">
        <v>635</v>
      </c>
      <c r="G633" s="6"/>
      <c r="H633" s="6"/>
      <c r="I633" s="26" t="n">
        <v>0</v>
      </c>
      <c r="J633" s="26" t="n">
        <f aca="false">0</f>
        <v>0</v>
      </c>
      <c r="K633" s="43" t="str">
        <f aca="false">IF(I633=0,"No wiki control",IF(J633=I633,"Fully covered",IF(J633=0,"Not covered","Partly covered")))</f>
        <v>No wiki control</v>
      </c>
      <c r="L633" s="9" t="s">
        <v>2120</v>
      </c>
    </row>
    <row r="634" customFormat="false" ht="23.85" hidden="false" customHeight="false" outlineLevel="0" collapsed="false">
      <c r="A634" s="53" t="s">
        <v>599</v>
      </c>
      <c r="B634" s="53" t="s">
        <v>597</v>
      </c>
      <c r="C634" s="5" t="s">
        <v>2207</v>
      </c>
      <c r="D634" s="6" t="s">
        <v>2208</v>
      </c>
      <c r="E634" s="6" t="s">
        <v>272</v>
      </c>
      <c r="F634" s="6" t="s">
        <v>725</v>
      </c>
      <c r="G634" s="6" t="s">
        <v>276</v>
      </c>
      <c r="H634" s="6"/>
      <c r="I634" s="26" t="n">
        <v>1</v>
      </c>
      <c r="J634" s="26" t="n">
        <f aca="false">COUNTIFS('Control Library'!$A$5:$A$50,"AI-CTRL-013",'Control Library'!$R$5:$R$50,"Implemented")</f>
        <v>0</v>
      </c>
      <c r="K634" s="43" t="str">
        <f aca="false">IF(I634=0,"No wiki control",IF(J634=I634,"Fully covered",IF(J634=0,"Not covered","Partly covered")))</f>
        <v>Not covered</v>
      </c>
      <c r="L634" s="9" t="s">
        <v>2120</v>
      </c>
    </row>
    <row r="635" customFormat="false" ht="23.85" hidden="false" customHeight="false" outlineLevel="0" collapsed="false">
      <c r="A635" s="53" t="s">
        <v>599</v>
      </c>
      <c r="B635" s="53" t="s">
        <v>597</v>
      </c>
      <c r="C635" s="5" t="s">
        <v>2209</v>
      </c>
      <c r="D635" s="6"/>
      <c r="E635" s="6"/>
      <c r="F635" s="6" t="s">
        <v>635</v>
      </c>
      <c r="G635" s="6"/>
      <c r="H635" s="6"/>
      <c r="I635" s="26" t="n">
        <v>0</v>
      </c>
      <c r="J635" s="26" t="n">
        <f aca="false">0</f>
        <v>0</v>
      </c>
      <c r="K635" s="43" t="str">
        <f aca="false">IF(I635=0,"No wiki control",IF(J635=I635,"Fully covered",IF(J635=0,"Not covered","Partly covered")))</f>
        <v>No wiki control</v>
      </c>
      <c r="L635" s="9" t="s">
        <v>2120</v>
      </c>
    </row>
    <row r="636" customFormat="false" ht="23.85" hidden="false" customHeight="false" outlineLevel="0" collapsed="false">
      <c r="A636" s="53" t="s">
        <v>599</v>
      </c>
      <c r="B636" s="53" t="s">
        <v>597</v>
      </c>
      <c r="C636" s="5" t="s">
        <v>2210</v>
      </c>
      <c r="D636" s="6" t="s">
        <v>2211</v>
      </c>
      <c r="E636" s="6" t="s">
        <v>272</v>
      </c>
      <c r="F636" s="6" t="s">
        <v>725</v>
      </c>
      <c r="G636" s="6" t="s">
        <v>276</v>
      </c>
      <c r="H636" s="6"/>
      <c r="I636" s="26" t="n">
        <v>1</v>
      </c>
      <c r="J636" s="26" t="n">
        <f aca="false">COUNTIFS('Control Library'!$A$5:$A$50,"AI-CTRL-013",'Control Library'!$R$5:$R$50,"Implemented")</f>
        <v>0</v>
      </c>
      <c r="K636" s="43" t="str">
        <f aca="false">IF(I636=0,"No wiki control",IF(J636=I636,"Fully covered",IF(J636=0,"Not covered","Partly covered")))</f>
        <v>Not covered</v>
      </c>
      <c r="L636" s="9" t="s">
        <v>2120</v>
      </c>
    </row>
    <row r="637" customFormat="false" ht="23.85" hidden="false" customHeight="false" outlineLevel="0" collapsed="false">
      <c r="A637" s="53" t="s">
        <v>599</v>
      </c>
      <c r="B637" s="53" t="s">
        <v>597</v>
      </c>
      <c r="C637" s="5" t="s">
        <v>2212</v>
      </c>
      <c r="D637" s="6" t="s">
        <v>2213</v>
      </c>
      <c r="E637" s="6" t="s">
        <v>2214</v>
      </c>
      <c r="F637" s="6" t="s">
        <v>725</v>
      </c>
      <c r="G637" s="6" t="s">
        <v>276</v>
      </c>
      <c r="H637" s="6"/>
      <c r="I637" s="26" t="n">
        <v>2</v>
      </c>
      <c r="J637" s="26" t="n">
        <f aca="false">COUNTIFS('Control Library'!$A$5:$A$50,"AI-CTRL-007",'Control Library'!$R$5:$R$50,"Implemented")+COUNTIFS('Control Library'!$A$5:$A$50,"AI-CTRL-013",'Control Library'!$R$5:$R$50,"Implemented")</f>
        <v>0</v>
      </c>
      <c r="K637" s="43" t="str">
        <f aca="false">IF(I637=0,"No wiki control",IF(J637=I637,"Fully covered",IF(J637=0,"Not covered","Partly covered")))</f>
        <v>Not covered</v>
      </c>
      <c r="L637" s="9" t="s">
        <v>2120</v>
      </c>
    </row>
    <row r="638" customFormat="false" ht="23.85" hidden="false" customHeight="false" outlineLevel="0" collapsed="false">
      <c r="A638" s="53" t="s">
        <v>599</v>
      </c>
      <c r="B638" s="53" t="s">
        <v>597</v>
      </c>
      <c r="C638" s="5" t="s">
        <v>2215</v>
      </c>
      <c r="D638" s="6"/>
      <c r="E638" s="6"/>
      <c r="F638" s="6" t="s">
        <v>635</v>
      </c>
      <c r="G638" s="6"/>
      <c r="H638" s="6"/>
      <c r="I638" s="26" t="n">
        <v>0</v>
      </c>
      <c r="J638" s="26" t="n">
        <f aca="false">0</f>
        <v>0</v>
      </c>
      <c r="K638" s="43" t="str">
        <f aca="false">IF(I638=0,"No wiki control",IF(J638=I638,"Fully covered",IF(J638=0,"Not covered","Partly covered")))</f>
        <v>No wiki control</v>
      </c>
      <c r="L638" s="9" t="s">
        <v>2120</v>
      </c>
    </row>
    <row r="639" customFormat="false" ht="23.85" hidden="false" customHeight="false" outlineLevel="0" collapsed="false">
      <c r="A639" s="53" t="s">
        <v>599</v>
      </c>
      <c r="B639" s="53" t="s">
        <v>597</v>
      </c>
      <c r="C639" s="5" t="s">
        <v>2216</v>
      </c>
      <c r="D639" s="6" t="s">
        <v>2217</v>
      </c>
      <c r="E639" s="6" t="s">
        <v>272</v>
      </c>
      <c r="F639" s="6" t="s">
        <v>725</v>
      </c>
      <c r="G639" s="6" t="s">
        <v>276</v>
      </c>
      <c r="H639" s="6"/>
      <c r="I639" s="26" t="n">
        <v>1</v>
      </c>
      <c r="J639" s="26" t="n">
        <f aca="false">COUNTIFS('Control Library'!$A$5:$A$50,"AI-CTRL-013",'Control Library'!$R$5:$R$50,"Implemented")</f>
        <v>0</v>
      </c>
      <c r="K639" s="43" t="str">
        <f aca="false">IF(I639=0,"No wiki control",IF(J639=I639,"Fully covered",IF(J639=0,"Not covered","Partly covered")))</f>
        <v>Not covered</v>
      </c>
      <c r="L639" s="9" t="s">
        <v>2120</v>
      </c>
    </row>
    <row r="640" customFormat="false" ht="23.85" hidden="false" customHeight="false" outlineLevel="0" collapsed="false">
      <c r="A640" s="53" t="s">
        <v>599</v>
      </c>
      <c r="B640" s="53" t="s">
        <v>597</v>
      </c>
      <c r="C640" s="5" t="s">
        <v>2218</v>
      </c>
      <c r="D640" s="6"/>
      <c r="E640" s="6"/>
      <c r="F640" s="6" t="s">
        <v>635</v>
      </c>
      <c r="G640" s="6"/>
      <c r="H640" s="6"/>
      <c r="I640" s="26" t="n">
        <v>0</v>
      </c>
      <c r="J640" s="26" t="n">
        <f aca="false">0</f>
        <v>0</v>
      </c>
      <c r="K640" s="43" t="str">
        <f aca="false">IF(I640=0,"No wiki control",IF(J640=I640,"Fully covered",IF(J640=0,"Not covered","Partly covered")))</f>
        <v>No wiki control</v>
      </c>
      <c r="L640" s="9" t="s">
        <v>2120</v>
      </c>
    </row>
    <row r="641" customFormat="false" ht="23.85" hidden="false" customHeight="false" outlineLevel="0" collapsed="false">
      <c r="A641" s="53" t="s">
        <v>599</v>
      </c>
      <c r="B641" s="53" t="s">
        <v>597</v>
      </c>
      <c r="C641" s="5" t="s">
        <v>2219</v>
      </c>
      <c r="D641" s="6"/>
      <c r="E641" s="6"/>
      <c r="F641" s="6" t="s">
        <v>635</v>
      </c>
      <c r="G641" s="6"/>
      <c r="H641" s="6"/>
      <c r="I641" s="26" t="n">
        <v>0</v>
      </c>
      <c r="J641" s="26" t="n">
        <f aca="false">0</f>
        <v>0</v>
      </c>
      <c r="K641" s="43" t="str">
        <f aca="false">IF(I641=0,"No wiki control",IF(J641=I641,"Fully covered",IF(J641=0,"Not covered","Partly covered")))</f>
        <v>No wiki control</v>
      </c>
      <c r="L641" s="9" t="s">
        <v>2120</v>
      </c>
    </row>
    <row r="642" customFormat="false" ht="23.85" hidden="false" customHeight="false" outlineLevel="0" collapsed="false">
      <c r="A642" s="53" t="s">
        <v>599</v>
      </c>
      <c r="B642" s="53" t="s">
        <v>597</v>
      </c>
      <c r="C642" s="5" t="s">
        <v>2220</v>
      </c>
      <c r="D642" s="6"/>
      <c r="E642" s="6"/>
      <c r="F642" s="6" t="s">
        <v>635</v>
      </c>
      <c r="G642" s="6"/>
      <c r="H642" s="6"/>
      <c r="I642" s="26" t="n">
        <v>0</v>
      </c>
      <c r="J642" s="26" t="n">
        <f aca="false">0</f>
        <v>0</v>
      </c>
      <c r="K642" s="43" t="str">
        <f aca="false">IF(I642=0,"No wiki control",IF(J642=I642,"Fully covered",IF(J642=0,"Not covered","Partly covered")))</f>
        <v>No wiki control</v>
      </c>
      <c r="L642" s="9" t="s">
        <v>2120</v>
      </c>
    </row>
    <row r="643" customFormat="false" ht="23.85" hidden="false" customHeight="false" outlineLevel="0" collapsed="false">
      <c r="A643" s="53" t="s">
        <v>599</v>
      </c>
      <c r="B643" s="53" t="s">
        <v>597</v>
      </c>
      <c r="C643" s="5" t="s">
        <v>2221</v>
      </c>
      <c r="D643" s="6"/>
      <c r="E643" s="6"/>
      <c r="F643" s="6" t="s">
        <v>635</v>
      </c>
      <c r="G643" s="6"/>
      <c r="H643" s="6"/>
      <c r="I643" s="26" t="n">
        <v>0</v>
      </c>
      <c r="J643" s="26" t="n">
        <f aca="false">0</f>
        <v>0</v>
      </c>
      <c r="K643" s="43" t="str">
        <f aca="false">IF(I643=0,"No wiki control",IF(J643=I643,"Fully covered",IF(J643=0,"Not covered","Partly covered")))</f>
        <v>No wiki control</v>
      </c>
      <c r="L643" s="9" t="s">
        <v>2120</v>
      </c>
    </row>
    <row r="644" customFormat="false" ht="23.85" hidden="false" customHeight="false" outlineLevel="0" collapsed="false">
      <c r="A644" s="53" t="s">
        <v>599</v>
      </c>
      <c r="B644" s="53" t="s">
        <v>597</v>
      </c>
      <c r="C644" s="5" t="s">
        <v>2222</v>
      </c>
      <c r="D644" s="6"/>
      <c r="E644" s="6"/>
      <c r="F644" s="6" t="s">
        <v>635</v>
      </c>
      <c r="G644" s="6"/>
      <c r="H644" s="6"/>
      <c r="I644" s="26" t="n">
        <v>0</v>
      </c>
      <c r="J644" s="26" t="n">
        <f aca="false">0</f>
        <v>0</v>
      </c>
      <c r="K644" s="43" t="str">
        <f aca="false">IF(I644=0,"No wiki control",IF(J644=I644,"Fully covered",IF(J644=0,"Not covered","Partly covered")))</f>
        <v>No wiki control</v>
      </c>
      <c r="L644" s="9" t="s">
        <v>2120</v>
      </c>
    </row>
    <row r="645" customFormat="false" ht="23.85" hidden="false" customHeight="false" outlineLevel="0" collapsed="false">
      <c r="A645" s="53" t="s">
        <v>599</v>
      </c>
      <c r="B645" s="53" t="s">
        <v>597</v>
      </c>
      <c r="C645" s="5" t="s">
        <v>2223</v>
      </c>
      <c r="D645" s="6"/>
      <c r="E645" s="6"/>
      <c r="F645" s="6" t="s">
        <v>635</v>
      </c>
      <c r="G645" s="6"/>
      <c r="H645" s="6"/>
      <c r="I645" s="26" t="n">
        <v>0</v>
      </c>
      <c r="J645" s="26" t="n">
        <f aca="false">0</f>
        <v>0</v>
      </c>
      <c r="K645" s="43" t="str">
        <f aca="false">IF(I645=0,"No wiki control",IF(J645=I645,"Fully covered",IF(J645=0,"Not covered","Partly covered")))</f>
        <v>No wiki control</v>
      </c>
      <c r="L645" s="9" t="s">
        <v>2120</v>
      </c>
    </row>
    <row r="646" customFormat="false" ht="23.85" hidden="false" customHeight="false" outlineLevel="0" collapsed="false">
      <c r="A646" s="53" t="s">
        <v>599</v>
      </c>
      <c r="B646" s="53" t="s">
        <v>597</v>
      </c>
      <c r="C646" s="5" t="s">
        <v>2224</v>
      </c>
      <c r="D646" s="6"/>
      <c r="E646" s="6"/>
      <c r="F646" s="6" t="s">
        <v>635</v>
      </c>
      <c r="G646" s="6"/>
      <c r="H646" s="6"/>
      <c r="I646" s="26" t="n">
        <v>0</v>
      </c>
      <c r="J646" s="26" t="n">
        <f aca="false">0</f>
        <v>0</v>
      </c>
      <c r="K646" s="43" t="str">
        <f aca="false">IF(I646=0,"No wiki control",IF(J646=I646,"Fully covered",IF(J646=0,"Not covered","Partly covered")))</f>
        <v>No wiki control</v>
      </c>
      <c r="L646" s="9" t="s">
        <v>2120</v>
      </c>
    </row>
    <row r="647" customFormat="false" ht="23.85" hidden="false" customHeight="false" outlineLevel="0" collapsed="false">
      <c r="A647" s="53" t="s">
        <v>599</v>
      </c>
      <c r="B647" s="53" t="s">
        <v>597</v>
      </c>
      <c r="C647" s="5" t="s">
        <v>2225</v>
      </c>
      <c r="D647" s="6"/>
      <c r="E647" s="6"/>
      <c r="F647" s="6" t="s">
        <v>635</v>
      </c>
      <c r="G647" s="6"/>
      <c r="H647" s="6"/>
      <c r="I647" s="26" t="n">
        <v>0</v>
      </c>
      <c r="J647" s="26" t="n">
        <f aca="false">0</f>
        <v>0</v>
      </c>
      <c r="K647" s="43" t="str">
        <f aca="false">IF(I647=0,"No wiki control",IF(J647=I647,"Fully covered",IF(J647=0,"Not covered","Partly covered")))</f>
        <v>No wiki control</v>
      </c>
      <c r="L647" s="9" t="s">
        <v>2120</v>
      </c>
    </row>
    <row r="648" customFormat="false" ht="23.85" hidden="false" customHeight="false" outlineLevel="0" collapsed="false">
      <c r="A648" s="53" t="s">
        <v>599</v>
      </c>
      <c r="B648" s="53" t="s">
        <v>597</v>
      </c>
      <c r="C648" s="5" t="s">
        <v>2226</v>
      </c>
      <c r="D648" s="6"/>
      <c r="E648" s="6"/>
      <c r="F648" s="6" t="s">
        <v>635</v>
      </c>
      <c r="G648" s="6"/>
      <c r="H648" s="6"/>
      <c r="I648" s="26" t="n">
        <v>0</v>
      </c>
      <c r="J648" s="26" t="n">
        <f aca="false">0</f>
        <v>0</v>
      </c>
      <c r="K648" s="43" t="str">
        <f aca="false">IF(I648=0,"No wiki control",IF(J648=I648,"Fully covered",IF(J648=0,"Not covered","Partly covered")))</f>
        <v>No wiki control</v>
      </c>
      <c r="L648" s="9" t="s">
        <v>2120</v>
      </c>
    </row>
    <row r="649" customFormat="false" ht="23.85" hidden="false" customHeight="false" outlineLevel="0" collapsed="false">
      <c r="A649" s="53" t="s">
        <v>599</v>
      </c>
      <c r="B649" s="53" t="s">
        <v>597</v>
      </c>
      <c r="C649" s="5" t="s">
        <v>2227</v>
      </c>
      <c r="D649" s="6"/>
      <c r="E649" s="6"/>
      <c r="F649" s="6" t="s">
        <v>635</v>
      </c>
      <c r="G649" s="6"/>
      <c r="H649" s="6"/>
      <c r="I649" s="26" t="n">
        <v>0</v>
      </c>
      <c r="J649" s="26" t="n">
        <f aca="false">0</f>
        <v>0</v>
      </c>
      <c r="K649" s="43" t="str">
        <f aca="false">IF(I649=0,"No wiki control",IF(J649=I649,"Fully covered",IF(J649=0,"Not covered","Partly covered")))</f>
        <v>No wiki control</v>
      </c>
      <c r="L649" s="9" t="s">
        <v>2120</v>
      </c>
    </row>
    <row r="650" customFormat="false" ht="23.85" hidden="false" customHeight="false" outlineLevel="0" collapsed="false">
      <c r="A650" s="53" t="s">
        <v>599</v>
      </c>
      <c r="B650" s="53" t="s">
        <v>597</v>
      </c>
      <c r="C650" s="5" t="s">
        <v>2228</v>
      </c>
      <c r="D650" s="6"/>
      <c r="E650" s="6"/>
      <c r="F650" s="6" t="s">
        <v>635</v>
      </c>
      <c r="G650" s="6"/>
      <c r="H650" s="6"/>
      <c r="I650" s="26" t="n">
        <v>0</v>
      </c>
      <c r="J650" s="26" t="n">
        <f aca="false">0</f>
        <v>0</v>
      </c>
      <c r="K650" s="43" t="str">
        <f aca="false">IF(I650=0,"No wiki control",IF(J650=I650,"Fully covered",IF(J650=0,"Not covered","Partly covered")))</f>
        <v>No wiki control</v>
      </c>
      <c r="L650" s="9" t="s">
        <v>2120</v>
      </c>
    </row>
    <row r="651" customFormat="false" ht="23.85" hidden="false" customHeight="false" outlineLevel="0" collapsed="false">
      <c r="A651" s="53" t="s">
        <v>599</v>
      </c>
      <c r="B651" s="53" t="s">
        <v>597</v>
      </c>
      <c r="C651" s="5" t="s">
        <v>2229</v>
      </c>
      <c r="D651" s="6" t="s">
        <v>2230</v>
      </c>
      <c r="E651" s="6" t="s">
        <v>871</v>
      </c>
      <c r="F651" s="6" t="s">
        <v>725</v>
      </c>
      <c r="G651" s="6" t="s">
        <v>327</v>
      </c>
      <c r="H651" s="6"/>
      <c r="I651" s="26" t="n">
        <v>2</v>
      </c>
      <c r="J651" s="26" t="n">
        <f aca="false">COUNTIFS('Control Library'!$A$5:$A$50,"AI-CTRL-019",'Control Library'!$R$5:$R$50,"Implemented")+COUNTIFS('Control Library'!$A$5:$A$50,"AI-CTRL-029",'Control Library'!$R$5:$R$50,"Implemented")</f>
        <v>0</v>
      </c>
      <c r="K651" s="43" t="str">
        <f aca="false">IF(I651=0,"No wiki control",IF(J651=I651,"Fully covered",IF(J651=0,"Not covered","Partly covered")))</f>
        <v>Not covered</v>
      </c>
      <c r="L651" s="9" t="s">
        <v>2120</v>
      </c>
    </row>
    <row r="652" customFormat="false" ht="23.85" hidden="false" customHeight="false" outlineLevel="0" collapsed="false">
      <c r="A652" s="53" t="s">
        <v>599</v>
      </c>
      <c r="B652" s="53" t="s">
        <v>597</v>
      </c>
      <c r="C652" s="5" t="s">
        <v>2231</v>
      </c>
      <c r="D652" s="6" t="s">
        <v>2232</v>
      </c>
      <c r="E652" s="6" t="s">
        <v>485</v>
      </c>
      <c r="F652" s="6" t="s">
        <v>725</v>
      </c>
      <c r="G652" s="6" t="s">
        <v>489</v>
      </c>
      <c r="H652" s="6"/>
      <c r="I652" s="26" t="n">
        <v>1</v>
      </c>
      <c r="J652" s="26" t="n">
        <f aca="false">COUNTIFS('Control Library'!$A$5:$A$50,"AI-CTRL-039",'Control Library'!$R$5:$R$50,"Implemented")</f>
        <v>0</v>
      </c>
      <c r="K652" s="43" t="str">
        <f aca="false">IF(I652=0,"No wiki control",IF(J652=I652,"Fully covered",IF(J652=0,"Not covered","Partly covered")))</f>
        <v>Not covered</v>
      </c>
      <c r="L652" s="9" t="s">
        <v>2120</v>
      </c>
    </row>
    <row r="653" customFormat="false" ht="23.85" hidden="false" customHeight="false" outlineLevel="0" collapsed="false">
      <c r="A653" s="53" t="s">
        <v>599</v>
      </c>
      <c r="B653" s="53" t="s">
        <v>597</v>
      </c>
      <c r="C653" s="5" t="s">
        <v>2233</v>
      </c>
      <c r="D653" s="6" t="s">
        <v>2234</v>
      </c>
      <c r="E653" s="6" t="s">
        <v>2235</v>
      </c>
      <c r="F653" s="6" t="s">
        <v>725</v>
      </c>
      <c r="G653" s="6" t="s">
        <v>2236</v>
      </c>
      <c r="H653" s="6"/>
      <c r="I653" s="26" t="n">
        <v>2</v>
      </c>
      <c r="J653" s="26" t="n">
        <f aca="false">COUNTIFS('Control Library'!$A$5:$A$50,"AI-CTRL-020",'Control Library'!$R$5:$R$50,"Implemented")+COUNTIFS('Control Library'!$A$5:$A$50,"AI-CTRL-039",'Control Library'!$R$5:$R$50,"Implemented")</f>
        <v>0</v>
      </c>
      <c r="K653" s="43" t="str">
        <f aca="false">IF(I653=0,"No wiki control",IF(J653=I653,"Fully covered",IF(J653=0,"Not covered","Partly covered")))</f>
        <v>Not covered</v>
      </c>
      <c r="L653" s="9" t="s">
        <v>2120</v>
      </c>
    </row>
    <row r="654" customFormat="false" ht="23.85" hidden="false" customHeight="false" outlineLevel="0" collapsed="false">
      <c r="A654" s="53" t="s">
        <v>599</v>
      </c>
      <c r="B654" s="53" t="s">
        <v>597</v>
      </c>
      <c r="C654" s="5" t="s">
        <v>2237</v>
      </c>
      <c r="D654" s="6" t="s">
        <v>2238</v>
      </c>
      <c r="E654" s="6" t="s">
        <v>379</v>
      </c>
      <c r="F654" s="6" t="s">
        <v>725</v>
      </c>
      <c r="G654" s="6" t="s">
        <v>382</v>
      </c>
      <c r="H654" s="6"/>
      <c r="I654" s="26" t="n">
        <v>1</v>
      </c>
      <c r="J654" s="26" t="n">
        <f aca="false">COUNTIFS('Control Library'!$A$5:$A$50,"AI-CTRL-026",'Control Library'!$R$5:$R$50,"Implemented")</f>
        <v>0</v>
      </c>
      <c r="K654" s="43" t="str">
        <f aca="false">IF(I654=0,"No wiki control",IF(J654=I654,"Fully covered",IF(J654=0,"Not covered","Partly covered")))</f>
        <v>Not covered</v>
      </c>
      <c r="L654" s="9" t="s">
        <v>2120</v>
      </c>
    </row>
    <row r="655" customFormat="false" ht="23.85" hidden="false" customHeight="false" outlineLevel="0" collapsed="false">
      <c r="A655" s="55" t="s">
        <v>600</v>
      </c>
      <c r="B655" s="55" t="s">
        <v>601</v>
      </c>
      <c r="C655" s="5" t="s">
        <v>2239</v>
      </c>
      <c r="D655" s="6" t="s">
        <v>2240</v>
      </c>
      <c r="E655" s="6" t="s">
        <v>255</v>
      </c>
      <c r="F655" s="6" t="s">
        <v>725</v>
      </c>
      <c r="G655" s="6" t="s">
        <v>258</v>
      </c>
      <c r="H655" s="6" t="s">
        <v>1011</v>
      </c>
      <c r="I655" s="26" t="n">
        <v>1</v>
      </c>
      <c r="J655" s="26" t="n">
        <f aca="false">COUNTIFS('Control Library'!$A$5:$A$50,"AI-CTRL-011",'Control Library'!$R$5:$R$50,"Implemented")</f>
        <v>0</v>
      </c>
      <c r="K655" s="43" t="str">
        <f aca="false">IF(I655=0,"No wiki control",IF(J655=I655,"Fully covered",IF(J655=0,"Not covered","Partly covered")))</f>
        <v>Not covered</v>
      </c>
      <c r="L655" s="9" t="s">
        <v>2241</v>
      </c>
    </row>
    <row r="656" customFormat="false" ht="35.05" hidden="false" customHeight="false" outlineLevel="0" collapsed="false">
      <c r="A656" s="55" t="s">
        <v>600</v>
      </c>
      <c r="B656" s="55" t="s">
        <v>601</v>
      </c>
      <c r="C656" s="5" t="s">
        <v>2242</v>
      </c>
      <c r="D656" s="6" t="s">
        <v>2243</v>
      </c>
      <c r="E656" s="6" t="s">
        <v>2244</v>
      </c>
      <c r="F656" s="6" t="s">
        <v>725</v>
      </c>
      <c r="G656" s="6" t="s">
        <v>2245</v>
      </c>
      <c r="H656" s="6" t="s">
        <v>652</v>
      </c>
      <c r="I656" s="26" t="n">
        <v>4</v>
      </c>
      <c r="J656" s="26" t="n">
        <f aca="false">COUNTIFS('Control Library'!$A$5:$A$50,"AI-CTRL-013",'Control Library'!$R$5:$R$50,"Implemented")+COUNTIFS('Control Library'!$A$5:$A$50,"AI-CTRL-041",'Control Library'!$R$5:$R$50,"Implemented")+COUNTIFS('Control Library'!$A$5:$A$50,"AI-CTRL-042",'Control Library'!$R$5:$R$50,"Implemented")+COUNTIFS('Control Library'!$A$5:$A$50,"AI-CTRL-045",'Control Library'!$R$5:$R$50,"Implemented")</f>
        <v>0</v>
      </c>
      <c r="K656" s="43" t="str">
        <f aca="false">IF(I656=0,"No wiki control",IF(J656=I656,"Fully covered",IF(J656=0,"Not covered","Partly covered")))</f>
        <v>Not covered</v>
      </c>
      <c r="L656" s="9" t="s">
        <v>2241</v>
      </c>
    </row>
    <row r="657" customFormat="false" ht="35.05" hidden="false" customHeight="false" outlineLevel="0" collapsed="false">
      <c r="A657" s="55" t="s">
        <v>600</v>
      </c>
      <c r="B657" s="55" t="s">
        <v>601</v>
      </c>
      <c r="C657" s="5" t="s">
        <v>2246</v>
      </c>
      <c r="D657" s="6" t="s">
        <v>2247</v>
      </c>
      <c r="E657" s="6" t="s">
        <v>2248</v>
      </c>
      <c r="F657" s="6" t="s">
        <v>725</v>
      </c>
      <c r="G657" s="6" t="s">
        <v>2249</v>
      </c>
      <c r="H657" s="6" t="s">
        <v>652</v>
      </c>
      <c r="I657" s="26" t="n">
        <v>3</v>
      </c>
      <c r="J657" s="26" t="n">
        <f aca="false">COUNTIFS('Control Library'!$A$5:$A$50,"AI-CTRL-013",'Control Library'!$R$5:$R$50,"Implemented")+COUNTIFS('Control Library'!$A$5:$A$50,"AI-CTRL-039",'Control Library'!$R$5:$R$50,"Implemented")+COUNTIFS('Control Library'!$A$5:$A$50,"AI-CTRL-041",'Control Library'!$R$5:$R$50,"Implemented")</f>
        <v>0</v>
      </c>
      <c r="K657" s="43" t="str">
        <f aca="false">IF(I657=0,"No wiki control",IF(J657=I657,"Fully covered",IF(J657=0,"Not covered","Partly covered")))</f>
        <v>Not covered</v>
      </c>
      <c r="L657" s="9" t="s">
        <v>2241</v>
      </c>
    </row>
    <row r="658" customFormat="false" ht="46.25" hidden="false" customHeight="false" outlineLevel="0" collapsed="false">
      <c r="A658" s="55" t="s">
        <v>600</v>
      </c>
      <c r="B658" s="55" t="s">
        <v>601</v>
      </c>
      <c r="C658" s="5" t="s">
        <v>2250</v>
      </c>
      <c r="D658" s="6" t="s">
        <v>2251</v>
      </c>
      <c r="E658" s="6" t="s">
        <v>2252</v>
      </c>
      <c r="F658" s="6" t="s">
        <v>725</v>
      </c>
      <c r="G658" s="6" t="s">
        <v>2253</v>
      </c>
      <c r="H658" s="6" t="s">
        <v>637</v>
      </c>
      <c r="I658" s="26" t="n">
        <v>5</v>
      </c>
      <c r="J658" s="26" t="n">
        <f aca="false">COUNTIFS('Control Library'!$A$5:$A$50,"AI-CTRL-005",'Control Library'!$R$5:$R$50,"Implemented")+COUNTIFS('Control Library'!$A$5:$A$50,"AI-CTRL-025",'Control Library'!$R$5:$R$50,"Implemented")+COUNTIFS('Control Library'!$A$5:$A$50,"AI-CTRL-028",'Control Library'!$R$5:$R$50,"Implemented")+COUNTIFS('Control Library'!$A$5:$A$50,"AI-CTRL-034",'Control Library'!$R$5:$R$50,"Implemented")+COUNTIFS('Control Library'!$A$5:$A$50,"AI-CTRL-040",'Control Library'!$R$5:$R$50,"Implemented")</f>
        <v>0</v>
      </c>
      <c r="K658" s="43" t="str">
        <f aca="false">IF(I658=0,"No wiki control",IF(J658=I658,"Fully covered",IF(J658=0,"Not covered","Partly covered")))</f>
        <v>Not covered</v>
      </c>
      <c r="L658" s="9" t="s">
        <v>2241</v>
      </c>
    </row>
    <row r="659" customFormat="false" ht="35.05" hidden="false" customHeight="false" outlineLevel="0" collapsed="false">
      <c r="A659" s="55" t="s">
        <v>600</v>
      </c>
      <c r="B659" s="55" t="s">
        <v>601</v>
      </c>
      <c r="C659" s="5" t="s">
        <v>2254</v>
      </c>
      <c r="D659" s="6" t="s">
        <v>2255</v>
      </c>
      <c r="E659" s="6" t="s">
        <v>2256</v>
      </c>
      <c r="F659" s="6" t="s">
        <v>725</v>
      </c>
      <c r="G659" s="6" t="s">
        <v>2257</v>
      </c>
      <c r="H659" s="6" t="s">
        <v>637</v>
      </c>
      <c r="I659" s="26" t="n">
        <v>5</v>
      </c>
      <c r="J659" s="26" t="n">
        <f aca="false">COUNTIFS('Control Library'!$A$5:$A$50,"AI-CTRL-008",'Control Library'!$R$5:$R$50,"Implemented")+COUNTIFS('Control Library'!$A$5:$A$50,"AI-CTRL-011",'Control Library'!$R$5:$R$50,"Implemented")+COUNTIFS('Control Library'!$A$5:$A$50,"AI-CTRL-012",'Control Library'!$R$5:$R$50,"Implemented")+COUNTIFS('Control Library'!$A$5:$A$50,"AI-CTRL-037",'Control Library'!$R$5:$R$50,"Implemented")+COUNTIFS('Control Library'!$A$5:$A$50,"AI-CTRL-038",'Control Library'!$R$5:$R$50,"Implemented")</f>
        <v>0</v>
      </c>
      <c r="K659" s="43" t="str">
        <f aca="false">IF(I659=0,"No wiki control",IF(J659=I659,"Fully covered",IF(J659=0,"Not covered","Partly covered")))</f>
        <v>Not covered</v>
      </c>
      <c r="L659" s="9" t="s">
        <v>2241</v>
      </c>
    </row>
    <row r="660" customFormat="false" ht="35.05" hidden="false" customHeight="false" outlineLevel="0" collapsed="false">
      <c r="A660" s="55" t="s">
        <v>602</v>
      </c>
      <c r="B660" s="55" t="s">
        <v>601</v>
      </c>
      <c r="C660" s="5" t="s">
        <v>2255</v>
      </c>
      <c r="D660" s="6" t="s">
        <v>2255</v>
      </c>
      <c r="E660" s="6" t="s">
        <v>2258</v>
      </c>
      <c r="F660" s="6" t="s">
        <v>725</v>
      </c>
      <c r="G660" s="6" t="s">
        <v>2257</v>
      </c>
      <c r="H660" s="6" t="s">
        <v>637</v>
      </c>
      <c r="I660" s="26" t="n">
        <v>4</v>
      </c>
      <c r="J660" s="26" t="n">
        <f aca="false">COUNTIFS('Control Library'!$A$5:$A$50,"AI-CTRL-008",'Control Library'!$R$5:$R$50,"Implemented")+COUNTIFS('Control Library'!$A$5:$A$50,"AI-CTRL-012",'Control Library'!$R$5:$R$50,"Implemented")+COUNTIFS('Control Library'!$A$5:$A$50,"AI-CTRL-037",'Control Library'!$R$5:$R$50,"Implemented")+COUNTIFS('Control Library'!$A$5:$A$50,"AI-CTRL-038",'Control Library'!$R$5:$R$50,"Implemented")</f>
        <v>0</v>
      </c>
      <c r="K660" s="43" t="str">
        <f aca="false">IF(I660=0,"No wiki control",IF(J660=I660,"Fully covered",IF(J660=0,"Not covered","Partly covered")))</f>
        <v>Not covered</v>
      </c>
      <c r="L660" s="9" t="s">
        <v>2259</v>
      </c>
    </row>
    <row r="661" customFormat="false" ht="35.05" hidden="false" customHeight="false" outlineLevel="0" collapsed="false">
      <c r="A661" s="55" t="s">
        <v>602</v>
      </c>
      <c r="B661" s="55" t="s">
        <v>601</v>
      </c>
      <c r="C661" s="5" t="s">
        <v>2260</v>
      </c>
      <c r="D661" s="6" t="s">
        <v>2260</v>
      </c>
      <c r="E661" s="6" t="s">
        <v>503</v>
      </c>
      <c r="F661" s="6" t="s">
        <v>725</v>
      </c>
      <c r="G661" s="6" t="s">
        <v>506</v>
      </c>
      <c r="H661" s="6" t="s">
        <v>652</v>
      </c>
      <c r="I661" s="26" t="n">
        <v>1</v>
      </c>
      <c r="J661" s="26" t="n">
        <f aca="false">COUNTIFS('Control Library'!$A$5:$A$50,"AI-CTRL-041",'Control Library'!$R$5:$R$50,"Implemented")</f>
        <v>0</v>
      </c>
      <c r="K661" s="43" t="str">
        <f aca="false">IF(I661=0,"No wiki control",IF(J661=I661,"Fully covered",IF(J661=0,"Not covered","Partly covered")))</f>
        <v>Not covered</v>
      </c>
      <c r="L661" s="9" t="s">
        <v>2259</v>
      </c>
    </row>
    <row r="662" customFormat="false" ht="35.05" hidden="false" customHeight="false" outlineLevel="0" collapsed="false">
      <c r="A662" s="55" t="s">
        <v>602</v>
      </c>
      <c r="B662" s="55" t="s">
        <v>601</v>
      </c>
      <c r="C662" s="5" t="s">
        <v>2261</v>
      </c>
      <c r="D662" s="6" t="s">
        <v>2261</v>
      </c>
      <c r="E662" s="6" t="s">
        <v>1945</v>
      </c>
      <c r="F662" s="6" t="s">
        <v>725</v>
      </c>
      <c r="G662" s="6" t="s">
        <v>1946</v>
      </c>
      <c r="H662" s="6" t="s">
        <v>637</v>
      </c>
      <c r="I662" s="26" t="n">
        <v>3</v>
      </c>
      <c r="J662" s="26" t="n">
        <f aca="false">COUNTIFS('Control Library'!$A$5:$A$50,"AI-CTRL-023",'Control Library'!$R$5:$R$50,"Implemented")+COUNTIFS('Control Library'!$A$5:$A$50,"AI-CTRL-025",'Control Library'!$R$5:$R$50,"Implemented")+COUNTIFS('Control Library'!$A$5:$A$50,"AI-CTRL-045",'Control Library'!$R$5:$R$50,"Implemented")</f>
        <v>0</v>
      </c>
      <c r="K662" s="43" t="str">
        <f aca="false">IF(I662=0,"No wiki control",IF(J662=I662,"Fully covered",IF(J662=0,"Not covered","Partly covered")))</f>
        <v>Not covered</v>
      </c>
      <c r="L662" s="9" t="s">
        <v>2259</v>
      </c>
    </row>
    <row r="663" customFormat="false" ht="35.05" hidden="false" customHeight="false" outlineLevel="0" collapsed="false">
      <c r="A663" s="55" t="s">
        <v>602</v>
      </c>
      <c r="B663" s="55" t="s">
        <v>601</v>
      </c>
      <c r="C663" s="5" t="s">
        <v>2262</v>
      </c>
      <c r="D663" s="6" t="s">
        <v>2262</v>
      </c>
      <c r="E663" s="6" t="s">
        <v>1927</v>
      </c>
      <c r="F663" s="6" t="s">
        <v>725</v>
      </c>
      <c r="G663" s="6" t="s">
        <v>1928</v>
      </c>
      <c r="H663" s="6" t="s">
        <v>637</v>
      </c>
      <c r="I663" s="26" t="n">
        <v>3</v>
      </c>
      <c r="J663" s="26" t="n">
        <f aca="false">COUNTIFS('Control Library'!$A$5:$A$50,"AI-CTRL-013",'Control Library'!$R$5:$R$50,"Implemented")+COUNTIFS('Control Library'!$A$5:$A$50,"AI-CTRL-017",'Control Library'!$R$5:$R$50,"Implemented")+COUNTIFS('Control Library'!$A$5:$A$50,"AI-CTRL-029",'Control Library'!$R$5:$R$50,"Implemented")</f>
        <v>0</v>
      </c>
      <c r="K663" s="43" t="str">
        <f aca="false">IF(I663=0,"No wiki control",IF(J663=I663,"Fully covered",IF(J663=0,"Not covered","Partly covered")))</f>
        <v>Not covered</v>
      </c>
      <c r="L663" s="9" t="s">
        <v>2259</v>
      </c>
    </row>
    <row r="664" customFormat="false" ht="35.05" hidden="false" customHeight="false" outlineLevel="0" collapsed="false">
      <c r="A664" s="55" t="s">
        <v>602</v>
      </c>
      <c r="B664" s="55" t="s">
        <v>601</v>
      </c>
      <c r="C664" s="5" t="s">
        <v>2263</v>
      </c>
      <c r="D664" s="6" t="s">
        <v>2263</v>
      </c>
      <c r="E664" s="6"/>
      <c r="F664" s="6" t="s">
        <v>635</v>
      </c>
      <c r="G664" s="6"/>
      <c r="H664" s="6" t="s">
        <v>1011</v>
      </c>
      <c r="I664" s="26" t="n">
        <v>0</v>
      </c>
      <c r="J664" s="26" t="n">
        <f aca="false">0</f>
        <v>0</v>
      </c>
      <c r="K664" s="43" t="str">
        <f aca="false">IF(I664=0,"No wiki control",IF(J664=I664,"Fully covered",IF(J664=0,"Not covered","Partly covered")))</f>
        <v>No wiki control</v>
      </c>
      <c r="L664" s="9" t="s">
        <v>2259</v>
      </c>
    </row>
    <row r="665" customFormat="false" ht="35.05" hidden="false" customHeight="false" outlineLevel="0" collapsed="false">
      <c r="A665" s="55" t="s">
        <v>602</v>
      </c>
      <c r="B665" s="55" t="s">
        <v>601</v>
      </c>
      <c r="C665" s="5" t="s">
        <v>2264</v>
      </c>
      <c r="D665" s="6" t="s">
        <v>2264</v>
      </c>
      <c r="E665" s="6" t="s">
        <v>2265</v>
      </c>
      <c r="F665" s="6" t="s">
        <v>725</v>
      </c>
      <c r="G665" s="6" t="s">
        <v>2266</v>
      </c>
      <c r="H665" s="6" t="s">
        <v>637</v>
      </c>
      <c r="I665" s="26" t="n">
        <v>4</v>
      </c>
      <c r="J665" s="26" t="n">
        <f aca="false">COUNTIFS('Control Library'!$A$5:$A$50,"AI-CTRL-005",'Control Library'!$R$5:$R$50,"Implemented")+COUNTIFS('Control Library'!$A$5:$A$50,"AI-CTRL-028",'Control Library'!$R$5:$R$50,"Implemented")+COUNTIFS('Control Library'!$A$5:$A$50,"AI-CTRL-034",'Control Library'!$R$5:$R$50,"Implemented")+COUNTIFS('Control Library'!$A$5:$A$50,"AI-CTRL-040",'Control Library'!$R$5:$R$50,"Implemented")</f>
        <v>0</v>
      </c>
      <c r="K665" s="43" t="str">
        <f aca="false">IF(I665=0,"No wiki control",IF(J665=I665,"Fully covered",IF(J665=0,"Not covered","Partly covered")))</f>
        <v>Not covered</v>
      </c>
      <c r="L665" s="9" t="s">
        <v>2259</v>
      </c>
    </row>
    <row r="666" customFormat="false" ht="23.85" hidden="false" customHeight="false" outlineLevel="0" collapsed="false">
      <c r="A666" s="55" t="s">
        <v>602</v>
      </c>
      <c r="B666" s="55" t="s">
        <v>601</v>
      </c>
      <c r="C666" s="5" t="s">
        <v>2267</v>
      </c>
      <c r="D666" s="6" t="s">
        <v>2267</v>
      </c>
      <c r="E666" s="6" t="s">
        <v>2268</v>
      </c>
      <c r="F666" s="6" t="s">
        <v>725</v>
      </c>
      <c r="G666" s="6" t="s">
        <v>1185</v>
      </c>
      <c r="H666" s="6" t="s">
        <v>652</v>
      </c>
      <c r="I666" s="26" t="n">
        <v>3</v>
      </c>
      <c r="J666" s="26" t="n">
        <f aca="false">COUNTIFS('Control Library'!$A$5:$A$50,"AI-CTRL-008",'Control Library'!$R$5:$R$50,"Implemented")+COUNTIFS('Control Library'!$A$5:$A$50,"AI-CTRL-039",'Control Library'!$R$5:$R$50,"Implemented")+COUNTIFS('Control Library'!$A$5:$A$50,"AI-CTRL-041",'Control Library'!$R$5:$R$50,"Implemented")</f>
        <v>0</v>
      </c>
      <c r="K666" s="43" t="str">
        <f aca="false">IF(I666=0,"No wiki control",IF(J666=I666,"Fully covered",IF(J666=0,"Not covered","Partly covered")))</f>
        <v>Not covered</v>
      </c>
      <c r="L666" s="9" t="s">
        <v>2259</v>
      </c>
    </row>
    <row r="667" customFormat="false" ht="23.85" hidden="false" customHeight="false" outlineLevel="0" collapsed="false">
      <c r="A667" s="55" t="s">
        <v>603</v>
      </c>
      <c r="B667" s="55" t="s">
        <v>601</v>
      </c>
      <c r="C667" s="5" t="s">
        <v>2269</v>
      </c>
      <c r="D667" s="6" t="s">
        <v>529</v>
      </c>
      <c r="E667" s="6" t="s">
        <v>529</v>
      </c>
      <c r="F667" s="6" t="s">
        <v>725</v>
      </c>
      <c r="G667" s="6" t="s">
        <v>532</v>
      </c>
      <c r="H667" s="6" t="s">
        <v>637</v>
      </c>
      <c r="I667" s="26" t="n">
        <v>1</v>
      </c>
      <c r="J667" s="26" t="n">
        <f aca="false">COUNTIFS('Control Library'!$A$5:$A$50,"AI-CTRL-044",'Control Library'!$R$5:$R$50,"Implemented")</f>
        <v>0</v>
      </c>
      <c r="K667" s="43" t="str">
        <f aca="false">IF(I667=0,"No wiki control",IF(J667=I667,"Fully covered",IF(J667=0,"Not covered","Partly covered")))</f>
        <v>Not covered</v>
      </c>
      <c r="L667" s="9" t="s">
        <v>2259</v>
      </c>
    </row>
    <row r="668" customFormat="false" ht="23.85" hidden="false" customHeight="false" outlineLevel="0" collapsed="false">
      <c r="A668" s="55" t="s">
        <v>603</v>
      </c>
      <c r="B668" s="55" t="s">
        <v>601</v>
      </c>
      <c r="C668" s="5" t="s">
        <v>2270</v>
      </c>
      <c r="D668" s="6" t="s">
        <v>503</v>
      </c>
      <c r="E668" s="6" t="s">
        <v>503</v>
      </c>
      <c r="F668" s="6" t="s">
        <v>725</v>
      </c>
      <c r="G668" s="6" t="s">
        <v>506</v>
      </c>
      <c r="H668" s="6" t="s">
        <v>652</v>
      </c>
      <c r="I668" s="26" t="n">
        <v>1</v>
      </c>
      <c r="J668" s="26" t="n">
        <f aca="false">COUNTIFS('Control Library'!$A$5:$A$50,"AI-CTRL-041",'Control Library'!$R$5:$R$50,"Implemented")</f>
        <v>0</v>
      </c>
      <c r="K668" s="43" t="str">
        <f aca="false">IF(I668=0,"No wiki control",IF(J668=I668,"Fully covered",IF(J668=0,"Not covered","Partly covered")))</f>
        <v>Not covered</v>
      </c>
      <c r="L668" s="9" t="s">
        <v>2259</v>
      </c>
    </row>
    <row r="669" customFormat="false" ht="23.85" hidden="false" customHeight="false" outlineLevel="0" collapsed="false">
      <c r="A669" s="55" t="s">
        <v>603</v>
      </c>
      <c r="B669" s="55" t="s">
        <v>601</v>
      </c>
      <c r="C669" s="5" t="s">
        <v>2271</v>
      </c>
      <c r="D669" s="6" t="s">
        <v>2272</v>
      </c>
      <c r="E669" s="6" t="s">
        <v>800</v>
      </c>
      <c r="F669" s="6" t="s">
        <v>725</v>
      </c>
      <c r="G669" s="6" t="s">
        <v>541</v>
      </c>
      <c r="H669" s="6" t="s">
        <v>637</v>
      </c>
      <c r="I669" s="26" t="n">
        <v>2</v>
      </c>
      <c r="J669" s="26" t="n">
        <f aca="false">COUNTIFS('Control Library'!$A$5:$A$50,"AI-CTRL-023",'Control Library'!$R$5:$R$50,"Implemented")+COUNTIFS('Control Library'!$A$5:$A$50,"AI-CTRL-045",'Control Library'!$R$5:$R$50,"Implemented")</f>
        <v>0</v>
      </c>
      <c r="K669" s="43" t="str">
        <f aca="false">IF(I669=0,"No wiki control",IF(J669=I669,"Fully covered",IF(J669=0,"Not covered","Partly covered")))</f>
        <v>Not covered</v>
      </c>
      <c r="L669" s="9" t="s">
        <v>2259</v>
      </c>
    </row>
    <row r="670" customFormat="false" ht="35.05" hidden="false" customHeight="false" outlineLevel="0" collapsed="false">
      <c r="A670" s="55" t="s">
        <v>603</v>
      </c>
      <c r="B670" s="55" t="s">
        <v>601</v>
      </c>
      <c r="C670" s="5" t="s">
        <v>2273</v>
      </c>
      <c r="D670" s="6" t="s">
        <v>2274</v>
      </c>
      <c r="E670" s="6" t="s">
        <v>2274</v>
      </c>
      <c r="F670" s="6" t="s">
        <v>725</v>
      </c>
      <c r="G670" s="6" t="s">
        <v>2275</v>
      </c>
      <c r="H670" s="6" t="s">
        <v>652</v>
      </c>
      <c r="I670" s="26" t="n">
        <v>2</v>
      </c>
      <c r="J670" s="26" t="n">
        <f aca="false">COUNTIFS('Control Library'!$A$5:$A$50,"AI-CTRL-012",'Control Library'!$R$5:$R$50,"Implemented")+COUNTIFS('Control Library'!$A$5:$A$50,"AI-CTRL-043",'Control Library'!$R$5:$R$50,"Implemented")</f>
        <v>0</v>
      </c>
      <c r="K670" s="43" t="str">
        <f aca="false">IF(I670=0,"No wiki control",IF(J670=I670,"Fully covered",IF(J670=0,"Not covered","Partly covered")))</f>
        <v>Not covered</v>
      </c>
      <c r="L670" s="9" t="s">
        <v>2259</v>
      </c>
    </row>
    <row r="671" customFormat="false" ht="23.85" hidden="false" customHeight="false" outlineLevel="0" collapsed="false">
      <c r="A671" s="55" t="s">
        <v>603</v>
      </c>
      <c r="B671" s="55" t="s">
        <v>601</v>
      </c>
      <c r="C671" s="5" t="s">
        <v>2276</v>
      </c>
      <c r="D671" s="6" t="s">
        <v>2277</v>
      </c>
      <c r="E671" s="6" t="s">
        <v>2277</v>
      </c>
      <c r="F671" s="6" t="s">
        <v>725</v>
      </c>
      <c r="G671" s="6" t="s">
        <v>1059</v>
      </c>
      <c r="H671" s="6" t="s">
        <v>652</v>
      </c>
      <c r="I671" s="26" t="n">
        <v>2</v>
      </c>
      <c r="J671" s="26" t="n">
        <f aca="false">COUNTIFS('Control Library'!$A$5:$A$50,"AI-CTRL-037",'Control Library'!$R$5:$R$50,"Implemented")+COUNTIFS('Control Library'!$A$5:$A$50,"AI-CTRL-042",'Control Library'!$R$5:$R$50,"Implemented")</f>
        <v>0</v>
      </c>
      <c r="K671" s="43" t="str">
        <f aca="false">IF(I671=0,"No wiki control",IF(J671=I671,"Fully covered",IF(J671=0,"Not covered","Partly covered")))</f>
        <v>Not covered</v>
      </c>
      <c r="L671" s="9" t="s">
        <v>2259</v>
      </c>
    </row>
    <row r="672" customFormat="false" ht="35.05" hidden="false" customHeight="false" outlineLevel="0" collapsed="false">
      <c r="A672" s="55" t="s">
        <v>603</v>
      </c>
      <c r="B672" s="55" t="s">
        <v>601</v>
      </c>
      <c r="C672" s="5" t="s">
        <v>2278</v>
      </c>
      <c r="D672" s="6" t="s">
        <v>2279</v>
      </c>
      <c r="E672" s="6" t="s">
        <v>2279</v>
      </c>
      <c r="F672" s="6" t="s">
        <v>725</v>
      </c>
      <c r="G672" s="6" t="s">
        <v>2280</v>
      </c>
      <c r="H672" s="6" t="s">
        <v>637</v>
      </c>
      <c r="I672" s="26" t="n">
        <v>2</v>
      </c>
      <c r="J672" s="26" t="n">
        <f aca="false">COUNTIFS('Control Library'!$A$5:$A$50,"AI-CTRL-012",'Control Library'!$R$5:$R$50,"Implemented")+COUNTIFS('Control Library'!$A$5:$A$50,"AI-CTRL-038",'Control Library'!$R$5:$R$50,"Implemented")</f>
        <v>0</v>
      </c>
      <c r="K672" s="43" t="str">
        <f aca="false">IF(I672=0,"No wiki control",IF(J672=I672,"Fully covered",IF(J672=0,"Not covered","Partly covered")))</f>
        <v>Not covered</v>
      </c>
      <c r="L672" s="9" t="s">
        <v>2259</v>
      </c>
    </row>
    <row r="673" customFormat="false" ht="23.85" hidden="false" customHeight="false" outlineLevel="0" collapsed="false">
      <c r="A673" s="55" t="s">
        <v>603</v>
      </c>
      <c r="B673" s="55" t="s">
        <v>601</v>
      </c>
      <c r="C673" s="5" t="s">
        <v>2281</v>
      </c>
      <c r="D673" s="6" t="s">
        <v>1938</v>
      </c>
      <c r="E673" s="6" t="s">
        <v>1938</v>
      </c>
      <c r="F673" s="6" t="s">
        <v>725</v>
      </c>
      <c r="G673" s="6" t="s">
        <v>1816</v>
      </c>
      <c r="H673" s="6" t="s">
        <v>637</v>
      </c>
      <c r="I673" s="26" t="n">
        <v>2</v>
      </c>
      <c r="J673" s="26" t="n">
        <f aca="false">COUNTIFS('Control Library'!$A$5:$A$50,"AI-CTRL-013",'Control Library'!$R$5:$R$50,"Implemented")+COUNTIFS('Control Library'!$A$5:$A$50,"AI-CTRL-017",'Control Library'!$R$5:$R$50,"Implemented")</f>
        <v>0</v>
      </c>
      <c r="K673" s="43" t="str">
        <f aca="false">IF(I673=0,"No wiki control",IF(J673=I673,"Fully covered",IF(J673=0,"Not covered","Partly covered")))</f>
        <v>Not covered</v>
      </c>
      <c r="L673" s="9" t="s">
        <v>2259</v>
      </c>
    </row>
    <row r="674" customFormat="false" ht="35.05" hidden="false" customHeight="false" outlineLevel="0" collapsed="false">
      <c r="A674" s="55" t="s">
        <v>603</v>
      </c>
      <c r="B674" s="55" t="s">
        <v>601</v>
      </c>
      <c r="C674" s="5" t="s">
        <v>2282</v>
      </c>
      <c r="D674" s="6" t="s">
        <v>2283</v>
      </c>
      <c r="E674" s="6" t="s">
        <v>2283</v>
      </c>
      <c r="F674" s="6" t="s">
        <v>725</v>
      </c>
      <c r="G674" s="6" t="s">
        <v>2284</v>
      </c>
      <c r="H674" s="6" t="s">
        <v>637</v>
      </c>
      <c r="I674" s="26" t="n">
        <v>3</v>
      </c>
      <c r="J674" s="26" t="n">
        <f aca="false">COUNTIFS('Control Library'!$A$5:$A$50,"AI-CTRL-005",'Control Library'!$R$5:$R$50,"Implemented")+COUNTIFS('Control Library'!$A$5:$A$50,"AI-CTRL-034",'Control Library'!$R$5:$R$50,"Implemented")+COUNTIFS('Control Library'!$A$5:$A$50,"AI-CTRL-040",'Control Library'!$R$5:$R$50,"Implemented")</f>
        <v>0</v>
      </c>
      <c r="K674" s="43" t="str">
        <f aca="false">IF(I674=0,"No wiki control",IF(J674=I674,"Fully covered",IF(J674=0,"Not covered","Partly covered")))</f>
        <v>Not covered</v>
      </c>
      <c r="L674" s="9" t="s">
        <v>2259</v>
      </c>
    </row>
    <row r="675" customFormat="false" ht="23.85" hidden="false" customHeight="false" outlineLevel="0" collapsed="false">
      <c r="A675" s="55" t="s">
        <v>603</v>
      </c>
      <c r="B675" s="55" t="s">
        <v>601</v>
      </c>
      <c r="C675" s="5" t="s">
        <v>2285</v>
      </c>
      <c r="D675" s="6" t="s">
        <v>1011</v>
      </c>
      <c r="E675" s="6"/>
      <c r="F675" s="6" t="s">
        <v>635</v>
      </c>
      <c r="G675" s="6"/>
      <c r="H675" s="6" t="s">
        <v>1011</v>
      </c>
      <c r="I675" s="26" t="n">
        <v>0</v>
      </c>
      <c r="J675" s="26" t="n">
        <f aca="false">0</f>
        <v>0</v>
      </c>
      <c r="K675" s="43" t="str">
        <f aca="false">IF(I675=0,"No wiki control",IF(J675=I675,"Fully covered",IF(J675=0,"Not covered","Partly covered")))</f>
        <v>No wiki control</v>
      </c>
      <c r="L675" s="9" t="s">
        <v>2259</v>
      </c>
    </row>
    <row r="676" customFormat="false" ht="23.85" hidden="false" customHeight="false" outlineLevel="0" collapsed="false">
      <c r="A676" s="55" t="s">
        <v>603</v>
      </c>
      <c r="B676" s="55" t="s">
        <v>601</v>
      </c>
      <c r="C676" s="5" t="s">
        <v>2247</v>
      </c>
      <c r="D676" s="6" t="s">
        <v>1640</v>
      </c>
      <c r="E676" s="6" t="s">
        <v>1640</v>
      </c>
      <c r="F676" s="6" t="s">
        <v>725</v>
      </c>
      <c r="G676" s="6" t="s">
        <v>1641</v>
      </c>
      <c r="H676" s="6" t="s">
        <v>652</v>
      </c>
      <c r="I676" s="26" t="n">
        <v>2</v>
      </c>
      <c r="J676" s="26" t="n">
        <f aca="false">COUNTIFS('Control Library'!$A$5:$A$50,"AI-CTRL-039",'Control Library'!$R$5:$R$50,"Implemented")+COUNTIFS('Control Library'!$A$5:$A$50,"AI-CTRL-041",'Control Library'!$R$5:$R$50,"Implemented")</f>
        <v>0</v>
      </c>
      <c r="K676" s="43" t="str">
        <f aca="false">IF(I676=0,"No wiki control",IF(J676=I676,"Fully covered",IF(J676=0,"Not covered","Partly covered")))</f>
        <v>Not covered</v>
      </c>
      <c r="L676" s="9" t="s">
        <v>2259</v>
      </c>
    </row>
    <row r="677" customFormat="false" ht="46.25" hidden="false" customHeight="false" outlineLevel="0" collapsed="false">
      <c r="A677" s="55" t="s">
        <v>604</v>
      </c>
      <c r="B677" s="55" t="s">
        <v>601</v>
      </c>
      <c r="C677" s="5" t="s">
        <v>2286</v>
      </c>
      <c r="D677" s="6" t="s">
        <v>2287</v>
      </c>
      <c r="E677" s="6" t="s">
        <v>2288</v>
      </c>
      <c r="F677" s="6" t="s">
        <v>725</v>
      </c>
      <c r="G677" s="6" t="s">
        <v>2289</v>
      </c>
      <c r="H677" s="6" t="s">
        <v>2290</v>
      </c>
      <c r="I677" s="26" t="n">
        <v>2</v>
      </c>
      <c r="J677" s="26" t="n">
        <f aca="false">COUNTIFS('Control Library'!$A$5:$A$50,"AI-CTRL-033",'Control Library'!$R$5:$R$50,"Implemented")+COUNTIFS('Control Library'!$A$5:$A$50,"AI-CTRL-042",'Control Library'!$R$5:$R$50,"Implemented")</f>
        <v>0</v>
      </c>
      <c r="K677" s="43" t="str">
        <f aca="false">IF(I677=0,"No wiki control",IF(J677=I677,"Fully covered",IF(J677=0,"Not covered","Partly covered")))</f>
        <v>Not covered</v>
      </c>
      <c r="L677" s="9" t="s">
        <v>2259</v>
      </c>
    </row>
    <row r="678" customFormat="false" ht="135.8" hidden="false" customHeight="false" outlineLevel="0" collapsed="false">
      <c r="A678" s="55" t="s">
        <v>604</v>
      </c>
      <c r="B678" s="55" t="s">
        <v>601</v>
      </c>
      <c r="C678" s="5" t="s">
        <v>2291</v>
      </c>
      <c r="D678" s="6" t="s">
        <v>2292</v>
      </c>
      <c r="E678" s="6" t="s">
        <v>2293</v>
      </c>
      <c r="F678" s="6" t="s">
        <v>725</v>
      </c>
      <c r="G678" s="6" t="s">
        <v>1185</v>
      </c>
      <c r="H678" s="6" t="s">
        <v>2294</v>
      </c>
      <c r="I678" s="26" t="n">
        <v>4</v>
      </c>
      <c r="J678" s="26" t="n">
        <f aca="false">COUNTIFS('Control Library'!$A$5:$A$50,"AI-CTRL-008",'Control Library'!$R$5:$R$50,"Implemented")+COUNTIFS('Control Library'!$A$5:$A$50,"AI-CTRL-035",'Control Library'!$R$5:$R$50,"Implemented")+COUNTIFS('Control Library'!$A$5:$A$50,"AI-CTRL-039",'Control Library'!$R$5:$R$50,"Implemented")+COUNTIFS('Control Library'!$A$5:$A$50,"AI-CTRL-041",'Control Library'!$R$5:$R$50,"Implemented")</f>
        <v>0</v>
      </c>
      <c r="K678" s="43" t="str">
        <f aca="false">IF(I678=0,"No wiki control",IF(J678=I678,"Fully covered",IF(J678=0,"Not covered","Partly covered")))</f>
        <v>Not covered</v>
      </c>
      <c r="L678" s="9" t="s">
        <v>2259</v>
      </c>
    </row>
    <row r="679" customFormat="false" ht="35.05" hidden="false" customHeight="false" outlineLevel="0" collapsed="false">
      <c r="A679" s="55" t="s">
        <v>604</v>
      </c>
      <c r="B679" s="55" t="s">
        <v>601</v>
      </c>
      <c r="C679" s="5" t="s">
        <v>2295</v>
      </c>
      <c r="D679" s="6" t="s">
        <v>2296</v>
      </c>
      <c r="E679" s="6" t="s">
        <v>2297</v>
      </c>
      <c r="F679" s="6" t="s">
        <v>725</v>
      </c>
      <c r="G679" s="6" t="s">
        <v>2298</v>
      </c>
      <c r="H679" s="6" t="s">
        <v>652</v>
      </c>
      <c r="I679" s="26" t="n">
        <v>3</v>
      </c>
      <c r="J679" s="26" t="n">
        <f aca="false">COUNTIFS('Control Library'!$A$5:$A$50,"AI-CTRL-013",'Control Library'!$R$5:$R$50,"Implemented")+COUNTIFS('Control Library'!$A$5:$A$50,"AI-CTRL-017",'Control Library'!$R$5:$R$50,"Implemented")+COUNTIFS('Control Library'!$A$5:$A$50,"AI-CTRL-042",'Control Library'!$R$5:$R$50,"Implemented")</f>
        <v>0</v>
      </c>
      <c r="K679" s="43" t="str">
        <f aca="false">IF(I679=0,"No wiki control",IF(J679=I679,"Fully covered",IF(J679=0,"Not covered","Partly covered")))</f>
        <v>Not covered</v>
      </c>
      <c r="L679" s="9" t="s">
        <v>2259</v>
      </c>
    </row>
    <row r="680" customFormat="false" ht="46.25" hidden="false" customHeight="false" outlineLevel="0" collapsed="false">
      <c r="A680" s="55" t="s">
        <v>604</v>
      </c>
      <c r="B680" s="55" t="s">
        <v>601</v>
      </c>
      <c r="C680" s="5" t="s">
        <v>2299</v>
      </c>
      <c r="D680" s="6" t="s">
        <v>2300</v>
      </c>
      <c r="E680" s="6" t="s">
        <v>503</v>
      </c>
      <c r="F680" s="6" t="s">
        <v>725</v>
      </c>
      <c r="G680" s="6" t="s">
        <v>506</v>
      </c>
      <c r="H680" s="6" t="s">
        <v>637</v>
      </c>
      <c r="I680" s="26" t="n">
        <v>1</v>
      </c>
      <c r="J680" s="26" t="n">
        <f aca="false">COUNTIFS('Control Library'!$A$5:$A$50,"AI-CTRL-041",'Control Library'!$R$5:$R$50,"Implemented")</f>
        <v>0</v>
      </c>
      <c r="K680" s="43" t="str">
        <f aca="false">IF(I680=0,"No wiki control",IF(J680=I680,"Fully covered",IF(J680=0,"Not covered","Partly covered")))</f>
        <v>Not covered</v>
      </c>
      <c r="L680" s="9" t="s">
        <v>2259</v>
      </c>
    </row>
    <row r="681" customFormat="false" ht="35.05" hidden="false" customHeight="false" outlineLevel="0" collapsed="false">
      <c r="A681" s="55" t="s">
        <v>604</v>
      </c>
      <c r="B681" s="55" t="s">
        <v>601</v>
      </c>
      <c r="C681" s="5" t="s">
        <v>2301</v>
      </c>
      <c r="D681" s="6" t="s">
        <v>2302</v>
      </c>
      <c r="E681" s="6"/>
      <c r="F681" s="6" t="s">
        <v>635</v>
      </c>
      <c r="G681" s="6"/>
      <c r="H681" s="6" t="s">
        <v>1011</v>
      </c>
      <c r="I681" s="26" t="n">
        <v>0</v>
      </c>
      <c r="J681" s="26" t="n">
        <f aca="false">0</f>
        <v>0</v>
      </c>
      <c r="K681" s="43" t="str">
        <f aca="false">IF(I681=0,"No wiki control",IF(J681=I681,"Fully covered",IF(J681=0,"Not covered","Partly covered")))</f>
        <v>No wiki control</v>
      </c>
      <c r="L681" s="9" t="s">
        <v>2259</v>
      </c>
    </row>
    <row r="682" customFormat="false" ht="23.85" hidden="false" customHeight="false" outlineLevel="0" collapsed="false">
      <c r="A682" s="39" t="s">
        <v>605</v>
      </c>
      <c r="B682" s="39" t="s">
        <v>606</v>
      </c>
      <c r="C682" s="5" t="s">
        <v>2303</v>
      </c>
      <c r="D682" s="6" t="s">
        <v>2304</v>
      </c>
      <c r="E682" s="6" t="s">
        <v>538</v>
      </c>
      <c r="F682" s="6" t="s">
        <v>725</v>
      </c>
      <c r="G682" s="6" t="s">
        <v>541</v>
      </c>
      <c r="H682" s="6"/>
      <c r="I682" s="26" t="n">
        <v>1</v>
      </c>
      <c r="J682" s="26" t="n">
        <f aca="false">COUNTIFS('Control Library'!$A$5:$A$50,"AI-CTRL-045",'Control Library'!$R$5:$R$50,"Implemented")</f>
        <v>0</v>
      </c>
      <c r="K682" s="43" t="str">
        <f aca="false">IF(I682=0,"No wiki control",IF(J682=I682,"Fully covered",IF(J682=0,"Not covered","Partly covered")))</f>
        <v>Not covered</v>
      </c>
      <c r="L682" s="9" t="s">
        <v>2305</v>
      </c>
    </row>
    <row r="683" customFormat="false" ht="23.85" hidden="false" customHeight="false" outlineLevel="0" collapsed="false">
      <c r="A683" s="39" t="s">
        <v>605</v>
      </c>
      <c r="B683" s="39" t="s">
        <v>606</v>
      </c>
      <c r="C683" s="5" t="s">
        <v>2306</v>
      </c>
      <c r="D683" s="6" t="s">
        <v>2307</v>
      </c>
      <c r="E683" s="6" t="s">
        <v>2308</v>
      </c>
      <c r="F683" s="6" t="s">
        <v>725</v>
      </c>
      <c r="G683" s="6" t="s">
        <v>2309</v>
      </c>
      <c r="H683" s="6"/>
      <c r="I683" s="26" t="n">
        <v>2</v>
      </c>
      <c r="J683" s="26" t="n">
        <f aca="false">COUNTIFS('Control Library'!$A$5:$A$50,"AI-CTRL-042",'Control Library'!$R$5:$R$50,"Implemented")+COUNTIFS('Control Library'!$A$5:$A$50,"AI-CTRL-045",'Control Library'!$R$5:$R$50,"Implemented")</f>
        <v>0</v>
      </c>
      <c r="K683" s="43" t="str">
        <f aca="false">IF(I683=0,"No wiki control",IF(J683=I683,"Fully covered",IF(J683=0,"Not covered","Partly covered")))</f>
        <v>Not covered</v>
      </c>
      <c r="L683" s="9" t="s">
        <v>2305</v>
      </c>
    </row>
    <row r="684" customFormat="false" ht="23.85" hidden="false" customHeight="false" outlineLevel="0" collapsed="false">
      <c r="A684" s="39" t="s">
        <v>605</v>
      </c>
      <c r="B684" s="39" t="s">
        <v>606</v>
      </c>
      <c r="C684" s="5" t="s">
        <v>2310</v>
      </c>
      <c r="D684" s="6" t="s">
        <v>2311</v>
      </c>
      <c r="E684" s="6" t="s">
        <v>1128</v>
      </c>
      <c r="F684" s="6" t="s">
        <v>725</v>
      </c>
      <c r="G684" s="6" t="s">
        <v>2312</v>
      </c>
      <c r="H684" s="6"/>
      <c r="I684" s="26" t="n">
        <v>2</v>
      </c>
      <c r="J684" s="26" t="n">
        <f aca="false">COUNTIFS('Control Library'!$A$5:$A$50,"AI-CTRL-039",'Control Library'!$R$5:$R$50,"Implemented")+COUNTIFS('Control Library'!$A$5:$A$50,"AI-CTRL-045",'Control Library'!$R$5:$R$50,"Implemented")</f>
        <v>0</v>
      </c>
      <c r="K684" s="43" t="str">
        <f aca="false">IF(I684=0,"No wiki control",IF(J684=I684,"Fully covered",IF(J684=0,"Not covered","Partly covered")))</f>
        <v>Not covered</v>
      </c>
      <c r="L684" s="9" t="s">
        <v>2305</v>
      </c>
    </row>
    <row r="685" customFormat="false" ht="35.05" hidden="false" customHeight="false" outlineLevel="0" collapsed="false">
      <c r="A685" s="39" t="s">
        <v>605</v>
      </c>
      <c r="B685" s="39" t="s">
        <v>606</v>
      </c>
      <c r="C685" s="5" t="s">
        <v>2313</v>
      </c>
      <c r="D685" s="6" t="s">
        <v>2314</v>
      </c>
      <c r="E685" s="6" t="s">
        <v>2315</v>
      </c>
      <c r="F685" s="6" t="s">
        <v>725</v>
      </c>
      <c r="G685" s="6" t="s">
        <v>2257</v>
      </c>
      <c r="H685" s="6"/>
      <c r="I685" s="26" t="n">
        <v>3</v>
      </c>
      <c r="J685" s="26" t="n">
        <f aca="false">COUNTIFS('Control Library'!$A$5:$A$50,"AI-CTRL-008",'Control Library'!$R$5:$R$50,"Implemented")+COUNTIFS('Control Library'!$A$5:$A$50,"AI-CTRL-012",'Control Library'!$R$5:$R$50,"Implemented")+COUNTIFS('Control Library'!$A$5:$A$50,"AI-CTRL-038",'Control Library'!$R$5:$R$50,"Implemented")</f>
        <v>0</v>
      </c>
      <c r="K685" s="43" t="str">
        <f aca="false">IF(I685=0,"No wiki control",IF(J685=I685,"Fully covered",IF(J685=0,"Not covered","Partly covered")))</f>
        <v>Not covered</v>
      </c>
      <c r="L685" s="9" t="s">
        <v>2305</v>
      </c>
    </row>
    <row r="686" customFormat="false" ht="23.85" hidden="false" customHeight="false" outlineLevel="0" collapsed="false">
      <c r="A686" s="39" t="s">
        <v>605</v>
      </c>
      <c r="B686" s="39" t="s">
        <v>606</v>
      </c>
      <c r="C686" s="5" t="s">
        <v>2316</v>
      </c>
      <c r="D686" s="6" t="s">
        <v>2317</v>
      </c>
      <c r="E686" s="6" t="s">
        <v>503</v>
      </c>
      <c r="F686" s="6" t="s">
        <v>725</v>
      </c>
      <c r="G686" s="6" t="s">
        <v>506</v>
      </c>
      <c r="H686" s="6"/>
      <c r="I686" s="26" t="n">
        <v>1</v>
      </c>
      <c r="J686" s="26" t="n">
        <f aca="false">COUNTIFS('Control Library'!$A$5:$A$50,"AI-CTRL-041",'Control Library'!$R$5:$R$50,"Implemented")</f>
        <v>0</v>
      </c>
      <c r="K686" s="43" t="str">
        <f aca="false">IF(I686=0,"No wiki control",IF(J686=I686,"Fully covered",IF(J686=0,"Not covered","Partly covered")))</f>
        <v>Not covered</v>
      </c>
      <c r="L686" s="9" t="s">
        <v>2305</v>
      </c>
    </row>
    <row r="687" customFormat="false" ht="23.85" hidden="false" customHeight="false" outlineLevel="0" collapsed="false">
      <c r="A687" s="39" t="s">
        <v>605</v>
      </c>
      <c r="B687" s="39" t="s">
        <v>606</v>
      </c>
      <c r="C687" s="5" t="s">
        <v>2318</v>
      </c>
      <c r="D687" s="6" t="s">
        <v>2319</v>
      </c>
      <c r="E687" s="6" t="s">
        <v>1938</v>
      </c>
      <c r="F687" s="6" t="s">
        <v>725</v>
      </c>
      <c r="G687" s="6" t="s">
        <v>1816</v>
      </c>
      <c r="H687" s="6"/>
      <c r="I687" s="26" t="n">
        <v>2</v>
      </c>
      <c r="J687" s="26" t="n">
        <f aca="false">COUNTIFS('Control Library'!$A$5:$A$50,"AI-CTRL-013",'Control Library'!$R$5:$R$50,"Implemented")+COUNTIFS('Control Library'!$A$5:$A$50,"AI-CTRL-017",'Control Library'!$R$5:$R$50,"Implemented")</f>
        <v>0</v>
      </c>
      <c r="K687" s="43" t="str">
        <f aca="false">IF(I687=0,"No wiki control",IF(J687=I687,"Fully covered",IF(J687=0,"Not covered","Partly covered")))</f>
        <v>Not covered</v>
      </c>
      <c r="L687" s="9" t="s">
        <v>2305</v>
      </c>
    </row>
    <row r="688" customFormat="false" ht="35.05" hidden="false" customHeight="false" outlineLevel="0" collapsed="false">
      <c r="A688" s="39" t="s">
        <v>605</v>
      </c>
      <c r="B688" s="39" t="s">
        <v>606</v>
      </c>
      <c r="C688" s="5" t="s">
        <v>2320</v>
      </c>
      <c r="D688" s="6" t="s">
        <v>2321</v>
      </c>
      <c r="E688" s="6" t="s">
        <v>2322</v>
      </c>
      <c r="F688" s="6" t="s">
        <v>725</v>
      </c>
      <c r="G688" s="6" t="s">
        <v>2323</v>
      </c>
      <c r="H688" s="6"/>
      <c r="I688" s="26" t="n">
        <v>3</v>
      </c>
      <c r="J688" s="26" t="n">
        <f aca="false">COUNTIFS('Control Library'!$A$5:$A$50,"AI-CTRL-034",'Control Library'!$R$5:$R$50,"Implemented")+COUNTIFS('Control Library'!$A$5:$A$50,"AI-CTRL-039",'Control Library'!$R$5:$R$50,"Implemented")+COUNTIFS('Control Library'!$A$5:$A$50,"AI-CTRL-040",'Control Library'!$R$5:$R$50,"Implemented")</f>
        <v>0</v>
      </c>
      <c r="K688" s="43" t="str">
        <f aca="false">IF(I688=0,"No wiki control",IF(J688=I688,"Fully covered",IF(J688=0,"Not covered","Partly covered")))</f>
        <v>Not covered</v>
      </c>
      <c r="L688" s="9" t="s">
        <v>2305</v>
      </c>
    </row>
    <row r="689" customFormat="false" ht="23.85" hidden="false" customHeight="false" outlineLevel="0" collapsed="false">
      <c r="A689" s="39" t="s">
        <v>605</v>
      </c>
      <c r="B689" s="39" t="s">
        <v>606</v>
      </c>
      <c r="C689" s="5" t="s">
        <v>2324</v>
      </c>
      <c r="D689" s="6" t="s">
        <v>2325</v>
      </c>
      <c r="E689" s="6"/>
      <c r="F689" s="6" t="s">
        <v>635</v>
      </c>
      <c r="G689" s="6"/>
      <c r="H689" s="6"/>
      <c r="I689" s="26" t="n">
        <v>0</v>
      </c>
      <c r="J689" s="26" t="n">
        <f aca="false">0</f>
        <v>0</v>
      </c>
      <c r="K689" s="43" t="str">
        <f aca="false">IF(I689=0,"No wiki control",IF(J689=I689,"Fully covered",IF(J689=0,"Not covered","Partly covered")))</f>
        <v>No wiki control</v>
      </c>
      <c r="L689" s="9" t="s">
        <v>2305</v>
      </c>
    </row>
    <row r="690" customFormat="false" ht="23.85" hidden="false" customHeight="false" outlineLevel="0" collapsed="false">
      <c r="A690" s="39" t="s">
        <v>605</v>
      </c>
      <c r="B690" s="39" t="s">
        <v>606</v>
      </c>
      <c r="C690" s="5" t="s">
        <v>2326</v>
      </c>
      <c r="D690" s="6" t="s">
        <v>2327</v>
      </c>
      <c r="E690" s="6" t="s">
        <v>2277</v>
      </c>
      <c r="F690" s="6" t="s">
        <v>725</v>
      </c>
      <c r="G690" s="6" t="s">
        <v>1059</v>
      </c>
      <c r="H690" s="6"/>
      <c r="I690" s="26" t="n">
        <v>2</v>
      </c>
      <c r="J690" s="26" t="n">
        <f aca="false">COUNTIFS('Control Library'!$A$5:$A$50,"AI-CTRL-037",'Control Library'!$R$5:$R$50,"Implemented")+COUNTIFS('Control Library'!$A$5:$A$50,"AI-CTRL-042",'Control Library'!$R$5:$R$50,"Implemented")</f>
        <v>0</v>
      </c>
      <c r="K690" s="43" t="str">
        <f aca="false">IF(I690=0,"No wiki control",IF(J690=I690,"Fully covered",IF(J690=0,"Not covered","Partly covered")))</f>
        <v>Not covered</v>
      </c>
      <c r="L690" s="9" t="s">
        <v>2305</v>
      </c>
    </row>
    <row r="691" customFormat="false" ht="23.85" hidden="false" customHeight="false" outlineLevel="0" collapsed="false">
      <c r="A691" s="39" t="s">
        <v>605</v>
      </c>
      <c r="B691" s="39" t="s">
        <v>606</v>
      </c>
      <c r="C691" s="5" t="s">
        <v>2328</v>
      </c>
      <c r="D691" s="6" t="s">
        <v>2329</v>
      </c>
      <c r="E691" s="6"/>
      <c r="F691" s="6" t="s">
        <v>635</v>
      </c>
      <c r="G691" s="6"/>
      <c r="H691" s="6"/>
      <c r="I691" s="26" t="n">
        <v>0</v>
      </c>
      <c r="J691" s="26" t="n">
        <f aca="false">0</f>
        <v>0</v>
      </c>
      <c r="K691" s="43" t="str">
        <f aca="false">IF(I691=0,"No wiki control",IF(J691=I691,"Fully covered",IF(J691=0,"Not covered","Partly covered")))</f>
        <v>No wiki control</v>
      </c>
      <c r="L691" s="9" t="s">
        <v>2305</v>
      </c>
    </row>
    <row r="692" customFormat="false" ht="23.85" hidden="false" customHeight="false" outlineLevel="0" collapsed="false">
      <c r="A692" s="39" t="s">
        <v>605</v>
      </c>
      <c r="B692" s="39" t="s">
        <v>606</v>
      </c>
      <c r="C692" s="5" t="s">
        <v>2330</v>
      </c>
      <c r="D692" s="6" t="s">
        <v>2331</v>
      </c>
      <c r="E692" s="6" t="s">
        <v>529</v>
      </c>
      <c r="F692" s="6" t="s">
        <v>725</v>
      </c>
      <c r="G692" s="6" t="s">
        <v>532</v>
      </c>
      <c r="H692" s="6"/>
      <c r="I692" s="26" t="n">
        <v>1</v>
      </c>
      <c r="J692" s="26" t="n">
        <f aca="false">COUNTIFS('Control Library'!$A$5:$A$50,"AI-CTRL-044",'Control Library'!$R$5:$R$50,"Implemented")</f>
        <v>0</v>
      </c>
      <c r="K692" s="43" t="str">
        <f aca="false">IF(I692=0,"No wiki control",IF(J692=I692,"Fully covered",IF(J692=0,"Not covered","Partly covered")))</f>
        <v>Not covered</v>
      </c>
      <c r="L692" s="9" t="s">
        <v>2305</v>
      </c>
    </row>
    <row r="693" customFormat="false" ht="23.85" hidden="false" customHeight="false" outlineLevel="0" collapsed="false">
      <c r="A693" s="39" t="s">
        <v>605</v>
      </c>
      <c r="B693" s="39" t="s">
        <v>606</v>
      </c>
      <c r="C693" s="5" t="s">
        <v>2332</v>
      </c>
      <c r="D693" s="6" t="s">
        <v>2333</v>
      </c>
      <c r="E693" s="6" t="s">
        <v>521</v>
      </c>
      <c r="F693" s="6" t="s">
        <v>725</v>
      </c>
      <c r="G693" s="6" t="s">
        <v>524</v>
      </c>
      <c r="H693" s="6"/>
      <c r="I693" s="26" t="n">
        <v>1</v>
      </c>
      <c r="J693" s="26" t="n">
        <f aca="false">COUNTIFS('Control Library'!$A$5:$A$50,"AI-CTRL-043",'Control Library'!$R$5:$R$50,"Implemented")</f>
        <v>0</v>
      </c>
      <c r="K693" s="43" t="str">
        <f aca="false">IF(I693=0,"No wiki control",IF(J693=I693,"Fully covered",IF(J693=0,"Not covered","Partly covered")))</f>
        <v>Not covered</v>
      </c>
      <c r="L693" s="9" t="s">
        <v>2305</v>
      </c>
    </row>
    <row r="694" customFormat="false" ht="35.05" hidden="false" customHeight="false" outlineLevel="0" collapsed="false">
      <c r="A694" s="39" t="s">
        <v>607</v>
      </c>
      <c r="B694" s="39" t="s">
        <v>606</v>
      </c>
      <c r="C694" s="5" t="s">
        <v>2334</v>
      </c>
      <c r="D694" s="6" t="s">
        <v>2335</v>
      </c>
      <c r="E694" s="6" t="s">
        <v>2336</v>
      </c>
      <c r="F694" s="6" t="s">
        <v>725</v>
      </c>
      <c r="G694" s="6" t="s">
        <v>2337</v>
      </c>
      <c r="H694" s="6"/>
      <c r="I694" s="26" t="n">
        <v>3</v>
      </c>
      <c r="J694" s="26" t="n">
        <f aca="false">COUNTIFS('Control Library'!$A$5:$A$50,"AI-CTRL-033",'Control Library'!$R$5:$R$50,"Implemented")+COUNTIFS('Control Library'!$A$5:$A$50,"AI-CTRL-034",'Control Library'!$R$5:$R$50,"Implemented")+COUNTIFS('Control Library'!$A$5:$A$50,"AI-CTRL-037",'Control Library'!$R$5:$R$50,"Implemented")</f>
        <v>0</v>
      </c>
      <c r="K694" s="43" t="str">
        <f aca="false">IF(I694=0,"No wiki control",IF(J694=I694,"Fully covered",IF(J694=0,"Not covered","Partly covered")))</f>
        <v>Not covered</v>
      </c>
      <c r="L694" s="9" t="s">
        <v>2305</v>
      </c>
    </row>
    <row r="695" customFormat="false" ht="23.85" hidden="false" customHeight="false" outlineLevel="0" collapsed="false">
      <c r="A695" s="39" t="s">
        <v>607</v>
      </c>
      <c r="B695" s="39" t="s">
        <v>606</v>
      </c>
      <c r="C695" s="5" t="s">
        <v>2338</v>
      </c>
      <c r="D695" s="6" t="s">
        <v>2339</v>
      </c>
      <c r="E695" s="6" t="s">
        <v>2340</v>
      </c>
      <c r="F695" s="6" t="s">
        <v>725</v>
      </c>
      <c r="G695" s="6" t="s">
        <v>2341</v>
      </c>
      <c r="H695" s="6"/>
      <c r="I695" s="26" t="n">
        <v>3</v>
      </c>
      <c r="J695" s="26" t="n">
        <f aca="false">COUNTIFS('Control Library'!$A$5:$A$50,"AI-CTRL-034",'Control Library'!$R$5:$R$50,"Implemented")+COUNTIFS('Control Library'!$A$5:$A$50,"AI-CTRL-035",'Control Library'!$R$5:$R$50,"Implemented")+COUNTIFS('Control Library'!$A$5:$A$50,"AI-CTRL-036",'Control Library'!$R$5:$R$50,"Implemented")</f>
        <v>0</v>
      </c>
      <c r="K695" s="43" t="str">
        <f aca="false">IF(I695=0,"No wiki control",IF(J695=I695,"Fully covered",IF(J695=0,"Not covered","Partly covered")))</f>
        <v>Not covered</v>
      </c>
      <c r="L695" s="9" t="s">
        <v>2305</v>
      </c>
    </row>
    <row r="696" customFormat="false" ht="23.85" hidden="false" customHeight="false" outlineLevel="0" collapsed="false">
      <c r="A696" s="39" t="s">
        <v>607</v>
      </c>
      <c r="B696" s="39" t="s">
        <v>606</v>
      </c>
      <c r="C696" s="5" t="s">
        <v>2342</v>
      </c>
      <c r="D696" s="6" t="s">
        <v>2343</v>
      </c>
      <c r="E696" s="6" t="s">
        <v>485</v>
      </c>
      <c r="F696" s="6" t="s">
        <v>725</v>
      </c>
      <c r="G696" s="6" t="s">
        <v>489</v>
      </c>
      <c r="H696" s="6"/>
      <c r="I696" s="26" t="n">
        <v>1</v>
      </c>
      <c r="J696" s="26" t="n">
        <f aca="false">COUNTIFS('Control Library'!$A$5:$A$50,"AI-CTRL-039",'Control Library'!$R$5:$R$50,"Implemented")</f>
        <v>0</v>
      </c>
      <c r="K696" s="43" t="str">
        <f aca="false">IF(I696=0,"No wiki control",IF(J696=I696,"Fully covered",IF(J696=0,"Not covered","Partly covered")))</f>
        <v>Not covered</v>
      </c>
      <c r="L696" s="9" t="s">
        <v>2305</v>
      </c>
    </row>
    <row r="697" customFormat="false" ht="23.85" hidden="false" customHeight="false" outlineLevel="0" collapsed="false">
      <c r="A697" s="39" t="s">
        <v>607</v>
      </c>
      <c r="B697" s="39" t="s">
        <v>606</v>
      </c>
      <c r="C697" s="5" t="s">
        <v>2344</v>
      </c>
      <c r="D697" s="6" t="s">
        <v>2345</v>
      </c>
      <c r="E697" s="6" t="s">
        <v>1644</v>
      </c>
      <c r="F697" s="6" t="s">
        <v>725</v>
      </c>
      <c r="G697" s="6" t="s">
        <v>1645</v>
      </c>
      <c r="H697" s="6"/>
      <c r="I697" s="26" t="n">
        <v>2</v>
      </c>
      <c r="J697" s="26" t="n">
        <f aca="false">COUNTIFS('Control Library'!$A$5:$A$50,"AI-CTRL-035",'Control Library'!$R$5:$R$50,"Implemented")+COUNTIFS('Control Library'!$A$5:$A$50,"AI-CTRL-043",'Control Library'!$R$5:$R$50,"Implemented")</f>
        <v>0</v>
      </c>
      <c r="K697" s="43" t="str">
        <f aca="false">IF(I697=0,"No wiki control",IF(J697=I697,"Fully covered",IF(J697=0,"Not covered","Partly covered")))</f>
        <v>Not covered</v>
      </c>
      <c r="L697" s="9" t="s">
        <v>2305</v>
      </c>
    </row>
    <row r="698" customFormat="false" ht="23.85" hidden="false" customHeight="false" outlineLevel="0" collapsed="false">
      <c r="A698" s="39" t="s">
        <v>607</v>
      </c>
      <c r="B698" s="39" t="s">
        <v>606</v>
      </c>
      <c r="C698" s="5" t="s">
        <v>2346</v>
      </c>
      <c r="D698" s="6" t="s">
        <v>2347</v>
      </c>
      <c r="E698" s="6" t="s">
        <v>2348</v>
      </c>
      <c r="F698" s="6" t="s">
        <v>725</v>
      </c>
      <c r="G698" s="6" t="s">
        <v>266</v>
      </c>
      <c r="H698" s="6"/>
      <c r="I698" s="26" t="n">
        <v>2</v>
      </c>
      <c r="J698" s="26" t="n">
        <f aca="false">COUNTIFS('Control Library'!$A$5:$A$50,"AI-CTRL-012",'Control Library'!$R$5:$R$50,"Implemented")+COUNTIFS('Control Library'!$A$5:$A$50,"AI-CTRL-037",'Control Library'!$R$5:$R$50,"Implemented")</f>
        <v>0</v>
      </c>
      <c r="K698" s="43" t="str">
        <f aca="false">IF(I698=0,"No wiki control",IF(J698=I698,"Fully covered",IF(J698=0,"Not covered","Partly covered")))</f>
        <v>Not covered</v>
      </c>
      <c r="L698" s="9" t="s">
        <v>2305</v>
      </c>
    </row>
    <row r="699" customFormat="false" ht="23.85" hidden="false" customHeight="false" outlineLevel="0" collapsed="false">
      <c r="A699" s="39" t="s">
        <v>607</v>
      </c>
      <c r="B699" s="39" t="s">
        <v>606</v>
      </c>
      <c r="C699" s="5" t="s">
        <v>2349</v>
      </c>
      <c r="D699" s="6" t="s">
        <v>2350</v>
      </c>
      <c r="E699" s="6" t="s">
        <v>2351</v>
      </c>
      <c r="F699" s="6" t="s">
        <v>725</v>
      </c>
      <c r="G699" s="6" t="s">
        <v>430</v>
      </c>
      <c r="H699" s="6"/>
      <c r="I699" s="26" t="n">
        <v>3</v>
      </c>
      <c r="J699" s="26" t="n">
        <f aca="false">COUNTIFS('Control Library'!$A$5:$A$50,"AI-CTRL-028",'Control Library'!$R$5:$R$50,"Implemented")+COUNTIFS('Control Library'!$A$5:$A$50,"AI-CTRL-030",'Control Library'!$R$5:$R$50,"Implemented")+COUNTIFS('Control Library'!$A$5:$A$50,"AI-CTRL-032",'Control Library'!$R$5:$R$50,"Implemented")</f>
        <v>0</v>
      </c>
      <c r="K699" s="43" t="str">
        <f aca="false">IF(I699=0,"No wiki control",IF(J699=I699,"Fully covered",IF(J699=0,"Not covered","Partly covered")))</f>
        <v>Not covered</v>
      </c>
      <c r="L699" s="9" t="s">
        <v>2305</v>
      </c>
    </row>
    <row r="700" customFormat="false" ht="23.85" hidden="false" customHeight="false" outlineLevel="0" collapsed="false">
      <c r="A700" s="39" t="s">
        <v>607</v>
      </c>
      <c r="B700" s="39" t="s">
        <v>606</v>
      </c>
      <c r="C700" s="5" t="s">
        <v>2352</v>
      </c>
      <c r="D700" s="6" t="s">
        <v>2353</v>
      </c>
      <c r="E700" s="6" t="s">
        <v>485</v>
      </c>
      <c r="F700" s="6" t="s">
        <v>725</v>
      </c>
      <c r="G700" s="6" t="s">
        <v>489</v>
      </c>
      <c r="H700" s="6"/>
      <c r="I700" s="26" t="n">
        <v>1</v>
      </c>
      <c r="J700" s="26" t="n">
        <f aca="false">COUNTIFS('Control Library'!$A$5:$A$50,"AI-CTRL-039",'Control Library'!$R$5:$R$50,"Implemented")</f>
        <v>0</v>
      </c>
      <c r="K700" s="43" t="str">
        <f aca="false">IF(I700=0,"No wiki control",IF(J700=I700,"Fully covered",IF(J700=0,"Not covered","Partly covered")))</f>
        <v>Not covered</v>
      </c>
      <c r="L700" s="9" t="s">
        <v>2305</v>
      </c>
    </row>
    <row r="701" customFormat="false" ht="23.85" hidden="false" customHeight="false" outlineLevel="0" collapsed="false">
      <c r="A701" s="39" t="s">
        <v>607</v>
      </c>
      <c r="B701" s="39" t="s">
        <v>606</v>
      </c>
      <c r="C701" s="5" t="s">
        <v>2354</v>
      </c>
      <c r="D701" s="6" t="s">
        <v>2355</v>
      </c>
      <c r="E701" s="6"/>
      <c r="F701" s="6" t="s">
        <v>635</v>
      </c>
      <c r="G701" s="6"/>
      <c r="H701" s="6"/>
      <c r="I701" s="26" t="n">
        <v>0</v>
      </c>
      <c r="J701" s="26" t="n">
        <f aca="false">0</f>
        <v>0</v>
      </c>
      <c r="K701" s="43" t="str">
        <f aca="false">IF(I701=0,"No wiki control",IF(J701=I701,"Fully covered",IF(J701=0,"Not covered","Partly covered")))</f>
        <v>No wiki control</v>
      </c>
      <c r="L701" s="9" t="s">
        <v>2305</v>
      </c>
    </row>
    <row r="702" customFormat="false" ht="23.85" hidden="false" customHeight="false" outlineLevel="0" collapsed="false">
      <c r="A702" s="39" t="s">
        <v>607</v>
      </c>
      <c r="B702" s="39" t="s">
        <v>606</v>
      </c>
      <c r="C702" s="5" t="s">
        <v>2356</v>
      </c>
      <c r="D702" s="6" t="s">
        <v>2357</v>
      </c>
      <c r="E702" s="6"/>
      <c r="F702" s="6" t="s">
        <v>635</v>
      </c>
      <c r="G702" s="6"/>
      <c r="H702" s="6"/>
      <c r="I702" s="26" t="n">
        <v>0</v>
      </c>
      <c r="J702" s="26" t="n">
        <f aca="false">0</f>
        <v>0</v>
      </c>
      <c r="K702" s="43" t="str">
        <f aca="false">IF(I702=0,"No wiki control",IF(J702=I702,"Fully covered",IF(J702=0,"Not covered","Partly covered")))</f>
        <v>No wiki control</v>
      </c>
      <c r="L702" s="9" t="s">
        <v>2305</v>
      </c>
    </row>
    <row r="703" customFormat="false" ht="23.85" hidden="false" customHeight="false" outlineLevel="0" collapsed="false">
      <c r="A703" s="39" t="s">
        <v>607</v>
      </c>
      <c r="B703" s="39" t="s">
        <v>606</v>
      </c>
      <c r="C703" s="5" t="s">
        <v>2358</v>
      </c>
      <c r="D703" s="6" t="s">
        <v>2359</v>
      </c>
      <c r="E703" s="6"/>
      <c r="F703" s="6" t="s">
        <v>635</v>
      </c>
      <c r="G703" s="6"/>
      <c r="H703" s="6"/>
      <c r="I703" s="26" t="n">
        <v>0</v>
      </c>
      <c r="J703" s="26" t="n">
        <f aca="false">0</f>
        <v>0</v>
      </c>
      <c r="K703" s="43" t="str">
        <f aca="false">IF(I703=0,"No wiki control",IF(J703=I703,"Fully covered",IF(J703=0,"Not covered","Partly covered")))</f>
        <v>No wiki control</v>
      </c>
      <c r="L703" s="9" t="s">
        <v>2305</v>
      </c>
    </row>
    <row r="704" customFormat="false" ht="35.05" hidden="false" customHeight="false" outlineLevel="0" collapsed="false">
      <c r="A704" s="39" t="s">
        <v>607</v>
      </c>
      <c r="B704" s="39" t="s">
        <v>606</v>
      </c>
      <c r="C704" s="5" t="s">
        <v>2360</v>
      </c>
      <c r="D704" s="6" t="s">
        <v>2361</v>
      </c>
      <c r="E704" s="6" t="s">
        <v>2362</v>
      </c>
      <c r="F704" s="6" t="s">
        <v>725</v>
      </c>
      <c r="G704" s="6" t="s">
        <v>2363</v>
      </c>
      <c r="H704" s="6"/>
      <c r="I704" s="26" t="n">
        <v>3</v>
      </c>
      <c r="J704" s="26" t="n">
        <f aca="false">COUNTIFS('Control Library'!$A$5:$A$50,"AI-CTRL-013",'Control Library'!$R$5:$R$50,"Implemented")+COUNTIFS('Control Library'!$A$5:$A$50,"AI-CTRL-029",'Control Library'!$R$5:$R$50,"Implemented")+COUNTIFS('Control Library'!$A$5:$A$50,"AI-CTRL-046",'Control Library'!$R$5:$R$50,"Implemented")</f>
        <v>0</v>
      </c>
      <c r="K704" s="43" t="str">
        <f aca="false">IF(I704=0,"No wiki control",IF(J704=I704,"Fully covered",IF(J704=0,"Not covered","Partly covered")))</f>
        <v>Not covered</v>
      </c>
      <c r="L704" s="9" t="s">
        <v>2305</v>
      </c>
    </row>
    <row r="705" customFormat="false" ht="35.05" hidden="false" customHeight="false" outlineLevel="0" collapsed="false">
      <c r="A705" s="58" t="s">
        <v>608</v>
      </c>
      <c r="B705" s="58" t="s">
        <v>609</v>
      </c>
      <c r="C705" s="5" t="s">
        <v>2364</v>
      </c>
      <c r="D705" s="6" t="s">
        <v>2365</v>
      </c>
      <c r="E705" s="6" t="s">
        <v>2366</v>
      </c>
      <c r="F705" s="6" t="s">
        <v>725</v>
      </c>
      <c r="G705" s="6" t="s">
        <v>2245</v>
      </c>
      <c r="H705" s="6"/>
      <c r="I705" s="26" t="n">
        <v>4</v>
      </c>
      <c r="J705" s="26"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05" s="43" t="str">
        <f aca="false">IF(I705=0,"No wiki control",IF(J705=I705,"Fully covered",IF(J705=0,"Not covered","Partly covered")))</f>
        <v>Not covered</v>
      </c>
      <c r="L705" s="9" t="s">
        <v>2367</v>
      </c>
    </row>
    <row r="706" customFormat="false" ht="35.05" hidden="false" customHeight="false" outlineLevel="0" collapsed="false">
      <c r="A706" s="58" t="s">
        <v>608</v>
      </c>
      <c r="B706" s="58" t="s">
        <v>609</v>
      </c>
      <c r="C706" s="5" t="s">
        <v>2364</v>
      </c>
      <c r="D706" s="6" t="s">
        <v>2368</v>
      </c>
      <c r="E706" s="6" t="s">
        <v>2366</v>
      </c>
      <c r="F706" s="6" t="s">
        <v>725</v>
      </c>
      <c r="G706" s="6" t="s">
        <v>2245</v>
      </c>
      <c r="H706" s="6"/>
      <c r="I706" s="26" t="n">
        <v>4</v>
      </c>
      <c r="J706" s="26"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06" s="43" t="str">
        <f aca="false">IF(I706=0,"No wiki control",IF(J706=I706,"Fully covered",IF(J706=0,"Not covered","Partly covered")))</f>
        <v>Not covered</v>
      </c>
      <c r="L706" s="9" t="s">
        <v>2367</v>
      </c>
    </row>
    <row r="707" customFormat="false" ht="23.85" hidden="false" customHeight="false" outlineLevel="0" collapsed="false">
      <c r="A707" s="58" t="s">
        <v>608</v>
      </c>
      <c r="B707" s="58" t="s">
        <v>609</v>
      </c>
      <c r="C707" s="5" t="s">
        <v>2369</v>
      </c>
      <c r="D707" s="6" t="s">
        <v>2370</v>
      </c>
      <c r="E707" s="6" t="s">
        <v>1644</v>
      </c>
      <c r="F707" s="6" t="s">
        <v>725</v>
      </c>
      <c r="G707" s="6" t="s">
        <v>1645</v>
      </c>
      <c r="H707" s="6"/>
      <c r="I707" s="26" t="n">
        <v>2</v>
      </c>
      <c r="J707" s="26" t="n">
        <f aca="false">COUNTIFS('Control Library'!$A$5:$A$50,"AI-CTRL-035",'Control Library'!$R$5:$R$50,"Implemented")+COUNTIFS('Control Library'!$A$5:$A$50,"AI-CTRL-043",'Control Library'!$R$5:$R$50,"Implemented")</f>
        <v>0</v>
      </c>
      <c r="K707" s="43" t="str">
        <f aca="false">IF(I707=0,"No wiki control",IF(J707=I707,"Fully covered",IF(J707=0,"Not covered","Partly covered")))</f>
        <v>Not covered</v>
      </c>
      <c r="L707" s="9" t="s">
        <v>2367</v>
      </c>
    </row>
    <row r="708" customFormat="false" ht="35.05" hidden="false" customHeight="false" outlineLevel="0" collapsed="false">
      <c r="A708" s="58" t="s">
        <v>608</v>
      </c>
      <c r="B708" s="58" t="s">
        <v>609</v>
      </c>
      <c r="C708" s="5" t="s">
        <v>2369</v>
      </c>
      <c r="D708" s="6" t="s">
        <v>2371</v>
      </c>
      <c r="E708" s="6" t="s">
        <v>1644</v>
      </c>
      <c r="F708" s="6" t="s">
        <v>725</v>
      </c>
      <c r="G708" s="6" t="s">
        <v>1645</v>
      </c>
      <c r="H708" s="6"/>
      <c r="I708" s="26" t="n">
        <v>2</v>
      </c>
      <c r="J708" s="26" t="n">
        <f aca="false">COUNTIFS('Control Library'!$A$5:$A$50,"AI-CTRL-035",'Control Library'!$R$5:$R$50,"Implemented")+COUNTIFS('Control Library'!$A$5:$A$50,"AI-CTRL-043",'Control Library'!$R$5:$R$50,"Implemented")</f>
        <v>0</v>
      </c>
      <c r="K708" s="43" t="str">
        <f aca="false">IF(I708=0,"No wiki control",IF(J708=I708,"Fully covered",IF(J708=0,"Not covered","Partly covered")))</f>
        <v>Not covered</v>
      </c>
      <c r="L708" s="9" t="s">
        <v>2367</v>
      </c>
    </row>
    <row r="709" customFormat="false" ht="35.05" hidden="false" customHeight="false" outlineLevel="0" collapsed="false">
      <c r="A709" s="58" t="s">
        <v>608</v>
      </c>
      <c r="B709" s="58" t="s">
        <v>609</v>
      </c>
      <c r="C709" s="5" t="s">
        <v>2372</v>
      </c>
      <c r="D709" s="6" t="s">
        <v>2373</v>
      </c>
      <c r="E709" s="6" t="s">
        <v>512</v>
      </c>
      <c r="F709" s="6" t="s">
        <v>725</v>
      </c>
      <c r="G709" s="6" t="s">
        <v>515</v>
      </c>
      <c r="H709" s="6"/>
      <c r="I709" s="26" t="n">
        <v>1</v>
      </c>
      <c r="J709" s="26" t="n">
        <f aca="false">COUNTIFS('Control Library'!$A$5:$A$50,"AI-CTRL-042",'Control Library'!$R$5:$R$50,"Implemented")</f>
        <v>0</v>
      </c>
      <c r="K709" s="43" t="str">
        <f aca="false">IF(I709=0,"No wiki control",IF(J709=I709,"Fully covered",IF(J709=0,"Not covered","Partly covered")))</f>
        <v>Not covered</v>
      </c>
      <c r="L709" s="9" t="s">
        <v>2367</v>
      </c>
    </row>
    <row r="710" customFormat="false" ht="35.05" hidden="false" customHeight="false" outlineLevel="0" collapsed="false">
      <c r="A710" s="58" t="s">
        <v>608</v>
      </c>
      <c r="B710" s="58" t="s">
        <v>609</v>
      </c>
      <c r="C710" s="5" t="s">
        <v>2372</v>
      </c>
      <c r="D710" s="6" t="s">
        <v>2374</v>
      </c>
      <c r="E710" s="6" t="s">
        <v>512</v>
      </c>
      <c r="F710" s="6" t="s">
        <v>725</v>
      </c>
      <c r="G710" s="6" t="s">
        <v>515</v>
      </c>
      <c r="H710" s="6"/>
      <c r="I710" s="26" t="n">
        <v>1</v>
      </c>
      <c r="J710" s="26" t="n">
        <f aca="false">COUNTIFS('Control Library'!$A$5:$A$50,"AI-CTRL-042",'Control Library'!$R$5:$R$50,"Implemented")</f>
        <v>0</v>
      </c>
      <c r="K710" s="43" t="str">
        <f aca="false">IF(I710=0,"No wiki control",IF(J710=I710,"Fully covered",IF(J710=0,"Not covered","Partly covered")))</f>
        <v>Not covered</v>
      </c>
      <c r="L710" s="9" t="s">
        <v>2367</v>
      </c>
    </row>
    <row r="711" customFormat="false" ht="23.85" hidden="false" customHeight="false" outlineLevel="0" collapsed="false">
      <c r="A711" s="58" t="s">
        <v>608</v>
      </c>
      <c r="B711" s="58" t="s">
        <v>609</v>
      </c>
      <c r="C711" s="5" t="s">
        <v>2375</v>
      </c>
      <c r="D711" s="6" t="s">
        <v>2376</v>
      </c>
      <c r="E711" s="6" t="s">
        <v>272</v>
      </c>
      <c r="F711" s="6" t="s">
        <v>725</v>
      </c>
      <c r="G711" s="6" t="s">
        <v>276</v>
      </c>
      <c r="H711" s="6"/>
      <c r="I711" s="26" t="n">
        <v>1</v>
      </c>
      <c r="J711" s="26" t="n">
        <f aca="false">COUNTIFS('Control Library'!$A$5:$A$50,"AI-CTRL-013",'Control Library'!$R$5:$R$50,"Implemented")</f>
        <v>0</v>
      </c>
      <c r="K711" s="43" t="str">
        <f aca="false">IF(I711=0,"No wiki control",IF(J711=I711,"Fully covered",IF(J711=0,"Not covered","Partly covered")))</f>
        <v>Not covered</v>
      </c>
      <c r="L711" s="9" t="s">
        <v>2367</v>
      </c>
    </row>
    <row r="712" customFormat="false" ht="23.85" hidden="false" customHeight="false" outlineLevel="0" collapsed="false">
      <c r="A712" s="58" t="s">
        <v>608</v>
      </c>
      <c r="B712" s="58" t="s">
        <v>609</v>
      </c>
      <c r="C712" s="5" t="s">
        <v>2375</v>
      </c>
      <c r="D712" s="6" t="s">
        <v>2377</v>
      </c>
      <c r="E712" s="6" t="s">
        <v>272</v>
      </c>
      <c r="F712" s="6" t="s">
        <v>725</v>
      </c>
      <c r="G712" s="6" t="s">
        <v>276</v>
      </c>
      <c r="H712" s="6"/>
      <c r="I712" s="26" t="n">
        <v>1</v>
      </c>
      <c r="J712" s="26" t="n">
        <f aca="false">COUNTIFS('Control Library'!$A$5:$A$50,"AI-CTRL-013",'Control Library'!$R$5:$R$50,"Implemented")</f>
        <v>0</v>
      </c>
      <c r="K712" s="43" t="str">
        <f aca="false">IF(I712=0,"No wiki control",IF(J712=I712,"Fully covered",IF(J712=0,"Not covered","Partly covered")))</f>
        <v>Not covered</v>
      </c>
      <c r="L712" s="9" t="s">
        <v>2367</v>
      </c>
    </row>
    <row r="713" customFormat="false" ht="23.85" hidden="false" customHeight="false" outlineLevel="0" collapsed="false">
      <c r="A713" s="58" t="s">
        <v>608</v>
      </c>
      <c r="B713" s="58" t="s">
        <v>609</v>
      </c>
      <c r="C713" s="5" t="s">
        <v>2378</v>
      </c>
      <c r="D713" s="6" t="s">
        <v>2379</v>
      </c>
      <c r="E713" s="6" t="s">
        <v>2131</v>
      </c>
      <c r="F713" s="6" t="s">
        <v>725</v>
      </c>
      <c r="G713" s="6" t="s">
        <v>2132</v>
      </c>
      <c r="H713" s="6"/>
      <c r="I713" s="26" t="n">
        <v>2</v>
      </c>
      <c r="J713" s="26" t="n">
        <f aca="false">COUNTIFS('Control Library'!$A$5:$A$50,"AI-CTRL-007",'Control Library'!$R$5:$R$50,"Implemented")+COUNTIFS('Control Library'!$A$5:$A$50,"AI-CTRL-017",'Control Library'!$R$5:$R$50,"Implemented")</f>
        <v>0</v>
      </c>
      <c r="K713" s="43" t="str">
        <f aca="false">IF(I713=0,"No wiki control",IF(J713=I713,"Fully covered",IF(J713=0,"Not covered","Partly covered")))</f>
        <v>Not covered</v>
      </c>
      <c r="L713" s="9" t="s">
        <v>2367</v>
      </c>
    </row>
    <row r="714" customFormat="false" ht="23.85" hidden="false" customHeight="false" outlineLevel="0" collapsed="false">
      <c r="A714" s="58" t="s">
        <v>608</v>
      </c>
      <c r="B714" s="58" t="s">
        <v>609</v>
      </c>
      <c r="C714" s="5" t="s">
        <v>2378</v>
      </c>
      <c r="D714" s="6" t="s">
        <v>2380</v>
      </c>
      <c r="E714" s="6" t="s">
        <v>2131</v>
      </c>
      <c r="F714" s="6" t="s">
        <v>725</v>
      </c>
      <c r="G714" s="6" t="s">
        <v>2132</v>
      </c>
      <c r="H714" s="6"/>
      <c r="I714" s="26" t="n">
        <v>2</v>
      </c>
      <c r="J714" s="26" t="n">
        <f aca="false">COUNTIFS('Control Library'!$A$5:$A$50,"AI-CTRL-007",'Control Library'!$R$5:$R$50,"Implemented")+COUNTIFS('Control Library'!$A$5:$A$50,"AI-CTRL-017",'Control Library'!$R$5:$R$50,"Implemented")</f>
        <v>0</v>
      </c>
      <c r="K714" s="43" t="str">
        <f aca="false">IF(I714=0,"No wiki control",IF(J714=I714,"Fully covered",IF(J714=0,"Not covered","Partly covered")))</f>
        <v>Not covered</v>
      </c>
      <c r="L714" s="9" t="s">
        <v>2367</v>
      </c>
    </row>
    <row r="715" customFormat="false" ht="23.85" hidden="false" customHeight="false" outlineLevel="0" collapsed="false">
      <c r="A715" s="58" t="s">
        <v>608</v>
      </c>
      <c r="B715" s="58" t="s">
        <v>609</v>
      </c>
      <c r="C715" s="5" t="s">
        <v>2381</v>
      </c>
      <c r="D715" s="6" t="s">
        <v>2382</v>
      </c>
      <c r="E715" s="6" t="s">
        <v>219</v>
      </c>
      <c r="F715" s="6" t="s">
        <v>725</v>
      </c>
      <c r="G715" s="6" t="s">
        <v>224</v>
      </c>
      <c r="H715" s="6"/>
      <c r="I715" s="26" t="n">
        <v>1</v>
      </c>
      <c r="J715" s="26" t="n">
        <f aca="false">COUNTIFS('Control Library'!$A$5:$A$50,"AI-CTRL-007",'Control Library'!$R$5:$R$50,"Implemented")</f>
        <v>0</v>
      </c>
      <c r="K715" s="43" t="str">
        <f aca="false">IF(I715=0,"No wiki control",IF(J715=I715,"Fully covered",IF(J715=0,"Not covered","Partly covered")))</f>
        <v>Not covered</v>
      </c>
      <c r="L715" s="9" t="s">
        <v>2367</v>
      </c>
    </row>
    <row r="716" customFormat="false" ht="23.85" hidden="false" customHeight="false" outlineLevel="0" collapsed="false">
      <c r="A716" s="58" t="s">
        <v>608</v>
      </c>
      <c r="B716" s="58" t="s">
        <v>609</v>
      </c>
      <c r="C716" s="5" t="s">
        <v>2381</v>
      </c>
      <c r="D716" s="6" t="s">
        <v>2383</v>
      </c>
      <c r="E716" s="6" t="s">
        <v>219</v>
      </c>
      <c r="F716" s="6" t="s">
        <v>725</v>
      </c>
      <c r="G716" s="6" t="s">
        <v>224</v>
      </c>
      <c r="H716" s="6"/>
      <c r="I716" s="26" t="n">
        <v>1</v>
      </c>
      <c r="J716" s="26" t="n">
        <f aca="false">COUNTIFS('Control Library'!$A$5:$A$50,"AI-CTRL-007",'Control Library'!$R$5:$R$50,"Implemented")</f>
        <v>0</v>
      </c>
      <c r="K716" s="43" t="str">
        <f aca="false">IF(I716=0,"No wiki control",IF(J716=I716,"Fully covered",IF(J716=0,"Not covered","Partly covered")))</f>
        <v>Not covered</v>
      </c>
      <c r="L716" s="9" t="s">
        <v>2367</v>
      </c>
    </row>
    <row r="717" customFormat="false" ht="23.85" hidden="false" customHeight="false" outlineLevel="0" collapsed="false">
      <c r="A717" s="58" t="s">
        <v>608</v>
      </c>
      <c r="B717" s="58" t="s">
        <v>609</v>
      </c>
      <c r="C717" s="5" t="s">
        <v>2384</v>
      </c>
      <c r="D717" s="6" t="s">
        <v>2385</v>
      </c>
      <c r="E717" s="6" t="s">
        <v>282</v>
      </c>
      <c r="F717" s="6" t="s">
        <v>725</v>
      </c>
      <c r="G717" s="6" t="s">
        <v>286</v>
      </c>
      <c r="H717" s="6"/>
      <c r="I717" s="26" t="n">
        <v>1</v>
      </c>
      <c r="J717" s="26" t="n">
        <f aca="false">COUNTIFS('Control Library'!$A$5:$A$50,"AI-CTRL-014",'Control Library'!$R$5:$R$50,"Implemented")</f>
        <v>0</v>
      </c>
      <c r="K717" s="43" t="str">
        <f aca="false">IF(I717=0,"No wiki control",IF(J717=I717,"Fully covered",IF(J717=0,"Not covered","Partly covered")))</f>
        <v>Not covered</v>
      </c>
      <c r="L717" s="9" t="s">
        <v>2367</v>
      </c>
    </row>
    <row r="718" customFormat="false" ht="23.85" hidden="false" customHeight="false" outlineLevel="0" collapsed="false">
      <c r="A718" s="58" t="s">
        <v>608</v>
      </c>
      <c r="B718" s="58" t="s">
        <v>609</v>
      </c>
      <c r="C718" s="5" t="s">
        <v>2384</v>
      </c>
      <c r="D718" s="6" t="s">
        <v>2386</v>
      </c>
      <c r="E718" s="6" t="s">
        <v>282</v>
      </c>
      <c r="F718" s="6" t="s">
        <v>725</v>
      </c>
      <c r="G718" s="6" t="s">
        <v>286</v>
      </c>
      <c r="H718" s="6"/>
      <c r="I718" s="26" t="n">
        <v>1</v>
      </c>
      <c r="J718" s="26" t="n">
        <f aca="false">COUNTIFS('Control Library'!$A$5:$A$50,"AI-CTRL-014",'Control Library'!$R$5:$R$50,"Implemented")</f>
        <v>0</v>
      </c>
      <c r="K718" s="43" t="str">
        <f aca="false">IF(I718=0,"No wiki control",IF(J718=I718,"Fully covered",IF(J718=0,"Not covered","Partly covered")))</f>
        <v>Not covered</v>
      </c>
      <c r="L718" s="9" t="s">
        <v>2367</v>
      </c>
    </row>
    <row r="719" customFormat="false" ht="23.85" hidden="false" customHeight="false" outlineLevel="0" collapsed="false">
      <c r="A719" s="58" t="s">
        <v>610</v>
      </c>
      <c r="B719" s="58" t="s">
        <v>609</v>
      </c>
      <c r="C719" s="5" t="s">
        <v>2387</v>
      </c>
      <c r="D719" s="6" t="s">
        <v>2388</v>
      </c>
      <c r="E719" s="6" t="s">
        <v>272</v>
      </c>
      <c r="F719" s="6" t="s">
        <v>725</v>
      </c>
      <c r="G719" s="6" t="s">
        <v>276</v>
      </c>
      <c r="H719" s="6"/>
      <c r="I719" s="26" t="n">
        <v>1</v>
      </c>
      <c r="J719" s="26" t="n">
        <f aca="false">COUNTIFS('Control Library'!$A$5:$A$50,"AI-CTRL-013",'Control Library'!$R$5:$R$50,"Implemented")</f>
        <v>0</v>
      </c>
      <c r="K719" s="43" t="str">
        <f aca="false">IF(I719=0,"No wiki control",IF(J719=I719,"Fully covered",IF(J719=0,"Not covered","Partly covered")))</f>
        <v>Not covered</v>
      </c>
      <c r="L719" s="9" t="s">
        <v>2389</v>
      </c>
    </row>
    <row r="720" customFormat="false" ht="23.85" hidden="false" customHeight="false" outlineLevel="0" collapsed="false">
      <c r="A720" s="58" t="s">
        <v>610</v>
      </c>
      <c r="B720" s="58" t="s">
        <v>609</v>
      </c>
      <c r="C720" s="5" t="s">
        <v>2390</v>
      </c>
      <c r="D720" s="6" t="s">
        <v>2391</v>
      </c>
      <c r="E720" s="6" t="s">
        <v>263</v>
      </c>
      <c r="F720" s="6" t="s">
        <v>725</v>
      </c>
      <c r="G720" s="6" t="s">
        <v>266</v>
      </c>
      <c r="H720" s="6"/>
      <c r="I720" s="26" t="n">
        <v>1</v>
      </c>
      <c r="J720" s="26" t="n">
        <f aca="false">COUNTIFS('Control Library'!$A$5:$A$50,"AI-CTRL-012",'Control Library'!$R$5:$R$50,"Implemented")</f>
        <v>0</v>
      </c>
      <c r="K720" s="43" t="str">
        <f aca="false">IF(I720=0,"No wiki control",IF(J720=I720,"Fully covered",IF(J720=0,"Not covered","Partly covered")))</f>
        <v>Not covered</v>
      </c>
      <c r="L720" s="9" t="s">
        <v>2389</v>
      </c>
    </row>
    <row r="721" customFormat="false" ht="23.85" hidden="false" customHeight="false" outlineLevel="0" collapsed="false">
      <c r="A721" s="58" t="s">
        <v>610</v>
      </c>
      <c r="B721" s="58" t="s">
        <v>609</v>
      </c>
      <c r="C721" s="5" t="s">
        <v>2392</v>
      </c>
      <c r="D721" s="6" t="s">
        <v>2393</v>
      </c>
      <c r="E721" s="6"/>
      <c r="F721" s="6" t="s">
        <v>635</v>
      </c>
      <c r="G721" s="6"/>
      <c r="H721" s="6"/>
      <c r="I721" s="26" t="n">
        <v>0</v>
      </c>
      <c r="J721" s="26" t="n">
        <f aca="false">0</f>
        <v>0</v>
      </c>
      <c r="K721" s="43" t="str">
        <f aca="false">IF(I721=0,"No wiki control",IF(J721=I721,"Fully covered",IF(J721=0,"Not covered","Partly covered")))</f>
        <v>No wiki control</v>
      </c>
      <c r="L721" s="9" t="s">
        <v>2389</v>
      </c>
    </row>
    <row r="722" customFormat="false" ht="23.85" hidden="false" customHeight="false" outlineLevel="0" collapsed="false">
      <c r="A722" s="58" t="s">
        <v>610</v>
      </c>
      <c r="B722" s="58" t="s">
        <v>609</v>
      </c>
      <c r="C722" s="5" t="s">
        <v>2394</v>
      </c>
      <c r="D722" s="6" t="s">
        <v>2395</v>
      </c>
      <c r="E722" s="6" t="s">
        <v>356</v>
      </c>
      <c r="F722" s="6" t="s">
        <v>725</v>
      </c>
      <c r="G722" s="6" t="s">
        <v>359</v>
      </c>
      <c r="H722" s="6"/>
      <c r="I722" s="26" t="n">
        <v>1</v>
      </c>
      <c r="J722" s="26" t="n">
        <f aca="false">COUNTIFS('Control Library'!$A$5:$A$50,"AI-CTRL-023",'Control Library'!$R$5:$R$50,"Implemented")</f>
        <v>0</v>
      </c>
      <c r="K722" s="43" t="str">
        <f aca="false">IF(I722=0,"No wiki control",IF(J722=I722,"Fully covered",IF(J722=0,"Not covered","Partly covered")))</f>
        <v>Not covered</v>
      </c>
      <c r="L722" s="9" t="s">
        <v>2389</v>
      </c>
    </row>
    <row r="723" customFormat="false" ht="23.85" hidden="false" customHeight="false" outlineLevel="0" collapsed="false">
      <c r="A723" s="58" t="s">
        <v>610</v>
      </c>
      <c r="B723" s="58" t="s">
        <v>609</v>
      </c>
      <c r="C723" s="5" t="s">
        <v>2396</v>
      </c>
      <c r="D723" s="6" t="s">
        <v>2397</v>
      </c>
      <c r="E723" s="6"/>
      <c r="F723" s="6" t="s">
        <v>635</v>
      </c>
      <c r="G723" s="6"/>
      <c r="H723" s="6"/>
      <c r="I723" s="26" t="n">
        <v>0</v>
      </c>
      <c r="J723" s="26" t="n">
        <f aca="false">0</f>
        <v>0</v>
      </c>
      <c r="K723" s="43" t="str">
        <f aca="false">IF(I723=0,"No wiki control",IF(J723=I723,"Fully covered",IF(J723=0,"Not covered","Partly covered")))</f>
        <v>No wiki control</v>
      </c>
      <c r="L723" s="9" t="s">
        <v>2389</v>
      </c>
    </row>
    <row r="724" customFormat="false" ht="23.85" hidden="false" customHeight="false" outlineLevel="0" collapsed="false">
      <c r="A724" s="58" t="s">
        <v>610</v>
      </c>
      <c r="B724" s="58" t="s">
        <v>609</v>
      </c>
      <c r="C724" s="5" t="s">
        <v>2398</v>
      </c>
      <c r="D724" s="6" t="s">
        <v>2399</v>
      </c>
      <c r="E724" s="6" t="s">
        <v>2400</v>
      </c>
      <c r="F724" s="6" t="s">
        <v>725</v>
      </c>
      <c r="G724" s="6" t="s">
        <v>2401</v>
      </c>
      <c r="H724" s="6"/>
      <c r="I724" s="26" t="n">
        <v>3</v>
      </c>
      <c r="J724" s="26" t="n">
        <f aca="false">COUNTIFS('Control Library'!$A$5:$A$50,"AI-CTRL-011",'Control Library'!$R$5:$R$50,"Implemented")+COUNTIFS('Control Library'!$A$5:$A$50,"AI-CTRL-037",'Control Library'!$R$5:$R$50,"Implemented")+COUNTIFS('Control Library'!$A$5:$A$50,"AI-CTRL-038",'Control Library'!$R$5:$R$50,"Implemented")</f>
        <v>0</v>
      </c>
      <c r="K724" s="43" t="str">
        <f aca="false">IF(I724=0,"No wiki control",IF(J724=I724,"Fully covered",IF(J724=0,"Not covered","Partly covered")))</f>
        <v>Not covered</v>
      </c>
      <c r="L724" s="9" t="s">
        <v>2389</v>
      </c>
    </row>
    <row r="725" customFormat="false" ht="23.85" hidden="false" customHeight="false" outlineLevel="0" collapsed="false">
      <c r="A725" s="58" t="s">
        <v>610</v>
      </c>
      <c r="B725" s="58" t="s">
        <v>609</v>
      </c>
      <c r="C725" s="5" t="s">
        <v>2402</v>
      </c>
      <c r="D725" s="6" t="s">
        <v>2403</v>
      </c>
      <c r="E725" s="6" t="s">
        <v>272</v>
      </c>
      <c r="F725" s="6" t="s">
        <v>725</v>
      </c>
      <c r="G725" s="6" t="s">
        <v>276</v>
      </c>
      <c r="H725" s="6"/>
      <c r="I725" s="26" t="n">
        <v>1</v>
      </c>
      <c r="J725" s="26" t="n">
        <f aca="false">COUNTIFS('Control Library'!$A$5:$A$50,"AI-CTRL-013",'Control Library'!$R$5:$R$50,"Implemented")</f>
        <v>0</v>
      </c>
      <c r="K725" s="43" t="str">
        <f aca="false">IF(I725=0,"No wiki control",IF(J725=I725,"Fully covered",IF(J725=0,"Not covered","Partly covered")))</f>
        <v>Not covered</v>
      </c>
      <c r="L725" s="9" t="s">
        <v>2389</v>
      </c>
    </row>
    <row r="726" customFormat="false" ht="23.85" hidden="false" customHeight="false" outlineLevel="0" collapsed="false">
      <c r="A726" s="58" t="s">
        <v>610</v>
      </c>
      <c r="B726" s="58" t="s">
        <v>609</v>
      </c>
      <c r="C726" s="5" t="s">
        <v>2404</v>
      </c>
      <c r="D726" s="6" t="s">
        <v>2405</v>
      </c>
      <c r="E726" s="6" t="s">
        <v>1815</v>
      </c>
      <c r="F726" s="6" t="s">
        <v>725</v>
      </c>
      <c r="G726" s="6" t="s">
        <v>1816</v>
      </c>
      <c r="H726" s="6"/>
      <c r="I726" s="26" t="n">
        <v>3</v>
      </c>
      <c r="J726" s="26" t="n">
        <f aca="false">COUNTIFS('Control Library'!$A$5:$A$50,"AI-CTRL-007",'Control Library'!$R$5:$R$50,"Implemented")+COUNTIFS('Control Library'!$A$5:$A$50,"AI-CTRL-013",'Control Library'!$R$5:$R$50,"Implemented")+COUNTIFS('Control Library'!$A$5:$A$50,"AI-CTRL-017",'Control Library'!$R$5:$R$50,"Implemented")</f>
        <v>0</v>
      </c>
      <c r="K726" s="43" t="str">
        <f aca="false">IF(I726=0,"No wiki control",IF(J726=I726,"Fully covered",IF(J726=0,"Not covered","Partly covered")))</f>
        <v>Not covered</v>
      </c>
      <c r="L726" s="9" t="s">
        <v>2389</v>
      </c>
    </row>
    <row r="727" customFormat="false" ht="23.85" hidden="false" customHeight="false" outlineLevel="0" collapsed="false">
      <c r="A727" s="58" t="s">
        <v>610</v>
      </c>
      <c r="B727" s="58" t="s">
        <v>609</v>
      </c>
      <c r="C727" s="5" t="s">
        <v>2406</v>
      </c>
      <c r="D727" s="6" t="s">
        <v>2407</v>
      </c>
      <c r="E727" s="6"/>
      <c r="F727" s="6" t="s">
        <v>635</v>
      </c>
      <c r="G727" s="6"/>
      <c r="H727" s="6"/>
      <c r="I727" s="26" t="n">
        <v>0</v>
      </c>
      <c r="J727" s="26" t="n">
        <f aca="false">0</f>
        <v>0</v>
      </c>
      <c r="K727" s="43" t="str">
        <f aca="false">IF(I727=0,"No wiki control",IF(J727=I727,"Fully covered",IF(J727=0,"Not covered","Partly covered")))</f>
        <v>No wiki control</v>
      </c>
      <c r="L727" s="9" t="s">
        <v>2389</v>
      </c>
    </row>
    <row r="728" customFormat="false" ht="35.05" hidden="false" customHeight="false" outlineLevel="0" collapsed="false">
      <c r="A728" s="58" t="s">
        <v>610</v>
      </c>
      <c r="B728" s="58" t="s">
        <v>609</v>
      </c>
      <c r="C728" s="5" t="s">
        <v>2408</v>
      </c>
      <c r="D728" s="6" t="s">
        <v>2409</v>
      </c>
      <c r="E728" s="6" t="s">
        <v>2410</v>
      </c>
      <c r="F728" s="6" t="s">
        <v>725</v>
      </c>
      <c r="G728" s="6" t="s">
        <v>2411</v>
      </c>
      <c r="H728" s="6"/>
      <c r="I728" s="26" t="n">
        <v>3</v>
      </c>
      <c r="J728" s="26" t="n">
        <f aca="false">COUNTIFS('Control Library'!$A$5:$A$50,"AI-CTRL-012",'Control Library'!$R$5:$R$50,"Implemented")+COUNTIFS('Control Library'!$A$5:$A$50,"AI-CTRL-039",'Control Library'!$R$5:$R$50,"Implemented")+COUNTIFS('Control Library'!$A$5:$A$50,"AI-CTRL-041",'Control Library'!$R$5:$R$50,"Implemented")</f>
        <v>0</v>
      </c>
      <c r="K728" s="43" t="str">
        <f aca="false">IF(I728=0,"No wiki control",IF(J728=I728,"Fully covered",IF(J728=0,"Not covered","Partly covered")))</f>
        <v>Not covered</v>
      </c>
      <c r="L728" s="9" t="s">
        <v>2389</v>
      </c>
    </row>
    <row r="729" customFormat="false" ht="35.05" hidden="false" customHeight="false" outlineLevel="0" collapsed="false">
      <c r="A729" s="58" t="s">
        <v>610</v>
      </c>
      <c r="B729" s="58" t="s">
        <v>609</v>
      </c>
      <c r="C729" s="5" t="s">
        <v>2412</v>
      </c>
      <c r="D729" s="6" t="s">
        <v>2413</v>
      </c>
      <c r="E729" s="6" t="s">
        <v>2414</v>
      </c>
      <c r="F729" s="6" t="s">
        <v>725</v>
      </c>
      <c r="G729" s="6" t="s">
        <v>2415</v>
      </c>
      <c r="H729" s="6"/>
      <c r="I729" s="26" t="n">
        <v>4</v>
      </c>
      <c r="J729" s="26" t="n">
        <f aca="false">COUNTIFS('Control Library'!$A$5:$A$50,"AI-CTRL-011",'Control Library'!$R$5:$R$50,"Implemented")+COUNTIFS('Control Library'!$A$5:$A$50,"AI-CTRL-023",'Control Library'!$R$5:$R$50,"Implemented")+COUNTIFS('Control Library'!$A$5:$A$50,"AI-CTRL-033",'Control Library'!$R$5:$R$50,"Implemented")+COUNTIFS('Control Library'!$A$5:$A$50,"AI-CTRL-041",'Control Library'!$R$5:$R$50,"Implemented")</f>
        <v>0</v>
      </c>
      <c r="K729" s="43" t="str">
        <f aca="false">IF(I729=0,"No wiki control",IF(J729=I729,"Fully covered",IF(J729=0,"Not covered","Partly covered")))</f>
        <v>Not covered</v>
      </c>
      <c r="L729" s="9" t="s">
        <v>2389</v>
      </c>
    </row>
    <row r="730" customFormat="false" ht="23.85" hidden="false" customHeight="false" outlineLevel="0" collapsed="false">
      <c r="A730" s="58" t="s">
        <v>610</v>
      </c>
      <c r="B730" s="58" t="s">
        <v>609</v>
      </c>
      <c r="C730" s="5" t="s">
        <v>2416</v>
      </c>
      <c r="D730" s="6" t="s">
        <v>2417</v>
      </c>
      <c r="E730" s="6" t="s">
        <v>1815</v>
      </c>
      <c r="F730" s="6" t="s">
        <v>725</v>
      </c>
      <c r="G730" s="6" t="s">
        <v>1816</v>
      </c>
      <c r="H730" s="6"/>
      <c r="I730" s="26" t="n">
        <v>3</v>
      </c>
      <c r="J730" s="26" t="n">
        <f aca="false">COUNTIFS('Control Library'!$A$5:$A$50,"AI-CTRL-007",'Control Library'!$R$5:$R$50,"Implemented")+COUNTIFS('Control Library'!$A$5:$A$50,"AI-CTRL-013",'Control Library'!$R$5:$R$50,"Implemented")+COUNTIFS('Control Library'!$A$5:$A$50,"AI-CTRL-017",'Control Library'!$R$5:$R$50,"Implemented")</f>
        <v>0</v>
      </c>
      <c r="K730" s="43" t="str">
        <f aca="false">IF(I730=0,"No wiki control",IF(J730=I730,"Fully covered",IF(J730=0,"Not covered","Partly covered")))</f>
        <v>Not covered</v>
      </c>
      <c r="L730" s="9" t="s">
        <v>2389</v>
      </c>
    </row>
    <row r="731" customFormat="false" ht="35.05" hidden="false" customHeight="false" outlineLevel="0" collapsed="false">
      <c r="A731" s="58" t="s">
        <v>610</v>
      </c>
      <c r="B731" s="58" t="s">
        <v>609</v>
      </c>
      <c r="C731" s="5" t="s">
        <v>2418</v>
      </c>
      <c r="D731" s="6" t="s">
        <v>2419</v>
      </c>
      <c r="E731" s="6" t="s">
        <v>2410</v>
      </c>
      <c r="F731" s="6" t="s">
        <v>725</v>
      </c>
      <c r="G731" s="6" t="s">
        <v>2411</v>
      </c>
      <c r="H731" s="6"/>
      <c r="I731" s="26" t="n">
        <v>3</v>
      </c>
      <c r="J731" s="26" t="n">
        <f aca="false">COUNTIFS('Control Library'!$A$5:$A$50,"AI-CTRL-012",'Control Library'!$R$5:$R$50,"Implemented")+COUNTIFS('Control Library'!$A$5:$A$50,"AI-CTRL-039",'Control Library'!$R$5:$R$50,"Implemented")+COUNTIFS('Control Library'!$A$5:$A$50,"AI-CTRL-041",'Control Library'!$R$5:$R$50,"Implemented")</f>
        <v>0</v>
      </c>
      <c r="K731" s="43" t="str">
        <f aca="false">IF(I731=0,"No wiki control",IF(J731=I731,"Fully covered",IF(J731=0,"Not covered","Partly covered")))</f>
        <v>Not covered</v>
      </c>
      <c r="L731" s="9" t="s">
        <v>2389</v>
      </c>
    </row>
    <row r="732" customFormat="false" ht="23.85" hidden="false" customHeight="false" outlineLevel="0" collapsed="false">
      <c r="A732" s="58" t="s">
        <v>610</v>
      </c>
      <c r="B732" s="58" t="s">
        <v>609</v>
      </c>
      <c r="C732" s="5" t="s">
        <v>2420</v>
      </c>
      <c r="D732" s="6" t="s">
        <v>2421</v>
      </c>
      <c r="E732" s="6" t="s">
        <v>2422</v>
      </c>
      <c r="F732" s="6" t="s">
        <v>725</v>
      </c>
      <c r="G732" s="6" t="s">
        <v>1000</v>
      </c>
      <c r="H732" s="6"/>
      <c r="I732" s="26" t="n">
        <v>3</v>
      </c>
      <c r="J732" s="26" t="n">
        <f aca="false">COUNTIFS('Control Library'!$A$5:$A$50,"AI-CTRL-002",'Control Library'!$R$5:$R$50,"Implemented")+COUNTIFS('Control Library'!$A$5:$A$50,"AI-CTRL-010",'Control Library'!$R$5:$R$50,"Implemented")+COUNTIFS('Control Library'!$A$5:$A$50,"AI-CTRL-012",'Control Library'!$R$5:$R$50,"Implemented")</f>
        <v>0</v>
      </c>
      <c r="K732" s="43" t="str">
        <f aca="false">IF(I732=0,"No wiki control",IF(J732=I732,"Fully covered",IF(J732=0,"Not covered","Partly covered")))</f>
        <v>Not covered</v>
      </c>
      <c r="L732" s="9" t="s">
        <v>2389</v>
      </c>
    </row>
    <row r="733" customFormat="false" ht="23.85" hidden="false" customHeight="false" outlineLevel="0" collapsed="false">
      <c r="A733" s="58" t="s">
        <v>610</v>
      </c>
      <c r="B733" s="58" t="s">
        <v>609</v>
      </c>
      <c r="C733" s="5" t="s">
        <v>2423</v>
      </c>
      <c r="D733" s="6" t="s">
        <v>2424</v>
      </c>
      <c r="E733" s="6"/>
      <c r="F733" s="6" t="s">
        <v>635</v>
      </c>
      <c r="G733" s="6"/>
      <c r="H733" s="6"/>
      <c r="I733" s="26" t="n">
        <v>0</v>
      </c>
      <c r="J733" s="26" t="n">
        <f aca="false">0</f>
        <v>0</v>
      </c>
      <c r="K733" s="43" t="str">
        <f aca="false">IF(I733=0,"No wiki control",IF(J733=I733,"Fully covered",IF(J733=0,"Not covered","Partly covered")))</f>
        <v>No wiki control</v>
      </c>
      <c r="L733" s="9" t="s">
        <v>2389</v>
      </c>
    </row>
    <row r="734" customFormat="false" ht="23.85" hidden="false" customHeight="false" outlineLevel="0" collapsed="false">
      <c r="A734" s="58" t="s">
        <v>610</v>
      </c>
      <c r="B734" s="58" t="s">
        <v>609</v>
      </c>
      <c r="C734" s="5" t="s">
        <v>2425</v>
      </c>
      <c r="D734" s="6" t="s">
        <v>2426</v>
      </c>
      <c r="E734" s="6" t="s">
        <v>469</v>
      </c>
      <c r="F734" s="6" t="s">
        <v>725</v>
      </c>
      <c r="G734" s="6" t="s">
        <v>472</v>
      </c>
      <c r="H734" s="6"/>
      <c r="I734" s="26" t="n">
        <v>1</v>
      </c>
      <c r="J734" s="26" t="n">
        <f aca="false">COUNTIFS('Control Library'!$A$5:$A$50,"AI-CTRL-037",'Control Library'!$R$5:$R$50,"Implemented")</f>
        <v>0</v>
      </c>
      <c r="K734" s="43" t="str">
        <f aca="false">IF(I734=0,"No wiki control",IF(J734=I734,"Fully covered",IF(J734=0,"Not covered","Partly covered")))</f>
        <v>Not covered</v>
      </c>
      <c r="L734" s="9" t="s">
        <v>2389</v>
      </c>
    </row>
    <row r="735" customFormat="false" ht="35.05" hidden="false" customHeight="false" outlineLevel="0" collapsed="false">
      <c r="A735" s="58" t="s">
        <v>610</v>
      </c>
      <c r="B735" s="58" t="s">
        <v>609</v>
      </c>
      <c r="C735" s="5" t="s">
        <v>2427</v>
      </c>
      <c r="D735" s="6" t="s">
        <v>2428</v>
      </c>
      <c r="E735" s="6" t="s">
        <v>2429</v>
      </c>
      <c r="F735" s="6" t="s">
        <v>725</v>
      </c>
      <c r="G735" s="6" t="s">
        <v>2430</v>
      </c>
      <c r="H735" s="6"/>
      <c r="I735" s="26" t="n">
        <v>3</v>
      </c>
      <c r="J735" s="26" t="n">
        <f aca="false">COUNTIFS('Control Library'!$A$5:$A$50,"AI-CTRL-005",'Control Library'!$R$5:$R$50,"Implemented")+COUNTIFS('Control Library'!$A$5:$A$50,"AI-CTRL-008",'Control Library'!$R$5:$R$50,"Implemented")+COUNTIFS('Control Library'!$A$5:$A$50,"AI-CTRL-032",'Control Library'!$R$5:$R$50,"Implemented")</f>
        <v>0</v>
      </c>
      <c r="K735" s="43" t="str">
        <f aca="false">IF(I735=0,"No wiki control",IF(J735=I735,"Fully covered",IF(J735=0,"Not covered","Partly covered")))</f>
        <v>Not covered</v>
      </c>
      <c r="L735" s="9" t="s">
        <v>2389</v>
      </c>
    </row>
    <row r="736" customFormat="false" ht="35.05" hidden="false" customHeight="false" outlineLevel="0" collapsed="false">
      <c r="A736" s="58" t="s">
        <v>610</v>
      </c>
      <c r="B736" s="58" t="s">
        <v>609</v>
      </c>
      <c r="C736" s="5" t="s">
        <v>2431</v>
      </c>
      <c r="D736" s="6" t="s">
        <v>2432</v>
      </c>
      <c r="E736" s="6" t="s">
        <v>2429</v>
      </c>
      <c r="F736" s="6" t="s">
        <v>725</v>
      </c>
      <c r="G736" s="6" t="s">
        <v>2430</v>
      </c>
      <c r="H736" s="6"/>
      <c r="I736" s="26" t="n">
        <v>3</v>
      </c>
      <c r="J736" s="26" t="n">
        <f aca="false">COUNTIFS('Control Library'!$A$5:$A$50,"AI-CTRL-005",'Control Library'!$R$5:$R$50,"Implemented")+COUNTIFS('Control Library'!$A$5:$A$50,"AI-CTRL-008",'Control Library'!$R$5:$R$50,"Implemented")+COUNTIFS('Control Library'!$A$5:$A$50,"AI-CTRL-032",'Control Library'!$R$5:$R$50,"Implemented")</f>
        <v>0</v>
      </c>
      <c r="K736" s="43" t="str">
        <f aca="false">IF(I736=0,"No wiki control",IF(J736=I736,"Fully covered",IF(J736=0,"Not covered","Partly covered")))</f>
        <v>Not covered</v>
      </c>
      <c r="L736" s="9" t="s">
        <v>2389</v>
      </c>
    </row>
    <row r="737" customFormat="false" ht="23.85" hidden="false" customHeight="false" outlineLevel="0" collapsed="false">
      <c r="A737" s="58" t="s">
        <v>610</v>
      </c>
      <c r="B737" s="58" t="s">
        <v>609</v>
      </c>
      <c r="C737" s="5" t="s">
        <v>2433</v>
      </c>
      <c r="D737" s="6" t="s">
        <v>2434</v>
      </c>
      <c r="E737" s="6"/>
      <c r="F737" s="6" t="s">
        <v>635</v>
      </c>
      <c r="G737" s="6"/>
      <c r="H737" s="6"/>
      <c r="I737" s="26" t="n">
        <v>0</v>
      </c>
      <c r="J737" s="26" t="n">
        <f aca="false">0</f>
        <v>0</v>
      </c>
      <c r="K737" s="43" t="str">
        <f aca="false">IF(I737=0,"No wiki control",IF(J737=I737,"Fully covered",IF(J737=0,"Not covered","Partly covered")))</f>
        <v>No wiki control</v>
      </c>
      <c r="L737" s="9" t="s">
        <v>2389</v>
      </c>
    </row>
    <row r="738" customFormat="false" ht="23.85" hidden="false" customHeight="false" outlineLevel="0" collapsed="false">
      <c r="A738" s="58" t="s">
        <v>610</v>
      </c>
      <c r="B738" s="58" t="s">
        <v>609</v>
      </c>
      <c r="C738" s="5" t="s">
        <v>2435</v>
      </c>
      <c r="D738" s="6" t="s">
        <v>2436</v>
      </c>
      <c r="E738" s="6" t="s">
        <v>403</v>
      </c>
      <c r="F738" s="6" t="s">
        <v>725</v>
      </c>
      <c r="G738" s="6" t="s">
        <v>398</v>
      </c>
      <c r="H738" s="6"/>
      <c r="I738" s="26" t="n">
        <v>1</v>
      </c>
      <c r="J738" s="26" t="n">
        <f aca="false">COUNTIFS('Control Library'!$A$5:$A$50,"AI-CTRL-029",'Control Library'!$R$5:$R$50,"Implemented")</f>
        <v>0</v>
      </c>
      <c r="K738" s="43" t="str">
        <f aca="false">IF(I738=0,"No wiki control",IF(J738=I738,"Fully covered",IF(J738=0,"Not covered","Partly covered")))</f>
        <v>Not covered</v>
      </c>
      <c r="L738" s="9" t="s">
        <v>2389</v>
      </c>
    </row>
    <row r="739" customFormat="false" ht="23.85" hidden="false" customHeight="false" outlineLevel="0" collapsed="false">
      <c r="A739" s="58" t="s">
        <v>610</v>
      </c>
      <c r="B739" s="58" t="s">
        <v>609</v>
      </c>
      <c r="C739" s="5" t="s">
        <v>2437</v>
      </c>
      <c r="D739" s="6" t="s">
        <v>2438</v>
      </c>
      <c r="E739" s="6" t="s">
        <v>219</v>
      </c>
      <c r="F739" s="6" t="s">
        <v>725</v>
      </c>
      <c r="G739" s="6" t="s">
        <v>224</v>
      </c>
      <c r="H739" s="6"/>
      <c r="I739" s="26" t="n">
        <v>1</v>
      </c>
      <c r="J739" s="26" t="n">
        <f aca="false">COUNTIFS('Control Library'!$A$5:$A$50,"AI-CTRL-007",'Control Library'!$R$5:$R$50,"Implemented")</f>
        <v>0</v>
      </c>
      <c r="K739" s="43" t="str">
        <f aca="false">IF(I739=0,"No wiki control",IF(J739=I739,"Fully covered",IF(J739=0,"Not covered","Partly covered")))</f>
        <v>Not covered</v>
      </c>
      <c r="L739" s="9" t="s">
        <v>2389</v>
      </c>
    </row>
    <row r="740" customFormat="false" ht="35.05" hidden="false" customHeight="false" outlineLevel="0" collapsed="false">
      <c r="A740" s="58" t="s">
        <v>610</v>
      </c>
      <c r="B740" s="58" t="s">
        <v>609</v>
      </c>
      <c r="C740" s="5" t="s">
        <v>2439</v>
      </c>
      <c r="D740" s="6" t="s">
        <v>2440</v>
      </c>
      <c r="E740" s="6" t="s">
        <v>2441</v>
      </c>
      <c r="F740" s="6" t="s">
        <v>725</v>
      </c>
      <c r="G740" s="6" t="s">
        <v>2442</v>
      </c>
      <c r="H740" s="6"/>
      <c r="I740" s="26" t="n">
        <v>4</v>
      </c>
      <c r="J740"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40" s="43" t="str">
        <f aca="false">IF(I740=0,"No wiki control",IF(J740=I740,"Fully covered",IF(J740=0,"Not covered","Partly covered")))</f>
        <v>Not covered</v>
      </c>
      <c r="L740" s="9" t="s">
        <v>2389</v>
      </c>
    </row>
    <row r="741" customFormat="false" ht="23.85" hidden="false" customHeight="false" outlineLevel="0" collapsed="false">
      <c r="A741" s="58" t="s">
        <v>610</v>
      </c>
      <c r="B741" s="58" t="s">
        <v>609</v>
      </c>
      <c r="C741" s="5" t="s">
        <v>2443</v>
      </c>
      <c r="D741" s="6" t="s">
        <v>2444</v>
      </c>
      <c r="E741" s="6" t="s">
        <v>2445</v>
      </c>
      <c r="F741" s="6" t="s">
        <v>725</v>
      </c>
      <c r="G741" s="6" t="s">
        <v>2446</v>
      </c>
      <c r="H741" s="6"/>
      <c r="I741" s="26" t="n">
        <v>3</v>
      </c>
      <c r="J741" s="26" t="n">
        <f aca="false">COUNTIFS('Control Library'!$A$5:$A$50,"AI-CTRL-005",'Control Library'!$R$5:$R$50,"Implemented")+COUNTIFS('Control Library'!$A$5:$A$50,"AI-CTRL-028",'Control Library'!$R$5:$R$50,"Implemented")+COUNTIFS('Control Library'!$A$5:$A$50,"AI-CTRL-035",'Control Library'!$R$5:$R$50,"Implemented")</f>
        <v>0</v>
      </c>
      <c r="K741" s="43" t="str">
        <f aca="false">IF(I741=0,"No wiki control",IF(J741=I741,"Fully covered",IF(J741=0,"Not covered","Partly covered")))</f>
        <v>Not covered</v>
      </c>
      <c r="L741" s="9" t="s">
        <v>2389</v>
      </c>
    </row>
    <row r="742" customFormat="false" ht="35.05" hidden="false" customHeight="false" outlineLevel="0" collapsed="false">
      <c r="A742" s="58" t="s">
        <v>610</v>
      </c>
      <c r="B742" s="58" t="s">
        <v>609</v>
      </c>
      <c r="C742" s="5" t="s">
        <v>2447</v>
      </c>
      <c r="D742" s="6" t="s">
        <v>2448</v>
      </c>
      <c r="E742" s="6" t="s">
        <v>2449</v>
      </c>
      <c r="F742" s="6" t="s">
        <v>725</v>
      </c>
      <c r="G742" s="6" t="s">
        <v>2450</v>
      </c>
      <c r="H742" s="6"/>
      <c r="I742" s="26" t="n">
        <v>3</v>
      </c>
      <c r="J742" s="26" t="n">
        <f aca="false">COUNTIFS('Control Library'!$A$5:$A$50,"AI-CTRL-012",'Control Library'!$R$5:$R$50,"Implemented")+COUNTIFS('Control Library'!$A$5:$A$50,"AI-CTRL-023",'Control Library'!$R$5:$R$50,"Implemented")+COUNTIFS('Control Library'!$A$5:$A$50,"AI-CTRL-039",'Control Library'!$R$5:$R$50,"Implemented")</f>
        <v>0</v>
      </c>
      <c r="K742" s="43" t="str">
        <f aca="false">IF(I742=0,"No wiki control",IF(J742=I742,"Fully covered",IF(J742=0,"Not covered","Partly covered")))</f>
        <v>Not covered</v>
      </c>
      <c r="L742" s="9" t="s">
        <v>2389</v>
      </c>
    </row>
    <row r="743" customFormat="false" ht="35.05" hidden="false" customHeight="false" outlineLevel="0" collapsed="false">
      <c r="A743" s="58" t="s">
        <v>610</v>
      </c>
      <c r="B743" s="58" t="s">
        <v>609</v>
      </c>
      <c r="C743" s="5" t="s">
        <v>2451</v>
      </c>
      <c r="D743" s="6" t="s">
        <v>2452</v>
      </c>
      <c r="E743" s="6" t="s">
        <v>2410</v>
      </c>
      <c r="F743" s="6" t="s">
        <v>725</v>
      </c>
      <c r="G743" s="6" t="s">
        <v>2411</v>
      </c>
      <c r="H743" s="6"/>
      <c r="I743" s="26" t="n">
        <v>3</v>
      </c>
      <c r="J743" s="26" t="n">
        <f aca="false">COUNTIFS('Control Library'!$A$5:$A$50,"AI-CTRL-012",'Control Library'!$R$5:$R$50,"Implemented")+COUNTIFS('Control Library'!$A$5:$A$50,"AI-CTRL-039",'Control Library'!$R$5:$R$50,"Implemented")+COUNTIFS('Control Library'!$A$5:$A$50,"AI-CTRL-041",'Control Library'!$R$5:$R$50,"Implemented")</f>
        <v>0</v>
      </c>
      <c r="K743" s="43" t="str">
        <f aca="false">IF(I743=0,"No wiki control",IF(J743=I743,"Fully covered",IF(J743=0,"Not covered","Partly covered")))</f>
        <v>Not covered</v>
      </c>
      <c r="L743" s="9" t="s">
        <v>2389</v>
      </c>
    </row>
    <row r="744" customFormat="false" ht="23.85" hidden="false" customHeight="false" outlineLevel="0" collapsed="false">
      <c r="A744" s="58" t="s">
        <v>610</v>
      </c>
      <c r="B744" s="58" t="s">
        <v>609</v>
      </c>
      <c r="C744" s="5" t="s">
        <v>2453</v>
      </c>
      <c r="D744" s="6" t="s">
        <v>2454</v>
      </c>
      <c r="E744" s="6" t="s">
        <v>2455</v>
      </c>
      <c r="F744" s="6" t="s">
        <v>725</v>
      </c>
      <c r="G744" s="6" t="s">
        <v>2456</v>
      </c>
      <c r="H744" s="6"/>
      <c r="I744" s="26" t="n">
        <v>2</v>
      </c>
      <c r="J744" s="26" t="n">
        <f aca="false">COUNTIFS('Control Library'!$A$5:$A$50,"AI-CTRL-013",'Control Library'!$R$5:$R$50,"Implemented")+COUNTIFS('Control Library'!$A$5:$A$50,"AI-CTRL-038",'Control Library'!$R$5:$R$50,"Implemented")</f>
        <v>0</v>
      </c>
      <c r="K744" s="43" t="str">
        <f aca="false">IF(I744=0,"No wiki control",IF(J744=I744,"Fully covered",IF(J744=0,"Not covered","Partly covered")))</f>
        <v>Not covered</v>
      </c>
      <c r="L744" s="9" t="s">
        <v>2389</v>
      </c>
    </row>
    <row r="745" customFormat="false" ht="46.25" hidden="false" customHeight="false" outlineLevel="0" collapsed="false">
      <c r="A745" s="58" t="s">
        <v>610</v>
      </c>
      <c r="B745" s="58" t="s">
        <v>609</v>
      </c>
      <c r="C745" s="5" t="s">
        <v>2457</v>
      </c>
      <c r="D745" s="6" t="s">
        <v>2458</v>
      </c>
      <c r="E745" s="6" t="s">
        <v>2459</v>
      </c>
      <c r="F745" s="6" t="s">
        <v>725</v>
      </c>
      <c r="G745" s="6" t="s">
        <v>2460</v>
      </c>
      <c r="H745" s="6"/>
      <c r="I745" s="26" t="n">
        <v>4</v>
      </c>
      <c r="J745" s="26" t="n">
        <f aca="false">COUNTIFS('Control Library'!$A$5:$A$50,"AI-CTRL-011",'Control Library'!$R$5:$R$50,"Implemented")+COUNTIFS('Control Library'!$A$5:$A$50,"AI-CTRL-013",'Control Library'!$R$5:$R$50,"Implemented")+COUNTIFS('Control Library'!$A$5:$A$50,"AI-CTRL-023",'Control Library'!$R$5:$R$50,"Implemented")+COUNTIFS('Control Library'!$A$5:$A$50,"AI-CTRL-041",'Control Library'!$R$5:$R$50,"Implemented")</f>
        <v>0</v>
      </c>
      <c r="K745" s="43" t="str">
        <f aca="false">IF(I745=0,"No wiki control",IF(J745=I745,"Fully covered",IF(J745=0,"Not covered","Partly covered")))</f>
        <v>Not covered</v>
      </c>
      <c r="L745" s="9" t="s">
        <v>2389</v>
      </c>
    </row>
    <row r="746" customFormat="false" ht="23.85" hidden="false" customHeight="false" outlineLevel="0" collapsed="false">
      <c r="A746" s="58" t="s">
        <v>610</v>
      </c>
      <c r="B746" s="58" t="s">
        <v>609</v>
      </c>
      <c r="C746" s="5" t="s">
        <v>2461</v>
      </c>
      <c r="D746" s="6" t="s">
        <v>2462</v>
      </c>
      <c r="E746" s="6" t="s">
        <v>2214</v>
      </c>
      <c r="F746" s="6" t="s">
        <v>725</v>
      </c>
      <c r="G746" s="6" t="s">
        <v>276</v>
      </c>
      <c r="H746" s="6"/>
      <c r="I746" s="26" t="n">
        <v>2</v>
      </c>
      <c r="J746" s="26" t="n">
        <f aca="false">COUNTIFS('Control Library'!$A$5:$A$50,"AI-CTRL-007",'Control Library'!$R$5:$R$50,"Implemented")+COUNTIFS('Control Library'!$A$5:$A$50,"AI-CTRL-013",'Control Library'!$R$5:$R$50,"Implemented")</f>
        <v>0</v>
      </c>
      <c r="K746" s="43" t="str">
        <f aca="false">IF(I746=0,"No wiki control",IF(J746=I746,"Fully covered",IF(J746=0,"Not covered","Partly covered")))</f>
        <v>Not covered</v>
      </c>
      <c r="L746" s="9" t="s">
        <v>2389</v>
      </c>
    </row>
    <row r="747" customFormat="false" ht="23.85" hidden="false" customHeight="false" outlineLevel="0" collapsed="false">
      <c r="A747" s="58" t="s">
        <v>610</v>
      </c>
      <c r="B747" s="58" t="s">
        <v>609</v>
      </c>
      <c r="C747" s="5" t="s">
        <v>2463</v>
      </c>
      <c r="D747" s="6" t="s">
        <v>2464</v>
      </c>
      <c r="E747" s="6"/>
      <c r="F747" s="6" t="s">
        <v>635</v>
      </c>
      <c r="G747" s="6"/>
      <c r="H747" s="6"/>
      <c r="I747" s="26" t="n">
        <v>0</v>
      </c>
      <c r="J747" s="26" t="n">
        <f aca="false">0</f>
        <v>0</v>
      </c>
      <c r="K747" s="43" t="str">
        <f aca="false">IF(I747=0,"No wiki control",IF(J747=I747,"Fully covered",IF(J747=0,"Not covered","Partly covered")))</f>
        <v>No wiki control</v>
      </c>
      <c r="L747" s="9" t="s">
        <v>2389</v>
      </c>
    </row>
    <row r="748" customFormat="false" ht="46.25" hidden="false" customHeight="false" outlineLevel="0" collapsed="false">
      <c r="A748" s="58" t="s">
        <v>610</v>
      </c>
      <c r="B748" s="58" t="s">
        <v>609</v>
      </c>
      <c r="C748" s="5" t="s">
        <v>2465</v>
      </c>
      <c r="D748" s="6" t="s">
        <v>2466</v>
      </c>
      <c r="E748" s="6" t="s">
        <v>2467</v>
      </c>
      <c r="F748" s="6" t="s">
        <v>725</v>
      </c>
      <c r="G748" s="6" t="s">
        <v>2468</v>
      </c>
      <c r="H748" s="6"/>
      <c r="I748" s="26" t="n">
        <v>5</v>
      </c>
      <c r="J748" s="26" t="n">
        <f aca="false">COUNTIFS('Control Library'!$A$5:$A$50,"AI-CTRL-011",'Control Library'!$R$5:$R$50,"Implemented")+COUNTIFS('Control Library'!$A$5:$A$50,"AI-CTRL-014",'Control Library'!$R$5:$R$50,"Implemented")+COUNTIFS('Control Library'!$A$5:$A$50,"AI-CTRL-023",'Control Library'!$R$5:$R$50,"Implemented")+COUNTIFS('Control Library'!$A$5:$A$50,"AI-CTRL-025",'Control Library'!$R$5:$R$50,"Implemented")+COUNTIFS('Control Library'!$A$5:$A$50,"AI-CTRL-041",'Control Library'!$R$5:$R$50,"Implemented")</f>
        <v>0</v>
      </c>
      <c r="K748" s="43" t="str">
        <f aca="false">IF(I748=0,"No wiki control",IF(J748=I748,"Fully covered",IF(J748=0,"Not covered","Partly covered")))</f>
        <v>Not covered</v>
      </c>
      <c r="L748" s="9" t="s">
        <v>2389</v>
      </c>
    </row>
    <row r="749" customFormat="false" ht="23.85" hidden="false" customHeight="false" outlineLevel="0" collapsed="false">
      <c r="A749" s="58" t="s">
        <v>610</v>
      </c>
      <c r="B749" s="58" t="s">
        <v>609</v>
      </c>
      <c r="C749" s="5" t="s">
        <v>2469</v>
      </c>
      <c r="D749" s="6" t="s">
        <v>2470</v>
      </c>
      <c r="E749" s="6"/>
      <c r="F749" s="6" t="s">
        <v>635</v>
      </c>
      <c r="G749" s="6"/>
      <c r="H749" s="6"/>
      <c r="I749" s="26" t="n">
        <v>0</v>
      </c>
      <c r="J749" s="26" t="n">
        <f aca="false">0</f>
        <v>0</v>
      </c>
      <c r="K749" s="43" t="str">
        <f aca="false">IF(I749=0,"No wiki control",IF(J749=I749,"Fully covered",IF(J749=0,"Not covered","Partly covered")))</f>
        <v>No wiki control</v>
      </c>
      <c r="L749" s="9" t="s">
        <v>2389</v>
      </c>
    </row>
    <row r="750" customFormat="false" ht="35.05" hidden="false" customHeight="false" outlineLevel="0" collapsed="false">
      <c r="A750" s="58" t="s">
        <v>610</v>
      </c>
      <c r="B750" s="58" t="s">
        <v>609</v>
      </c>
      <c r="C750" s="5" t="s">
        <v>2471</v>
      </c>
      <c r="D750" s="6" t="s">
        <v>2472</v>
      </c>
      <c r="E750" s="6" t="s">
        <v>2473</v>
      </c>
      <c r="F750" s="6" t="s">
        <v>725</v>
      </c>
      <c r="G750" s="6" t="s">
        <v>2430</v>
      </c>
      <c r="H750" s="6"/>
      <c r="I750" s="26" t="n">
        <v>4</v>
      </c>
      <c r="J750" s="26" t="n">
        <f aca="false">COUNTIFS('Control Library'!$A$5:$A$50,"AI-CTRL-005",'Control Library'!$R$5:$R$50,"Implemented")+COUNTIFS('Control Library'!$A$5:$A$50,"AI-CTRL-008",'Control Library'!$R$5:$R$50,"Implemented")+COUNTIFS('Control Library'!$A$5:$A$50,"AI-CTRL-009",'Control Library'!$R$5:$R$50,"Implemented")+COUNTIFS('Control Library'!$A$5:$A$50,"AI-CTRL-032",'Control Library'!$R$5:$R$50,"Implemented")</f>
        <v>0</v>
      </c>
      <c r="K750" s="43" t="str">
        <f aca="false">IF(I750=0,"No wiki control",IF(J750=I750,"Fully covered",IF(J750=0,"Not covered","Partly covered")))</f>
        <v>Not covered</v>
      </c>
      <c r="L750" s="9" t="s">
        <v>2389</v>
      </c>
    </row>
    <row r="751" customFormat="false" ht="35.05" hidden="false" customHeight="false" outlineLevel="0" collapsed="false">
      <c r="A751" s="58" t="s">
        <v>610</v>
      </c>
      <c r="B751" s="58" t="s">
        <v>609</v>
      </c>
      <c r="C751" s="5" t="s">
        <v>2474</v>
      </c>
      <c r="D751" s="6" t="s">
        <v>2475</v>
      </c>
      <c r="E751" s="6" t="s">
        <v>2279</v>
      </c>
      <c r="F751" s="6" t="s">
        <v>725</v>
      </c>
      <c r="G751" s="6" t="s">
        <v>2280</v>
      </c>
      <c r="H751" s="6"/>
      <c r="I751" s="26" t="n">
        <v>2</v>
      </c>
      <c r="J751" s="26" t="n">
        <f aca="false">COUNTIFS('Control Library'!$A$5:$A$50,"AI-CTRL-012",'Control Library'!$R$5:$R$50,"Implemented")+COUNTIFS('Control Library'!$A$5:$A$50,"AI-CTRL-038",'Control Library'!$R$5:$R$50,"Implemented")</f>
        <v>0</v>
      </c>
      <c r="K751" s="43" t="str">
        <f aca="false">IF(I751=0,"No wiki control",IF(J751=I751,"Fully covered",IF(J751=0,"Not covered","Partly covered")))</f>
        <v>Not covered</v>
      </c>
      <c r="L751" s="9" t="s">
        <v>2389</v>
      </c>
    </row>
    <row r="752" customFormat="false" ht="35.05" hidden="false" customHeight="false" outlineLevel="0" collapsed="false">
      <c r="A752" s="58" t="s">
        <v>611</v>
      </c>
      <c r="B752" s="58" t="s">
        <v>609</v>
      </c>
      <c r="C752" s="5" t="s">
        <v>2476</v>
      </c>
      <c r="D752" s="6" t="s">
        <v>2477</v>
      </c>
      <c r="E752" s="6"/>
      <c r="F752" s="6" t="s">
        <v>635</v>
      </c>
      <c r="G752" s="6"/>
      <c r="H752" s="6"/>
      <c r="I752" s="26" t="n">
        <v>0</v>
      </c>
      <c r="J752" s="26" t="n">
        <f aca="false">0</f>
        <v>0</v>
      </c>
      <c r="K752" s="43" t="str">
        <f aca="false">IF(I752=0,"No wiki control",IF(J752=I752,"Fully covered",IF(J752=0,"Not covered","Partly covered")))</f>
        <v>No wiki control</v>
      </c>
      <c r="L752" s="9" t="s">
        <v>2478</v>
      </c>
    </row>
    <row r="753" customFormat="false" ht="23.85" hidden="false" customHeight="false" outlineLevel="0" collapsed="false">
      <c r="A753" s="58" t="s">
        <v>611</v>
      </c>
      <c r="B753" s="58" t="s">
        <v>609</v>
      </c>
      <c r="C753" s="5" t="s">
        <v>2479</v>
      </c>
      <c r="D753" s="6" t="s">
        <v>2480</v>
      </c>
      <c r="E753" s="6" t="s">
        <v>2481</v>
      </c>
      <c r="F753" s="6" t="s">
        <v>725</v>
      </c>
      <c r="G753" s="6" t="s">
        <v>266</v>
      </c>
      <c r="H753" s="6"/>
      <c r="I753" s="26" t="n">
        <v>2</v>
      </c>
      <c r="J753" s="26" t="n">
        <f aca="false">COUNTIFS('Control Library'!$A$5:$A$50,"AI-CTRL-011",'Control Library'!$R$5:$R$50,"Implemented")+COUNTIFS('Control Library'!$A$5:$A$50,"AI-CTRL-012",'Control Library'!$R$5:$R$50,"Implemented")</f>
        <v>0</v>
      </c>
      <c r="K753" s="43" t="str">
        <f aca="false">IF(I753=0,"No wiki control",IF(J753=I753,"Fully covered",IF(J753=0,"Not covered","Partly covered")))</f>
        <v>Not covered</v>
      </c>
      <c r="L753" s="9" t="s">
        <v>2478</v>
      </c>
    </row>
    <row r="754" customFormat="false" ht="23.85" hidden="false" customHeight="false" outlineLevel="0" collapsed="false">
      <c r="A754" s="58" t="s">
        <v>611</v>
      </c>
      <c r="B754" s="58" t="s">
        <v>609</v>
      </c>
      <c r="C754" s="5" t="s">
        <v>2482</v>
      </c>
      <c r="D754" s="6" t="s">
        <v>2483</v>
      </c>
      <c r="E754" s="6" t="s">
        <v>263</v>
      </c>
      <c r="F754" s="6" t="s">
        <v>725</v>
      </c>
      <c r="G754" s="6" t="s">
        <v>266</v>
      </c>
      <c r="H754" s="6"/>
      <c r="I754" s="26" t="n">
        <v>1</v>
      </c>
      <c r="J754" s="26" t="n">
        <f aca="false">COUNTIFS('Control Library'!$A$5:$A$50,"AI-CTRL-012",'Control Library'!$R$5:$R$50,"Implemented")</f>
        <v>0</v>
      </c>
      <c r="K754" s="43" t="str">
        <f aca="false">IF(I754=0,"No wiki control",IF(J754=I754,"Fully covered",IF(J754=0,"Not covered","Partly covered")))</f>
        <v>Not covered</v>
      </c>
      <c r="L754" s="9" t="s">
        <v>2478</v>
      </c>
    </row>
    <row r="755" customFormat="false" ht="57.45" hidden="false" customHeight="false" outlineLevel="0" collapsed="false">
      <c r="A755" s="58" t="s">
        <v>611</v>
      </c>
      <c r="B755" s="58" t="s">
        <v>609</v>
      </c>
      <c r="C755" s="5" t="s">
        <v>2484</v>
      </c>
      <c r="D755" s="6" t="s">
        <v>2485</v>
      </c>
      <c r="E755" s="6" t="s">
        <v>2486</v>
      </c>
      <c r="F755" s="6" t="s">
        <v>725</v>
      </c>
      <c r="G755" s="6" t="s">
        <v>2487</v>
      </c>
      <c r="H755" s="6"/>
      <c r="I755" s="26" t="n">
        <v>8</v>
      </c>
      <c r="J755" s="26" t="n">
        <f aca="false">COUNTIFS('Control Library'!$A$5:$A$50,"AI-CTRL-008",'Control Library'!$R$5:$R$50,"Implemented")+COUNTIFS('Control Library'!$A$5:$A$50,"AI-CTRL-013",'Control Library'!$R$5:$R$50,"Implemented")+COUNTIFS('Control Library'!$A$5:$A$50,"AI-CTRL-023",'Control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f>
        <v>0</v>
      </c>
      <c r="K755" s="43" t="str">
        <f aca="false">IF(I755=0,"No wiki control",IF(J755=I755,"Fully covered",IF(J755=0,"Not covered","Partly covered")))</f>
        <v>Not covered</v>
      </c>
      <c r="L755" s="9" t="s">
        <v>2478</v>
      </c>
    </row>
    <row r="756" customFormat="false" ht="23.85" hidden="false" customHeight="false" outlineLevel="0" collapsed="false">
      <c r="A756" s="58" t="s">
        <v>611</v>
      </c>
      <c r="B756" s="58" t="s">
        <v>609</v>
      </c>
      <c r="C756" s="5" t="s">
        <v>2488</v>
      </c>
      <c r="D756" s="6" t="s">
        <v>2489</v>
      </c>
      <c r="E756" s="6" t="s">
        <v>485</v>
      </c>
      <c r="F756" s="6" t="s">
        <v>725</v>
      </c>
      <c r="G756" s="6" t="s">
        <v>489</v>
      </c>
      <c r="H756" s="6"/>
      <c r="I756" s="26" t="n">
        <v>1</v>
      </c>
      <c r="J756" s="26" t="n">
        <f aca="false">COUNTIFS('Control Library'!$A$5:$A$50,"AI-CTRL-039",'Control Library'!$R$5:$R$50,"Implemented")</f>
        <v>0</v>
      </c>
      <c r="K756" s="43" t="str">
        <f aca="false">IF(I756=0,"No wiki control",IF(J756=I756,"Fully covered",IF(J756=0,"Not covered","Partly covered")))</f>
        <v>Not covered</v>
      </c>
      <c r="L756" s="9" t="s">
        <v>2478</v>
      </c>
    </row>
    <row r="757" customFormat="false" ht="23.85" hidden="false" customHeight="false" outlineLevel="0" collapsed="false">
      <c r="A757" s="58" t="s">
        <v>611</v>
      </c>
      <c r="B757" s="58" t="s">
        <v>609</v>
      </c>
      <c r="C757" s="5" t="s">
        <v>2490</v>
      </c>
      <c r="D757" s="6" t="s">
        <v>2491</v>
      </c>
      <c r="E757" s="6" t="s">
        <v>2492</v>
      </c>
      <c r="F757" s="6" t="s">
        <v>725</v>
      </c>
      <c r="G757" s="6" t="s">
        <v>286</v>
      </c>
      <c r="H757" s="6"/>
      <c r="I757" s="26" t="n">
        <v>3</v>
      </c>
      <c r="J757" s="26" t="n">
        <f aca="false">COUNTIFS('Control Library'!$A$5:$A$50,"AI-CTRL-014",'Control Library'!$R$5:$R$50,"Implemented")+COUNTIFS('Control Library'!$A$5:$A$50,"AI-CTRL-028",'Control Library'!$R$5:$R$50,"Implemented")+COUNTIFS('Control Library'!$A$5:$A$50,"AI-CTRL-029",'Control Library'!$R$5:$R$50,"Implemented")</f>
        <v>0</v>
      </c>
      <c r="K757" s="43" t="str">
        <f aca="false">IF(I757=0,"No wiki control",IF(J757=I757,"Fully covered",IF(J757=0,"Not covered","Partly covered")))</f>
        <v>Not covered</v>
      </c>
      <c r="L757" s="9" t="s">
        <v>2478</v>
      </c>
    </row>
    <row r="758" customFormat="false" ht="35.05" hidden="false" customHeight="false" outlineLevel="0" collapsed="false">
      <c r="A758" s="58" t="s">
        <v>611</v>
      </c>
      <c r="B758" s="58" t="s">
        <v>609</v>
      </c>
      <c r="C758" s="5" t="s">
        <v>2493</v>
      </c>
      <c r="D758" s="6" t="s">
        <v>2494</v>
      </c>
      <c r="E758" s="6" t="s">
        <v>2441</v>
      </c>
      <c r="F758" s="6" t="s">
        <v>725</v>
      </c>
      <c r="G758" s="6" t="s">
        <v>2442</v>
      </c>
      <c r="H758" s="6"/>
      <c r="I758" s="26" t="n">
        <v>4</v>
      </c>
      <c r="J758"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58" s="43" t="str">
        <f aca="false">IF(I758=0,"No wiki control",IF(J758=I758,"Fully covered",IF(J758=0,"Not covered","Partly covered")))</f>
        <v>Not covered</v>
      </c>
      <c r="L758" s="9" t="s">
        <v>2478</v>
      </c>
    </row>
    <row r="759" customFormat="false" ht="23.85" hidden="false" customHeight="false" outlineLevel="0" collapsed="false">
      <c r="A759" s="58" t="s">
        <v>611</v>
      </c>
      <c r="B759" s="58" t="s">
        <v>609</v>
      </c>
      <c r="C759" s="5" t="s">
        <v>2495</v>
      </c>
      <c r="D759" s="6" t="s">
        <v>2496</v>
      </c>
      <c r="E759" s="6" t="s">
        <v>272</v>
      </c>
      <c r="F759" s="6" t="s">
        <v>725</v>
      </c>
      <c r="G759" s="6" t="s">
        <v>276</v>
      </c>
      <c r="H759" s="6"/>
      <c r="I759" s="26" t="n">
        <v>1</v>
      </c>
      <c r="J759" s="26" t="n">
        <f aca="false">COUNTIFS('Control Library'!$A$5:$A$50,"AI-CTRL-013",'Control Library'!$R$5:$R$50,"Implemented")</f>
        <v>0</v>
      </c>
      <c r="K759" s="43" t="str">
        <f aca="false">IF(I759=0,"No wiki control",IF(J759=I759,"Fully covered",IF(J759=0,"Not covered","Partly covered")))</f>
        <v>Not covered</v>
      </c>
      <c r="L759" s="9" t="s">
        <v>2478</v>
      </c>
    </row>
    <row r="760" customFormat="false" ht="23.85" hidden="false" customHeight="false" outlineLevel="0" collapsed="false">
      <c r="A760" s="58" t="s">
        <v>611</v>
      </c>
      <c r="B760" s="58" t="s">
        <v>609</v>
      </c>
      <c r="C760" s="5" t="s">
        <v>2497</v>
      </c>
      <c r="D760" s="6" t="s">
        <v>2498</v>
      </c>
      <c r="E760" s="6" t="s">
        <v>272</v>
      </c>
      <c r="F760" s="6" t="s">
        <v>725</v>
      </c>
      <c r="G760" s="6" t="s">
        <v>276</v>
      </c>
      <c r="H760" s="6"/>
      <c r="I760" s="26" t="n">
        <v>1</v>
      </c>
      <c r="J760" s="26" t="n">
        <f aca="false">COUNTIFS('Control Library'!$A$5:$A$50,"AI-CTRL-013",'Control Library'!$R$5:$R$50,"Implemented")</f>
        <v>0</v>
      </c>
      <c r="K760" s="43" t="str">
        <f aca="false">IF(I760=0,"No wiki control",IF(J760=I760,"Fully covered",IF(J760=0,"Not covered","Partly covered")))</f>
        <v>Not covered</v>
      </c>
      <c r="L760" s="9" t="s">
        <v>2478</v>
      </c>
    </row>
    <row r="761" customFormat="false" ht="23.85" hidden="false" customHeight="false" outlineLevel="0" collapsed="false">
      <c r="A761" s="58" t="s">
        <v>611</v>
      </c>
      <c r="B761" s="58" t="s">
        <v>609</v>
      </c>
      <c r="C761" s="5" t="s">
        <v>2499</v>
      </c>
      <c r="D761" s="6" t="s">
        <v>2500</v>
      </c>
      <c r="E761" s="6" t="s">
        <v>2501</v>
      </c>
      <c r="F761" s="6" t="s">
        <v>725</v>
      </c>
      <c r="G761" s="6" t="s">
        <v>2502</v>
      </c>
      <c r="H761" s="6"/>
      <c r="I761" s="26" t="n">
        <v>2</v>
      </c>
      <c r="J761" s="26" t="n">
        <f aca="false">COUNTIFS('Control Library'!$A$5:$A$50,"AI-CTRL-005",'Control Library'!$R$5:$R$50,"Implemented")+COUNTIFS('Control Library'!$A$5:$A$50,"AI-CTRL-035",'Control Library'!$R$5:$R$50,"Implemented")</f>
        <v>0</v>
      </c>
      <c r="K761" s="43" t="str">
        <f aca="false">IF(I761=0,"No wiki control",IF(J761=I761,"Fully covered",IF(J761=0,"Not covered","Partly covered")))</f>
        <v>Not covered</v>
      </c>
      <c r="L761" s="9" t="s">
        <v>2478</v>
      </c>
    </row>
    <row r="762" customFormat="false" ht="23.85" hidden="false" customHeight="false" outlineLevel="0" collapsed="false">
      <c r="A762" s="58" t="s">
        <v>611</v>
      </c>
      <c r="B762" s="58" t="s">
        <v>609</v>
      </c>
      <c r="C762" s="5" t="s">
        <v>2503</v>
      </c>
      <c r="D762" s="6" t="s">
        <v>2504</v>
      </c>
      <c r="E762" s="6" t="s">
        <v>2505</v>
      </c>
      <c r="F762" s="6" t="s">
        <v>725</v>
      </c>
      <c r="G762" s="6" t="s">
        <v>2506</v>
      </c>
      <c r="H762" s="6"/>
      <c r="I762" s="26" t="n">
        <v>2</v>
      </c>
      <c r="J762" s="26" t="n">
        <f aca="false">COUNTIFS('Control Library'!$A$5:$A$50,"AI-CTRL-014",'Control Library'!$R$5:$R$50,"Implemented")+COUNTIFS('Control Library'!$A$5:$A$50,"AI-CTRL-035",'Control Library'!$R$5:$R$50,"Implemented")</f>
        <v>0</v>
      </c>
      <c r="K762" s="43" t="str">
        <f aca="false">IF(I762=0,"No wiki control",IF(J762=I762,"Fully covered",IF(J762=0,"Not covered","Partly covered")))</f>
        <v>Not covered</v>
      </c>
      <c r="L762" s="9" t="s">
        <v>2478</v>
      </c>
    </row>
    <row r="763" customFormat="false" ht="23.85" hidden="false" customHeight="false" outlineLevel="0" collapsed="false">
      <c r="A763" s="58" t="s">
        <v>611</v>
      </c>
      <c r="B763" s="58" t="s">
        <v>609</v>
      </c>
      <c r="C763" s="5" t="s">
        <v>2507</v>
      </c>
      <c r="D763" s="6" t="s">
        <v>2508</v>
      </c>
      <c r="E763" s="6" t="s">
        <v>2509</v>
      </c>
      <c r="F763" s="6" t="s">
        <v>725</v>
      </c>
      <c r="G763" s="6" t="s">
        <v>2510</v>
      </c>
      <c r="H763" s="6"/>
      <c r="I763" s="26" t="n">
        <v>2</v>
      </c>
      <c r="J763" s="26" t="n">
        <f aca="false">COUNTIFS('Control Library'!$A$5:$A$50,"AI-CTRL-005",'Control Library'!$R$5:$R$50,"Implemented")+COUNTIFS('Control Library'!$A$5:$A$50,"AI-CTRL-008",'Control Library'!$R$5:$R$50,"Implemented")</f>
        <v>0</v>
      </c>
      <c r="K763" s="43" t="str">
        <f aca="false">IF(I763=0,"No wiki control",IF(J763=I763,"Fully covered",IF(J763=0,"Not covered","Partly covered")))</f>
        <v>Not covered</v>
      </c>
      <c r="L763" s="9" t="s">
        <v>2478</v>
      </c>
    </row>
    <row r="764" customFormat="false" ht="23.85" hidden="false" customHeight="false" outlineLevel="0" collapsed="false">
      <c r="A764" s="58" t="s">
        <v>611</v>
      </c>
      <c r="B764" s="58" t="s">
        <v>609</v>
      </c>
      <c r="C764" s="5" t="s">
        <v>2511</v>
      </c>
      <c r="D764" s="6" t="s">
        <v>2512</v>
      </c>
      <c r="E764" s="6" t="s">
        <v>469</v>
      </c>
      <c r="F764" s="6" t="s">
        <v>725</v>
      </c>
      <c r="G764" s="6" t="s">
        <v>472</v>
      </c>
      <c r="H764" s="6"/>
      <c r="I764" s="26" t="n">
        <v>1</v>
      </c>
      <c r="J764" s="26" t="n">
        <f aca="false">COUNTIFS('Control Library'!$A$5:$A$50,"AI-CTRL-037",'Control Library'!$R$5:$R$50,"Implemented")</f>
        <v>0</v>
      </c>
      <c r="K764" s="43" t="str">
        <f aca="false">IF(I764=0,"No wiki control",IF(J764=I764,"Fully covered",IF(J764=0,"Not covered","Partly covered")))</f>
        <v>Not covered</v>
      </c>
      <c r="L764" s="9" t="s">
        <v>2478</v>
      </c>
    </row>
    <row r="765" customFormat="false" ht="23.85" hidden="false" customHeight="false" outlineLevel="0" collapsed="false">
      <c r="A765" s="58" t="s">
        <v>611</v>
      </c>
      <c r="B765" s="58" t="s">
        <v>609</v>
      </c>
      <c r="C765" s="5" t="s">
        <v>2513</v>
      </c>
      <c r="D765" s="6" t="s">
        <v>2514</v>
      </c>
      <c r="E765" s="6" t="s">
        <v>2515</v>
      </c>
      <c r="F765" s="6" t="s">
        <v>725</v>
      </c>
      <c r="G765" s="6" t="s">
        <v>286</v>
      </c>
      <c r="H765" s="6"/>
      <c r="I765" s="26" t="n">
        <v>2</v>
      </c>
      <c r="J765" s="26" t="n">
        <f aca="false">COUNTIFS('Control Library'!$A$5:$A$50,"AI-CTRL-007",'Control Library'!$R$5:$R$50,"Implemented")+COUNTIFS('Control Library'!$A$5:$A$50,"AI-CTRL-014",'Control Library'!$R$5:$R$50,"Implemented")</f>
        <v>0</v>
      </c>
      <c r="K765" s="43" t="str">
        <f aca="false">IF(I765=0,"No wiki control",IF(J765=I765,"Fully covered",IF(J765=0,"Not covered","Partly covered")))</f>
        <v>Not covered</v>
      </c>
      <c r="L765" s="9" t="s">
        <v>2478</v>
      </c>
    </row>
    <row r="766" customFormat="false" ht="23.85" hidden="false" customHeight="false" outlineLevel="0" collapsed="false">
      <c r="A766" s="58" t="s">
        <v>611</v>
      </c>
      <c r="B766" s="58" t="s">
        <v>609</v>
      </c>
      <c r="C766" s="5" t="s">
        <v>2516</v>
      </c>
      <c r="D766" s="6" t="s">
        <v>2517</v>
      </c>
      <c r="E766" s="6" t="s">
        <v>485</v>
      </c>
      <c r="F766" s="6" t="s">
        <v>725</v>
      </c>
      <c r="G766" s="6" t="s">
        <v>489</v>
      </c>
      <c r="H766" s="6"/>
      <c r="I766" s="26" t="n">
        <v>1</v>
      </c>
      <c r="J766" s="26" t="n">
        <f aca="false">COUNTIFS('Control Library'!$A$5:$A$50,"AI-CTRL-039",'Control Library'!$R$5:$R$50,"Implemented")</f>
        <v>0</v>
      </c>
      <c r="K766" s="43" t="str">
        <f aca="false">IF(I766=0,"No wiki control",IF(J766=I766,"Fully covered",IF(J766=0,"Not covered","Partly covered")))</f>
        <v>Not covered</v>
      </c>
      <c r="L766" s="9" t="s">
        <v>2478</v>
      </c>
    </row>
    <row r="767" customFormat="false" ht="23.85" hidden="false" customHeight="false" outlineLevel="0" collapsed="false">
      <c r="A767" s="58" t="s">
        <v>611</v>
      </c>
      <c r="B767" s="58" t="s">
        <v>609</v>
      </c>
      <c r="C767" s="5" t="s">
        <v>2518</v>
      </c>
      <c r="D767" s="6" t="s">
        <v>2519</v>
      </c>
      <c r="E767" s="6" t="s">
        <v>403</v>
      </c>
      <c r="F767" s="6" t="s">
        <v>725</v>
      </c>
      <c r="G767" s="6" t="s">
        <v>398</v>
      </c>
      <c r="H767" s="6"/>
      <c r="I767" s="26" t="n">
        <v>1</v>
      </c>
      <c r="J767" s="26" t="n">
        <f aca="false">COUNTIFS('Control Library'!$A$5:$A$50,"AI-CTRL-029",'Control Library'!$R$5:$R$50,"Implemented")</f>
        <v>0</v>
      </c>
      <c r="K767" s="43" t="str">
        <f aca="false">IF(I767=0,"No wiki control",IF(J767=I767,"Fully covered",IF(J767=0,"Not covered","Partly covered")))</f>
        <v>Not covered</v>
      </c>
      <c r="L767" s="9" t="s">
        <v>2478</v>
      </c>
    </row>
    <row r="768" customFormat="false" ht="23.85" hidden="false" customHeight="false" outlineLevel="0" collapsed="false">
      <c r="A768" s="58" t="s">
        <v>611</v>
      </c>
      <c r="B768" s="58" t="s">
        <v>609</v>
      </c>
      <c r="C768" s="5" t="s">
        <v>2520</v>
      </c>
      <c r="D768" s="6" t="s">
        <v>2521</v>
      </c>
      <c r="E768" s="6" t="s">
        <v>263</v>
      </c>
      <c r="F768" s="6" t="s">
        <v>725</v>
      </c>
      <c r="G768" s="6" t="s">
        <v>266</v>
      </c>
      <c r="H768" s="6"/>
      <c r="I768" s="26" t="n">
        <v>1</v>
      </c>
      <c r="J768" s="26" t="n">
        <f aca="false">COUNTIFS('Control Library'!$A$5:$A$50,"AI-CTRL-012",'Control Library'!$R$5:$R$50,"Implemented")</f>
        <v>0</v>
      </c>
      <c r="K768" s="43" t="str">
        <f aca="false">IF(I768=0,"No wiki control",IF(J768=I768,"Fully covered",IF(J768=0,"Not covered","Partly covered")))</f>
        <v>Not covered</v>
      </c>
      <c r="L768" s="9" t="s">
        <v>2478</v>
      </c>
    </row>
    <row r="769" customFormat="false" ht="23.85" hidden="false" customHeight="false" outlineLevel="0" collapsed="false">
      <c r="A769" s="58" t="s">
        <v>611</v>
      </c>
      <c r="B769" s="58" t="s">
        <v>609</v>
      </c>
      <c r="C769" s="5" t="s">
        <v>2522</v>
      </c>
      <c r="D769" s="6" t="s">
        <v>2523</v>
      </c>
      <c r="E769" s="6" t="s">
        <v>282</v>
      </c>
      <c r="F769" s="6" t="s">
        <v>725</v>
      </c>
      <c r="G769" s="6" t="s">
        <v>286</v>
      </c>
      <c r="H769" s="6"/>
      <c r="I769" s="26" t="n">
        <v>1</v>
      </c>
      <c r="J769" s="26" t="n">
        <f aca="false">COUNTIFS('Control Library'!$A$5:$A$50,"AI-CTRL-014",'Control Library'!$R$5:$R$50,"Implemented")</f>
        <v>0</v>
      </c>
      <c r="K769" s="43" t="str">
        <f aca="false">IF(I769=0,"No wiki control",IF(J769=I769,"Fully covered",IF(J769=0,"Not covered","Partly covered")))</f>
        <v>Not covered</v>
      </c>
      <c r="L769" s="9" t="s">
        <v>2478</v>
      </c>
    </row>
    <row r="770" customFormat="false" ht="23.85" hidden="false" customHeight="false" outlineLevel="0" collapsed="false">
      <c r="A770" s="58" t="s">
        <v>611</v>
      </c>
      <c r="B770" s="58" t="s">
        <v>609</v>
      </c>
      <c r="C770" s="5" t="s">
        <v>2524</v>
      </c>
      <c r="D770" s="6" t="s">
        <v>2525</v>
      </c>
      <c r="E770" s="6" t="s">
        <v>255</v>
      </c>
      <c r="F770" s="6" t="s">
        <v>725</v>
      </c>
      <c r="G770" s="6" t="s">
        <v>258</v>
      </c>
      <c r="H770" s="6"/>
      <c r="I770" s="26" t="n">
        <v>1</v>
      </c>
      <c r="J770" s="26" t="n">
        <f aca="false">COUNTIFS('Control Library'!$A$5:$A$50,"AI-CTRL-011",'Control Library'!$R$5:$R$50,"Implemented")</f>
        <v>0</v>
      </c>
      <c r="K770" s="43" t="str">
        <f aca="false">IF(I770=0,"No wiki control",IF(J770=I770,"Fully covered",IF(J770=0,"Not covered","Partly covered")))</f>
        <v>Not covered</v>
      </c>
      <c r="L770" s="9" t="s">
        <v>2478</v>
      </c>
    </row>
    <row r="771" customFormat="false" ht="23.85" hidden="false" customHeight="false" outlineLevel="0" collapsed="false">
      <c r="A771" s="58" t="s">
        <v>611</v>
      </c>
      <c r="B771" s="58" t="s">
        <v>609</v>
      </c>
      <c r="C771" s="5" t="s">
        <v>2526</v>
      </c>
      <c r="D771" s="6" t="s">
        <v>2527</v>
      </c>
      <c r="E771" s="6" t="s">
        <v>282</v>
      </c>
      <c r="F771" s="6" t="s">
        <v>725</v>
      </c>
      <c r="G771" s="6" t="s">
        <v>286</v>
      </c>
      <c r="H771" s="6"/>
      <c r="I771" s="26" t="n">
        <v>1</v>
      </c>
      <c r="J771" s="26" t="n">
        <f aca="false">COUNTIFS('Control Library'!$A$5:$A$50,"AI-CTRL-014",'Control Library'!$R$5:$R$50,"Implemented")</f>
        <v>0</v>
      </c>
      <c r="K771" s="43" t="str">
        <f aca="false">IF(I771=0,"No wiki control",IF(J771=I771,"Fully covered",IF(J771=0,"Not covered","Partly covered")))</f>
        <v>Not covered</v>
      </c>
      <c r="L771" s="9" t="s">
        <v>2478</v>
      </c>
    </row>
    <row r="772" customFormat="false" ht="23.85" hidden="false" customHeight="false" outlineLevel="0" collapsed="false">
      <c r="A772" s="58" t="s">
        <v>611</v>
      </c>
      <c r="B772" s="58" t="s">
        <v>609</v>
      </c>
      <c r="C772" s="5" t="s">
        <v>2528</v>
      </c>
      <c r="D772" s="6" t="s">
        <v>2529</v>
      </c>
      <c r="E772" s="6" t="s">
        <v>485</v>
      </c>
      <c r="F772" s="6" t="s">
        <v>725</v>
      </c>
      <c r="G772" s="6" t="s">
        <v>489</v>
      </c>
      <c r="H772" s="6"/>
      <c r="I772" s="26" t="n">
        <v>1</v>
      </c>
      <c r="J772" s="26" t="n">
        <f aca="false">COUNTIFS('Control Library'!$A$5:$A$50,"AI-CTRL-039",'Control Library'!$R$5:$R$50,"Implemented")</f>
        <v>0</v>
      </c>
      <c r="K772" s="43" t="str">
        <f aca="false">IF(I772=0,"No wiki control",IF(J772=I772,"Fully covered",IF(J772=0,"Not covered","Partly covered")))</f>
        <v>Not covered</v>
      </c>
      <c r="L772" s="9" t="s">
        <v>2478</v>
      </c>
    </row>
    <row r="773" customFormat="false" ht="35.05" hidden="false" customHeight="false" outlineLevel="0" collapsed="false">
      <c r="A773" s="58" t="s">
        <v>611</v>
      </c>
      <c r="B773" s="58" t="s">
        <v>609</v>
      </c>
      <c r="C773" s="5" t="s">
        <v>2530</v>
      </c>
      <c r="D773" s="6" t="s">
        <v>2531</v>
      </c>
      <c r="E773" s="6" t="s">
        <v>2532</v>
      </c>
      <c r="F773" s="6" t="s">
        <v>725</v>
      </c>
      <c r="G773" s="6" t="s">
        <v>2533</v>
      </c>
      <c r="H773" s="6"/>
      <c r="I773" s="26" t="n">
        <v>4</v>
      </c>
      <c r="J773" s="26" t="n">
        <f aca="false">COUNTIFS('Control Library'!$A$5:$A$50,"AI-CTRL-005",'Control Library'!$R$5:$R$50,"Implemented")+COUNTIFS('Control Library'!$A$5:$A$50,"AI-CTRL-012",'Control Library'!$R$5:$R$50,"Implemented")+COUNTIFS('Control Library'!$A$5:$A$50,"AI-CTRL-013",'Control Library'!$R$5:$R$50,"Implemented")+COUNTIFS('Control Library'!$A$5:$A$50,"AI-CTRL-037",'Control Library'!$R$5:$R$50,"Implemented")</f>
        <v>0</v>
      </c>
      <c r="K773" s="43" t="str">
        <f aca="false">IF(I773=0,"No wiki control",IF(J773=I773,"Fully covered",IF(J773=0,"Not covered","Partly covered")))</f>
        <v>Not covered</v>
      </c>
      <c r="L773" s="9" t="s">
        <v>2478</v>
      </c>
    </row>
    <row r="774" customFormat="false" ht="23.85" hidden="false" customHeight="false" outlineLevel="0" collapsed="false">
      <c r="A774" s="58" t="s">
        <v>611</v>
      </c>
      <c r="B774" s="58" t="s">
        <v>609</v>
      </c>
      <c r="C774" s="5" t="s">
        <v>2534</v>
      </c>
      <c r="D774" s="6" t="s">
        <v>2535</v>
      </c>
      <c r="E774" s="6"/>
      <c r="F774" s="6" t="s">
        <v>635</v>
      </c>
      <c r="G774" s="6"/>
      <c r="H774" s="6"/>
      <c r="I774" s="26" t="n">
        <v>0</v>
      </c>
      <c r="J774" s="26" t="n">
        <f aca="false">0</f>
        <v>0</v>
      </c>
      <c r="K774" s="43" t="str">
        <f aca="false">IF(I774=0,"No wiki control",IF(J774=I774,"Fully covered",IF(J774=0,"Not covered","Partly covered")))</f>
        <v>No wiki control</v>
      </c>
      <c r="L774" s="9" t="s">
        <v>2478</v>
      </c>
    </row>
    <row r="775" customFormat="false" ht="35.05" hidden="false" customHeight="false" outlineLevel="0" collapsed="false">
      <c r="A775" s="58" t="s">
        <v>612</v>
      </c>
      <c r="B775" s="58" t="s">
        <v>609</v>
      </c>
      <c r="C775" s="5" t="s">
        <v>2536</v>
      </c>
      <c r="D775" s="6" t="s">
        <v>2537</v>
      </c>
      <c r="E775" s="6" t="s">
        <v>2410</v>
      </c>
      <c r="F775" s="6" t="s">
        <v>725</v>
      </c>
      <c r="G775" s="6" t="s">
        <v>2411</v>
      </c>
      <c r="H775" s="6"/>
      <c r="I775" s="26" t="n">
        <v>3</v>
      </c>
      <c r="J775" s="26" t="n">
        <f aca="false">COUNTIFS('Control Library'!$A$5:$A$50,"AI-CTRL-012",'Control Library'!$R$5:$R$50,"Implemented")+COUNTIFS('Control Library'!$A$5:$A$50,"AI-CTRL-039",'Control Library'!$R$5:$R$50,"Implemented")+COUNTIFS('Control Library'!$A$5:$A$50,"AI-CTRL-041",'Control Library'!$R$5:$R$50,"Implemented")</f>
        <v>0</v>
      </c>
      <c r="K775" s="43" t="str">
        <f aca="false">IF(I775=0,"No wiki control",IF(J775=I775,"Fully covered",IF(J775=0,"Not covered","Partly covered")))</f>
        <v>Not covered</v>
      </c>
      <c r="L775" s="9" t="s">
        <v>2538</v>
      </c>
    </row>
    <row r="776" customFormat="false" ht="35.05" hidden="false" customHeight="false" outlineLevel="0" collapsed="false">
      <c r="A776" s="58" t="s">
        <v>612</v>
      </c>
      <c r="B776" s="58" t="s">
        <v>609</v>
      </c>
      <c r="C776" s="5" t="s">
        <v>2539</v>
      </c>
      <c r="D776" s="6" t="s">
        <v>2540</v>
      </c>
      <c r="E776" s="6" t="s">
        <v>2441</v>
      </c>
      <c r="F776" s="6" t="s">
        <v>725</v>
      </c>
      <c r="G776" s="6" t="s">
        <v>2442</v>
      </c>
      <c r="H776" s="6"/>
      <c r="I776" s="26" t="n">
        <v>4</v>
      </c>
      <c r="J776"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76" s="43" t="str">
        <f aca="false">IF(I776=0,"No wiki control",IF(J776=I776,"Fully covered",IF(J776=0,"Not covered","Partly covered")))</f>
        <v>Not covered</v>
      </c>
      <c r="L776" s="9" t="s">
        <v>2538</v>
      </c>
    </row>
    <row r="777" customFormat="false" ht="35.05" hidden="false" customHeight="false" outlineLevel="0" collapsed="false">
      <c r="A777" s="58" t="s">
        <v>612</v>
      </c>
      <c r="B777" s="58" t="s">
        <v>609</v>
      </c>
      <c r="C777" s="5" t="s">
        <v>2541</v>
      </c>
      <c r="D777" s="6" t="s">
        <v>2542</v>
      </c>
      <c r="E777" s="6" t="s">
        <v>2543</v>
      </c>
      <c r="F777" s="6" t="s">
        <v>725</v>
      </c>
      <c r="G777" s="6" t="s">
        <v>2544</v>
      </c>
      <c r="H777" s="6"/>
      <c r="I777" s="26" t="n">
        <v>3</v>
      </c>
      <c r="J777" s="26" t="n">
        <f aca="false">COUNTIFS('Control Library'!$A$5:$A$50,"AI-CTRL-013",'Control Library'!$R$5:$R$50,"Implemented")+COUNTIFS('Control Library'!$A$5:$A$50,"AI-CTRL-023",'Control Library'!$R$5:$R$50,"Implemented")+COUNTIFS('Control Library'!$A$5:$A$50,"AI-CTRL-041",'Control Library'!$R$5:$R$50,"Implemented")</f>
        <v>0</v>
      </c>
      <c r="K777" s="43" t="str">
        <f aca="false">IF(I777=0,"No wiki control",IF(J777=I777,"Fully covered",IF(J777=0,"Not covered","Partly covered")))</f>
        <v>Not covered</v>
      </c>
      <c r="L777" s="9" t="s">
        <v>2538</v>
      </c>
    </row>
    <row r="778" customFormat="false" ht="23.85" hidden="false" customHeight="false" outlineLevel="0" collapsed="false">
      <c r="A778" s="58" t="s">
        <v>612</v>
      </c>
      <c r="B778" s="58" t="s">
        <v>609</v>
      </c>
      <c r="C778" s="5" t="s">
        <v>2545</v>
      </c>
      <c r="D778" s="6" t="s">
        <v>2546</v>
      </c>
      <c r="E778" s="6" t="s">
        <v>2547</v>
      </c>
      <c r="F778" s="6" t="s">
        <v>725</v>
      </c>
      <c r="G778" s="6" t="s">
        <v>1085</v>
      </c>
      <c r="H778" s="6"/>
      <c r="I778" s="26" t="n">
        <v>2</v>
      </c>
      <c r="J778" s="26" t="n">
        <f aca="false">COUNTIFS('Control Library'!$A$5:$A$50,"AI-CTRL-013",'Control Library'!$R$5:$R$50,"Implemented")+COUNTIFS('Control Library'!$A$5:$A$50,"AI-CTRL-041",'Control Library'!$R$5:$R$50,"Implemented")</f>
        <v>0</v>
      </c>
      <c r="K778" s="43" t="str">
        <f aca="false">IF(I778=0,"No wiki control",IF(J778=I778,"Fully covered",IF(J778=0,"Not covered","Partly covered")))</f>
        <v>Not covered</v>
      </c>
      <c r="L778" s="9" t="s">
        <v>2538</v>
      </c>
    </row>
    <row r="779" customFormat="false" ht="23.85" hidden="false" customHeight="false" outlineLevel="0" collapsed="false">
      <c r="A779" s="58" t="s">
        <v>612</v>
      </c>
      <c r="B779" s="58" t="s">
        <v>609</v>
      </c>
      <c r="C779" s="5" t="s">
        <v>2548</v>
      </c>
      <c r="D779" s="6" t="s">
        <v>2549</v>
      </c>
      <c r="E779" s="6" t="s">
        <v>2550</v>
      </c>
      <c r="F779" s="6" t="s">
        <v>725</v>
      </c>
      <c r="G779" s="6" t="s">
        <v>2551</v>
      </c>
      <c r="H779" s="6"/>
      <c r="I779" s="26" t="n">
        <v>3</v>
      </c>
      <c r="J779" s="26" t="n">
        <f aca="false">COUNTIFS('Control Library'!$A$5:$A$50,"AI-CTRL-012",'Control Library'!$R$5:$R$50,"Implemented")+COUNTIFS('Control Library'!$A$5:$A$50,"AI-CTRL-023",'Control Library'!$R$5:$R$50,"Implemented")+COUNTIFS('Control Library'!$A$5:$A$50,"AI-CTRL-037",'Control Library'!$R$5:$R$50,"Implemented")</f>
        <v>0</v>
      </c>
      <c r="K779" s="43" t="str">
        <f aca="false">IF(I779=0,"No wiki control",IF(J779=I779,"Fully covered",IF(J779=0,"Not covered","Partly covered")))</f>
        <v>Not covered</v>
      </c>
      <c r="L779" s="9" t="s">
        <v>2538</v>
      </c>
    </row>
    <row r="780" customFormat="false" ht="23.85" hidden="false" customHeight="false" outlineLevel="0" collapsed="false">
      <c r="A780" s="58" t="s">
        <v>612</v>
      </c>
      <c r="B780" s="58" t="s">
        <v>609</v>
      </c>
      <c r="C780" s="5" t="s">
        <v>2552</v>
      </c>
      <c r="D780" s="6" t="s">
        <v>2553</v>
      </c>
      <c r="E780" s="6" t="s">
        <v>2400</v>
      </c>
      <c r="F780" s="6" t="s">
        <v>725</v>
      </c>
      <c r="G780" s="6" t="s">
        <v>2401</v>
      </c>
      <c r="H780" s="6"/>
      <c r="I780" s="26" t="n">
        <v>3</v>
      </c>
      <c r="J780" s="26" t="n">
        <f aca="false">COUNTIFS('Control Library'!$A$5:$A$50,"AI-CTRL-011",'Control Library'!$R$5:$R$50,"Implemented")+COUNTIFS('Control Library'!$A$5:$A$50,"AI-CTRL-037",'Control Library'!$R$5:$R$50,"Implemented")+COUNTIFS('Control Library'!$A$5:$A$50,"AI-CTRL-038",'Control Library'!$R$5:$R$50,"Implemented")</f>
        <v>0</v>
      </c>
      <c r="K780" s="43" t="str">
        <f aca="false">IF(I780=0,"No wiki control",IF(J780=I780,"Fully covered",IF(J780=0,"Not covered","Partly covered")))</f>
        <v>Not covered</v>
      </c>
      <c r="L780" s="9" t="s">
        <v>2538</v>
      </c>
    </row>
    <row r="781" customFormat="false" ht="23.85" hidden="false" customHeight="false" outlineLevel="0" collapsed="false">
      <c r="A781" s="58" t="s">
        <v>612</v>
      </c>
      <c r="B781" s="58" t="s">
        <v>609</v>
      </c>
      <c r="C781" s="5" t="s">
        <v>2554</v>
      </c>
      <c r="D781" s="6" t="s">
        <v>2555</v>
      </c>
      <c r="E781" s="6" t="s">
        <v>485</v>
      </c>
      <c r="F781" s="6" t="s">
        <v>725</v>
      </c>
      <c r="G781" s="6" t="s">
        <v>489</v>
      </c>
      <c r="H781" s="6"/>
      <c r="I781" s="26" t="n">
        <v>1</v>
      </c>
      <c r="J781" s="26" t="n">
        <f aca="false">COUNTIFS('Control Library'!$A$5:$A$50,"AI-CTRL-039",'Control Library'!$R$5:$R$50,"Implemented")</f>
        <v>0</v>
      </c>
      <c r="K781" s="43" t="str">
        <f aca="false">IF(I781=0,"No wiki control",IF(J781=I781,"Fully covered",IF(J781=0,"Not covered","Partly covered")))</f>
        <v>Not covered</v>
      </c>
      <c r="L781" s="9" t="s">
        <v>2538</v>
      </c>
    </row>
    <row r="782" customFormat="false" ht="23.85" hidden="false" customHeight="false" outlineLevel="0" collapsed="false">
      <c r="A782" s="58" t="s">
        <v>612</v>
      </c>
      <c r="B782" s="58" t="s">
        <v>609</v>
      </c>
      <c r="C782" s="5" t="s">
        <v>2556</v>
      </c>
      <c r="D782" s="6" t="s">
        <v>2557</v>
      </c>
      <c r="E782" s="6" t="s">
        <v>403</v>
      </c>
      <c r="F782" s="6" t="s">
        <v>725</v>
      </c>
      <c r="G782" s="6" t="s">
        <v>398</v>
      </c>
      <c r="H782" s="6"/>
      <c r="I782" s="26" t="n">
        <v>1</v>
      </c>
      <c r="J782" s="26" t="n">
        <f aca="false">COUNTIFS('Control Library'!$A$5:$A$50,"AI-CTRL-029",'Control Library'!$R$5:$R$50,"Implemented")</f>
        <v>0</v>
      </c>
      <c r="K782" s="43" t="str">
        <f aca="false">IF(I782=0,"No wiki control",IF(J782=I782,"Fully covered",IF(J782=0,"Not covered","Partly covered")))</f>
        <v>Not covered</v>
      </c>
      <c r="L782" s="9" t="s">
        <v>2538</v>
      </c>
    </row>
    <row r="783" customFormat="false" ht="23.85" hidden="false" customHeight="false" outlineLevel="0" collapsed="false">
      <c r="A783" s="58" t="s">
        <v>612</v>
      </c>
      <c r="B783" s="58" t="s">
        <v>609</v>
      </c>
      <c r="C783" s="5" t="s">
        <v>2558</v>
      </c>
      <c r="D783" s="6" t="s">
        <v>2559</v>
      </c>
      <c r="E783" s="6"/>
      <c r="F783" s="6" t="s">
        <v>635</v>
      </c>
      <c r="G783" s="6"/>
      <c r="H783" s="6"/>
      <c r="I783" s="26" t="n">
        <v>0</v>
      </c>
      <c r="J783" s="26" t="n">
        <f aca="false">0</f>
        <v>0</v>
      </c>
      <c r="K783" s="43" t="str">
        <f aca="false">IF(I783=0,"No wiki control",IF(J783=I783,"Fully covered",IF(J783=0,"Not covered","Partly covered")))</f>
        <v>No wiki control</v>
      </c>
      <c r="L783" s="9" t="s">
        <v>2538</v>
      </c>
    </row>
    <row r="784" customFormat="false" ht="35.05" hidden="false" customHeight="false" outlineLevel="0" collapsed="false">
      <c r="A784" s="58" t="s">
        <v>612</v>
      </c>
      <c r="B784" s="58" t="s">
        <v>609</v>
      </c>
      <c r="C784" s="5" t="s">
        <v>2560</v>
      </c>
      <c r="D784" s="6" t="s">
        <v>2561</v>
      </c>
      <c r="E784" s="6" t="s">
        <v>2509</v>
      </c>
      <c r="F784" s="6" t="s">
        <v>725</v>
      </c>
      <c r="G784" s="6" t="s">
        <v>2510</v>
      </c>
      <c r="H784" s="6"/>
      <c r="I784" s="26" t="n">
        <v>2</v>
      </c>
      <c r="J784" s="26" t="n">
        <f aca="false">COUNTIFS('Control Library'!$A$5:$A$50,"AI-CTRL-005",'Control Library'!$R$5:$R$50,"Implemented")+COUNTIFS('Control Library'!$A$5:$A$50,"AI-CTRL-008",'Control Library'!$R$5:$R$50,"Implemented")</f>
        <v>0</v>
      </c>
      <c r="K784" s="43" t="str">
        <f aca="false">IF(I784=0,"No wiki control",IF(J784=I784,"Fully covered",IF(J784=0,"Not covered","Partly covered")))</f>
        <v>Not covered</v>
      </c>
      <c r="L784" s="9" t="s">
        <v>2538</v>
      </c>
    </row>
    <row r="785" customFormat="false" ht="23.85" hidden="false" customHeight="false" outlineLevel="0" collapsed="false">
      <c r="A785" s="58" t="s">
        <v>612</v>
      </c>
      <c r="B785" s="58" t="s">
        <v>609</v>
      </c>
      <c r="C785" s="5" t="s">
        <v>2562</v>
      </c>
      <c r="D785" s="6" t="s">
        <v>2563</v>
      </c>
      <c r="E785" s="6" t="s">
        <v>2564</v>
      </c>
      <c r="F785" s="6" t="s">
        <v>725</v>
      </c>
      <c r="G785" s="6" t="s">
        <v>2565</v>
      </c>
      <c r="H785" s="6"/>
      <c r="I785" s="26" t="n">
        <v>2</v>
      </c>
      <c r="J785" s="26" t="n">
        <f aca="false">COUNTIFS('Control Library'!$A$5:$A$50,"AI-CTRL-011",'Control Library'!$R$5:$R$50,"Implemented")+COUNTIFS('Control Library'!$A$5:$A$50,"AI-CTRL-039",'Control Library'!$R$5:$R$50,"Implemented")</f>
        <v>0</v>
      </c>
      <c r="K785" s="43" t="str">
        <f aca="false">IF(I785=0,"No wiki control",IF(J785=I785,"Fully covered",IF(J785=0,"Not covered","Partly covered")))</f>
        <v>Not covered</v>
      </c>
      <c r="L785" s="9" t="s">
        <v>2538</v>
      </c>
    </row>
    <row r="786" customFormat="false" ht="23.85" hidden="false" customHeight="false" outlineLevel="0" collapsed="false">
      <c r="A786" s="58" t="s">
        <v>612</v>
      </c>
      <c r="B786" s="58" t="s">
        <v>609</v>
      </c>
      <c r="C786" s="5" t="s">
        <v>2566</v>
      </c>
      <c r="D786" s="6" t="s">
        <v>2567</v>
      </c>
      <c r="E786" s="6" t="s">
        <v>503</v>
      </c>
      <c r="F786" s="6" t="s">
        <v>725</v>
      </c>
      <c r="G786" s="6" t="s">
        <v>506</v>
      </c>
      <c r="H786" s="6"/>
      <c r="I786" s="26" t="n">
        <v>1</v>
      </c>
      <c r="J786" s="26" t="n">
        <f aca="false">COUNTIFS('Control Library'!$A$5:$A$50,"AI-CTRL-041",'Control Library'!$R$5:$R$50,"Implemented")</f>
        <v>0</v>
      </c>
      <c r="K786" s="43" t="str">
        <f aca="false">IF(I786=0,"No wiki control",IF(J786=I786,"Fully covered",IF(J786=0,"Not covered","Partly covered")))</f>
        <v>Not covered</v>
      </c>
      <c r="L786" s="9" t="s">
        <v>2538</v>
      </c>
    </row>
    <row r="787" customFormat="false" ht="35.05" hidden="false" customHeight="false" outlineLevel="0" collapsed="false">
      <c r="A787" s="58" t="s">
        <v>612</v>
      </c>
      <c r="B787" s="58" t="s">
        <v>609</v>
      </c>
      <c r="C787" s="5" t="s">
        <v>2568</v>
      </c>
      <c r="D787" s="6" t="s">
        <v>2569</v>
      </c>
      <c r="E787" s="6" t="s">
        <v>2570</v>
      </c>
      <c r="F787" s="6" t="s">
        <v>725</v>
      </c>
      <c r="G787" s="6" t="s">
        <v>2571</v>
      </c>
      <c r="H787" s="6"/>
      <c r="I787" s="26" t="n">
        <v>5</v>
      </c>
      <c r="J787" s="26" t="n">
        <f aca="false">COUNTIFS('Control Library'!$A$5:$A$50,"AI-CTRL-011",'Control Library'!$R$5:$R$50,"Implemented")+COUNTIFS('Control Library'!$A$5:$A$50,"AI-CTRL-012",'Control Library'!$R$5:$R$50,"Implemented")+COUNTIFS('Control Library'!$A$5:$A$50,"AI-CTRL-037",'Control Library'!$R$5:$R$50,"Implemented")+COUNTIFS('Control Library'!$A$5:$A$50,"AI-CTRL-041",'Control Library'!$R$5:$R$50,"Implemented")+COUNTIFS('Control Library'!$A$5:$A$50,"AI-CTRL-042",'Control Library'!$R$5:$R$50,"Implemented")</f>
        <v>0</v>
      </c>
      <c r="K787" s="43" t="str">
        <f aca="false">IF(I787=0,"No wiki control",IF(J787=I787,"Fully covered",IF(J787=0,"Not covered","Partly covered")))</f>
        <v>Not covered</v>
      </c>
      <c r="L787" s="9" t="s">
        <v>2538</v>
      </c>
    </row>
    <row r="788" customFormat="false" ht="23.85" hidden="false" customHeight="false" outlineLevel="0" collapsed="false">
      <c r="A788" s="58" t="s">
        <v>613</v>
      </c>
      <c r="B788" s="58" t="s">
        <v>609</v>
      </c>
      <c r="C788" s="5" t="s">
        <v>2572</v>
      </c>
      <c r="D788" s="6" t="s">
        <v>2573</v>
      </c>
      <c r="E788" s="6"/>
      <c r="F788" s="6" t="s">
        <v>635</v>
      </c>
      <c r="G788" s="6"/>
      <c r="H788" s="6"/>
      <c r="I788" s="26" t="n">
        <v>0</v>
      </c>
      <c r="J788" s="26" t="n">
        <f aca="false">0</f>
        <v>0</v>
      </c>
      <c r="K788" s="43" t="str">
        <f aca="false">IF(I788=0,"No wiki control",IF(J788=I788,"Fully covered",IF(J788=0,"Not covered","Partly covered")))</f>
        <v>No wiki control</v>
      </c>
      <c r="L788" s="9" t="s">
        <v>2574</v>
      </c>
    </row>
    <row r="789" customFormat="false" ht="23.85" hidden="false" customHeight="false" outlineLevel="0" collapsed="false">
      <c r="A789" s="58" t="s">
        <v>613</v>
      </c>
      <c r="B789" s="58" t="s">
        <v>609</v>
      </c>
      <c r="C789" s="5" t="s">
        <v>2575</v>
      </c>
      <c r="D789" s="6" t="s">
        <v>2576</v>
      </c>
      <c r="E789" s="6"/>
      <c r="F789" s="6" t="s">
        <v>635</v>
      </c>
      <c r="G789" s="6"/>
      <c r="H789" s="6"/>
      <c r="I789" s="26" t="n">
        <v>0</v>
      </c>
      <c r="J789" s="26" t="n">
        <f aca="false">0</f>
        <v>0</v>
      </c>
      <c r="K789" s="43" t="str">
        <f aca="false">IF(I789=0,"No wiki control",IF(J789=I789,"Fully covered",IF(J789=0,"Not covered","Partly covered")))</f>
        <v>No wiki control</v>
      </c>
      <c r="L789" s="9" t="s">
        <v>2574</v>
      </c>
    </row>
    <row r="790" customFormat="false" ht="23.85" hidden="false" customHeight="false" outlineLevel="0" collapsed="false">
      <c r="A790" s="58" t="s">
        <v>613</v>
      </c>
      <c r="B790" s="58" t="s">
        <v>609</v>
      </c>
      <c r="C790" s="5" t="s">
        <v>2577</v>
      </c>
      <c r="D790" s="6" t="s">
        <v>2578</v>
      </c>
      <c r="E790" s="6" t="s">
        <v>199</v>
      </c>
      <c r="F790" s="6" t="s">
        <v>725</v>
      </c>
      <c r="G790" s="6" t="s">
        <v>203</v>
      </c>
      <c r="H790" s="6"/>
      <c r="I790" s="26" t="n">
        <v>1</v>
      </c>
      <c r="J790" s="26" t="n">
        <f aca="false">COUNTIFS('Control Library'!$A$5:$A$50,"AI-CTRL-005",'Control Library'!$R$5:$R$50,"Implemented")</f>
        <v>0</v>
      </c>
      <c r="K790" s="43" t="str">
        <f aca="false">IF(I790=0,"No wiki control",IF(J790=I790,"Fully covered",IF(J790=0,"Not covered","Partly covered")))</f>
        <v>Not covered</v>
      </c>
      <c r="L790" s="9" t="s">
        <v>2574</v>
      </c>
    </row>
    <row r="791" customFormat="false" ht="23.85" hidden="false" customHeight="false" outlineLevel="0" collapsed="false">
      <c r="A791" s="58" t="s">
        <v>613</v>
      </c>
      <c r="B791" s="58" t="s">
        <v>609</v>
      </c>
      <c r="C791" s="5" t="s">
        <v>2579</v>
      </c>
      <c r="D791" s="6" t="s">
        <v>2580</v>
      </c>
      <c r="E791" s="6"/>
      <c r="F791" s="6" t="s">
        <v>635</v>
      </c>
      <c r="G791" s="6"/>
      <c r="H791" s="6"/>
      <c r="I791" s="26" t="n">
        <v>0</v>
      </c>
      <c r="J791" s="26" t="n">
        <f aca="false">0</f>
        <v>0</v>
      </c>
      <c r="K791" s="43" t="str">
        <f aca="false">IF(I791=0,"No wiki control",IF(J791=I791,"Fully covered",IF(J791=0,"Not covered","Partly covered")))</f>
        <v>No wiki control</v>
      </c>
      <c r="L791" s="9" t="s">
        <v>2574</v>
      </c>
    </row>
    <row r="792" customFormat="false" ht="35.05" hidden="false" customHeight="false" outlineLevel="0" collapsed="false">
      <c r="A792" s="58" t="s">
        <v>613</v>
      </c>
      <c r="B792" s="58" t="s">
        <v>609</v>
      </c>
      <c r="C792" s="5" t="s">
        <v>2581</v>
      </c>
      <c r="D792" s="6" t="s">
        <v>2582</v>
      </c>
      <c r="E792" s="6" t="s">
        <v>2583</v>
      </c>
      <c r="F792" s="6" t="s">
        <v>725</v>
      </c>
      <c r="G792" s="6" t="s">
        <v>2584</v>
      </c>
      <c r="H792" s="6"/>
      <c r="I792" s="26" t="n">
        <v>3</v>
      </c>
      <c r="J792" s="26" t="n">
        <f aca="false">COUNTIFS('Control Library'!$A$5:$A$50,"AI-CTRL-013",'Control Library'!$R$5:$R$50,"Implemented")+COUNTIFS('Control Library'!$A$5:$A$50,"AI-CTRL-037",'Control Library'!$R$5:$R$50,"Implemented")+COUNTIFS('Control Library'!$A$5:$A$50,"AI-CTRL-041",'Control Library'!$R$5:$R$50,"Implemented")</f>
        <v>0</v>
      </c>
      <c r="K792" s="43" t="str">
        <f aca="false">IF(I792=0,"No wiki control",IF(J792=I792,"Fully covered",IF(J792=0,"Not covered","Partly covered")))</f>
        <v>Not covered</v>
      </c>
      <c r="L792" s="9" t="s">
        <v>2574</v>
      </c>
    </row>
    <row r="793" customFormat="false" ht="23.85" hidden="false" customHeight="false" outlineLevel="0" collapsed="false">
      <c r="A793" s="58" t="s">
        <v>613</v>
      </c>
      <c r="B793" s="58" t="s">
        <v>609</v>
      </c>
      <c r="C793" s="5" t="s">
        <v>2585</v>
      </c>
      <c r="D793" s="6" t="s">
        <v>2586</v>
      </c>
      <c r="E793" s="6" t="s">
        <v>2587</v>
      </c>
      <c r="F793" s="6" t="s">
        <v>725</v>
      </c>
      <c r="G793" s="6" t="s">
        <v>2588</v>
      </c>
      <c r="H793" s="6"/>
      <c r="I793" s="26" t="n">
        <v>3</v>
      </c>
      <c r="J793" s="26" t="n">
        <f aca="false">COUNTIFS('Control Library'!$A$5:$A$50,"AI-CTRL-011",'Control Library'!$R$5:$R$50,"Implemented")+COUNTIFS('Control Library'!$A$5:$A$50,"AI-CTRL-029",'Control Library'!$R$5:$R$50,"Implemented")+COUNTIFS('Control Library'!$A$5:$A$50,"AI-CTRL-038",'Control Library'!$R$5:$R$50,"Implemented")</f>
        <v>0</v>
      </c>
      <c r="K793" s="43" t="str">
        <f aca="false">IF(I793=0,"No wiki control",IF(J793=I793,"Fully covered",IF(J793=0,"Not covered","Partly covered")))</f>
        <v>Not covered</v>
      </c>
      <c r="L793" s="9" t="s">
        <v>2574</v>
      </c>
    </row>
    <row r="794" customFormat="false" ht="23.85" hidden="false" customHeight="false" outlineLevel="0" collapsed="false">
      <c r="A794" s="58" t="s">
        <v>613</v>
      </c>
      <c r="B794" s="58" t="s">
        <v>609</v>
      </c>
      <c r="C794" s="5" t="s">
        <v>2589</v>
      </c>
      <c r="D794" s="6" t="s">
        <v>2590</v>
      </c>
      <c r="E794" s="6" t="s">
        <v>485</v>
      </c>
      <c r="F794" s="6" t="s">
        <v>725</v>
      </c>
      <c r="G794" s="6" t="s">
        <v>489</v>
      </c>
      <c r="H794" s="6"/>
      <c r="I794" s="26" t="n">
        <v>1</v>
      </c>
      <c r="J794" s="26" t="n">
        <f aca="false">COUNTIFS('Control Library'!$A$5:$A$50,"AI-CTRL-039",'Control Library'!$R$5:$R$50,"Implemented")</f>
        <v>0</v>
      </c>
      <c r="K794" s="43" t="str">
        <f aca="false">IF(I794=0,"No wiki control",IF(J794=I794,"Fully covered",IF(J794=0,"Not covered","Partly covered")))</f>
        <v>Not covered</v>
      </c>
      <c r="L794" s="9" t="s">
        <v>2574</v>
      </c>
    </row>
    <row r="795" customFormat="false" ht="46.25" hidden="false" customHeight="false" outlineLevel="0" collapsed="false">
      <c r="A795" s="58" t="s">
        <v>613</v>
      </c>
      <c r="B795" s="58" t="s">
        <v>609</v>
      </c>
      <c r="C795" s="5" t="s">
        <v>2591</v>
      </c>
      <c r="D795" s="6" t="s">
        <v>2592</v>
      </c>
      <c r="E795" s="6" t="s">
        <v>2593</v>
      </c>
      <c r="F795" s="6" t="s">
        <v>725</v>
      </c>
      <c r="G795" s="6" t="s">
        <v>2460</v>
      </c>
      <c r="H795" s="6"/>
      <c r="I795" s="26" t="n">
        <v>4</v>
      </c>
      <c r="J795" s="26" t="n">
        <f aca="false">COUNTIFS('Control Library'!$A$5:$A$50,"AI-CTRL-013",'Control Library'!$R$5:$R$50,"Implemented")+COUNTIFS('Control Library'!$A$5:$A$50,"AI-CTRL-023",'Control Library'!$R$5:$R$50,"Implemented")+COUNTIFS('Control Library'!$A$5:$A$50,"AI-CTRL-037",'Control Library'!$R$5:$R$50,"Implemented")+COUNTIFS('Control Library'!$A$5:$A$50,"AI-CTRL-041",'Control Library'!$R$5:$R$50,"Implemented")</f>
        <v>0</v>
      </c>
      <c r="K795" s="43" t="str">
        <f aca="false">IF(I795=0,"No wiki control",IF(J795=I795,"Fully covered",IF(J795=0,"Not covered","Partly covered")))</f>
        <v>Not covered</v>
      </c>
      <c r="L795" s="9" t="s">
        <v>2574</v>
      </c>
    </row>
    <row r="796" customFormat="false" ht="23.85" hidden="false" customHeight="false" outlineLevel="0" collapsed="false">
      <c r="A796" s="58" t="s">
        <v>613</v>
      </c>
      <c r="B796" s="58" t="s">
        <v>609</v>
      </c>
      <c r="C796" s="5" t="s">
        <v>2594</v>
      </c>
      <c r="D796" s="6" t="s">
        <v>2595</v>
      </c>
      <c r="E796" s="6" t="s">
        <v>2596</v>
      </c>
      <c r="F796" s="6" t="s">
        <v>725</v>
      </c>
      <c r="G796" s="6" t="s">
        <v>2597</v>
      </c>
      <c r="H796" s="6"/>
      <c r="I796" s="26" t="n">
        <v>2</v>
      </c>
      <c r="J796" s="26" t="n">
        <f aca="false">COUNTIFS('Control Library'!$A$5:$A$50,"AI-CTRL-012",'Control Library'!$R$5:$R$50,"Implemented")+COUNTIFS('Control Library'!$A$5:$A$50,"AI-CTRL-013",'Control Library'!$R$5:$R$50,"Implemented")</f>
        <v>0</v>
      </c>
      <c r="K796" s="43" t="str">
        <f aca="false">IF(I796=0,"No wiki control",IF(J796=I796,"Fully covered",IF(J796=0,"Not covered","Partly covered")))</f>
        <v>Not covered</v>
      </c>
      <c r="L796" s="9" t="s">
        <v>2574</v>
      </c>
    </row>
    <row r="797" customFormat="false" ht="23.85" hidden="false" customHeight="false" outlineLevel="0" collapsed="false">
      <c r="A797" s="58" t="s">
        <v>613</v>
      </c>
      <c r="B797" s="58" t="s">
        <v>609</v>
      </c>
      <c r="C797" s="5" t="s">
        <v>2598</v>
      </c>
      <c r="D797" s="6" t="s">
        <v>2599</v>
      </c>
      <c r="E797" s="6" t="s">
        <v>2600</v>
      </c>
      <c r="F797" s="6" t="s">
        <v>725</v>
      </c>
      <c r="G797" s="6" t="s">
        <v>2601</v>
      </c>
      <c r="H797" s="6"/>
      <c r="I797" s="26" t="n">
        <v>2</v>
      </c>
      <c r="J797" s="26" t="n">
        <f aca="false">COUNTIFS('Control Library'!$A$5:$A$50,"AI-CTRL-023",'Control Library'!$R$5:$R$50,"Implemented")+COUNTIFS('Control Library'!$A$5:$A$50,"AI-CTRL-041",'Control Library'!$R$5:$R$50,"Implemented")</f>
        <v>0</v>
      </c>
      <c r="K797" s="43" t="str">
        <f aca="false">IF(I797=0,"No wiki control",IF(J797=I797,"Fully covered",IF(J797=0,"Not covered","Partly covered")))</f>
        <v>Not covered</v>
      </c>
      <c r="L797" s="9" t="s">
        <v>2574</v>
      </c>
    </row>
    <row r="798" customFormat="false" ht="23.85" hidden="false" customHeight="false" outlineLevel="0" collapsed="false">
      <c r="A798" s="58" t="s">
        <v>613</v>
      </c>
      <c r="B798" s="58" t="s">
        <v>609</v>
      </c>
      <c r="C798" s="5" t="s">
        <v>2602</v>
      </c>
      <c r="D798" s="6" t="s">
        <v>2603</v>
      </c>
      <c r="E798" s="6" t="s">
        <v>1640</v>
      </c>
      <c r="F798" s="6" t="s">
        <v>725</v>
      </c>
      <c r="G798" s="6" t="s">
        <v>1641</v>
      </c>
      <c r="H798" s="6"/>
      <c r="I798" s="26" t="n">
        <v>2</v>
      </c>
      <c r="J798" s="26" t="n">
        <f aca="false">COUNTIFS('Control Library'!$A$5:$A$50,"AI-CTRL-039",'Control Library'!$R$5:$R$50,"Implemented")+COUNTIFS('Control Library'!$A$5:$A$50,"AI-CTRL-041",'Control Library'!$R$5:$R$50,"Implemented")</f>
        <v>0</v>
      </c>
      <c r="K798" s="43" t="str">
        <f aca="false">IF(I798=0,"No wiki control",IF(J798=I798,"Fully covered",IF(J798=0,"Not covered","Partly covered")))</f>
        <v>Not covered</v>
      </c>
      <c r="L798" s="9" t="s">
        <v>2574</v>
      </c>
    </row>
    <row r="799" customFormat="false" ht="57.45" hidden="false" customHeight="false" outlineLevel="0" collapsed="false">
      <c r="A799" s="58" t="s">
        <v>613</v>
      </c>
      <c r="B799" s="58" t="s">
        <v>609</v>
      </c>
      <c r="C799" s="5" t="s">
        <v>2604</v>
      </c>
      <c r="D799" s="6" t="s">
        <v>2605</v>
      </c>
      <c r="E799" s="6" t="s">
        <v>2606</v>
      </c>
      <c r="F799" s="6" t="s">
        <v>725</v>
      </c>
      <c r="G799" s="6" t="s">
        <v>2607</v>
      </c>
      <c r="H799" s="6"/>
      <c r="I799" s="26" t="n">
        <v>3</v>
      </c>
      <c r="J799" s="26" t="n">
        <f aca="false">COUNTIFS('Control Library'!$A$5:$A$50,"AI-CTRL-012",'Control Library'!$R$5:$R$50,"Implemented")+COUNTIFS('Control Library'!$A$5:$A$50,"AI-CTRL-037",'Control Library'!$R$5:$R$50,"Implemented")+COUNTIFS('Control Library'!$A$5:$A$50,"AI-CTRL-041",'Control Library'!$R$5:$R$50,"Implemented")</f>
        <v>0</v>
      </c>
      <c r="K799" s="43" t="str">
        <f aca="false">IF(I799=0,"No wiki control",IF(J799=I799,"Fully covered",IF(J799=0,"Not covered","Partly covered")))</f>
        <v>Not covered</v>
      </c>
      <c r="L799" s="9" t="s">
        <v>2574</v>
      </c>
    </row>
    <row r="800" customFormat="false" ht="23.85" hidden="false" customHeight="false" outlineLevel="0" collapsed="false">
      <c r="A800" s="58" t="s">
        <v>613</v>
      </c>
      <c r="B800" s="58" t="s">
        <v>609</v>
      </c>
      <c r="C800" s="5" t="s">
        <v>2608</v>
      </c>
      <c r="D800" s="6" t="s">
        <v>2609</v>
      </c>
      <c r="E800" s="6"/>
      <c r="F800" s="6" t="s">
        <v>635</v>
      </c>
      <c r="G800" s="6"/>
      <c r="H800" s="6"/>
      <c r="I800" s="26" t="n">
        <v>0</v>
      </c>
      <c r="J800" s="26" t="n">
        <f aca="false">0</f>
        <v>0</v>
      </c>
      <c r="K800" s="43" t="str">
        <f aca="false">IF(I800=0,"No wiki control",IF(J800=I800,"Fully covered",IF(J800=0,"Not covered","Partly covered")))</f>
        <v>No wiki control</v>
      </c>
      <c r="L800" s="9" t="s">
        <v>2574</v>
      </c>
    </row>
    <row r="801" customFormat="false" ht="46.25" hidden="false" customHeight="false" outlineLevel="0" collapsed="false">
      <c r="A801" s="58" t="s">
        <v>613</v>
      </c>
      <c r="B801" s="58" t="s">
        <v>609</v>
      </c>
      <c r="C801" s="5" t="s">
        <v>2610</v>
      </c>
      <c r="D801" s="6" t="s">
        <v>2611</v>
      </c>
      <c r="E801" s="6" t="s">
        <v>2612</v>
      </c>
      <c r="F801" s="6" t="s">
        <v>725</v>
      </c>
      <c r="G801" s="6" t="s">
        <v>2613</v>
      </c>
      <c r="H801" s="6"/>
      <c r="I801" s="26" t="n">
        <v>4</v>
      </c>
      <c r="J801" s="26" t="n">
        <f aca="false">COUNTIFS('Control Library'!$A$5:$A$50,"AI-CTRL-012",'Control Library'!$R$5:$R$50,"Implemented")+COUNTIFS('Control Library'!$A$5:$A$50,"AI-CTRL-029",'Control Library'!$R$5:$R$50,"Implemented")+COUNTIFS('Control Library'!$A$5:$A$50,"AI-CTRL-038",'Control Library'!$R$5:$R$50,"Implemented")+COUNTIFS('Control Library'!$A$5:$A$50,"AI-CTRL-039",'Control Library'!$R$5:$R$50,"Implemented")</f>
        <v>0</v>
      </c>
      <c r="K801" s="43" t="str">
        <f aca="false">IF(I801=0,"No wiki control",IF(J801=I801,"Fully covered",IF(J801=0,"Not covered","Partly covered")))</f>
        <v>Not covered</v>
      </c>
      <c r="L801" s="9" t="s">
        <v>2574</v>
      </c>
    </row>
    <row r="802" customFormat="false" ht="46.25" hidden="false" customHeight="false" outlineLevel="0" collapsed="false">
      <c r="A802" s="58" t="s">
        <v>613</v>
      </c>
      <c r="B802" s="58" t="s">
        <v>609</v>
      </c>
      <c r="C802" s="5" t="s">
        <v>2614</v>
      </c>
      <c r="D802" s="6" t="s">
        <v>2615</v>
      </c>
      <c r="E802" s="6" t="s">
        <v>2616</v>
      </c>
      <c r="F802" s="6" t="s">
        <v>725</v>
      </c>
      <c r="G802" s="6" t="s">
        <v>2617</v>
      </c>
      <c r="H802" s="6"/>
      <c r="I802" s="26" t="n">
        <v>5</v>
      </c>
      <c r="J802" s="26" t="n">
        <f aca="false">COUNTIFS('Control Library'!$A$5:$A$50,"AI-CTRL-012",'Control Library'!$R$5:$R$50,"Implemented")+COUNTIFS('Control Library'!$A$5:$A$50,"AI-CTRL-014",'Control Library'!$R$5:$R$50,"Implemented")+COUNTIFS('Control Library'!$A$5:$A$50,"AI-CTRL-037",'Control Library'!$R$5:$R$50,"Implemented")+COUNTIFS('Control Library'!$A$5:$A$50,"AI-CTRL-038",'Control Library'!$R$5:$R$50,"Implemented")+COUNTIFS('Control Library'!$A$5:$A$50,"AI-CTRL-041",'Control Library'!$R$5:$R$50,"Implemented")</f>
        <v>0</v>
      </c>
      <c r="K802" s="43" t="str">
        <f aca="false">IF(I802=0,"No wiki control",IF(J802=I802,"Fully covered",IF(J802=0,"Not covered","Partly covered")))</f>
        <v>Not covered</v>
      </c>
      <c r="L802" s="9" t="s">
        <v>2574</v>
      </c>
    </row>
    <row r="803" customFormat="false" ht="35.05" hidden="false" customHeight="false" outlineLevel="0" collapsed="false">
      <c r="A803" s="58" t="s">
        <v>613</v>
      </c>
      <c r="B803" s="58" t="s">
        <v>609</v>
      </c>
      <c r="C803" s="5" t="s">
        <v>2618</v>
      </c>
      <c r="D803" s="6" t="s">
        <v>2619</v>
      </c>
      <c r="E803" s="6" t="s">
        <v>2620</v>
      </c>
      <c r="F803" s="6" t="s">
        <v>725</v>
      </c>
      <c r="G803" s="6" t="s">
        <v>2621</v>
      </c>
      <c r="H803" s="6"/>
      <c r="I803" s="26" t="n">
        <v>4</v>
      </c>
      <c r="J803" s="26" t="n">
        <f aca="false">COUNTIFS('Control Library'!$A$5:$A$50,"AI-CTRL-014",'Control Library'!$R$5:$R$50,"Implemented")+COUNTIFS('Control Library'!$A$5:$A$50,"AI-CTRL-029",'Control Library'!$R$5:$R$50,"Implemented")+COUNTIFS('Control Library'!$A$5:$A$50,"AI-CTRL-037",'Control Library'!$R$5:$R$50,"Implemented")+COUNTIFS('Control Library'!$A$5:$A$50,"AI-CTRL-041",'Control Library'!$R$5:$R$50,"Implemented")</f>
        <v>0</v>
      </c>
      <c r="K803" s="43" t="str">
        <f aca="false">IF(I803=0,"No wiki control",IF(J803=I803,"Fully covered",IF(J803=0,"Not covered","Partly covered")))</f>
        <v>Not covered</v>
      </c>
      <c r="L803" s="9" t="s">
        <v>2574</v>
      </c>
    </row>
    <row r="804" customFormat="false" ht="46.25" hidden="false" customHeight="false" outlineLevel="0" collapsed="false">
      <c r="A804" s="58" t="s">
        <v>613</v>
      </c>
      <c r="B804" s="58" t="s">
        <v>609</v>
      </c>
      <c r="C804" s="5" t="s">
        <v>2622</v>
      </c>
      <c r="D804" s="6" t="s">
        <v>2623</v>
      </c>
      <c r="E804" s="6" t="s">
        <v>2624</v>
      </c>
      <c r="F804" s="6" t="s">
        <v>725</v>
      </c>
      <c r="G804" s="6" t="s">
        <v>2625</v>
      </c>
      <c r="H804" s="6"/>
      <c r="I804" s="26" t="n">
        <v>4</v>
      </c>
      <c r="J804" s="26" t="n">
        <f aca="false">COUNTIFS('Control Library'!$A$5:$A$50,"AI-CTRL-013",'Control Library'!$R$5:$R$50,"Implemented")+COUNTIFS('Control Library'!$A$5:$A$50,"AI-CTRL-014",'Control Library'!$R$5:$R$50,"Implemented")+COUNTIFS('Control Library'!$A$5:$A$50,"AI-CTRL-017",'Control Library'!$R$5:$R$50,"Implemented")+COUNTIFS('Control Library'!$A$5:$A$50,"AI-CTRL-035",'Control Library'!$R$5:$R$50,"Implemented")</f>
        <v>0</v>
      </c>
      <c r="K804" s="43" t="str">
        <f aca="false">IF(I804=0,"No wiki control",IF(J804=I804,"Fully covered",IF(J804=0,"Not covered","Partly covered")))</f>
        <v>Not covered</v>
      </c>
      <c r="L804" s="9" t="s">
        <v>2574</v>
      </c>
    </row>
    <row r="805" customFormat="false" ht="23.85" hidden="false" customHeight="false" outlineLevel="0" collapsed="false">
      <c r="A805" s="58" t="s">
        <v>614</v>
      </c>
      <c r="B805" s="58" t="s">
        <v>609</v>
      </c>
      <c r="C805" s="5" t="s">
        <v>2626</v>
      </c>
      <c r="D805" s="6" t="s">
        <v>2627</v>
      </c>
      <c r="E805" s="6" t="s">
        <v>263</v>
      </c>
      <c r="F805" s="6" t="s">
        <v>725</v>
      </c>
      <c r="G805" s="6" t="s">
        <v>266</v>
      </c>
      <c r="H805" s="6"/>
      <c r="I805" s="26" t="n">
        <v>1</v>
      </c>
      <c r="J805" s="26" t="n">
        <f aca="false">COUNTIFS('Control Library'!$A$5:$A$50,"AI-CTRL-012",'Control Library'!$R$5:$R$50,"Implemented")</f>
        <v>0</v>
      </c>
      <c r="K805" s="43" t="str">
        <f aca="false">IF(I805=0,"No wiki control",IF(J805=I805,"Fully covered",IF(J805=0,"Not covered","Partly covered")))</f>
        <v>Not covered</v>
      </c>
      <c r="L805" s="9" t="s">
        <v>2628</v>
      </c>
    </row>
    <row r="806" customFormat="false" ht="35.05" hidden="false" customHeight="false" outlineLevel="0" collapsed="false">
      <c r="A806" s="58" t="s">
        <v>614</v>
      </c>
      <c r="B806" s="58" t="s">
        <v>609</v>
      </c>
      <c r="C806" s="5" t="s">
        <v>2629</v>
      </c>
      <c r="D806" s="6" t="s">
        <v>2630</v>
      </c>
      <c r="E806" s="6" t="s">
        <v>2248</v>
      </c>
      <c r="F806" s="6" t="s">
        <v>725</v>
      </c>
      <c r="G806" s="6" t="s">
        <v>2249</v>
      </c>
      <c r="H806" s="6"/>
      <c r="I806" s="26" t="n">
        <v>3</v>
      </c>
      <c r="J806" s="26" t="n">
        <f aca="false">COUNTIFS('Control Library'!$A$5:$A$50,"AI-CTRL-013",'Control Library'!$R$5:$R$50,"Implemented")+COUNTIFS('Control Library'!$A$5:$A$50,"AI-CTRL-039",'Control Library'!$R$5:$R$50,"Implemented")+COUNTIFS('Control Library'!$A$5:$A$50,"AI-CTRL-041",'Control Library'!$R$5:$R$50,"Implemented")</f>
        <v>0</v>
      </c>
      <c r="K806" s="43" t="str">
        <f aca="false">IF(I806=0,"No wiki control",IF(J806=I806,"Fully covered",IF(J806=0,"Not covered","Partly covered")))</f>
        <v>Not covered</v>
      </c>
      <c r="L806" s="9" t="s">
        <v>2628</v>
      </c>
    </row>
    <row r="807" customFormat="false" ht="23.85" hidden="false" customHeight="false" outlineLevel="0" collapsed="false">
      <c r="A807" s="58" t="s">
        <v>614</v>
      </c>
      <c r="B807" s="58" t="s">
        <v>609</v>
      </c>
      <c r="C807" s="5" t="s">
        <v>2631</v>
      </c>
      <c r="D807" s="6" t="s">
        <v>2632</v>
      </c>
      <c r="E807" s="6" t="s">
        <v>2633</v>
      </c>
      <c r="F807" s="6" t="s">
        <v>725</v>
      </c>
      <c r="G807" s="6" t="s">
        <v>2634</v>
      </c>
      <c r="H807" s="6"/>
      <c r="I807" s="26" t="n">
        <v>2</v>
      </c>
      <c r="J807" s="26" t="n">
        <f aca="false">COUNTIFS('Control Library'!$A$5:$A$50,"AI-CTRL-013",'Control Library'!$R$5:$R$50,"Implemented")+COUNTIFS('Control Library'!$A$5:$A$50,"AI-CTRL-035",'Control Library'!$R$5:$R$50,"Implemented")</f>
        <v>0</v>
      </c>
      <c r="K807" s="43" t="str">
        <f aca="false">IF(I807=0,"No wiki control",IF(J807=I807,"Fully covered",IF(J807=0,"Not covered","Partly covered")))</f>
        <v>Not covered</v>
      </c>
      <c r="L807" s="9" t="s">
        <v>2628</v>
      </c>
    </row>
    <row r="808" customFormat="false" ht="23.85" hidden="false" customHeight="false" outlineLevel="0" collapsed="false">
      <c r="A808" s="58" t="s">
        <v>614</v>
      </c>
      <c r="B808" s="58" t="s">
        <v>609</v>
      </c>
      <c r="C808" s="5" t="s">
        <v>2635</v>
      </c>
      <c r="D808" s="6" t="s">
        <v>2636</v>
      </c>
      <c r="E808" s="6" t="s">
        <v>2633</v>
      </c>
      <c r="F808" s="6" t="s">
        <v>725</v>
      </c>
      <c r="G808" s="6" t="s">
        <v>2634</v>
      </c>
      <c r="H808" s="6"/>
      <c r="I808" s="26" t="n">
        <v>2</v>
      </c>
      <c r="J808" s="26" t="n">
        <f aca="false">COUNTIFS('Control Library'!$A$5:$A$50,"AI-CTRL-013",'Control Library'!$R$5:$R$50,"Implemented")+COUNTIFS('Control Library'!$A$5:$A$50,"AI-CTRL-035",'Control Library'!$R$5:$R$50,"Implemented")</f>
        <v>0</v>
      </c>
      <c r="K808" s="43" t="str">
        <f aca="false">IF(I808=0,"No wiki control",IF(J808=I808,"Fully covered",IF(J808=0,"Not covered","Partly covered")))</f>
        <v>Not covered</v>
      </c>
      <c r="L808" s="9" t="s">
        <v>2628</v>
      </c>
    </row>
    <row r="809" customFormat="false" ht="35.05" hidden="false" customHeight="false" outlineLevel="0" collapsed="false">
      <c r="A809" s="58" t="s">
        <v>614</v>
      </c>
      <c r="B809" s="58" t="s">
        <v>609</v>
      </c>
      <c r="C809" s="5" t="s">
        <v>2637</v>
      </c>
      <c r="D809" s="6" t="s">
        <v>2638</v>
      </c>
      <c r="E809" s="6" t="s">
        <v>2550</v>
      </c>
      <c r="F809" s="6" t="s">
        <v>725</v>
      </c>
      <c r="G809" s="6" t="s">
        <v>2551</v>
      </c>
      <c r="H809" s="6"/>
      <c r="I809" s="26" t="n">
        <v>3</v>
      </c>
      <c r="J809" s="26" t="n">
        <f aca="false">COUNTIFS('Control Library'!$A$5:$A$50,"AI-CTRL-012",'Control Library'!$R$5:$R$50,"Implemented")+COUNTIFS('Control Library'!$A$5:$A$50,"AI-CTRL-023",'Control Library'!$R$5:$R$50,"Implemented")+COUNTIFS('Control Library'!$A$5:$A$50,"AI-CTRL-037",'Control Library'!$R$5:$R$50,"Implemented")</f>
        <v>0</v>
      </c>
      <c r="K809" s="43" t="str">
        <f aca="false">IF(I809=0,"No wiki control",IF(J809=I809,"Fully covered",IF(J809=0,"Not covered","Partly covered")))</f>
        <v>Not covered</v>
      </c>
      <c r="L809" s="9" t="s">
        <v>2628</v>
      </c>
    </row>
    <row r="810" customFormat="false" ht="23.85" hidden="false" customHeight="false" outlineLevel="0" collapsed="false">
      <c r="A810" s="58" t="s">
        <v>614</v>
      </c>
      <c r="B810" s="58" t="s">
        <v>609</v>
      </c>
      <c r="C810" s="5" t="s">
        <v>2639</v>
      </c>
      <c r="D810" s="6" t="s">
        <v>2640</v>
      </c>
      <c r="E810" s="6"/>
      <c r="F810" s="6" t="s">
        <v>635</v>
      </c>
      <c r="G810" s="6"/>
      <c r="H810" s="6"/>
      <c r="I810" s="26" t="n">
        <v>0</v>
      </c>
      <c r="J810" s="26" t="n">
        <f aca="false">0</f>
        <v>0</v>
      </c>
      <c r="K810" s="43" t="str">
        <f aca="false">IF(I810=0,"No wiki control",IF(J810=I810,"Fully covered",IF(J810=0,"Not covered","Partly covered")))</f>
        <v>No wiki control</v>
      </c>
      <c r="L810" s="9" t="s">
        <v>2628</v>
      </c>
    </row>
    <row r="811" customFormat="false" ht="23.85" hidden="false" customHeight="false" outlineLevel="0" collapsed="false">
      <c r="A811" s="58" t="s">
        <v>614</v>
      </c>
      <c r="B811" s="58" t="s">
        <v>609</v>
      </c>
      <c r="C811" s="5" t="s">
        <v>2641</v>
      </c>
      <c r="D811" s="6" t="s">
        <v>2642</v>
      </c>
      <c r="E811" s="6" t="s">
        <v>1640</v>
      </c>
      <c r="F811" s="6" t="s">
        <v>725</v>
      </c>
      <c r="G811" s="6" t="s">
        <v>1641</v>
      </c>
      <c r="H811" s="6"/>
      <c r="I811" s="26" t="n">
        <v>2</v>
      </c>
      <c r="J811" s="26" t="n">
        <f aca="false">COUNTIFS('Control Library'!$A$5:$A$50,"AI-CTRL-039",'Control Library'!$R$5:$R$50,"Implemented")+COUNTIFS('Control Library'!$A$5:$A$50,"AI-CTRL-041",'Control Library'!$R$5:$R$50,"Implemented")</f>
        <v>0</v>
      </c>
      <c r="K811" s="43" t="str">
        <f aca="false">IF(I811=0,"No wiki control",IF(J811=I811,"Fully covered",IF(J811=0,"Not covered","Partly covered")))</f>
        <v>Not covered</v>
      </c>
      <c r="L811" s="9" t="s">
        <v>2628</v>
      </c>
    </row>
    <row r="812" customFormat="false" ht="23.85" hidden="false" customHeight="false" outlineLevel="0" collapsed="false">
      <c r="A812" s="58" t="s">
        <v>614</v>
      </c>
      <c r="B812" s="58" t="s">
        <v>609</v>
      </c>
      <c r="C812" s="5" t="s">
        <v>2643</v>
      </c>
      <c r="D812" s="6" t="s">
        <v>2644</v>
      </c>
      <c r="E812" s="6" t="s">
        <v>1640</v>
      </c>
      <c r="F812" s="6" t="s">
        <v>725</v>
      </c>
      <c r="G812" s="6" t="s">
        <v>1641</v>
      </c>
      <c r="H812" s="6"/>
      <c r="I812" s="26" t="n">
        <v>2</v>
      </c>
      <c r="J812" s="26" t="n">
        <f aca="false">COUNTIFS('Control Library'!$A$5:$A$50,"AI-CTRL-039",'Control Library'!$R$5:$R$50,"Implemented")+COUNTIFS('Control Library'!$A$5:$A$50,"AI-CTRL-041",'Control Library'!$R$5:$R$50,"Implemented")</f>
        <v>0</v>
      </c>
      <c r="K812" s="43" t="str">
        <f aca="false">IF(I812=0,"No wiki control",IF(J812=I812,"Fully covered",IF(J812=0,"Not covered","Partly covered")))</f>
        <v>Not covered</v>
      </c>
      <c r="L812" s="9" t="s">
        <v>2628</v>
      </c>
    </row>
    <row r="813" customFormat="false" ht="23.85" hidden="false" customHeight="false" outlineLevel="0" collapsed="false">
      <c r="A813" s="58" t="s">
        <v>614</v>
      </c>
      <c r="B813" s="58" t="s">
        <v>609</v>
      </c>
      <c r="C813" s="5" t="s">
        <v>2645</v>
      </c>
      <c r="D813" s="6" t="s">
        <v>2646</v>
      </c>
      <c r="E813" s="6" t="s">
        <v>263</v>
      </c>
      <c r="F813" s="6" t="s">
        <v>725</v>
      </c>
      <c r="G813" s="6" t="s">
        <v>266</v>
      </c>
      <c r="H813" s="6"/>
      <c r="I813" s="26" t="n">
        <v>1</v>
      </c>
      <c r="J813" s="26" t="n">
        <f aca="false">COUNTIFS('Control Library'!$A$5:$A$50,"AI-CTRL-012",'Control Library'!$R$5:$R$50,"Implemented")</f>
        <v>0</v>
      </c>
      <c r="K813" s="43" t="str">
        <f aca="false">IF(I813=0,"No wiki control",IF(J813=I813,"Fully covered",IF(J813=0,"Not covered","Partly covered")))</f>
        <v>Not covered</v>
      </c>
      <c r="L813" s="9" t="s">
        <v>2628</v>
      </c>
    </row>
    <row r="814" customFormat="false" ht="35.05" hidden="false" customHeight="false" outlineLevel="0" collapsed="false">
      <c r="A814" s="58" t="s">
        <v>614</v>
      </c>
      <c r="B814" s="58" t="s">
        <v>609</v>
      </c>
      <c r="C814" s="5" t="s">
        <v>2647</v>
      </c>
      <c r="D814" s="6" t="s">
        <v>2648</v>
      </c>
      <c r="E814" s="6" t="s">
        <v>2649</v>
      </c>
      <c r="F814" s="6" t="s">
        <v>725</v>
      </c>
      <c r="G814" s="6" t="s">
        <v>2650</v>
      </c>
      <c r="H814" s="6"/>
      <c r="I814" s="26" t="n">
        <v>3</v>
      </c>
      <c r="J814" s="26" t="n">
        <f aca="false">COUNTIFS('Control Library'!$A$5:$A$50,"AI-CTRL-005",'Control Library'!$R$5:$R$50,"Implemented")+COUNTIFS('Control Library'!$A$5:$A$50,"AI-CTRL-014",'Control Library'!$R$5:$R$50,"Implemented")+COUNTIFS('Control Library'!$A$5:$A$50,"AI-CTRL-035",'Control Library'!$R$5:$R$50,"Implemented")</f>
        <v>0</v>
      </c>
      <c r="K814" s="43" t="str">
        <f aca="false">IF(I814=0,"No wiki control",IF(J814=I814,"Fully covered",IF(J814=0,"Not covered","Partly covered")))</f>
        <v>Not covered</v>
      </c>
      <c r="L814" s="9" t="s">
        <v>2628</v>
      </c>
    </row>
    <row r="815" customFormat="false" ht="23.85" hidden="false" customHeight="false" outlineLevel="0" collapsed="false">
      <c r="A815" s="58" t="s">
        <v>615</v>
      </c>
      <c r="B815" s="58" t="s">
        <v>609</v>
      </c>
      <c r="C815" s="5" t="s">
        <v>2651</v>
      </c>
      <c r="D815" s="6" t="s">
        <v>2652</v>
      </c>
      <c r="E815" s="6" t="s">
        <v>2653</v>
      </c>
      <c r="F815" s="6" t="s">
        <v>725</v>
      </c>
      <c r="G815" s="6" t="s">
        <v>2654</v>
      </c>
      <c r="H815" s="6"/>
      <c r="I815" s="26" t="n">
        <v>3</v>
      </c>
      <c r="J815" s="26" t="n">
        <f aca="false">COUNTIFS('Control Library'!$A$5:$A$50,"AI-CTRL-011",'Control Library'!$R$5:$R$50,"Implemented")+COUNTIFS('Control Library'!$A$5:$A$50,"AI-CTRL-037",'Control Library'!$R$5:$R$50,"Implemented")+COUNTIFS('Control Library'!$A$5:$A$50,"AI-CTRL-041",'Control Library'!$R$5:$R$50,"Implemented")</f>
        <v>0</v>
      </c>
      <c r="K815" s="43" t="str">
        <f aca="false">IF(I815=0,"No wiki control",IF(J815=I815,"Fully covered",IF(J815=0,"Not covered","Partly covered")))</f>
        <v>Not covered</v>
      </c>
      <c r="L815" s="9" t="s">
        <v>2655</v>
      </c>
    </row>
    <row r="816" customFormat="false" ht="35.05" hidden="false" customHeight="false" outlineLevel="0" collapsed="false">
      <c r="A816" s="58" t="s">
        <v>615</v>
      </c>
      <c r="B816" s="58" t="s">
        <v>609</v>
      </c>
      <c r="C816" s="5" t="s">
        <v>2656</v>
      </c>
      <c r="D816" s="6" t="s">
        <v>2657</v>
      </c>
      <c r="E816" s="6" t="s">
        <v>2441</v>
      </c>
      <c r="F816" s="6" t="s">
        <v>725</v>
      </c>
      <c r="G816" s="6" t="s">
        <v>2442</v>
      </c>
      <c r="H816" s="6"/>
      <c r="I816" s="26" t="n">
        <v>4</v>
      </c>
      <c r="J816"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16" s="43" t="str">
        <f aca="false">IF(I816=0,"No wiki control",IF(J816=I816,"Fully covered",IF(J816=0,"Not covered","Partly covered")))</f>
        <v>Not covered</v>
      </c>
      <c r="L816" s="9" t="s">
        <v>2655</v>
      </c>
    </row>
    <row r="817" customFormat="false" ht="23.85" hidden="false" customHeight="false" outlineLevel="0" collapsed="false">
      <c r="A817" s="58" t="s">
        <v>615</v>
      </c>
      <c r="B817" s="58" t="s">
        <v>609</v>
      </c>
      <c r="C817" s="5" t="s">
        <v>2658</v>
      </c>
      <c r="D817" s="6" t="s">
        <v>2659</v>
      </c>
      <c r="E817" s="6" t="s">
        <v>2596</v>
      </c>
      <c r="F817" s="6" t="s">
        <v>725</v>
      </c>
      <c r="G817" s="6" t="s">
        <v>2597</v>
      </c>
      <c r="H817" s="6"/>
      <c r="I817" s="26" t="n">
        <v>2</v>
      </c>
      <c r="J817" s="26" t="n">
        <f aca="false">COUNTIFS('Control Library'!$A$5:$A$50,"AI-CTRL-012",'Control Library'!$R$5:$R$50,"Implemented")+COUNTIFS('Control Library'!$A$5:$A$50,"AI-CTRL-013",'Control Library'!$R$5:$R$50,"Implemented")</f>
        <v>0</v>
      </c>
      <c r="K817" s="43" t="str">
        <f aca="false">IF(I817=0,"No wiki control",IF(J817=I817,"Fully covered",IF(J817=0,"Not covered","Partly covered")))</f>
        <v>Not covered</v>
      </c>
      <c r="L817" s="9" t="s">
        <v>2655</v>
      </c>
    </row>
    <row r="818" customFormat="false" ht="23.85" hidden="false" customHeight="false" outlineLevel="0" collapsed="false">
      <c r="A818" s="58" t="s">
        <v>615</v>
      </c>
      <c r="B818" s="58" t="s">
        <v>609</v>
      </c>
      <c r="C818" s="5" t="s">
        <v>2660</v>
      </c>
      <c r="D818" s="6" t="s">
        <v>2661</v>
      </c>
      <c r="E818" s="6" t="s">
        <v>2662</v>
      </c>
      <c r="F818" s="6" t="s">
        <v>725</v>
      </c>
      <c r="G818" s="6" t="s">
        <v>2663</v>
      </c>
      <c r="H818" s="6"/>
      <c r="I818" s="26" t="n">
        <v>2</v>
      </c>
      <c r="J818" s="26" t="n">
        <f aca="false">COUNTIFS('Control Library'!$A$5:$A$50,"AI-CTRL-014",'Control Library'!$R$5:$R$50,"Implemented")+COUNTIFS('Control Library'!$A$5:$A$50,"AI-CTRL-039",'Control Library'!$R$5:$R$50,"Implemented")</f>
        <v>0</v>
      </c>
      <c r="K818" s="43" t="str">
        <f aca="false">IF(I818=0,"No wiki control",IF(J818=I818,"Fully covered",IF(J818=0,"Not covered","Partly covered")))</f>
        <v>Not covered</v>
      </c>
      <c r="L818" s="9" t="s">
        <v>2655</v>
      </c>
    </row>
    <row r="819" customFormat="false" ht="23.85" hidden="false" customHeight="false" outlineLevel="0" collapsed="false">
      <c r="A819" s="58" t="s">
        <v>616</v>
      </c>
      <c r="B819" s="58" t="s">
        <v>609</v>
      </c>
      <c r="C819" s="5" t="s">
        <v>2664</v>
      </c>
      <c r="D819" s="6" t="s">
        <v>2665</v>
      </c>
      <c r="E819" s="6"/>
      <c r="F819" s="6" t="s">
        <v>635</v>
      </c>
      <c r="G819" s="6"/>
      <c r="H819" s="6"/>
      <c r="I819" s="26" t="n">
        <v>0</v>
      </c>
      <c r="J819" s="26" t="n">
        <f aca="false">0</f>
        <v>0</v>
      </c>
      <c r="K819" s="43" t="str">
        <f aca="false">IF(I819=0,"No wiki control",IF(J819=I819,"Fully covered",IF(J819=0,"Not covered","Partly covered")))</f>
        <v>No wiki control</v>
      </c>
      <c r="L819" s="9" t="s">
        <v>2666</v>
      </c>
    </row>
    <row r="820" customFormat="false" ht="23.85" hidden="false" customHeight="false" outlineLevel="0" collapsed="false">
      <c r="A820" s="58" t="s">
        <v>616</v>
      </c>
      <c r="B820" s="58" t="s">
        <v>609</v>
      </c>
      <c r="C820" s="5" t="s">
        <v>2667</v>
      </c>
      <c r="D820" s="6" t="s">
        <v>2668</v>
      </c>
      <c r="E820" s="6" t="s">
        <v>2669</v>
      </c>
      <c r="F820" s="6" t="s">
        <v>725</v>
      </c>
      <c r="G820" s="6" t="s">
        <v>2634</v>
      </c>
      <c r="H820" s="6"/>
      <c r="I820" s="26" t="n">
        <v>3</v>
      </c>
      <c r="J820" s="26" t="n">
        <f aca="false">COUNTIFS('Control Library'!$A$5:$A$50,"AI-CTRL-007",'Control Library'!$R$5:$R$50,"Implemented")+COUNTIFS('Control Library'!$A$5:$A$50,"AI-CTRL-013",'Control Library'!$R$5:$R$50,"Implemented")+COUNTIFS('Control Library'!$A$5:$A$50,"AI-CTRL-035",'Control Library'!$R$5:$R$50,"Implemented")</f>
        <v>0</v>
      </c>
      <c r="K820" s="43" t="str">
        <f aca="false">IF(I820=0,"No wiki control",IF(J820=I820,"Fully covered",IF(J820=0,"Not covered","Partly covered")))</f>
        <v>Not covered</v>
      </c>
      <c r="L820" s="9" t="s">
        <v>2666</v>
      </c>
    </row>
    <row r="821" customFormat="false" ht="35.05" hidden="false" customHeight="false" outlineLevel="0" collapsed="false">
      <c r="A821" s="58" t="s">
        <v>616</v>
      </c>
      <c r="B821" s="58" t="s">
        <v>609</v>
      </c>
      <c r="C821" s="5" t="s">
        <v>2670</v>
      </c>
      <c r="D821" s="6" t="s">
        <v>2671</v>
      </c>
      <c r="E821" s="6" t="s">
        <v>2543</v>
      </c>
      <c r="F821" s="6" t="s">
        <v>725</v>
      </c>
      <c r="G821" s="6" t="s">
        <v>2544</v>
      </c>
      <c r="H821" s="6"/>
      <c r="I821" s="26" t="n">
        <v>3</v>
      </c>
      <c r="J821" s="26" t="n">
        <f aca="false">COUNTIFS('Control Library'!$A$5:$A$50,"AI-CTRL-013",'Control Library'!$R$5:$R$50,"Implemented")+COUNTIFS('Control Library'!$A$5:$A$50,"AI-CTRL-023",'Control Library'!$R$5:$R$50,"Implemented")+COUNTIFS('Control Library'!$A$5:$A$50,"AI-CTRL-041",'Control Library'!$R$5:$R$50,"Implemented")</f>
        <v>0</v>
      </c>
      <c r="K821" s="43" t="str">
        <f aca="false">IF(I821=0,"No wiki control",IF(J821=I821,"Fully covered",IF(J821=0,"Not covered","Partly covered")))</f>
        <v>Not covered</v>
      </c>
      <c r="L821" s="9" t="s">
        <v>2666</v>
      </c>
    </row>
    <row r="822" customFormat="false" ht="23.85" hidden="false" customHeight="false" outlineLevel="0" collapsed="false">
      <c r="A822" s="58" t="s">
        <v>616</v>
      </c>
      <c r="B822" s="58" t="s">
        <v>609</v>
      </c>
      <c r="C822" s="5" t="s">
        <v>2672</v>
      </c>
      <c r="D822" s="6" t="s">
        <v>2673</v>
      </c>
      <c r="E822" s="6" t="s">
        <v>2674</v>
      </c>
      <c r="F822" s="6" t="s">
        <v>725</v>
      </c>
      <c r="G822" s="6" t="s">
        <v>2675</v>
      </c>
      <c r="H822" s="6"/>
      <c r="I822" s="26" t="n">
        <v>3</v>
      </c>
      <c r="J822" s="26" t="n">
        <f aca="false">COUNTIFS('Control Library'!$A$5:$A$50,"AI-CTRL-011",'Control Library'!$R$5:$R$50,"Implemented")+COUNTIFS('Control Library'!$A$5:$A$50,"AI-CTRL-037",'Control Library'!$R$5:$R$50,"Implemented")+COUNTIFS('Control Library'!$A$5:$A$50,"AI-CTRL-039",'Control Library'!$R$5:$R$50,"Implemented")</f>
        <v>0</v>
      </c>
      <c r="K822" s="43" t="str">
        <f aca="false">IF(I822=0,"No wiki control",IF(J822=I822,"Fully covered",IF(J822=0,"Not covered","Partly covered")))</f>
        <v>Not covered</v>
      </c>
      <c r="L822" s="9" t="s">
        <v>2666</v>
      </c>
    </row>
    <row r="823" customFormat="false" ht="35.05" hidden="false" customHeight="false" outlineLevel="0" collapsed="false">
      <c r="A823" s="58" t="s">
        <v>616</v>
      </c>
      <c r="B823" s="58" t="s">
        <v>609</v>
      </c>
      <c r="C823" s="5" t="s">
        <v>2676</v>
      </c>
      <c r="D823" s="6" t="s">
        <v>2677</v>
      </c>
      <c r="E823" s="6" t="s">
        <v>2678</v>
      </c>
      <c r="F823" s="6" t="s">
        <v>725</v>
      </c>
      <c r="G823" s="6" t="s">
        <v>2679</v>
      </c>
      <c r="H823" s="6"/>
      <c r="I823" s="26" t="n">
        <v>2</v>
      </c>
      <c r="J823" s="26" t="n">
        <f aca="false">COUNTIFS('Control Library'!$A$5:$A$50,"AI-CTRL-012",'Control Library'!$R$5:$R$50,"Implemented")+COUNTIFS('Control Library'!$A$5:$A$50,"AI-CTRL-039",'Control Library'!$R$5:$R$50,"Implemented")</f>
        <v>0</v>
      </c>
      <c r="K823" s="43" t="str">
        <f aca="false">IF(I823=0,"No wiki control",IF(J823=I823,"Fully covered",IF(J823=0,"Not covered","Partly covered")))</f>
        <v>Not covered</v>
      </c>
      <c r="L823" s="9" t="s">
        <v>2666</v>
      </c>
    </row>
    <row r="824" customFormat="false" ht="23.85" hidden="false" customHeight="false" outlineLevel="0" collapsed="false">
      <c r="A824" s="58" t="s">
        <v>616</v>
      </c>
      <c r="B824" s="58" t="s">
        <v>609</v>
      </c>
      <c r="C824" s="5" t="s">
        <v>2680</v>
      </c>
      <c r="D824" s="6" t="s">
        <v>2681</v>
      </c>
      <c r="E824" s="6" t="s">
        <v>2400</v>
      </c>
      <c r="F824" s="6" t="s">
        <v>725</v>
      </c>
      <c r="G824" s="6" t="s">
        <v>2401</v>
      </c>
      <c r="H824" s="6"/>
      <c r="I824" s="26" t="n">
        <v>3</v>
      </c>
      <c r="J824" s="26" t="n">
        <f aca="false">COUNTIFS('Control Library'!$A$5:$A$50,"AI-CTRL-011",'Control Library'!$R$5:$R$50,"Implemented")+COUNTIFS('Control Library'!$A$5:$A$50,"AI-CTRL-037",'Control Library'!$R$5:$R$50,"Implemented")+COUNTIFS('Control Library'!$A$5:$A$50,"AI-CTRL-038",'Control Library'!$R$5:$R$50,"Implemented")</f>
        <v>0</v>
      </c>
      <c r="K824" s="43" t="str">
        <f aca="false">IF(I824=0,"No wiki control",IF(J824=I824,"Fully covered",IF(J824=0,"Not covered","Partly covered")))</f>
        <v>Not covered</v>
      </c>
      <c r="L824" s="9" t="s">
        <v>2666</v>
      </c>
    </row>
    <row r="825" customFormat="false" ht="23.85" hidden="false" customHeight="false" outlineLevel="0" collapsed="false">
      <c r="A825" s="58" t="s">
        <v>616</v>
      </c>
      <c r="B825" s="58" t="s">
        <v>609</v>
      </c>
      <c r="C825" s="5" t="s">
        <v>2682</v>
      </c>
      <c r="D825" s="6" t="s">
        <v>2683</v>
      </c>
      <c r="E825" s="6" t="s">
        <v>2684</v>
      </c>
      <c r="F825" s="6" t="s">
        <v>725</v>
      </c>
      <c r="G825" s="6" t="s">
        <v>2685</v>
      </c>
      <c r="H825" s="6"/>
      <c r="I825" s="26" t="n">
        <v>2</v>
      </c>
      <c r="J825" s="26" t="n">
        <f aca="false">COUNTIFS('Control Library'!$A$5:$A$50,"AI-CTRL-013",'Control Library'!$R$5:$R$50,"Implemented")+COUNTIFS('Control Library'!$A$5:$A$50,"AI-CTRL-039",'Control Library'!$R$5:$R$50,"Implemented")</f>
        <v>0</v>
      </c>
      <c r="K825" s="43" t="str">
        <f aca="false">IF(I825=0,"No wiki control",IF(J825=I825,"Fully covered",IF(J825=0,"Not covered","Partly covered")))</f>
        <v>Not covered</v>
      </c>
      <c r="L825" s="9" t="s">
        <v>2666</v>
      </c>
    </row>
    <row r="826" customFormat="false" ht="35.05" hidden="false" customHeight="false" outlineLevel="0" collapsed="false">
      <c r="A826" s="58" t="s">
        <v>616</v>
      </c>
      <c r="B826" s="58" t="s">
        <v>609</v>
      </c>
      <c r="C826" s="5" t="s">
        <v>2686</v>
      </c>
      <c r="D826" s="6" t="s">
        <v>2687</v>
      </c>
      <c r="E826" s="6" t="s">
        <v>263</v>
      </c>
      <c r="F826" s="6" t="s">
        <v>725</v>
      </c>
      <c r="G826" s="6" t="s">
        <v>266</v>
      </c>
      <c r="H826" s="6"/>
      <c r="I826" s="26" t="n">
        <v>1</v>
      </c>
      <c r="J826" s="26" t="n">
        <f aca="false">COUNTIFS('Control Library'!$A$5:$A$50,"AI-CTRL-012",'Control Library'!$R$5:$R$50,"Implemented")</f>
        <v>0</v>
      </c>
      <c r="K826" s="43" t="str">
        <f aca="false">IF(I826=0,"No wiki control",IF(J826=I826,"Fully covered",IF(J826=0,"Not covered","Partly covered")))</f>
        <v>Not covered</v>
      </c>
      <c r="L826" s="9" t="s">
        <v>2666</v>
      </c>
    </row>
    <row r="827" customFormat="false" ht="35.05" hidden="false" customHeight="false" outlineLevel="0" collapsed="false">
      <c r="A827" s="58" t="s">
        <v>617</v>
      </c>
      <c r="B827" s="58" t="s">
        <v>609</v>
      </c>
      <c r="C827" s="5" t="s">
        <v>2688</v>
      </c>
      <c r="D827" s="6" t="s">
        <v>2689</v>
      </c>
      <c r="E827" s="6" t="s">
        <v>2690</v>
      </c>
      <c r="F827" s="6" t="s">
        <v>725</v>
      </c>
      <c r="G827" s="6" t="s">
        <v>2691</v>
      </c>
      <c r="H827" s="6"/>
      <c r="I827" s="26" t="n">
        <v>3</v>
      </c>
      <c r="J827" s="26" t="n">
        <f aca="false">COUNTIFS('Control Library'!$A$5:$A$50,"AI-CTRL-012",'Control Library'!$R$5:$R$50,"Implemented")+COUNTIFS('Control Library'!$A$5:$A$50,"AI-CTRL-013",'Control Library'!$R$5:$R$50,"Implemented")+COUNTIFS('Control Library'!$A$5:$A$50,"AI-CTRL-039",'Control Library'!$R$5:$R$50,"Implemented")</f>
        <v>0</v>
      </c>
      <c r="K827" s="43" t="str">
        <f aca="false">IF(I827=0,"No wiki control",IF(J827=I827,"Fully covered",IF(J827=0,"Not covered","Partly covered")))</f>
        <v>Not covered</v>
      </c>
      <c r="L827" s="9" t="s">
        <v>2692</v>
      </c>
    </row>
    <row r="828" customFormat="false" ht="35.05" hidden="false" customHeight="false" outlineLevel="0" collapsed="false">
      <c r="A828" s="58" t="s">
        <v>617</v>
      </c>
      <c r="B828" s="58" t="s">
        <v>609</v>
      </c>
      <c r="C828" s="5" t="s">
        <v>2693</v>
      </c>
      <c r="D828" s="6" t="s">
        <v>2694</v>
      </c>
      <c r="E828" s="6" t="s">
        <v>2695</v>
      </c>
      <c r="F828" s="6" t="s">
        <v>725</v>
      </c>
      <c r="G828" s="6" t="s">
        <v>2696</v>
      </c>
      <c r="H828" s="6"/>
      <c r="I828" s="26" t="n">
        <v>3</v>
      </c>
      <c r="J828" s="26" t="n">
        <f aca="false">COUNTIFS('Control Library'!$A$5:$A$50,"AI-CTRL-011",'Control Library'!$R$5:$R$50,"Implemented")+COUNTIFS('Control Library'!$A$5:$A$50,"AI-CTRL-013",'Control Library'!$R$5:$R$50,"Implemented")+COUNTIFS('Control Library'!$A$5:$A$50,"AI-CTRL-039",'Control Library'!$R$5:$R$50,"Implemented")</f>
        <v>0</v>
      </c>
      <c r="K828" s="43" t="str">
        <f aca="false">IF(I828=0,"No wiki control",IF(J828=I828,"Fully covered",IF(J828=0,"Not covered","Partly covered")))</f>
        <v>Not covered</v>
      </c>
      <c r="L828" s="9" t="s">
        <v>2692</v>
      </c>
    </row>
    <row r="829" customFormat="false" ht="23.85" hidden="false" customHeight="false" outlineLevel="0" collapsed="false">
      <c r="A829" s="58" t="s">
        <v>617</v>
      </c>
      <c r="B829" s="58" t="s">
        <v>609</v>
      </c>
      <c r="C829" s="5" t="s">
        <v>2697</v>
      </c>
      <c r="D829" s="6" t="s">
        <v>2698</v>
      </c>
      <c r="E829" s="6" t="s">
        <v>485</v>
      </c>
      <c r="F829" s="6" t="s">
        <v>725</v>
      </c>
      <c r="G829" s="6" t="s">
        <v>489</v>
      </c>
      <c r="H829" s="6"/>
      <c r="I829" s="26" t="n">
        <v>1</v>
      </c>
      <c r="J829" s="26" t="n">
        <f aca="false">COUNTIFS('Control Library'!$A$5:$A$50,"AI-CTRL-039",'Control Library'!$R$5:$R$50,"Implemented")</f>
        <v>0</v>
      </c>
      <c r="K829" s="43" t="str">
        <f aca="false">IF(I829=0,"No wiki control",IF(J829=I829,"Fully covered",IF(J829=0,"Not covered","Partly covered")))</f>
        <v>Not covered</v>
      </c>
      <c r="L829" s="9" t="s">
        <v>2692</v>
      </c>
    </row>
    <row r="830" customFormat="false" ht="23.85" hidden="false" customHeight="false" outlineLevel="0" collapsed="false">
      <c r="A830" s="58" t="s">
        <v>617</v>
      </c>
      <c r="B830" s="58" t="s">
        <v>609</v>
      </c>
      <c r="C830" s="5" t="s">
        <v>2699</v>
      </c>
      <c r="D830" s="6" t="s">
        <v>2700</v>
      </c>
      <c r="E830" s="6" t="s">
        <v>485</v>
      </c>
      <c r="F830" s="6" t="s">
        <v>725</v>
      </c>
      <c r="G830" s="6" t="s">
        <v>489</v>
      </c>
      <c r="H830" s="6"/>
      <c r="I830" s="26" t="n">
        <v>1</v>
      </c>
      <c r="J830" s="26" t="n">
        <f aca="false">COUNTIFS('Control Library'!$A$5:$A$50,"AI-CTRL-039",'Control Library'!$R$5:$R$50,"Implemented")</f>
        <v>0</v>
      </c>
      <c r="K830" s="43" t="str">
        <f aca="false">IF(I830=0,"No wiki control",IF(J830=I830,"Fully covered",IF(J830=0,"Not covered","Partly covered")))</f>
        <v>Not covered</v>
      </c>
      <c r="L830" s="9" t="s">
        <v>2692</v>
      </c>
    </row>
    <row r="831" customFormat="false" ht="38.05" hidden="false" customHeight="false" outlineLevel="0" collapsed="false">
      <c r="A831" s="58" t="s">
        <v>617</v>
      </c>
      <c r="B831" s="58" t="s">
        <v>609</v>
      </c>
      <c r="C831" s="5" t="s">
        <v>2701</v>
      </c>
      <c r="D831" s="6" t="s">
        <v>2702</v>
      </c>
      <c r="E831" s="6" t="s">
        <v>2606</v>
      </c>
      <c r="F831" s="6" t="s">
        <v>725</v>
      </c>
      <c r="G831" s="6" t="s">
        <v>2607</v>
      </c>
      <c r="H831" s="6"/>
      <c r="I831" s="26" t="n">
        <v>3</v>
      </c>
      <c r="J831" s="26" t="n">
        <f aca="false">COUNTIFS('Control Library'!$A$5:$A$50,"AI-CTRL-012",'Control Library'!$R$5:$R$50,"Implemented")+COUNTIFS('Control Library'!$A$5:$A$50,"AI-CTRL-037",'Control Library'!$R$5:$R$50,"Implemented")+COUNTIFS('Control Library'!$A$5:$A$50,"AI-CTRL-041",'Control Library'!$R$5:$R$50,"Implemented")</f>
        <v>0</v>
      </c>
      <c r="K831" s="43" t="str">
        <f aca="false">IF(I831=0,"No wiki control",IF(J831=I831,"Fully covered",IF(J831=0,"Not covered","Partly covered")))</f>
        <v>Not covered</v>
      </c>
      <c r="L831" s="9" t="s">
        <v>2692</v>
      </c>
    </row>
    <row r="832" customFormat="false" ht="38.05" hidden="false" customHeight="false" outlineLevel="0" collapsed="false">
      <c r="A832" s="58" t="s">
        <v>617</v>
      </c>
      <c r="B832" s="58" t="s">
        <v>609</v>
      </c>
      <c r="C832" s="5" t="s">
        <v>2703</v>
      </c>
      <c r="D832" s="6" t="s">
        <v>2704</v>
      </c>
      <c r="E832" s="6" t="s">
        <v>2705</v>
      </c>
      <c r="F832" s="6" t="s">
        <v>725</v>
      </c>
      <c r="G832" s="6" t="s">
        <v>2706</v>
      </c>
      <c r="H832" s="6"/>
      <c r="I832" s="26" t="n">
        <v>2</v>
      </c>
      <c r="J832" s="26" t="n">
        <f aca="false">COUNTIFS('Control Library'!$A$5:$A$50,"AI-CTRL-023",'Control Library'!$R$5:$R$50,"Implemented")+COUNTIFS('Control Library'!$A$5:$A$50,"AI-CTRL-039",'Control Library'!$R$5:$R$50,"Implemented")</f>
        <v>0</v>
      </c>
      <c r="K832" s="43" t="str">
        <f aca="false">IF(I832=0,"No wiki control",IF(J832=I832,"Fully covered",IF(J832=0,"Not covered","Partly covered")))</f>
        <v>Not covered</v>
      </c>
      <c r="L832" s="9" t="s">
        <v>2692</v>
      </c>
    </row>
    <row r="833" customFormat="false" ht="35.05" hidden="false" customHeight="false" outlineLevel="0" collapsed="false">
      <c r="A833" s="58" t="s">
        <v>617</v>
      </c>
      <c r="B833" s="58" t="s">
        <v>609</v>
      </c>
      <c r="C833" s="5" t="s">
        <v>2707</v>
      </c>
      <c r="D833" s="6" t="s">
        <v>2708</v>
      </c>
      <c r="E833" s="6" t="s">
        <v>2709</v>
      </c>
      <c r="F833" s="6" t="s">
        <v>725</v>
      </c>
      <c r="G833" s="6" t="s">
        <v>2710</v>
      </c>
      <c r="H833" s="6"/>
      <c r="I833" s="26" t="n">
        <v>4</v>
      </c>
      <c r="J833" s="26" t="n">
        <f aca="false">COUNTIFS('Control Library'!$A$5:$A$50,"AI-CTRL-005",'Control Library'!$R$5:$R$50,"Implemented")+COUNTIFS('Control Library'!$A$5:$A$50,"AI-CTRL-007",'Control Library'!$R$5:$R$50,"Implemented")+COUNTIFS('Control Library'!$A$5:$A$50,"AI-CTRL-013",'Control Library'!$R$5:$R$50,"Implemented")+COUNTIFS('Control Library'!$A$5:$A$50,"AI-CTRL-035",'Control Library'!$R$5:$R$50,"Implemented")</f>
        <v>0</v>
      </c>
      <c r="K833" s="43" t="str">
        <f aca="false">IF(I833=0,"No wiki control",IF(J833=I833,"Fully covered",IF(J833=0,"Not covered","Partly covered")))</f>
        <v>Not covered</v>
      </c>
      <c r="L833" s="9" t="s">
        <v>2692</v>
      </c>
    </row>
    <row r="834" customFormat="false" ht="23.85" hidden="false" customHeight="false" outlineLevel="0" collapsed="false">
      <c r="A834" s="58" t="s">
        <v>617</v>
      </c>
      <c r="B834" s="58" t="s">
        <v>609</v>
      </c>
      <c r="C834" s="5" t="s">
        <v>2711</v>
      </c>
      <c r="D834" s="6" t="s">
        <v>2712</v>
      </c>
      <c r="E834" s="6"/>
      <c r="F834" s="6" t="s">
        <v>635</v>
      </c>
      <c r="G834" s="6"/>
      <c r="H834" s="6"/>
      <c r="I834" s="26" t="n">
        <v>0</v>
      </c>
      <c r="J834" s="26" t="n">
        <f aca="false">0</f>
        <v>0</v>
      </c>
      <c r="K834" s="43" t="str">
        <f aca="false">IF(I834=0,"No wiki control",IF(J834=I834,"Fully covered",IF(J834=0,"Not covered","Partly covered")))</f>
        <v>No wiki control</v>
      </c>
      <c r="L834" s="9" t="s">
        <v>2692</v>
      </c>
    </row>
    <row r="835" customFormat="false" ht="23.85" hidden="false" customHeight="false" outlineLevel="0" collapsed="false">
      <c r="A835" s="58" t="s">
        <v>617</v>
      </c>
      <c r="B835" s="58" t="s">
        <v>609</v>
      </c>
      <c r="C835" s="5" t="s">
        <v>2713</v>
      </c>
      <c r="D835" s="6" t="s">
        <v>2714</v>
      </c>
      <c r="E835" s="6" t="s">
        <v>272</v>
      </c>
      <c r="F835" s="6" t="s">
        <v>725</v>
      </c>
      <c r="G835" s="6" t="s">
        <v>276</v>
      </c>
      <c r="H835" s="6"/>
      <c r="I835" s="26" t="n">
        <v>1</v>
      </c>
      <c r="J835" s="26" t="n">
        <f aca="false">COUNTIFS('Control Library'!$A$5:$A$50,"AI-CTRL-013",'Control Library'!$R$5:$R$50,"Implemented")</f>
        <v>0</v>
      </c>
      <c r="K835" s="43" t="str">
        <f aca="false">IF(I835=0,"No wiki control",IF(J835=I835,"Fully covered",IF(J835=0,"Not covered","Partly covered")))</f>
        <v>Not covered</v>
      </c>
      <c r="L835" s="9" t="s">
        <v>2692</v>
      </c>
    </row>
    <row r="836" customFormat="false" ht="35.05" hidden="false" customHeight="false" outlineLevel="0" collapsed="false">
      <c r="A836" s="58" t="s">
        <v>618</v>
      </c>
      <c r="B836" s="58" t="s">
        <v>609</v>
      </c>
      <c r="C836" s="5" t="s">
        <v>2715</v>
      </c>
      <c r="D836" s="6" t="s">
        <v>2716</v>
      </c>
      <c r="E836" s="6" t="s">
        <v>2441</v>
      </c>
      <c r="F836" s="6" t="s">
        <v>725</v>
      </c>
      <c r="G836" s="6" t="s">
        <v>2442</v>
      </c>
      <c r="H836" s="6"/>
      <c r="I836" s="26" t="n">
        <v>4</v>
      </c>
      <c r="J836"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36" s="43" t="str">
        <f aca="false">IF(I836=0,"No wiki control",IF(J836=I836,"Fully covered",IF(J836=0,"Not covered","Partly covered")))</f>
        <v>Not covered</v>
      </c>
      <c r="L836" s="9" t="s">
        <v>2717</v>
      </c>
    </row>
    <row r="837" customFormat="false" ht="23.85" hidden="false" customHeight="false" outlineLevel="0" collapsed="false">
      <c r="A837" s="58" t="s">
        <v>618</v>
      </c>
      <c r="B837" s="58" t="s">
        <v>609</v>
      </c>
      <c r="C837" s="5" t="s">
        <v>2718</v>
      </c>
      <c r="D837" s="6" t="s">
        <v>2719</v>
      </c>
      <c r="E837" s="6" t="s">
        <v>2669</v>
      </c>
      <c r="F837" s="6" t="s">
        <v>725</v>
      </c>
      <c r="G837" s="6" t="s">
        <v>2634</v>
      </c>
      <c r="H837" s="6"/>
      <c r="I837" s="26" t="n">
        <v>3</v>
      </c>
      <c r="J837" s="26" t="n">
        <f aca="false">COUNTIFS('Control Library'!$A$5:$A$50,"AI-CTRL-007",'Control Library'!$R$5:$R$50,"Implemented")+COUNTIFS('Control Library'!$A$5:$A$50,"AI-CTRL-013",'Control Library'!$R$5:$R$50,"Implemented")+COUNTIFS('Control Library'!$A$5:$A$50,"AI-CTRL-035",'Control Library'!$R$5:$R$50,"Implemented")</f>
        <v>0</v>
      </c>
      <c r="K837" s="43" t="str">
        <f aca="false">IF(I837=0,"No wiki control",IF(J837=I837,"Fully covered",IF(J837=0,"Not covered","Partly covered")))</f>
        <v>Not covered</v>
      </c>
      <c r="L837" s="9" t="s">
        <v>2717</v>
      </c>
    </row>
    <row r="838" customFormat="false" ht="23.85" hidden="false" customHeight="false" outlineLevel="0" collapsed="false">
      <c r="A838" s="58" t="s">
        <v>618</v>
      </c>
      <c r="B838" s="58" t="s">
        <v>609</v>
      </c>
      <c r="C838" s="5" t="s">
        <v>2720</v>
      </c>
      <c r="D838" s="6" t="s">
        <v>2721</v>
      </c>
      <c r="E838" s="6" t="s">
        <v>2633</v>
      </c>
      <c r="F838" s="6" t="s">
        <v>725</v>
      </c>
      <c r="G838" s="6" t="s">
        <v>2634</v>
      </c>
      <c r="H838" s="6"/>
      <c r="I838" s="26" t="n">
        <v>2</v>
      </c>
      <c r="J838" s="26" t="n">
        <f aca="false">COUNTIFS('Control Library'!$A$5:$A$50,"AI-CTRL-013",'Control Library'!$R$5:$R$50,"Implemented")+COUNTIFS('Control Library'!$A$5:$A$50,"AI-CTRL-035",'Control Library'!$R$5:$R$50,"Implemented")</f>
        <v>0</v>
      </c>
      <c r="K838" s="43" t="str">
        <f aca="false">IF(I838=0,"No wiki control",IF(J838=I838,"Fully covered",IF(J838=0,"Not covered","Partly covered")))</f>
        <v>Not covered</v>
      </c>
      <c r="L838" s="9" t="s">
        <v>2717</v>
      </c>
    </row>
    <row r="839" customFormat="false" ht="35.05" hidden="false" customHeight="false" outlineLevel="0" collapsed="false">
      <c r="A839" s="58" t="s">
        <v>618</v>
      </c>
      <c r="B839" s="58" t="s">
        <v>609</v>
      </c>
      <c r="C839" s="5" t="s">
        <v>2722</v>
      </c>
      <c r="D839" s="6" t="s">
        <v>2723</v>
      </c>
      <c r="E839" s="6" t="s">
        <v>2410</v>
      </c>
      <c r="F839" s="6" t="s">
        <v>725</v>
      </c>
      <c r="G839" s="6" t="s">
        <v>2411</v>
      </c>
      <c r="H839" s="6"/>
      <c r="I839" s="26" t="n">
        <v>3</v>
      </c>
      <c r="J839" s="26" t="n">
        <f aca="false">COUNTIFS('Control Library'!$A$5:$A$50,"AI-CTRL-012",'Control Library'!$R$5:$R$50,"Implemented")+COUNTIFS('Control Library'!$A$5:$A$50,"AI-CTRL-039",'Control Library'!$R$5:$R$50,"Implemented")+COUNTIFS('Control Library'!$A$5:$A$50,"AI-CTRL-041",'Control Library'!$R$5:$R$50,"Implemented")</f>
        <v>0</v>
      </c>
      <c r="K839" s="43" t="str">
        <f aca="false">IF(I839=0,"No wiki control",IF(J839=I839,"Fully covered",IF(J839=0,"Not covered","Partly covered")))</f>
        <v>Not covered</v>
      </c>
      <c r="L839" s="9" t="s">
        <v>2717</v>
      </c>
    </row>
    <row r="840" customFormat="false" ht="46.25" hidden="false" customHeight="false" outlineLevel="0" collapsed="false">
      <c r="A840" s="58" t="s">
        <v>618</v>
      </c>
      <c r="B840" s="58" t="s">
        <v>609</v>
      </c>
      <c r="C840" s="5" t="s">
        <v>2724</v>
      </c>
      <c r="D840" s="6" t="s">
        <v>2725</v>
      </c>
      <c r="E840" s="6" t="s">
        <v>2726</v>
      </c>
      <c r="F840" s="6" t="s">
        <v>725</v>
      </c>
      <c r="G840" s="6" t="s">
        <v>2727</v>
      </c>
      <c r="H840" s="6"/>
      <c r="I840" s="26" t="n">
        <v>5</v>
      </c>
      <c r="J840" s="26" t="n">
        <f aca="false">COUNTIFS('Control Library'!$A$5:$A$50,"AI-CTRL-011",'Control Library'!$R$5:$R$50,"Implemented")+COUNTIFS('Control Library'!$A$5:$A$50,"AI-CTRL-014",'Control Library'!$R$5:$R$50,"Implemented")+COUNTIFS('Control Library'!$A$5:$A$50,"AI-CTRL-023",'Control Library'!$R$5:$R$50,"Implemented")+COUNTIFS('Control Library'!$A$5:$A$50,"AI-CTRL-037",'Control Library'!$R$5:$R$50,"Implemented")+COUNTIFS('Control Library'!$A$5:$A$50,"AI-CTRL-041",'Control Library'!$R$5:$R$50,"Implemented")</f>
        <v>0</v>
      </c>
      <c r="K840" s="43" t="str">
        <f aca="false">IF(I840=0,"No wiki control",IF(J840=I840,"Fully covered",IF(J840=0,"Not covered","Partly covered")))</f>
        <v>Not covered</v>
      </c>
      <c r="L840" s="9" t="s">
        <v>2717</v>
      </c>
    </row>
    <row r="841" customFormat="false" ht="23.85" hidden="false" customHeight="false" outlineLevel="0" collapsed="false">
      <c r="A841" s="58" t="s">
        <v>618</v>
      </c>
      <c r="B841" s="58" t="s">
        <v>609</v>
      </c>
      <c r="C841" s="5" t="s">
        <v>2728</v>
      </c>
      <c r="D841" s="6" t="s">
        <v>2729</v>
      </c>
      <c r="E841" s="6" t="s">
        <v>2400</v>
      </c>
      <c r="F841" s="6" t="s">
        <v>725</v>
      </c>
      <c r="G841" s="6" t="s">
        <v>2401</v>
      </c>
      <c r="H841" s="6"/>
      <c r="I841" s="26" t="n">
        <v>3</v>
      </c>
      <c r="J841" s="26" t="n">
        <f aca="false">COUNTIFS('Control Library'!$A$5:$A$50,"AI-CTRL-011",'Control Library'!$R$5:$R$50,"Implemented")+COUNTIFS('Control Library'!$A$5:$A$50,"AI-CTRL-037",'Control Library'!$R$5:$R$50,"Implemented")+COUNTIFS('Control Library'!$A$5:$A$50,"AI-CTRL-038",'Control Library'!$R$5:$R$50,"Implemented")</f>
        <v>0</v>
      </c>
      <c r="K841" s="43" t="str">
        <f aca="false">IF(I841=0,"No wiki control",IF(J841=I841,"Fully covered",IF(J841=0,"Not covered","Partly covered")))</f>
        <v>Not covered</v>
      </c>
      <c r="L841" s="9" t="s">
        <v>2717</v>
      </c>
    </row>
    <row r="842" customFormat="false" ht="35.05" hidden="false" customHeight="false" outlineLevel="0" collapsed="false">
      <c r="A842" s="58" t="s">
        <v>618</v>
      </c>
      <c r="B842" s="58" t="s">
        <v>609</v>
      </c>
      <c r="C842" s="5" t="s">
        <v>2730</v>
      </c>
      <c r="D842" s="6" t="s">
        <v>2731</v>
      </c>
      <c r="E842" s="6" t="s">
        <v>2732</v>
      </c>
      <c r="F842" s="6" t="s">
        <v>725</v>
      </c>
      <c r="G842" s="6" t="s">
        <v>2733</v>
      </c>
      <c r="H842" s="6"/>
      <c r="I842" s="26" t="n">
        <v>3</v>
      </c>
      <c r="J842" s="26" t="n">
        <f aca="false">COUNTIFS('Control Library'!$A$5:$A$50,"AI-CTRL-011",'Control Library'!$R$5:$R$50,"Implemented")+COUNTIFS('Control Library'!$A$5:$A$50,"AI-CTRL-014",'Control Library'!$R$5:$R$50,"Implemented")+COUNTIFS('Control Library'!$A$5:$A$50,"AI-CTRL-038",'Control Library'!$R$5:$R$50,"Implemented")</f>
        <v>0</v>
      </c>
      <c r="K842" s="43" t="str">
        <f aca="false">IF(I842=0,"No wiki control",IF(J842=I842,"Fully covered",IF(J842=0,"Not covered","Partly covered")))</f>
        <v>Not covered</v>
      </c>
      <c r="L842" s="9" t="s">
        <v>2717</v>
      </c>
    </row>
    <row r="843" customFormat="false" ht="23.85" hidden="false" customHeight="false" outlineLevel="0" collapsed="false">
      <c r="A843" s="58" t="s">
        <v>618</v>
      </c>
      <c r="B843" s="58" t="s">
        <v>609</v>
      </c>
      <c r="C843" s="5" t="s">
        <v>2734</v>
      </c>
      <c r="D843" s="6" t="s">
        <v>2735</v>
      </c>
      <c r="E843" s="6" t="s">
        <v>2736</v>
      </c>
      <c r="F843" s="6" t="s">
        <v>725</v>
      </c>
      <c r="G843" s="6" t="s">
        <v>2737</v>
      </c>
      <c r="H843" s="6"/>
      <c r="I843" s="26" t="n">
        <v>2</v>
      </c>
      <c r="J843" s="26" t="n">
        <f aca="false">COUNTIFS('Control Library'!$A$5:$A$50,"AI-CTRL-005",'Control Library'!$R$5:$R$50,"Implemented")+COUNTIFS('Control Library'!$A$5:$A$50,"AI-CTRL-011",'Control Library'!$R$5:$R$50,"Implemented")</f>
        <v>0</v>
      </c>
      <c r="K843" s="43" t="str">
        <f aca="false">IF(I843=0,"No wiki control",IF(J843=I843,"Fully covered",IF(J843=0,"Not covered","Partly covered")))</f>
        <v>Not covered</v>
      </c>
      <c r="L843" s="9" t="s">
        <v>2717</v>
      </c>
    </row>
    <row r="844" customFormat="false" ht="23.85" hidden="false" customHeight="false" outlineLevel="0" collapsed="false">
      <c r="A844" s="58" t="s">
        <v>618</v>
      </c>
      <c r="B844" s="58" t="s">
        <v>609</v>
      </c>
      <c r="C844" s="5" t="s">
        <v>2738</v>
      </c>
      <c r="D844" s="6" t="s">
        <v>2739</v>
      </c>
      <c r="E844" s="6" t="s">
        <v>485</v>
      </c>
      <c r="F844" s="6" t="s">
        <v>725</v>
      </c>
      <c r="G844" s="6" t="s">
        <v>489</v>
      </c>
      <c r="H844" s="6"/>
      <c r="I844" s="26" t="n">
        <v>1</v>
      </c>
      <c r="J844" s="26" t="n">
        <f aca="false">COUNTIFS('Control Library'!$A$5:$A$50,"AI-CTRL-039",'Control Library'!$R$5:$R$50,"Implemented")</f>
        <v>0</v>
      </c>
      <c r="K844" s="43" t="str">
        <f aca="false">IF(I844=0,"No wiki control",IF(J844=I844,"Fully covered",IF(J844=0,"Not covered","Partly covered")))</f>
        <v>Not covered</v>
      </c>
      <c r="L844" s="9" t="s">
        <v>2717</v>
      </c>
    </row>
    <row r="845" customFormat="false" ht="23.85" hidden="false" customHeight="false" outlineLevel="0" collapsed="false">
      <c r="A845" s="58" t="s">
        <v>618</v>
      </c>
      <c r="B845" s="58" t="s">
        <v>609</v>
      </c>
      <c r="C845" s="5" t="s">
        <v>2740</v>
      </c>
      <c r="D845" s="6" t="s">
        <v>2741</v>
      </c>
      <c r="E845" s="6" t="s">
        <v>2501</v>
      </c>
      <c r="F845" s="6" t="s">
        <v>725</v>
      </c>
      <c r="G845" s="6" t="s">
        <v>2502</v>
      </c>
      <c r="H845" s="6"/>
      <c r="I845" s="26" t="n">
        <v>2</v>
      </c>
      <c r="J845" s="26" t="n">
        <f aca="false">COUNTIFS('Control Library'!$A$5:$A$50,"AI-CTRL-005",'Control Library'!$R$5:$R$50,"Implemented")+COUNTIFS('Control Library'!$A$5:$A$50,"AI-CTRL-035",'Control Library'!$R$5:$R$50,"Implemented")</f>
        <v>0</v>
      </c>
      <c r="K845" s="43" t="str">
        <f aca="false">IF(I845=0,"No wiki control",IF(J845=I845,"Fully covered",IF(J845=0,"Not covered","Partly covered")))</f>
        <v>Not covered</v>
      </c>
      <c r="L845" s="9" t="s">
        <v>2717</v>
      </c>
    </row>
    <row r="846" customFormat="false" ht="23.85" hidden="false" customHeight="false" outlineLevel="0" collapsed="false">
      <c r="A846" s="58" t="s">
        <v>618</v>
      </c>
      <c r="B846" s="58" t="s">
        <v>609</v>
      </c>
      <c r="C846" s="5" t="s">
        <v>2742</v>
      </c>
      <c r="D846" s="6" t="s">
        <v>2743</v>
      </c>
      <c r="E846" s="6" t="s">
        <v>2744</v>
      </c>
      <c r="F846" s="6" t="s">
        <v>725</v>
      </c>
      <c r="G846" s="6" t="s">
        <v>2745</v>
      </c>
      <c r="H846" s="6"/>
      <c r="I846" s="26" t="n">
        <v>2</v>
      </c>
      <c r="J846" s="26" t="n">
        <f aca="false">COUNTIFS('Control Library'!$A$5:$A$50,"AI-CTRL-005",'Control Library'!$R$5:$R$50,"Implemented")+COUNTIFS('Control Library'!$A$5:$A$50,"AI-CTRL-013",'Control Library'!$R$5:$R$50,"Implemented")</f>
        <v>0</v>
      </c>
      <c r="K846" s="43" t="str">
        <f aca="false">IF(I846=0,"No wiki control",IF(J846=I846,"Fully covered",IF(J846=0,"Not covered","Partly covered")))</f>
        <v>Not covered</v>
      </c>
      <c r="L846" s="9" t="s">
        <v>2717</v>
      </c>
    </row>
    <row r="847" customFormat="false" ht="23.85" hidden="false" customHeight="false" outlineLevel="0" collapsed="false">
      <c r="A847" s="58" t="s">
        <v>618</v>
      </c>
      <c r="B847" s="58" t="s">
        <v>609</v>
      </c>
      <c r="C847" s="5" t="s">
        <v>2746</v>
      </c>
      <c r="D847" s="6" t="s">
        <v>2747</v>
      </c>
      <c r="E847" s="6"/>
      <c r="F847" s="6" t="s">
        <v>635</v>
      </c>
      <c r="G847" s="6"/>
      <c r="H847" s="6"/>
      <c r="I847" s="26" t="n">
        <v>0</v>
      </c>
      <c r="J847" s="26" t="n">
        <f aca="false">0</f>
        <v>0</v>
      </c>
      <c r="K847" s="43" t="str">
        <f aca="false">IF(I847=0,"No wiki control",IF(J847=I847,"Fully covered",IF(J847=0,"Not covered","Partly covered")))</f>
        <v>No wiki control</v>
      </c>
      <c r="L847" s="9" t="s">
        <v>2717</v>
      </c>
    </row>
    <row r="848" customFormat="false" ht="23.85" hidden="false" customHeight="false" outlineLevel="0" collapsed="false">
      <c r="A848" s="58" t="s">
        <v>619</v>
      </c>
      <c r="B848" s="58" t="s">
        <v>609</v>
      </c>
      <c r="C848" s="5" t="s">
        <v>2748</v>
      </c>
      <c r="D848" s="6" t="s">
        <v>2749</v>
      </c>
      <c r="E848" s="6" t="s">
        <v>263</v>
      </c>
      <c r="F848" s="6" t="s">
        <v>725</v>
      </c>
      <c r="G848" s="6" t="s">
        <v>266</v>
      </c>
      <c r="H848" s="6"/>
      <c r="I848" s="26" t="n">
        <v>1</v>
      </c>
      <c r="J848" s="26" t="n">
        <f aca="false">COUNTIFS('Control Library'!$A$5:$A$50,"AI-CTRL-012",'Control Library'!$R$5:$R$50,"Implemented")</f>
        <v>0</v>
      </c>
      <c r="K848" s="43" t="str">
        <f aca="false">IF(I848=0,"No wiki control",IF(J848=I848,"Fully covered",IF(J848=0,"Not covered","Partly covered")))</f>
        <v>Not covered</v>
      </c>
      <c r="L848" s="9" t="s">
        <v>2750</v>
      </c>
    </row>
    <row r="849" customFormat="false" ht="23.85" hidden="false" customHeight="false" outlineLevel="0" collapsed="false">
      <c r="A849" s="58" t="s">
        <v>619</v>
      </c>
      <c r="B849" s="58" t="s">
        <v>609</v>
      </c>
      <c r="C849" s="5" t="s">
        <v>2751</v>
      </c>
      <c r="D849" s="6" t="s">
        <v>2752</v>
      </c>
      <c r="E849" s="6" t="s">
        <v>263</v>
      </c>
      <c r="F849" s="6" t="s">
        <v>725</v>
      </c>
      <c r="G849" s="6" t="s">
        <v>266</v>
      </c>
      <c r="H849" s="6"/>
      <c r="I849" s="26" t="n">
        <v>1</v>
      </c>
      <c r="J849" s="26" t="n">
        <f aca="false">COUNTIFS('Control Library'!$A$5:$A$50,"AI-CTRL-012",'Control Library'!$R$5:$R$50,"Implemented")</f>
        <v>0</v>
      </c>
      <c r="K849" s="43" t="str">
        <f aca="false">IF(I849=0,"No wiki control",IF(J849=I849,"Fully covered",IF(J849=0,"Not covered","Partly covered")))</f>
        <v>Not covered</v>
      </c>
      <c r="L849" s="9" t="s">
        <v>2750</v>
      </c>
    </row>
    <row r="850" customFormat="false" ht="35.05" hidden="false" customHeight="false" outlineLevel="0" collapsed="false">
      <c r="A850" s="58" t="s">
        <v>619</v>
      </c>
      <c r="B850" s="58" t="s">
        <v>609</v>
      </c>
      <c r="C850" s="5" t="s">
        <v>2753</v>
      </c>
      <c r="D850" s="6" t="s">
        <v>2754</v>
      </c>
      <c r="E850" s="6" t="s">
        <v>2755</v>
      </c>
      <c r="F850" s="6" t="s">
        <v>725</v>
      </c>
      <c r="G850" s="6" t="s">
        <v>2411</v>
      </c>
      <c r="H850" s="6"/>
      <c r="I850" s="26" t="n">
        <v>4</v>
      </c>
      <c r="J850" s="26" t="n">
        <f aca="false">COUNTIFS('Control Library'!$A$5:$A$50,"AI-CTRL-012",'Control Library'!$R$5:$R$50,"Implemented")+COUNTIFS('Control Library'!$A$5:$A$50,"AI-CTRL-037",'Control Library'!$R$5:$R$50,"Implemented")+COUNTIFS('Control Library'!$A$5:$A$50,"AI-CTRL-039",'Control Library'!$R$5:$R$50,"Implemented")+COUNTIFS('Control Library'!$A$5:$A$50,"AI-CTRL-041",'Control Library'!$R$5:$R$50,"Implemented")</f>
        <v>0</v>
      </c>
      <c r="K850" s="43" t="str">
        <f aca="false">IF(I850=0,"No wiki control",IF(J850=I850,"Fully covered",IF(J850=0,"Not covered","Partly covered")))</f>
        <v>Not covered</v>
      </c>
      <c r="L850" s="9" t="s">
        <v>2750</v>
      </c>
    </row>
    <row r="851" customFormat="false" ht="23.85" hidden="false" customHeight="false" outlineLevel="0" collapsed="false">
      <c r="A851" s="58" t="s">
        <v>619</v>
      </c>
      <c r="B851" s="58" t="s">
        <v>609</v>
      </c>
      <c r="C851" s="5" t="s">
        <v>2756</v>
      </c>
      <c r="D851" s="6" t="s">
        <v>2757</v>
      </c>
      <c r="E851" s="6" t="s">
        <v>2669</v>
      </c>
      <c r="F851" s="6" t="s">
        <v>725</v>
      </c>
      <c r="G851" s="6" t="s">
        <v>2634</v>
      </c>
      <c r="H851" s="6"/>
      <c r="I851" s="26" t="n">
        <v>3</v>
      </c>
      <c r="J851" s="26" t="n">
        <f aca="false">COUNTIFS('Control Library'!$A$5:$A$50,"AI-CTRL-007",'Control Library'!$R$5:$R$50,"Implemented")+COUNTIFS('Control Library'!$A$5:$A$50,"AI-CTRL-013",'Control Library'!$R$5:$R$50,"Implemented")+COUNTIFS('Control Library'!$A$5:$A$50,"AI-CTRL-035",'Control Library'!$R$5:$R$50,"Implemented")</f>
        <v>0</v>
      </c>
      <c r="K851" s="43" t="str">
        <f aca="false">IF(I851=0,"No wiki control",IF(J851=I851,"Fully covered",IF(J851=0,"Not covered","Partly covered")))</f>
        <v>Not covered</v>
      </c>
      <c r="L851" s="9" t="s">
        <v>2750</v>
      </c>
    </row>
    <row r="852" customFormat="false" ht="23.85" hidden="false" customHeight="false" outlineLevel="0" collapsed="false">
      <c r="A852" s="58" t="s">
        <v>619</v>
      </c>
      <c r="B852" s="58" t="s">
        <v>609</v>
      </c>
      <c r="C852" s="5" t="s">
        <v>2758</v>
      </c>
      <c r="D852" s="6" t="s">
        <v>2759</v>
      </c>
      <c r="E852" s="6" t="s">
        <v>403</v>
      </c>
      <c r="F852" s="6" t="s">
        <v>725</v>
      </c>
      <c r="G852" s="6" t="s">
        <v>398</v>
      </c>
      <c r="H852" s="6"/>
      <c r="I852" s="26" t="n">
        <v>1</v>
      </c>
      <c r="J852" s="26" t="n">
        <f aca="false">COUNTIFS('Control Library'!$A$5:$A$50,"AI-CTRL-029",'Control Library'!$R$5:$R$50,"Implemented")</f>
        <v>0</v>
      </c>
      <c r="K852" s="43" t="str">
        <f aca="false">IF(I852=0,"No wiki control",IF(J852=I852,"Fully covered",IF(J852=0,"Not covered","Partly covered")))</f>
        <v>Not covered</v>
      </c>
      <c r="L852" s="9" t="s">
        <v>2750</v>
      </c>
    </row>
    <row r="853" customFormat="false" ht="23.85" hidden="false" customHeight="false" outlineLevel="0" collapsed="false">
      <c r="A853" s="58" t="s">
        <v>619</v>
      </c>
      <c r="B853" s="58" t="s">
        <v>609</v>
      </c>
      <c r="C853" s="5" t="s">
        <v>2760</v>
      </c>
      <c r="D853" s="6" t="s">
        <v>2761</v>
      </c>
      <c r="E853" s="6" t="s">
        <v>2762</v>
      </c>
      <c r="F853" s="6" t="s">
        <v>725</v>
      </c>
      <c r="G853" s="6" t="s">
        <v>2763</v>
      </c>
      <c r="H853" s="6"/>
      <c r="I853" s="26" t="n">
        <v>2</v>
      </c>
      <c r="J853" s="26" t="n">
        <f aca="false">COUNTIFS('Control Library'!$A$5:$A$50,"AI-CTRL-014",'Control Library'!$R$5:$R$50,"Implemented")+COUNTIFS('Control Library'!$A$5:$A$50,"AI-CTRL-037",'Control Library'!$R$5:$R$50,"Implemented")</f>
        <v>0</v>
      </c>
      <c r="K853" s="43" t="str">
        <f aca="false">IF(I853=0,"No wiki control",IF(J853=I853,"Fully covered",IF(J853=0,"Not covered","Partly covered")))</f>
        <v>Not covered</v>
      </c>
      <c r="L853" s="9" t="s">
        <v>2750</v>
      </c>
    </row>
    <row r="854" customFormat="false" ht="23.85" hidden="false" customHeight="false" outlineLevel="0" collapsed="false">
      <c r="A854" s="58" t="s">
        <v>620</v>
      </c>
      <c r="B854" s="58" t="s">
        <v>609</v>
      </c>
      <c r="C854" s="5" t="s">
        <v>2764</v>
      </c>
      <c r="D854" s="6" t="s">
        <v>2765</v>
      </c>
      <c r="E854" s="6" t="s">
        <v>263</v>
      </c>
      <c r="F854" s="6" t="s">
        <v>725</v>
      </c>
      <c r="G854" s="6" t="s">
        <v>266</v>
      </c>
      <c r="H854" s="6" t="s">
        <v>652</v>
      </c>
      <c r="I854" s="26" t="n">
        <v>1</v>
      </c>
      <c r="J854" s="26" t="n">
        <f aca="false">COUNTIFS('Control Library'!$A$5:$A$50,"AI-CTRL-012",'Control Library'!$R$5:$R$50,"Implemented")</f>
        <v>0</v>
      </c>
      <c r="K854" s="43" t="str">
        <f aca="false">IF(I854=0,"No wiki control",IF(J854=I854,"Fully covered",IF(J854=0,"Not covered","Partly covered")))</f>
        <v>Not covered</v>
      </c>
      <c r="L854" s="9" t="s">
        <v>2766</v>
      </c>
    </row>
    <row r="855" customFormat="false" ht="35.05" hidden="false" customHeight="false" outlineLevel="0" collapsed="false">
      <c r="A855" s="58" t="s">
        <v>620</v>
      </c>
      <c r="B855" s="58" t="s">
        <v>609</v>
      </c>
      <c r="C855" s="5" t="s">
        <v>2767</v>
      </c>
      <c r="D855" s="6" t="s">
        <v>2768</v>
      </c>
      <c r="E855" s="6" t="s">
        <v>821</v>
      </c>
      <c r="F855" s="6" t="s">
        <v>725</v>
      </c>
      <c r="G855" s="6" t="s">
        <v>472</v>
      </c>
      <c r="H855" s="6" t="s">
        <v>637</v>
      </c>
      <c r="I855" s="26" t="n">
        <v>2</v>
      </c>
      <c r="J855" s="26" t="n">
        <f aca="false">COUNTIFS('Control Library'!$A$5:$A$50,"AI-CTRL-011",'Control Library'!$R$5:$R$50,"Implemented")+COUNTIFS('Control Library'!$A$5:$A$50,"AI-CTRL-037",'Control Library'!$R$5:$R$50,"Implemented")</f>
        <v>0</v>
      </c>
      <c r="K855" s="43" t="str">
        <f aca="false">IF(I855=0,"No wiki control",IF(J855=I855,"Fully covered",IF(J855=0,"Not covered","Partly covered")))</f>
        <v>Not covered</v>
      </c>
      <c r="L855" s="9" t="s">
        <v>2766</v>
      </c>
    </row>
    <row r="856" customFormat="false" ht="57.45" hidden="false" customHeight="false" outlineLevel="0" collapsed="false">
      <c r="A856" s="58" t="s">
        <v>620</v>
      </c>
      <c r="B856" s="58" t="s">
        <v>609</v>
      </c>
      <c r="C856" s="5" t="s">
        <v>2769</v>
      </c>
      <c r="D856" s="6" t="s">
        <v>2770</v>
      </c>
      <c r="E856" s="6" t="s">
        <v>2771</v>
      </c>
      <c r="F856" s="6" t="s">
        <v>725</v>
      </c>
      <c r="G856" s="6" t="s">
        <v>1000</v>
      </c>
      <c r="H856" s="6" t="s">
        <v>637</v>
      </c>
      <c r="I856" s="26" t="n">
        <v>4</v>
      </c>
      <c r="J856" s="26" t="n">
        <f aca="false">COUNTIFS('Control Library'!$A$5:$A$50,"AI-CTRL-001",'Control Library'!$R$5:$R$50,"Implemented")+COUNTIFS('Control Library'!$A$5:$A$50,"AI-CTRL-010",'Control Library'!$R$5:$R$50,"Implemented")+COUNTIFS('Control Library'!$A$5:$A$50,"AI-CTRL-012",'Control Library'!$R$5:$R$50,"Implemented")+COUNTIFS('Control Library'!$A$5:$A$50,"AI-CTRL-044",'Control Library'!$R$5:$R$50,"Implemented")</f>
        <v>0</v>
      </c>
      <c r="K856" s="43" t="str">
        <f aca="false">IF(I856=0,"No wiki control",IF(J856=I856,"Fully covered",IF(J856=0,"Not covered","Partly covered")))</f>
        <v>Not covered</v>
      </c>
      <c r="L856" s="9" t="s">
        <v>2766</v>
      </c>
    </row>
    <row r="857" customFormat="false" ht="46.25" hidden="false" customHeight="false" outlineLevel="0" collapsed="false">
      <c r="A857" s="58" t="s">
        <v>620</v>
      </c>
      <c r="B857" s="58" t="s">
        <v>609</v>
      </c>
      <c r="C857" s="5" t="s">
        <v>2772</v>
      </c>
      <c r="D857" s="6" t="s">
        <v>2773</v>
      </c>
      <c r="E857" s="6" t="s">
        <v>2348</v>
      </c>
      <c r="F857" s="6" t="s">
        <v>725</v>
      </c>
      <c r="G857" s="6" t="s">
        <v>266</v>
      </c>
      <c r="H857" s="6" t="s">
        <v>652</v>
      </c>
      <c r="I857" s="26" t="n">
        <v>2</v>
      </c>
      <c r="J857" s="26" t="n">
        <f aca="false">COUNTIFS('Control Library'!$A$5:$A$50,"AI-CTRL-012",'Control Library'!$R$5:$R$50,"Implemented")+COUNTIFS('Control Library'!$A$5:$A$50,"AI-CTRL-037",'Control Library'!$R$5:$R$50,"Implemented")</f>
        <v>0</v>
      </c>
      <c r="K857" s="43" t="str">
        <f aca="false">IF(I857=0,"No wiki control",IF(J857=I857,"Fully covered",IF(J857=0,"Not covered","Partly covered")))</f>
        <v>Not covered</v>
      </c>
      <c r="L857" s="9" t="s">
        <v>2766</v>
      </c>
    </row>
    <row r="858" customFormat="false" ht="46.25" hidden="false" customHeight="false" outlineLevel="0" collapsed="false">
      <c r="A858" s="58" t="s">
        <v>620</v>
      </c>
      <c r="B858" s="58" t="s">
        <v>609</v>
      </c>
      <c r="C858" s="5" t="s">
        <v>2774</v>
      </c>
      <c r="D858" s="6" t="s">
        <v>2775</v>
      </c>
      <c r="E858" s="6" t="s">
        <v>2776</v>
      </c>
      <c r="F858" s="6" t="s">
        <v>725</v>
      </c>
      <c r="G858" s="6" t="s">
        <v>2777</v>
      </c>
      <c r="H858" s="6" t="s">
        <v>637</v>
      </c>
      <c r="I858" s="26" t="n">
        <v>3</v>
      </c>
      <c r="J858" s="26" t="n">
        <f aca="false">COUNTIFS('Control Library'!$A$5:$A$50,"AI-CTRL-012",'Control Library'!$R$5:$R$50,"Implemented")+COUNTIFS('Control Library'!$A$5:$A$50,"AI-CTRL-035",'Control Library'!$R$5:$R$50,"Implemented")+COUNTIFS('Control Library'!$A$5:$A$50,"AI-CTRL-044",'Control Library'!$R$5:$R$50,"Implemented")</f>
        <v>0</v>
      </c>
      <c r="K858" s="43" t="str">
        <f aca="false">IF(I858=0,"No wiki control",IF(J858=I858,"Fully covered",IF(J858=0,"Not covered","Partly covered")))</f>
        <v>Not covered</v>
      </c>
      <c r="L858" s="9" t="s">
        <v>2766</v>
      </c>
    </row>
    <row r="859" customFormat="false" ht="35.05" hidden="false" customHeight="false" outlineLevel="0" collapsed="false">
      <c r="A859" s="58" t="s">
        <v>620</v>
      </c>
      <c r="B859" s="58" t="s">
        <v>609</v>
      </c>
      <c r="C859" s="5" t="s">
        <v>2778</v>
      </c>
      <c r="D859" s="6" t="s">
        <v>2779</v>
      </c>
      <c r="E859" s="6" t="s">
        <v>2066</v>
      </c>
      <c r="F859" s="6" t="s">
        <v>725</v>
      </c>
      <c r="G859" s="6" t="s">
        <v>258</v>
      </c>
      <c r="H859" s="6" t="s">
        <v>637</v>
      </c>
      <c r="I859" s="26" t="n">
        <v>2</v>
      </c>
      <c r="J859" s="26" t="n">
        <f aca="false">COUNTIFS('Control Library'!$A$5:$A$50,"AI-CTRL-001",'Control Library'!$R$5:$R$50,"Implemented")+COUNTIFS('Control Library'!$A$5:$A$50,"AI-CTRL-011",'Control Library'!$R$5:$R$50,"Implemented")</f>
        <v>0</v>
      </c>
      <c r="K859" s="43" t="str">
        <f aca="false">IF(I859=0,"No wiki control",IF(J859=I859,"Fully covered",IF(J859=0,"Not covered","Partly covered")))</f>
        <v>Not covered</v>
      </c>
      <c r="L859" s="9" t="s">
        <v>2766</v>
      </c>
    </row>
    <row r="860" customFormat="false" ht="35.05" hidden="false" customHeight="false" outlineLevel="0" collapsed="false">
      <c r="A860" s="58" t="s">
        <v>620</v>
      </c>
      <c r="B860" s="58" t="s">
        <v>609</v>
      </c>
      <c r="C860" s="5" t="s">
        <v>2780</v>
      </c>
      <c r="D860" s="6" t="s">
        <v>2781</v>
      </c>
      <c r="E860" s="6" t="s">
        <v>1173</v>
      </c>
      <c r="F860" s="6" t="s">
        <v>725</v>
      </c>
      <c r="G860" s="6" t="s">
        <v>1005</v>
      </c>
      <c r="H860" s="6" t="s">
        <v>637</v>
      </c>
      <c r="I860" s="26" t="n">
        <v>2</v>
      </c>
      <c r="J860" s="26" t="n">
        <f aca="false">COUNTIFS('Control Library'!$A$5:$A$50,"AI-CTRL-006",'Control Library'!$R$5:$R$50,"Implemented")+COUNTIFS('Control Library'!$A$5:$A$50,"AI-CTRL-011",'Control Library'!$R$5:$R$50,"Implemented")</f>
        <v>0</v>
      </c>
      <c r="K860" s="43" t="str">
        <f aca="false">IF(I860=0,"No wiki control",IF(J860=I860,"Fully covered",IF(J860=0,"Not covered","Partly covered")))</f>
        <v>Not covered</v>
      </c>
      <c r="L860" s="9" t="s">
        <v>2766</v>
      </c>
    </row>
    <row r="861" customFormat="false" ht="35.05" hidden="false" customHeight="false" outlineLevel="0" collapsed="false">
      <c r="A861" s="58" t="s">
        <v>620</v>
      </c>
      <c r="B861" s="58" t="s">
        <v>609</v>
      </c>
      <c r="C861" s="5" t="s">
        <v>2782</v>
      </c>
      <c r="D861" s="6" t="s">
        <v>2783</v>
      </c>
      <c r="E861" s="6" t="s">
        <v>821</v>
      </c>
      <c r="F861" s="6" t="s">
        <v>725</v>
      </c>
      <c r="G861" s="6" t="s">
        <v>472</v>
      </c>
      <c r="H861" s="6" t="s">
        <v>637</v>
      </c>
      <c r="I861" s="26" t="n">
        <v>2</v>
      </c>
      <c r="J861" s="26" t="n">
        <f aca="false">COUNTIFS('Control Library'!$A$5:$A$50,"AI-CTRL-011",'Control Library'!$R$5:$R$50,"Implemented")+COUNTIFS('Control Library'!$A$5:$A$50,"AI-CTRL-037",'Control Library'!$R$5:$R$50,"Implemented")</f>
        <v>0</v>
      </c>
      <c r="K861" s="43" t="str">
        <f aca="false">IF(I861=0,"No wiki control",IF(J861=I861,"Fully covered",IF(J861=0,"Not covered","Partly covered")))</f>
        <v>Not covered</v>
      </c>
      <c r="L861" s="9" t="s">
        <v>2766</v>
      </c>
    </row>
    <row r="862" customFormat="false" ht="23.85" hidden="false" customHeight="false" outlineLevel="0" collapsed="false">
      <c r="A862" s="58" t="s">
        <v>620</v>
      </c>
      <c r="B862" s="58" t="s">
        <v>609</v>
      </c>
      <c r="C862" s="5" t="s">
        <v>2784</v>
      </c>
      <c r="D862" s="6" t="s">
        <v>2785</v>
      </c>
      <c r="E862" s="6" t="s">
        <v>2786</v>
      </c>
      <c r="F862" s="6" t="s">
        <v>725</v>
      </c>
      <c r="G862" s="6" t="s">
        <v>1481</v>
      </c>
      <c r="H862" s="6" t="s">
        <v>637</v>
      </c>
      <c r="I862" s="26" t="n">
        <v>2</v>
      </c>
      <c r="J862" s="26" t="n">
        <f aca="false">COUNTIFS('Control Library'!$A$5:$A$50,"AI-CTRL-025",'Control Library'!$R$5:$R$50,"Implemented")+COUNTIFS('Control Library'!$A$5:$A$50,"AI-CTRL-040",'Control Library'!$R$5:$R$50,"Implemented")</f>
        <v>0</v>
      </c>
      <c r="K862" s="43" t="str">
        <f aca="false">IF(I862=0,"No wiki control",IF(J862=I862,"Fully covered",IF(J862=0,"Not covered","Partly covered")))</f>
        <v>Not covered</v>
      </c>
      <c r="L862" s="9" t="s">
        <v>2766</v>
      </c>
    </row>
    <row r="863" customFormat="false" ht="35.05" hidden="false" customHeight="false" outlineLevel="0" collapsed="false">
      <c r="A863" s="58" t="s">
        <v>620</v>
      </c>
      <c r="B863" s="58" t="s">
        <v>609</v>
      </c>
      <c r="C863" s="5" t="s">
        <v>2787</v>
      </c>
      <c r="D863" s="6" t="s">
        <v>2788</v>
      </c>
      <c r="E863" s="6" t="s">
        <v>1927</v>
      </c>
      <c r="F863" s="6" t="s">
        <v>725</v>
      </c>
      <c r="G863" s="6" t="s">
        <v>1928</v>
      </c>
      <c r="H863" s="6" t="s">
        <v>637</v>
      </c>
      <c r="I863" s="26" t="n">
        <v>3</v>
      </c>
      <c r="J863" s="26" t="n">
        <f aca="false">COUNTIFS('Control Library'!$A$5:$A$50,"AI-CTRL-013",'Control Library'!$R$5:$R$50,"Implemented")+COUNTIFS('Control Library'!$A$5:$A$50,"AI-CTRL-017",'Control Library'!$R$5:$R$50,"Implemented")+COUNTIFS('Control Library'!$A$5:$A$50,"AI-CTRL-029",'Control Library'!$R$5:$R$50,"Implemented")</f>
        <v>0</v>
      </c>
      <c r="K863" s="43" t="str">
        <f aca="false">IF(I863=0,"No wiki control",IF(J863=I863,"Fully covered",IF(J863=0,"Not covered","Partly covered")))</f>
        <v>Not covered</v>
      </c>
      <c r="L863" s="9" t="s">
        <v>2766</v>
      </c>
    </row>
    <row r="864" customFormat="false" ht="35.05" hidden="false" customHeight="false" outlineLevel="0" collapsed="false">
      <c r="A864" s="58" t="s">
        <v>620</v>
      </c>
      <c r="B864" s="58" t="s">
        <v>609</v>
      </c>
      <c r="C864" s="5" t="s">
        <v>2789</v>
      </c>
      <c r="D864" s="6" t="s">
        <v>2790</v>
      </c>
      <c r="E864" s="6" t="s">
        <v>1640</v>
      </c>
      <c r="F864" s="6" t="s">
        <v>725</v>
      </c>
      <c r="G864" s="6" t="s">
        <v>1641</v>
      </c>
      <c r="H864" s="6" t="s">
        <v>637</v>
      </c>
      <c r="I864" s="26" t="n">
        <v>2</v>
      </c>
      <c r="J864" s="26" t="n">
        <f aca="false">COUNTIFS('Control Library'!$A$5:$A$50,"AI-CTRL-039",'Control Library'!$R$5:$R$50,"Implemented")+COUNTIFS('Control Library'!$A$5:$A$50,"AI-CTRL-041",'Control Library'!$R$5:$R$50,"Implemented")</f>
        <v>0</v>
      </c>
      <c r="K864" s="43" t="str">
        <f aca="false">IF(I864=0,"No wiki control",IF(J864=I864,"Fully covered",IF(J864=0,"Not covered","Partly covered")))</f>
        <v>Not covered</v>
      </c>
      <c r="L864" s="9" t="s">
        <v>2766</v>
      </c>
    </row>
    <row r="865" customFormat="false" ht="35.05" hidden="false" customHeight="false" outlineLevel="0" collapsed="false">
      <c r="A865" s="58" t="s">
        <v>620</v>
      </c>
      <c r="B865" s="58" t="s">
        <v>609</v>
      </c>
      <c r="C865" s="5" t="s">
        <v>2791</v>
      </c>
      <c r="D865" s="6" t="s">
        <v>2792</v>
      </c>
      <c r="E865" s="6" t="s">
        <v>503</v>
      </c>
      <c r="F865" s="6" t="s">
        <v>725</v>
      </c>
      <c r="G865" s="6" t="s">
        <v>506</v>
      </c>
      <c r="H865" s="6" t="s">
        <v>637</v>
      </c>
      <c r="I865" s="26" t="n">
        <v>1</v>
      </c>
      <c r="J865" s="26" t="n">
        <f aca="false">COUNTIFS('Control Library'!$A$5:$A$50,"AI-CTRL-041",'Control Library'!$R$5:$R$50,"Implemented")</f>
        <v>0</v>
      </c>
      <c r="K865" s="43" t="str">
        <f aca="false">IF(I865=0,"No wiki control",IF(J865=I865,"Fully covered",IF(J865=0,"Not covered","Partly covered")))</f>
        <v>Not covered</v>
      </c>
      <c r="L865" s="9" t="s">
        <v>2766</v>
      </c>
    </row>
    <row r="866" customFormat="false" ht="46.25" hidden="false" customHeight="false" outlineLevel="0" collapsed="false">
      <c r="A866" s="58" t="s">
        <v>620</v>
      </c>
      <c r="B866" s="58" t="s">
        <v>609</v>
      </c>
      <c r="C866" s="5" t="s">
        <v>2793</v>
      </c>
      <c r="D866" s="6" t="s">
        <v>2794</v>
      </c>
      <c r="E866" s="6" t="s">
        <v>800</v>
      </c>
      <c r="F866" s="6" t="s">
        <v>725</v>
      </c>
      <c r="G866" s="6" t="s">
        <v>541</v>
      </c>
      <c r="H866" s="6" t="s">
        <v>637</v>
      </c>
      <c r="I866" s="26" t="n">
        <v>2</v>
      </c>
      <c r="J866" s="26" t="n">
        <f aca="false">COUNTIFS('Control Library'!$A$5:$A$50,"AI-CTRL-023",'Control Library'!$R$5:$R$50,"Implemented")+COUNTIFS('Control Library'!$A$5:$A$50,"AI-CTRL-045",'Control Library'!$R$5:$R$50,"Implemented")</f>
        <v>0</v>
      </c>
      <c r="K866" s="43" t="str">
        <f aca="false">IF(I866=0,"No wiki control",IF(J866=I866,"Fully covered",IF(J866=0,"Not covered","Partly covered")))</f>
        <v>Not covered</v>
      </c>
      <c r="L866" s="9" t="s">
        <v>2766</v>
      </c>
    </row>
    <row r="867" customFormat="false" ht="46.25" hidden="false" customHeight="false" outlineLevel="0" collapsed="false">
      <c r="A867" s="58" t="s">
        <v>620</v>
      </c>
      <c r="B867" s="58" t="s">
        <v>609</v>
      </c>
      <c r="C867" s="5" t="s">
        <v>2795</v>
      </c>
      <c r="D867" s="6" t="s">
        <v>2796</v>
      </c>
      <c r="E867" s="6" t="s">
        <v>939</v>
      </c>
      <c r="F867" s="6" t="s">
        <v>725</v>
      </c>
      <c r="G867" s="6" t="s">
        <v>2797</v>
      </c>
      <c r="H867" s="6" t="s">
        <v>637</v>
      </c>
      <c r="I867" s="26" t="n">
        <v>3</v>
      </c>
      <c r="J867" s="26" t="n">
        <f aca="false">COUNTIFS('Control Library'!$A$5:$A$50,"AI-CTRL-014",'Control Library'!$R$5:$R$50,"Implemented")+COUNTIFS('Control Library'!$A$5:$A$50,"AI-CTRL-031",'Control Library'!$R$5:$R$50,"Implemented")+COUNTIFS('Control Library'!$A$5:$A$50,"AI-CTRL-040",'Control Library'!$R$5:$R$50,"Implemented")</f>
        <v>0</v>
      </c>
      <c r="K867" s="43" t="str">
        <f aca="false">IF(I867=0,"No wiki control",IF(J867=I867,"Fully covered",IF(J867=0,"Not covered","Partly covered")))</f>
        <v>Not covered</v>
      </c>
      <c r="L867" s="9" t="s">
        <v>2766</v>
      </c>
    </row>
    <row r="868" customFormat="false" ht="23.85" hidden="false" customHeight="false" outlineLevel="0" collapsed="false">
      <c r="A868" s="58" t="s">
        <v>620</v>
      </c>
      <c r="B868" s="58" t="s">
        <v>609</v>
      </c>
      <c r="C868" s="5" t="s">
        <v>2798</v>
      </c>
      <c r="D868" s="6" t="s">
        <v>2799</v>
      </c>
      <c r="E868" s="6" t="s">
        <v>434</v>
      </c>
      <c r="F868" s="6" t="s">
        <v>725</v>
      </c>
      <c r="G868" s="6" t="s">
        <v>438</v>
      </c>
      <c r="H868" s="6" t="s">
        <v>652</v>
      </c>
      <c r="I868" s="26" t="n">
        <v>1</v>
      </c>
      <c r="J868" s="26" t="n">
        <f aca="false">COUNTIFS('Control Library'!$A$5:$A$50,"AI-CTRL-033",'Control Library'!$R$5:$R$50,"Implemented")</f>
        <v>0</v>
      </c>
      <c r="K868" s="43" t="str">
        <f aca="false">IF(I868=0,"No wiki control",IF(J868=I868,"Fully covered",IF(J868=0,"Not covered","Partly covered")))</f>
        <v>Not covered</v>
      </c>
      <c r="L868" s="9" t="s">
        <v>2766</v>
      </c>
    </row>
    <row r="869" customFormat="false" ht="46.25" hidden="false" customHeight="false" outlineLevel="0" collapsed="false">
      <c r="A869" s="58" t="s">
        <v>620</v>
      </c>
      <c r="B869" s="58" t="s">
        <v>609</v>
      </c>
      <c r="C869" s="5" t="s">
        <v>2800</v>
      </c>
      <c r="D869" s="6" t="s">
        <v>2801</v>
      </c>
      <c r="E869" s="6" t="s">
        <v>2802</v>
      </c>
      <c r="F869" s="6" t="s">
        <v>725</v>
      </c>
      <c r="G869" s="6" t="s">
        <v>2803</v>
      </c>
      <c r="H869" s="6" t="s">
        <v>652</v>
      </c>
      <c r="I869" s="26" t="n">
        <v>3</v>
      </c>
      <c r="J869" s="26" t="n">
        <f aca="false">COUNTIFS('Control Library'!$A$5:$A$50,"AI-CTRL-034",'Control Library'!$R$5:$R$50,"Implemented")+COUNTIFS('Control Library'!$A$5:$A$50,"AI-CTRL-039",'Control Library'!$R$5:$R$50,"Implemented")+COUNTIFS('Control Library'!$A$5:$A$50,"AI-CTRL-041",'Control Library'!$R$5:$R$50,"Implemented")</f>
        <v>0</v>
      </c>
      <c r="K869" s="43" t="str">
        <f aca="false">IF(I869=0,"No wiki control",IF(J869=I869,"Fully covered",IF(J869=0,"Not covered","Partly covered")))</f>
        <v>Not covered</v>
      </c>
      <c r="L869" s="9" t="s">
        <v>2766</v>
      </c>
    </row>
    <row r="870" customFormat="false" ht="35.05" hidden="false" customHeight="false" outlineLevel="0" collapsed="false">
      <c r="A870" s="58" t="s">
        <v>620</v>
      </c>
      <c r="B870" s="58" t="s">
        <v>609</v>
      </c>
      <c r="C870" s="5" t="s">
        <v>2804</v>
      </c>
      <c r="D870" s="6" t="s">
        <v>2805</v>
      </c>
      <c r="E870" s="6" t="s">
        <v>2806</v>
      </c>
      <c r="F870" s="6" t="s">
        <v>725</v>
      </c>
      <c r="G870" s="6" t="s">
        <v>2807</v>
      </c>
      <c r="H870" s="6" t="s">
        <v>637</v>
      </c>
      <c r="I870" s="26" t="n">
        <v>4</v>
      </c>
      <c r="J870" s="26" t="n">
        <f aca="false">COUNTIFS('Control Library'!$A$5:$A$50,"AI-CTRL-005",'Control Library'!$R$5:$R$50,"Implemented")+COUNTIFS('Control Library'!$A$5:$A$50,"AI-CTRL-016",'Control Library'!$R$5:$R$50,"Implemented")+COUNTIFS('Control Library'!$A$5:$A$50,"AI-CTRL-024",'Control Library'!$R$5:$R$50,"Implemented")+COUNTIFS('Control Library'!$A$5:$A$50,"AI-CTRL-032",'Control Library'!$R$5:$R$50,"Implemented")</f>
        <v>0</v>
      </c>
      <c r="K870" s="43" t="str">
        <f aca="false">IF(I870=0,"No wiki control",IF(J870=I870,"Fully covered",IF(J870=0,"Not covered","Partly covered")))</f>
        <v>Not covered</v>
      </c>
      <c r="L870" s="9" t="s">
        <v>2766</v>
      </c>
    </row>
    <row r="871" customFormat="false" ht="23.85" hidden="false" customHeight="false" outlineLevel="0" collapsed="false">
      <c r="A871" s="58" t="s">
        <v>620</v>
      </c>
      <c r="B871" s="58" t="s">
        <v>609</v>
      </c>
      <c r="C871" s="5" t="s">
        <v>2808</v>
      </c>
      <c r="D871" s="6" t="s">
        <v>2809</v>
      </c>
      <c r="E871" s="6" t="s">
        <v>2810</v>
      </c>
      <c r="F871" s="6" t="s">
        <v>725</v>
      </c>
      <c r="G871" s="6" t="s">
        <v>2811</v>
      </c>
      <c r="H871" s="6" t="s">
        <v>637</v>
      </c>
      <c r="I871" s="26" t="n">
        <v>2</v>
      </c>
      <c r="J871" s="26" t="n">
        <f aca="false">COUNTIFS('Control Library'!$A$5:$A$50,"AI-CTRL-030",'Control Library'!$R$5:$R$50,"Implemented")+COUNTIFS('Control Library'!$A$5:$A$50,"AI-CTRL-038",'Control Library'!$R$5:$R$50,"Implemented")</f>
        <v>0</v>
      </c>
      <c r="K871" s="43" t="str">
        <f aca="false">IF(I871=0,"No wiki control",IF(J871=I871,"Fully covered",IF(J871=0,"Not covered","Partly covered")))</f>
        <v>Not covered</v>
      </c>
      <c r="L871" s="9" t="s">
        <v>2766</v>
      </c>
    </row>
    <row r="872" customFormat="false" ht="46.25" hidden="false" customHeight="false" outlineLevel="0" collapsed="false">
      <c r="A872" s="58" t="s">
        <v>620</v>
      </c>
      <c r="B872" s="58" t="s">
        <v>609</v>
      </c>
      <c r="C872" s="5" t="s">
        <v>2812</v>
      </c>
      <c r="D872" s="6" t="s">
        <v>2813</v>
      </c>
      <c r="E872" s="6" t="s">
        <v>2814</v>
      </c>
      <c r="F872" s="6" t="s">
        <v>725</v>
      </c>
      <c r="G872" s="6" t="s">
        <v>2815</v>
      </c>
      <c r="H872" s="6" t="s">
        <v>652</v>
      </c>
      <c r="I872" s="26" t="n">
        <v>2</v>
      </c>
      <c r="J872" s="26" t="n">
        <f aca="false">COUNTIFS('Control Library'!$A$5:$A$50,"AI-CTRL-033",'Control Library'!$R$5:$R$50,"Implemented")+COUNTIFS('Control Library'!$A$5:$A$50,"AI-CTRL-038",'Control Library'!$R$5:$R$50,"Implemented")</f>
        <v>0</v>
      </c>
      <c r="K872" s="43" t="str">
        <f aca="false">IF(I872=0,"No wiki control",IF(J872=I872,"Fully covered",IF(J872=0,"Not covered","Partly covered")))</f>
        <v>Not covered</v>
      </c>
      <c r="L872" s="9" t="s">
        <v>2766</v>
      </c>
    </row>
    <row r="873" customFormat="false" ht="46.25" hidden="false" customHeight="false" outlineLevel="0" collapsed="false">
      <c r="A873" s="58" t="s">
        <v>620</v>
      </c>
      <c r="B873" s="58" t="s">
        <v>609</v>
      </c>
      <c r="C873" s="5" t="s">
        <v>2816</v>
      </c>
      <c r="D873" s="6" t="s">
        <v>2817</v>
      </c>
      <c r="E873" s="6" t="s">
        <v>2818</v>
      </c>
      <c r="F873" s="6" t="s">
        <v>725</v>
      </c>
      <c r="G873" s="6" t="s">
        <v>2819</v>
      </c>
      <c r="H873" s="6" t="s">
        <v>637</v>
      </c>
      <c r="I873" s="26" t="n">
        <v>3</v>
      </c>
      <c r="J873" s="26" t="n">
        <f aca="false">COUNTIFS('Control Library'!$A$5:$A$50,"AI-CTRL-032",'Control Library'!$R$5:$R$50,"Implemented")+COUNTIFS('Control Library'!$A$5:$A$50,"AI-CTRL-033",'Control Library'!$R$5:$R$50,"Implemented")+COUNTIFS('Control Library'!$A$5:$A$50,"AI-CTRL-034",'Control Library'!$R$5:$R$50,"Implemented")</f>
        <v>0</v>
      </c>
      <c r="K873" s="43" t="str">
        <f aca="false">IF(I873=0,"No wiki control",IF(J873=I873,"Fully covered",IF(J873=0,"Not covered","Partly covered")))</f>
        <v>Not covered</v>
      </c>
      <c r="L873" s="9" t="s">
        <v>2766</v>
      </c>
    </row>
    <row r="874" customFormat="false" ht="46.25" hidden="false" customHeight="false" outlineLevel="0" collapsed="false">
      <c r="A874" s="58" t="s">
        <v>620</v>
      </c>
      <c r="B874" s="58" t="s">
        <v>609</v>
      </c>
      <c r="C874" s="5" t="s">
        <v>2820</v>
      </c>
      <c r="D874" s="6" t="s">
        <v>2821</v>
      </c>
      <c r="E874" s="6" t="s">
        <v>2822</v>
      </c>
      <c r="F874" s="6" t="s">
        <v>725</v>
      </c>
      <c r="G874" s="6" t="s">
        <v>1754</v>
      </c>
      <c r="H874" s="6" t="s">
        <v>637</v>
      </c>
      <c r="I874" s="26" t="n">
        <v>3</v>
      </c>
      <c r="J874" s="26" t="n">
        <f aca="false">COUNTIFS('Control Library'!$A$5:$A$50,"AI-CTRL-008",'Control Library'!$R$5:$R$50,"Implemented")+COUNTIFS('Control Library'!$A$5:$A$50,"AI-CTRL-009",'Control Library'!$R$5:$R$50,"Implemented")+COUNTIFS('Control Library'!$A$5:$A$50,"AI-CTRL-035",'Control Library'!$R$5:$R$50,"Implemented")</f>
        <v>0</v>
      </c>
      <c r="K874" s="43" t="str">
        <f aca="false">IF(I874=0,"No wiki control",IF(J874=I874,"Fully covered",IF(J874=0,"Not covered","Partly covered")))</f>
        <v>Not covered</v>
      </c>
      <c r="L874" s="9" t="s">
        <v>2766</v>
      </c>
    </row>
    <row r="875" customFormat="false" ht="35.05" hidden="false" customHeight="false" outlineLevel="0" collapsed="false">
      <c r="A875" s="58" t="s">
        <v>620</v>
      </c>
      <c r="B875" s="58" t="s">
        <v>609</v>
      </c>
      <c r="C875" s="5" t="s">
        <v>2823</v>
      </c>
      <c r="D875" s="6" t="s">
        <v>2824</v>
      </c>
      <c r="E875" s="6" t="s">
        <v>1180</v>
      </c>
      <c r="F875" s="6" t="s">
        <v>725</v>
      </c>
      <c r="G875" s="6" t="s">
        <v>1181</v>
      </c>
      <c r="H875" s="6" t="s">
        <v>637</v>
      </c>
      <c r="I875" s="26" t="n">
        <v>2</v>
      </c>
      <c r="J875" s="26" t="n">
        <f aca="false">COUNTIFS('Control Library'!$A$5:$A$50,"AI-CTRL-034",'Control Library'!$R$5:$R$50,"Implemented")+COUNTIFS('Control Library'!$A$5:$A$50,"AI-CTRL-038",'Control Library'!$R$5:$R$50,"Implemented")</f>
        <v>0</v>
      </c>
      <c r="K875" s="43" t="str">
        <f aca="false">IF(I875=0,"No wiki control",IF(J875=I875,"Fully covered",IF(J875=0,"Not covered","Partly covered")))</f>
        <v>Not covered</v>
      </c>
      <c r="L875" s="9" t="s">
        <v>2766</v>
      </c>
    </row>
    <row r="876" customFormat="false" ht="46.25" hidden="false" customHeight="false" outlineLevel="0" collapsed="false">
      <c r="A876" s="58" t="s">
        <v>620</v>
      </c>
      <c r="B876" s="58" t="s">
        <v>609</v>
      </c>
      <c r="C876" s="5" t="s">
        <v>2825</v>
      </c>
      <c r="D876" s="6" t="s">
        <v>2826</v>
      </c>
      <c r="E876" s="6" t="s">
        <v>1853</v>
      </c>
      <c r="F876" s="6" t="s">
        <v>725</v>
      </c>
      <c r="G876" s="6" t="s">
        <v>438</v>
      </c>
      <c r="H876" s="6" t="s">
        <v>637</v>
      </c>
      <c r="I876" s="26" t="n">
        <v>2</v>
      </c>
      <c r="J876" s="26" t="n">
        <f aca="false">COUNTIFS('Control Library'!$A$5:$A$50,"AI-CTRL-030",'Control Library'!$R$5:$R$50,"Implemented")+COUNTIFS('Control Library'!$A$5:$A$50,"AI-CTRL-033",'Control Library'!$R$5:$R$50,"Implemented")</f>
        <v>0</v>
      </c>
      <c r="K876" s="43" t="str">
        <f aca="false">IF(I876=0,"No wiki control",IF(J876=I876,"Fully covered",IF(J876=0,"Not covered","Partly covered")))</f>
        <v>Not covered</v>
      </c>
      <c r="L876" s="9" t="s">
        <v>2766</v>
      </c>
    </row>
    <row r="877" customFormat="false" ht="23.85" hidden="false" customHeight="false" outlineLevel="0" collapsed="false">
      <c r="A877" s="58" t="s">
        <v>620</v>
      </c>
      <c r="B877" s="58" t="s">
        <v>609</v>
      </c>
      <c r="C877" s="5" t="s">
        <v>2827</v>
      </c>
      <c r="D877" s="6" t="s">
        <v>2828</v>
      </c>
      <c r="E877" s="6" t="s">
        <v>2829</v>
      </c>
      <c r="F877" s="6" t="s">
        <v>725</v>
      </c>
      <c r="G877" s="6" t="s">
        <v>1965</v>
      </c>
      <c r="H877" s="6" t="s">
        <v>637</v>
      </c>
      <c r="I877" s="26" t="n">
        <v>2</v>
      </c>
      <c r="J877" s="26" t="n">
        <f aca="false">COUNTIFS('Control Library'!$A$5:$A$50,"AI-CTRL-011",'Control Library'!$R$5:$R$50,"Implemented")+COUNTIFS('Control Library'!$A$5:$A$50,"AI-CTRL-028",'Control Library'!$R$5:$R$50,"Implemented")</f>
        <v>0</v>
      </c>
      <c r="K877" s="43" t="str">
        <f aca="false">IF(I877=0,"No wiki control",IF(J877=I877,"Fully covered",IF(J877=0,"Not covered","Partly covered")))</f>
        <v>Not covered</v>
      </c>
      <c r="L877" s="9" t="s">
        <v>2766</v>
      </c>
    </row>
    <row r="878" customFormat="false" ht="35.05" hidden="false" customHeight="false" outlineLevel="0" collapsed="false">
      <c r="A878" s="58" t="s">
        <v>620</v>
      </c>
      <c r="B878" s="58" t="s">
        <v>609</v>
      </c>
      <c r="C878" s="5" t="s">
        <v>2830</v>
      </c>
      <c r="D878" s="6" t="s">
        <v>2831</v>
      </c>
      <c r="E878" s="6" t="s">
        <v>529</v>
      </c>
      <c r="F878" s="6" t="s">
        <v>725</v>
      </c>
      <c r="G878" s="6" t="s">
        <v>532</v>
      </c>
      <c r="H878" s="6" t="s">
        <v>637</v>
      </c>
      <c r="I878" s="26" t="n">
        <v>1</v>
      </c>
      <c r="J878" s="26" t="n">
        <f aca="false">COUNTIFS('Control Library'!$A$5:$A$50,"AI-CTRL-044",'Control Library'!$R$5:$R$50,"Implemented")</f>
        <v>0</v>
      </c>
      <c r="K878" s="43" t="str">
        <f aca="false">IF(I878=0,"No wiki control",IF(J878=I878,"Fully covered",IF(J878=0,"Not covered","Partly covered")))</f>
        <v>Not covered</v>
      </c>
      <c r="L878" s="9" t="s">
        <v>2766</v>
      </c>
    </row>
    <row r="879" customFormat="false" ht="23.85" hidden="false" customHeight="false" outlineLevel="0" collapsed="false">
      <c r="A879" s="58" t="s">
        <v>620</v>
      </c>
      <c r="B879" s="58" t="s">
        <v>609</v>
      </c>
      <c r="C879" s="5" t="s">
        <v>2832</v>
      </c>
      <c r="D879" s="6" t="s">
        <v>2833</v>
      </c>
      <c r="E879" s="6" t="s">
        <v>2834</v>
      </c>
      <c r="F879" s="6" t="s">
        <v>725</v>
      </c>
      <c r="G879" s="6" t="s">
        <v>2835</v>
      </c>
      <c r="H879" s="6" t="s">
        <v>637</v>
      </c>
      <c r="I879" s="26" t="n">
        <v>2</v>
      </c>
      <c r="J879" s="26" t="n">
        <f aca="false">COUNTIFS('Control Library'!$A$5:$A$50,"AI-CTRL-032",'Control Library'!$R$5:$R$50,"Implemented")+COUNTIFS('Control Library'!$A$5:$A$50,"AI-CTRL-040",'Control Library'!$R$5:$R$50,"Implemented")</f>
        <v>0</v>
      </c>
      <c r="K879" s="43" t="str">
        <f aca="false">IF(I879=0,"No wiki control",IF(J879=I879,"Fully covered",IF(J879=0,"Not covered","Partly covered")))</f>
        <v>Not covered</v>
      </c>
      <c r="L879" s="9" t="s">
        <v>2766</v>
      </c>
    </row>
    <row r="880" customFormat="false" ht="35.05" hidden="false" customHeight="false" outlineLevel="0" collapsed="false">
      <c r="A880" s="58" t="s">
        <v>620</v>
      </c>
      <c r="B880" s="58" t="s">
        <v>609</v>
      </c>
      <c r="C880" s="5" t="s">
        <v>2836</v>
      </c>
      <c r="D880" s="6" t="s">
        <v>2837</v>
      </c>
      <c r="E880" s="6" t="s">
        <v>2838</v>
      </c>
      <c r="F880" s="6" t="s">
        <v>725</v>
      </c>
      <c r="G880" s="6" t="s">
        <v>2679</v>
      </c>
      <c r="H880" s="6"/>
      <c r="I880" s="26" t="n">
        <v>3</v>
      </c>
      <c r="J880" s="26" t="n">
        <f aca="false">COUNTIFS('Control Library'!$A$5:$A$50,"AI-CTRL-012",'Control Library'!$R$5:$R$50,"Implemented")+COUNTIFS('Control Library'!$A$5:$A$50,"AI-CTRL-037",'Control Library'!$R$5:$R$50,"Implemented")+COUNTIFS('Control Library'!$A$5:$A$50,"AI-CTRL-039",'Control Library'!$R$5:$R$50,"Implemented")</f>
        <v>0</v>
      </c>
      <c r="K880" s="43" t="str">
        <f aca="false">IF(I880=0,"No wiki control",IF(J880=I880,"Fully covered",IF(J880=0,"Not covered","Partly covered")))</f>
        <v>Not covered</v>
      </c>
      <c r="L880" s="9" t="s">
        <v>2766</v>
      </c>
    </row>
    <row r="881" customFormat="false" ht="46.25" hidden="false" customHeight="false" outlineLevel="0" collapsed="false">
      <c r="A881" s="58" t="s">
        <v>620</v>
      </c>
      <c r="B881" s="58" t="s">
        <v>609</v>
      </c>
      <c r="C881" s="5" t="s">
        <v>2839</v>
      </c>
      <c r="D881" s="6" t="s">
        <v>2840</v>
      </c>
      <c r="E881" s="6" t="s">
        <v>2841</v>
      </c>
      <c r="F881" s="6" t="s">
        <v>725</v>
      </c>
      <c r="G881" s="6" t="s">
        <v>2842</v>
      </c>
      <c r="H881" s="6"/>
      <c r="I881" s="26" t="n">
        <v>4</v>
      </c>
      <c r="J881" s="26" t="n">
        <f aca="false">COUNTIFS('Control Library'!$A$5:$A$50,"AI-CTRL-005",'Control Library'!$R$5:$R$50,"Implemented")+COUNTIFS('Control Library'!$A$5:$A$50,"AI-CTRL-023",'Control Library'!$R$5:$R$50,"Implemented")+COUNTIFS('Control Library'!$A$5:$A$50,"AI-CTRL-025",'Control Library'!$R$5:$R$50,"Implemented")+COUNTIFS('Control Library'!$A$5:$A$50,"AI-CTRL-037",'Control Library'!$R$5:$R$50,"Implemented")</f>
        <v>0</v>
      </c>
      <c r="K881" s="43" t="str">
        <f aca="false">IF(I881=0,"No wiki control",IF(J881=I881,"Fully covered",IF(J881=0,"Not covered","Partly covered")))</f>
        <v>Not covered</v>
      </c>
      <c r="L881" s="9" t="s">
        <v>2766</v>
      </c>
    </row>
    <row r="882" customFormat="false" ht="23.85" hidden="false" customHeight="false" outlineLevel="0" collapsed="false">
      <c r="A882" s="58" t="s">
        <v>620</v>
      </c>
      <c r="B882" s="58" t="s">
        <v>609</v>
      </c>
      <c r="C882" s="5" t="s">
        <v>2843</v>
      </c>
      <c r="D882" s="6" t="s">
        <v>2844</v>
      </c>
      <c r="E882" s="6" t="s">
        <v>2845</v>
      </c>
      <c r="F882" s="6" t="s">
        <v>725</v>
      </c>
      <c r="G882" s="6" t="s">
        <v>2846</v>
      </c>
      <c r="H882" s="6"/>
      <c r="I882" s="26" t="n">
        <v>2</v>
      </c>
      <c r="J882" s="26" t="n">
        <f aca="false">COUNTIFS('Control Library'!$A$5:$A$50,"AI-CTRL-038",'Control Library'!$R$5:$R$50,"Implemented")+COUNTIFS('Control Library'!$A$5:$A$50,"AI-CTRL-039",'Control Library'!$R$5:$R$50,"Implemented")</f>
        <v>0</v>
      </c>
      <c r="K882" s="43" t="str">
        <f aca="false">IF(I882=0,"No wiki control",IF(J882=I882,"Fully covered",IF(J882=0,"Not covered","Partly covered")))</f>
        <v>Not covered</v>
      </c>
      <c r="L882" s="9" t="s">
        <v>2766</v>
      </c>
    </row>
    <row r="883" customFormat="false" ht="46.25" hidden="false" customHeight="false" outlineLevel="0" collapsed="false">
      <c r="A883" s="58" t="s">
        <v>620</v>
      </c>
      <c r="B883" s="58" t="s">
        <v>609</v>
      </c>
      <c r="C883" s="5" t="s">
        <v>2847</v>
      </c>
      <c r="D883" s="6" t="s">
        <v>2848</v>
      </c>
      <c r="E883" s="6" t="s">
        <v>1815</v>
      </c>
      <c r="F883" s="6" t="s">
        <v>725</v>
      </c>
      <c r="G883" s="6" t="s">
        <v>1816</v>
      </c>
      <c r="H883" s="6"/>
      <c r="I883" s="26" t="n">
        <v>3</v>
      </c>
      <c r="J883" s="26" t="n">
        <f aca="false">COUNTIFS('Control Library'!$A$5:$A$50,"AI-CTRL-007",'Control Library'!$R$5:$R$50,"Implemented")+COUNTIFS('Control Library'!$A$5:$A$50,"AI-CTRL-013",'Control Library'!$R$5:$R$50,"Implemented")+COUNTIFS('Control Library'!$A$5:$A$50,"AI-CTRL-017",'Control Library'!$R$5:$R$50,"Implemented")</f>
        <v>0</v>
      </c>
      <c r="K883" s="43" t="str">
        <f aca="false">IF(I883=0,"No wiki control",IF(J883=I883,"Fully covered",IF(J883=0,"Not covered","Partly covered")))</f>
        <v>Not covered</v>
      </c>
      <c r="L883" s="9" t="s">
        <v>2766</v>
      </c>
    </row>
    <row r="884" customFormat="false" ht="135.8" hidden="false" customHeight="false" outlineLevel="0" collapsed="false">
      <c r="A884" s="58" t="s">
        <v>620</v>
      </c>
      <c r="B884" s="58" t="s">
        <v>609</v>
      </c>
      <c r="C884" s="5" t="s">
        <v>2849</v>
      </c>
      <c r="D884" s="6" t="s">
        <v>2850</v>
      </c>
      <c r="E884" s="6" t="s">
        <v>2851</v>
      </c>
      <c r="F884" s="6" t="s">
        <v>725</v>
      </c>
      <c r="G884" s="6" t="s">
        <v>2852</v>
      </c>
      <c r="H884" s="6"/>
      <c r="I884" s="26" t="n">
        <v>30</v>
      </c>
      <c r="J884" s="26"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Library'!$A$5:$A$50,"AI-CTRL-010",'Control Library'!$R$5:$R$50,"Implemented")+COUNTIFS('Control Library'!$A$5:$A$50,"AI-CTRL-011",'Control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Library'!$A$5:$A$50,"AI-CTRL-023",'Control Library'!$R$5:$R$50,"Implemented")+COUNTIFS('Control Library'!$A$5:$A$50,"AI-CTRL-024",'Control Library'!$R$5:$R$50,"Implemented")+COUNTIFS('Control Library'!$A$5:$A$50,"AI-CTRL-025",'Control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Library'!$R$5:$R$50,"Implemented")+COUNTIFS('Control Library'!$A$5:$A$50,"AI-CTRL-040",'Control Library'!$R$5:$R$50,"Implemented")+COUNTIFS('Control Library'!$A$5:$A$50,"AI-CTRL-041",'Control Library'!$R$5:$R$50,"Implemented")+COUNTIFS('Control Library'!$A$5:$A$50,"AI-CTRL-044",'Control Library'!$R$5:$R$50,"Implemented")+COUNTIFS('Control Library'!$A$5:$A$50,"AI-CTRL-045",'Control Library'!$R$5:$R$50,"Implemented")</f>
        <v>0</v>
      </c>
      <c r="K884" s="43" t="str">
        <f aca="false">IF(I884=0,"No wiki control",IF(J884=I884,"Fully covered",IF(J884=0,"Not covered","Partly covered")))</f>
        <v>Not covered</v>
      </c>
      <c r="L884" s="9" t="s">
        <v>2766</v>
      </c>
    </row>
    <row r="885" customFormat="false" ht="23.85" hidden="false" customHeight="false" outlineLevel="0" collapsed="false">
      <c r="A885" s="58" t="s">
        <v>620</v>
      </c>
      <c r="B885" s="58" t="s">
        <v>609</v>
      </c>
      <c r="C885" s="5" t="s">
        <v>2853</v>
      </c>
      <c r="D885" s="6" t="s">
        <v>2854</v>
      </c>
      <c r="E885" s="6" t="s">
        <v>503</v>
      </c>
      <c r="F885" s="6" t="s">
        <v>725</v>
      </c>
      <c r="G885" s="6" t="s">
        <v>506</v>
      </c>
      <c r="H885" s="6"/>
      <c r="I885" s="26" t="n">
        <v>1</v>
      </c>
      <c r="J885" s="26" t="n">
        <f aca="false">COUNTIFS('Control Library'!$A$5:$A$50,"AI-CTRL-041",'Control Library'!$R$5:$R$50,"Implemented")</f>
        <v>0</v>
      </c>
      <c r="K885" s="43" t="str">
        <f aca="false">IF(I885=0,"No wiki control",IF(J885=I885,"Fully covered",IF(J885=0,"Not covered","Partly covered")))</f>
        <v>Not covered</v>
      </c>
      <c r="L885" s="9" t="s">
        <v>2766</v>
      </c>
    </row>
    <row r="886" customFormat="false" ht="35.05" hidden="false" customHeight="false" outlineLevel="0" collapsed="false">
      <c r="A886" s="58" t="s">
        <v>620</v>
      </c>
      <c r="B886" s="58" t="s">
        <v>609</v>
      </c>
      <c r="C886" s="5" t="s">
        <v>2855</v>
      </c>
      <c r="D886" s="6" t="s">
        <v>2856</v>
      </c>
      <c r="E886" s="6" t="s">
        <v>2857</v>
      </c>
      <c r="F886" s="6" t="s">
        <v>725</v>
      </c>
      <c r="G886" s="6" t="s">
        <v>2858</v>
      </c>
      <c r="H886" s="6"/>
      <c r="I886" s="26" t="n">
        <v>3</v>
      </c>
      <c r="J886" s="26" t="n">
        <f aca="false">COUNTIFS('Control Library'!$A$5:$A$50,"AI-CTRL-005",'Control Library'!$R$5:$R$50,"Implemented")+COUNTIFS('Control Library'!$A$5:$A$50,"AI-CTRL-008",'Control Library'!$R$5:$R$50,"Implemented")+COUNTIFS('Control Library'!$A$5:$A$50,"AI-CTRL-025",'Control Library'!$R$5:$R$50,"Implemented")</f>
        <v>0</v>
      </c>
      <c r="K886" s="43" t="str">
        <f aca="false">IF(I886=0,"No wiki control",IF(J886=I886,"Fully covered",IF(J886=0,"Not covered","Partly covered")))</f>
        <v>Not covered</v>
      </c>
      <c r="L886" s="9" t="s">
        <v>2766</v>
      </c>
    </row>
    <row r="887" customFormat="false" ht="23.85" hidden="false" customHeight="false" outlineLevel="0" collapsed="false">
      <c r="A887" s="58" t="s">
        <v>620</v>
      </c>
      <c r="B887" s="58" t="s">
        <v>609</v>
      </c>
      <c r="C887" s="5" t="s">
        <v>2859</v>
      </c>
      <c r="D887" s="6" t="s">
        <v>2860</v>
      </c>
      <c r="E887" s="6" t="s">
        <v>2501</v>
      </c>
      <c r="F887" s="6" t="s">
        <v>725</v>
      </c>
      <c r="G887" s="6" t="s">
        <v>2502</v>
      </c>
      <c r="H887" s="6"/>
      <c r="I887" s="26" t="n">
        <v>2</v>
      </c>
      <c r="J887" s="26" t="n">
        <f aca="false">COUNTIFS('Control Library'!$A$5:$A$50,"AI-CTRL-005",'Control Library'!$R$5:$R$50,"Implemented")+COUNTIFS('Control Library'!$A$5:$A$50,"AI-CTRL-035",'Control Library'!$R$5:$R$50,"Implemented")</f>
        <v>0</v>
      </c>
      <c r="K887" s="43" t="str">
        <f aca="false">IF(I887=0,"No wiki control",IF(J887=I887,"Fully covered",IF(J887=0,"Not covered","Partly covered")))</f>
        <v>Not covered</v>
      </c>
      <c r="L887" s="9" t="s">
        <v>2766</v>
      </c>
    </row>
    <row r="888" customFormat="false" ht="23.85" hidden="false" customHeight="false" outlineLevel="0" collapsed="false">
      <c r="A888" s="58" t="s">
        <v>621</v>
      </c>
      <c r="B888" s="58" t="s">
        <v>609</v>
      </c>
      <c r="C888" s="5" t="s">
        <v>2861</v>
      </c>
      <c r="D888" s="6" t="s">
        <v>2862</v>
      </c>
      <c r="E888" s="6"/>
      <c r="F888" s="6" t="s">
        <v>635</v>
      </c>
      <c r="G888" s="6"/>
      <c r="H888" s="6"/>
      <c r="I888" s="26" t="n">
        <v>0</v>
      </c>
      <c r="J888" s="26" t="n">
        <f aca="false">0</f>
        <v>0</v>
      </c>
      <c r="K888" s="43" t="str">
        <f aca="false">IF(I888=0,"No wiki control",IF(J888=I888,"Fully covered",IF(J888=0,"Not covered","Partly covered")))</f>
        <v>No wiki control</v>
      </c>
      <c r="L888" s="9" t="s">
        <v>2863</v>
      </c>
    </row>
    <row r="889" customFormat="false" ht="23.85" hidden="false" customHeight="false" outlineLevel="0" collapsed="false">
      <c r="A889" s="58" t="s">
        <v>621</v>
      </c>
      <c r="B889" s="58" t="s">
        <v>609</v>
      </c>
      <c r="C889" s="5" t="s">
        <v>2864</v>
      </c>
      <c r="D889" s="6" t="s">
        <v>2865</v>
      </c>
      <c r="E889" s="6" t="s">
        <v>485</v>
      </c>
      <c r="F889" s="6" t="s">
        <v>725</v>
      </c>
      <c r="G889" s="6" t="s">
        <v>489</v>
      </c>
      <c r="H889" s="6"/>
      <c r="I889" s="26" t="n">
        <v>1</v>
      </c>
      <c r="J889" s="26" t="n">
        <f aca="false">COUNTIFS('Control Library'!$A$5:$A$50,"AI-CTRL-039",'Control Library'!$R$5:$R$50,"Implemented")</f>
        <v>0</v>
      </c>
      <c r="K889" s="43" t="str">
        <f aca="false">IF(I889=0,"No wiki control",IF(J889=I889,"Fully covered",IF(J889=0,"Not covered","Partly covered")))</f>
        <v>Not covered</v>
      </c>
      <c r="L889" s="9" t="s">
        <v>2863</v>
      </c>
    </row>
    <row r="890" customFormat="false" ht="35.05" hidden="false" customHeight="false" outlineLevel="0" collapsed="false">
      <c r="A890" s="58" t="s">
        <v>621</v>
      </c>
      <c r="B890" s="58" t="s">
        <v>609</v>
      </c>
      <c r="C890" s="5" t="s">
        <v>2866</v>
      </c>
      <c r="D890" s="6" t="s">
        <v>2867</v>
      </c>
      <c r="E890" s="6" t="s">
        <v>2868</v>
      </c>
      <c r="F890" s="6" t="s">
        <v>725</v>
      </c>
      <c r="G890" s="6" t="s">
        <v>2869</v>
      </c>
      <c r="H890" s="6"/>
      <c r="I890" s="26" t="n">
        <v>3</v>
      </c>
      <c r="J890" s="26" t="n">
        <f aca="false">COUNTIFS('Control Library'!$A$5:$A$50,"AI-CTRL-023",'Control Library'!$R$5:$R$50,"Implemented")+COUNTIFS('Control Library'!$A$5:$A$50,"AI-CTRL-037",'Control Library'!$R$5:$R$50,"Implemented")+COUNTIFS('Control Library'!$A$5:$A$50,"AI-CTRL-041",'Control Library'!$R$5:$R$50,"Implemented")</f>
        <v>0</v>
      </c>
      <c r="K890" s="43" t="str">
        <f aca="false">IF(I890=0,"No wiki control",IF(J890=I890,"Fully covered",IF(J890=0,"Not covered","Partly covered")))</f>
        <v>Not covered</v>
      </c>
      <c r="L890" s="9" t="s">
        <v>2863</v>
      </c>
    </row>
    <row r="891" customFormat="false" ht="23.85" hidden="false" customHeight="false" outlineLevel="0" collapsed="false">
      <c r="A891" s="58" t="s">
        <v>621</v>
      </c>
      <c r="B891" s="58" t="s">
        <v>609</v>
      </c>
      <c r="C891" s="5" t="s">
        <v>2870</v>
      </c>
      <c r="D891" s="6" t="s">
        <v>2871</v>
      </c>
      <c r="E891" s="6" t="s">
        <v>2872</v>
      </c>
      <c r="F891" s="6" t="s">
        <v>725</v>
      </c>
      <c r="G891" s="6" t="s">
        <v>2873</v>
      </c>
      <c r="H891" s="6"/>
      <c r="I891" s="26" t="n">
        <v>2</v>
      </c>
      <c r="J891" s="26" t="n">
        <f aca="false">COUNTIFS('Control Library'!$A$5:$A$50,"AI-CTRL-005",'Control Library'!$R$5:$R$50,"Implemented")+COUNTIFS('Control Library'!$A$5:$A$50,"AI-CTRL-037",'Control Library'!$R$5:$R$50,"Implemented")</f>
        <v>0</v>
      </c>
      <c r="K891" s="43" t="str">
        <f aca="false">IF(I891=0,"No wiki control",IF(J891=I891,"Fully covered",IF(J891=0,"Not covered","Partly covered")))</f>
        <v>Not covered</v>
      </c>
      <c r="L891" s="9" t="s">
        <v>2863</v>
      </c>
    </row>
    <row r="892" customFormat="false" ht="23.85" hidden="false" customHeight="false" outlineLevel="0" collapsed="false">
      <c r="A892" s="58" t="s">
        <v>621</v>
      </c>
      <c r="B892" s="58" t="s">
        <v>609</v>
      </c>
      <c r="C892" s="5" t="s">
        <v>2874</v>
      </c>
      <c r="D892" s="6" t="s">
        <v>2875</v>
      </c>
      <c r="E892" s="6" t="s">
        <v>263</v>
      </c>
      <c r="F892" s="6" t="s">
        <v>725</v>
      </c>
      <c r="G892" s="6" t="s">
        <v>266</v>
      </c>
      <c r="H892" s="6"/>
      <c r="I892" s="26" t="n">
        <v>1</v>
      </c>
      <c r="J892" s="26" t="n">
        <f aca="false">COUNTIFS('Control Library'!$A$5:$A$50,"AI-CTRL-012",'Control Library'!$R$5:$R$50,"Implemented")</f>
        <v>0</v>
      </c>
      <c r="K892" s="43" t="str">
        <f aca="false">IF(I892=0,"No wiki control",IF(J892=I892,"Fully covered",IF(J892=0,"Not covered","Partly covered")))</f>
        <v>Not covered</v>
      </c>
      <c r="L892" s="9" t="s">
        <v>2863</v>
      </c>
    </row>
    <row r="893" customFormat="false" ht="23.85" hidden="false" customHeight="false" outlineLevel="0" collapsed="false">
      <c r="A893" s="58" t="s">
        <v>621</v>
      </c>
      <c r="B893" s="58" t="s">
        <v>609</v>
      </c>
      <c r="C893" s="5" t="s">
        <v>2876</v>
      </c>
      <c r="D893" s="6" t="s">
        <v>2877</v>
      </c>
      <c r="E893" s="6" t="s">
        <v>263</v>
      </c>
      <c r="F893" s="6" t="s">
        <v>725</v>
      </c>
      <c r="G893" s="6" t="s">
        <v>266</v>
      </c>
      <c r="H893" s="6"/>
      <c r="I893" s="26" t="n">
        <v>1</v>
      </c>
      <c r="J893" s="26" t="n">
        <f aca="false">COUNTIFS('Control Library'!$A$5:$A$50,"AI-CTRL-012",'Control Library'!$R$5:$R$50,"Implemented")</f>
        <v>0</v>
      </c>
      <c r="K893" s="43" t="str">
        <f aca="false">IF(I893=0,"No wiki control",IF(J893=I893,"Fully covered",IF(J893=0,"Not covered","Partly covered")))</f>
        <v>Not covered</v>
      </c>
      <c r="L893" s="9" t="s">
        <v>2863</v>
      </c>
    </row>
    <row r="894" customFormat="false" ht="23.85" hidden="false" customHeight="false" outlineLevel="0" collapsed="false">
      <c r="A894" s="58" t="s">
        <v>621</v>
      </c>
      <c r="B894" s="58" t="s">
        <v>609</v>
      </c>
      <c r="C894" s="5" t="s">
        <v>2878</v>
      </c>
      <c r="D894" s="6" t="s">
        <v>2879</v>
      </c>
      <c r="E894" s="6" t="s">
        <v>2669</v>
      </c>
      <c r="F894" s="6" t="s">
        <v>725</v>
      </c>
      <c r="G894" s="6" t="s">
        <v>2634</v>
      </c>
      <c r="H894" s="6"/>
      <c r="I894" s="26" t="n">
        <v>3</v>
      </c>
      <c r="J894" s="26" t="n">
        <f aca="false">COUNTIFS('Control Library'!$A$5:$A$50,"AI-CTRL-007",'Control Library'!$R$5:$R$50,"Implemented")+COUNTIFS('Control Library'!$A$5:$A$50,"AI-CTRL-013",'Control Library'!$R$5:$R$50,"Implemented")+COUNTIFS('Control Library'!$A$5:$A$50,"AI-CTRL-035",'Control Library'!$R$5:$R$50,"Implemented")</f>
        <v>0</v>
      </c>
      <c r="K894" s="43" t="str">
        <f aca="false">IF(I894=0,"No wiki control",IF(J894=I894,"Fully covered",IF(J894=0,"Not covered","Partly covered")))</f>
        <v>Not covered</v>
      </c>
      <c r="L894" s="9" t="s">
        <v>2863</v>
      </c>
    </row>
    <row r="895" customFormat="false" ht="23.85" hidden="false" customHeight="false" outlineLevel="0" collapsed="false">
      <c r="A895" s="58" t="s">
        <v>621</v>
      </c>
      <c r="B895" s="58" t="s">
        <v>609</v>
      </c>
      <c r="C895" s="5" t="s">
        <v>2880</v>
      </c>
      <c r="D895" s="6" t="s">
        <v>2881</v>
      </c>
      <c r="E895" s="6"/>
      <c r="F895" s="6" t="s">
        <v>635</v>
      </c>
      <c r="G895" s="6"/>
      <c r="H895" s="6"/>
      <c r="I895" s="26" t="n">
        <v>0</v>
      </c>
      <c r="J895" s="26" t="n">
        <f aca="false">0</f>
        <v>0</v>
      </c>
      <c r="K895" s="43" t="str">
        <f aca="false">IF(I895=0,"No wiki control",IF(J895=I895,"Fully covered",IF(J895=0,"Not covered","Partly covered")))</f>
        <v>No wiki control</v>
      </c>
      <c r="L895" s="9" t="s">
        <v>2863</v>
      </c>
    </row>
  </sheetData>
  <autoFilter ref="A4:L895"/>
  <conditionalFormatting sqref="K5:K895">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OECD AI Principles Crosswalk"/>
    <hyperlink ref="L656" r:id="rId652" display="OECD AI Principles Crosswalk"/>
    <hyperlink ref="L657" r:id="rId653" display="OECD AI Principles Crosswalk"/>
    <hyperlink ref="L658" r:id="rId654" display="OECD AI Principles Crosswalk"/>
    <hyperlink ref="L659" r:id="rId655" display="OECD AI Principles Crosswalk"/>
    <hyperlink ref="L660" r:id="rId656" display="Trustworthy AI and Ethics Standards Crosswalk"/>
    <hyperlink ref="L661" r:id="rId657" display="Trustworthy AI and Ethics Standards Crosswalk"/>
    <hyperlink ref="L662" r:id="rId658" display="Trustworthy AI and Ethics Standards Crosswalk"/>
    <hyperlink ref="L663" r:id="rId659" display="Trustworthy AI and Ethics Standards Crosswalk"/>
    <hyperlink ref="L664" r:id="rId660" display="Trustworthy AI and Ethics Standards Crosswalk"/>
    <hyperlink ref="L665" r:id="rId661" display="Trustworthy AI and Ethics Standards Crosswalk"/>
    <hyperlink ref="L666" r:id="rId662" display="Trustworthy AI and Ethics Standards Crosswalk"/>
    <hyperlink ref="L667" r:id="rId663" display="Trustworthy AI and Ethics Standards Crosswalk"/>
    <hyperlink ref="L668" r:id="rId664" display="Trustworthy AI and Ethics Standards Crosswalk"/>
    <hyperlink ref="L669" r:id="rId665" display="Trustworthy AI and Ethics Standards Crosswalk"/>
    <hyperlink ref="L670" r:id="rId666" display="Trustworthy AI and Ethics Standards Crosswalk"/>
    <hyperlink ref="L671" r:id="rId667" display="Trustworthy AI and Ethics Standards Crosswalk"/>
    <hyperlink ref="L672" r:id="rId668" display="Trustworthy AI and Ethics Standards Crosswalk"/>
    <hyperlink ref="L673" r:id="rId669" display="Trustworthy AI and Ethics Standards Crosswalk"/>
    <hyperlink ref="L674" r:id="rId670" display="Trustworthy AI and Ethics Standards Crosswalk"/>
    <hyperlink ref="L675" r:id="rId671" display="Trustworthy AI and Ethics Standards Crosswalk"/>
    <hyperlink ref="L676" r:id="rId672" display="Trustworthy AI and Ethics Standards Crosswalk"/>
    <hyperlink ref="L677" r:id="rId673" display="Trustworthy AI and Ethics Standards Crosswalk"/>
    <hyperlink ref="L678" r:id="rId674" display="Trustworthy AI and Ethics Standards Crosswalk"/>
    <hyperlink ref="L679" r:id="rId675" display="Trustworthy AI and Ethics Standards Crosswalk"/>
    <hyperlink ref="L680" r:id="rId676" display="Trustworthy AI and Ethics Standards Crosswalk"/>
    <hyperlink ref="L681" r:id="rId677" display="Trustworthy AI and Ethics Standards Crosswalk"/>
    <hyperlink ref="L682" r:id="rId678" display="International AI Instruments Crosswalk"/>
    <hyperlink ref="L683" r:id="rId679" display="International AI Instruments Crosswalk"/>
    <hyperlink ref="L684" r:id="rId680" display="International AI Instruments Crosswalk"/>
    <hyperlink ref="L685" r:id="rId681" display="International AI Instruments Crosswalk"/>
    <hyperlink ref="L686" r:id="rId682" display="International AI Instruments Crosswalk"/>
    <hyperlink ref="L687" r:id="rId683" display="International AI Instruments Crosswalk"/>
    <hyperlink ref="L688" r:id="rId684" display="International AI Instruments Crosswalk"/>
    <hyperlink ref="L689" r:id="rId685" display="International AI Instruments Crosswalk"/>
    <hyperlink ref="L690" r:id="rId686" display="International AI Instruments Crosswalk"/>
    <hyperlink ref="L691" r:id="rId687" display="International AI Instruments Crosswalk"/>
    <hyperlink ref="L692" r:id="rId688" display="International AI Instruments Crosswalk"/>
    <hyperlink ref="L693" r:id="rId689" display="International AI Instruments Crosswalk"/>
    <hyperlink ref="L694" r:id="rId690" display="International AI Instruments Crosswalk"/>
    <hyperlink ref="L695" r:id="rId691" display="International AI Instruments Crosswalk"/>
    <hyperlink ref="L696" r:id="rId692" display="International AI Instruments Crosswalk"/>
    <hyperlink ref="L697" r:id="rId693" display="International AI Instruments Crosswalk"/>
    <hyperlink ref="L698" r:id="rId694" display="International AI Instruments Crosswalk"/>
    <hyperlink ref="L699" r:id="rId695" display="International AI Instruments Crosswalk"/>
    <hyperlink ref="L700" r:id="rId696" display="International AI Instruments Crosswalk"/>
    <hyperlink ref="L701" r:id="rId697" display="International AI Instruments Crosswalk"/>
    <hyperlink ref="L702" r:id="rId698" display="International AI Instruments Crosswalk"/>
    <hyperlink ref="L703" r:id="rId699" display="International AI Instruments Crosswalk"/>
    <hyperlink ref="L704" r:id="rId700" display="International AI Instruments Crosswalk"/>
    <hyperlink ref="L705" r:id="rId701" display="Privacy Law Crosswalk"/>
    <hyperlink ref="L706" r:id="rId702" display="Privacy Law Crosswalk"/>
    <hyperlink ref="L707" r:id="rId703" display="Privacy Law Crosswalk"/>
    <hyperlink ref="L708" r:id="rId704" display="Privacy Law Crosswalk"/>
    <hyperlink ref="L709" r:id="rId705" display="Privacy Law Crosswalk"/>
    <hyperlink ref="L710" r:id="rId706" display="Privacy Law Crosswalk"/>
    <hyperlink ref="L711" r:id="rId707" display="Privacy Law Crosswalk"/>
    <hyperlink ref="L712" r:id="rId708" display="Privacy Law Crosswalk"/>
    <hyperlink ref="L713" r:id="rId709" display="Privacy Law Crosswalk"/>
    <hyperlink ref="L714" r:id="rId710" display="Privacy Law Crosswalk"/>
    <hyperlink ref="L715" r:id="rId711" display="Privacy Law Crosswalk"/>
    <hyperlink ref="L716" r:id="rId712" display="Privacy Law Crosswalk"/>
    <hyperlink ref="L717" r:id="rId713" display="Privacy Law Crosswalk"/>
    <hyperlink ref="L718" r:id="rId714" display="Privacy Law Crosswalk"/>
    <hyperlink ref="L719" r:id="rId715" display="GCC Regulatory Crosswalk"/>
    <hyperlink ref="L720" r:id="rId716" display="GCC Regulatory Crosswalk"/>
    <hyperlink ref="L721" r:id="rId717" display="GCC Regulatory Crosswalk"/>
    <hyperlink ref="L722" r:id="rId718" display="GCC Regulatory Crosswalk"/>
    <hyperlink ref="L723" r:id="rId719" display="GCC Regulatory Crosswalk"/>
    <hyperlink ref="L724" r:id="rId720" display="GCC Regulatory Crosswalk"/>
    <hyperlink ref="L725" r:id="rId721" display="GCC Regulatory Crosswalk"/>
    <hyperlink ref="L726" r:id="rId722" display="GCC Regulatory Crosswalk"/>
    <hyperlink ref="L727" r:id="rId723" display="GCC Regulatory Crosswalk"/>
    <hyperlink ref="L728" r:id="rId724" display="GCC Regulatory Crosswalk"/>
    <hyperlink ref="L729" r:id="rId725" display="GCC Regulatory Crosswalk"/>
    <hyperlink ref="L730" r:id="rId726" display="GCC Regulatory Crosswalk"/>
    <hyperlink ref="L731" r:id="rId727" display="GCC Regulatory Crosswalk"/>
    <hyperlink ref="L732" r:id="rId728" display="GCC Regulatory Crosswalk"/>
    <hyperlink ref="L733" r:id="rId729" display="GCC Regulatory Crosswalk"/>
    <hyperlink ref="L734" r:id="rId730" display="GCC Regulatory Crosswalk"/>
    <hyperlink ref="L735" r:id="rId731" display="GCC Regulatory Crosswalk"/>
    <hyperlink ref="L736" r:id="rId732" display="GCC Regulatory Crosswalk"/>
    <hyperlink ref="L737" r:id="rId733" display="GCC Regulatory Crosswalk"/>
    <hyperlink ref="L738" r:id="rId734" display="GCC Regulatory Crosswalk"/>
    <hyperlink ref="L739" r:id="rId735" display="GCC Regulatory Crosswalk"/>
    <hyperlink ref="L740" r:id="rId736" display="GCC Regulatory Crosswalk"/>
    <hyperlink ref="L741" r:id="rId737" display="GCC Regulatory Crosswalk"/>
    <hyperlink ref="L742" r:id="rId738" display="GCC Regulatory Crosswalk"/>
    <hyperlink ref="L743" r:id="rId739" display="GCC Regulatory Crosswalk"/>
    <hyperlink ref="L744" r:id="rId740" display="GCC Regulatory Crosswalk"/>
    <hyperlink ref="L745" r:id="rId741" display="GCC Regulatory Crosswalk"/>
    <hyperlink ref="L746" r:id="rId742" display="GCC Regulatory Crosswalk"/>
    <hyperlink ref="L747" r:id="rId743" display="GCC Regulatory Crosswalk"/>
    <hyperlink ref="L748" r:id="rId744" display="GCC Regulatory Crosswalk"/>
    <hyperlink ref="L749" r:id="rId745" display="GCC Regulatory Crosswalk"/>
    <hyperlink ref="L750" r:id="rId746" display="GCC Regulatory Crosswalk"/>
    <hyperlink ref="L751" r:id="rId747" display="GCC Regulatory Crosswalk"/>
    <hyperlink ref="L752" r:id="rId748" display="EU Regulatory Crosswalk"/>
    <hyperlink ref="L753" r:id="rId749" display="EU Regulatory Crosswalk"/>
    <hyperlink ref="L754" r:id="rId750" display="EU Regulatory Crosswalk"/>
    <hyperlink ref="L755" r:id="rId751" display="EU Regulatory Crosswalk"/>
    <hyperlink ref="L756" r:id="rId752" display="EU Regulatory Crosswalk"/>
    <hyperlink ref="L757" r:id="rId753" display="EU Regulatory Crosswalk"/>
    <hyperlink ref="L758" r:id="rId754" display="EU Regulatory Crosswalk"/>
    <hyperlink ref="L759" r:id="rId755" display="EU Regulatory Crosswalk"/>
    <hyperlink ref="L760" r:id="rId756" display="EU Regulatory Crosswalk"/>
    <hyperlink ref="L761" r:id="rId757" display="EU Regulatory Crosswalk"/>
    <hyperlink ref="L762" r:id="rId758" display="EU Regulatory Crosswalk"/>
    <hyperlink ref="L763" r:id="rId759" display="EU Regulatory Crosswalk"/>
    <hyperlink ref="L764" r:id="rId760" display="EU Regulatory Crosswalk"/>
    <hyperlink ref="L765" r:id="rId761" display="EU Regulatory Crosswalk"/>
    <hyperlink ref="L766" r:id="rId762" display="EU Regulatory Crosswalk"/>
    <hyperlink ref="L767" r:id="rId763" display="EU Regulatory Crosswalk"/>
    <hyperlink ref="L768" r:id="rId764" display="EU Regulatory Crosswalk"/>
    <hyperlink ref="L769" r:id="rId765" display="EU Regulatory Crosswalk"/>
    <hyperlink ref="L770" r:id="rId766" display="EU Regulatory Crosswalk"/>
    <hyperlink ref="L771" r:id="rId767" display="EU Regulatory Crosswalk"/>
    <hyperlink ref="L772" r:id="rId768" display="EU Regulatory Crosswalk"/>
    <hyperlink ref="L773" r:id="rId769" display="EU Regulatory Crosswalk"/>
    <hyperlink ref="L774" r:id="rId770" display="EU Regulatory Crosswalk"/>
    <hyperlink ref="L775" r:id="rId771" display="UK Regulatory Crosswalk"/>
    <hyperlink ref="L776" r:id="rId772" display="UK Regulatory Crosswalk"/>
    <hyperlink ref="L777" r:id="rId773" display="UK Regulatory Crosswalk"/>
    <hyperlink ref="L778" r:id="rId774" display="UK Regulatory Crosswalk"/>
    <hyperlink ref="L779" r:id="rId775" display="UK Regulatory Crosswalk"/>
    <hyperlink ref="L780" r:id="rId776" display="UK Regulatory Crosswalk"/>
    <hyperlink ref="L781" r:id="rId777" display="UK Regulatory Crosswalk"/>
    <hyperlink ref="L782" r:id="rId778" display="UK Regulatory Crosswalk"/>
    <hyperlink ref="L783" r:id="rId779" display="UK Regulatory Crosswalk"/>
    <hyperlink ref="L784" r:id="rId780" display="UK Regulatory Crosswalk"/>
    <hyperlink ref="L785" r:id="rId781" display="UK Regulatory Crosswalk"/>
    <hyperlink ref="L786" r:id="rId782" display="UK Regulatory Crosswalk"/>
    <hyperlink ref="L787" r:id="rId783" display="UK Regulatory Crosswalk"/>
    <hyperlink ref="L788" r:id="rId784" display="US Regulatory Crosswalk"/>
    <hyperlink ref="L789" r:id="rId785" display="US Regulatory Crosswalk"/>
    <hyperlink ref="L790" r:id="rId786" display="US Regulatory Crosswalk"/>
    <hyperlink ref="L791" r:id="rId787" display="US Regulatory Crosswalk"/>
    <hyperlink ref="L792" r:id="rId788" display="US Regulatory Crosswalk"/>
    <hyperlink ref="L793" r:id="rId789" display="US Regulatory Crosswalk"/>
    <hyperlink ref="L794" r:id="rId790" display="US Regulatory Crosswalk"/>
    <hyperlink ref="L795" r:id="rId791" display="US Regulatory Crosswalk"/>
    <hyperlink ref="L796" r:id="rId792" display="US Regulatory Crosswalk"/>
    <hyperlink ref="L797" r:id="rId793" display="US Regulatory Crosswalk"/>
    <hyperlink ref="L798" r:id="rId794" display="US Regulatory Crosswalk"/>
    <hyperlink ref="L799" r:id="rId795" display="US Regulatory Crosswalk"/>
    <hyperlink ref="L800" r:id="rId796" display="US Regulatory Crosswalk"/>
    <hyperlink ref="L801" r:id="rId797" display="US Regulatory Crosswalk"/>
    <hyperlink ref="L802" r:id="rId798" display="US Regulatory Crosswalk"/>
    <hyperlink ref="L803" r:id="rId799" display="US Regulatory Crosswalk"/>
    <hyperlink ref="L804" r:id="rId800" display="US Regulatory Crosswalk"/>
    <hyperlink ref="L805" r:id="rId801" display="Australia Regulatory Crosswalk"/>
    <hyperlink ref="L806" r:id="rId802" display="Australia Regulatory Crosswalk"/>
    <hyperlink ref="L807" r:id="rId803" display="Australia Regulatory Crosswalk"/>
    <hyperlink ref="L808" r:id="rId804" display="Australia Regulatory Crosswalk"/>
    <hyperlink ref="L809" r:id="rId805" display="Australia Regulatory Crosswalk"/>
    <hyperlink ref="L810" r:id="rId806" display="Australia Regulatory Crosswalk"/>
    <hyperlink ref="L811" r:id="rId807" display="Australia Regulatory Crosswalk"/>
    <hyperlink ref="L812" r:id="rId808" display="Australia Regulatory Crosswalk"/>
    <hyperlink ref="L813" r:id="rId809" display="Australia Regulatory Crosswalk"/>
    <hyperlink ref="L814" r:id="rId810" display="Australia Regulatory Crosswalk"/>
    <hyperlink ref="L815" r:id="rId811" display="Brazil Regulatory Crosswalk"/>
    <hyperlink ref="L816" r:id="rId812" display="Brazil Regulatory Crosswalk"/>
    <hyperlink ref="L817" r:id="rId813" display="Brazil Regulatory Crosswalk"/>
    <hyperlink ref="L818" r:id="rId814" display="Brazil Regulatory Crosswalk"/>
    <hyperlink ref="L819" r:id="rId815" display="Canada Regulatory Crosswalk"/>
    <hyperlink ref="L820" r:id="rId816" display="Canada Regulatory Crosswalk"/>
    <hyperlink ref="L821" r:id="rId817" display="Canada Regulatory Crosswalk"/>
    <hyperlink ref="L822" r:id="rId818" display="Canada Regulatory Crosswalk"/>
    <hyperlink ref="L823" r:id="rId819" display="Canada Regulatory Crosswalk"/>
    <hyperlink ref="L824" r:id="rId820" display="Canada Regulatory Crosswalk"/>
    <hyperlink ref="L825" r:id="rId821" display="Canada Regulatory Crosswalk"/>
    <hyperlink ref="L826" r:id="rId822" display="Canada Regulatory Crosswalk"/>
    <hyperlink ref="L827" r:id="rId823" display="China Regulatory Crosswalk"/>
    <hyperlink ref="L828" r:id="rId824" display="China Regulatory Crosswalk"/>
    <hyperlink ref="L829" r:id="rId825" display="China Regulatory Crosswalk"/>
    <hyperlink ref="L830" r:id="rId826" display="China Regulatory Crosswalk"/>
    <hyperlink ref="L831" r:id="rId827" display="China Regulatory Crosswalk"/>
    <hyperlink ref="L832" r:id="rId828" display="China Regulatory Crosswalk"/>
    <hyperlink ref="L833" r:id="rId829" display="China Regulatory Crosswalk"/>
    <hyperlink ref="L834" r:id="rId830" display="China Regulatory Crosswalk"/>
    <hyperlink ref="L835" r:id="rId831" display="China Regulatory Crosswalk"/>
    <hyperlink ref="L836" r:id="rId832" display="India Regulatory Crosswalk"/>
    <hyperlink ref="L837" r:id="rId833" display="India Regulatory Crosswalk"/>
    <hyperlink ref="L838" r:id="rId834" display="India Regulatory Crosswalk"/>
    <hyperlink ref="L839" r:id="rId835" display="India Regulatory Crosswalk"/>
    <hyperlink ref="L840" r:id="rId836" display="India Regulatory Crosswalk"/>
    <hyperlink ref="L841" r:id="rId837" display="India Regulatory Crosswalk"/>
    <hyperlink ref="L842" r:id="rId838" display="India Regulatory Crosswalk"/>
    <hyperlink ref="L843" r:id="rId839" display="India Regulatory Crosswalk"/>
    <hyperlink ref="L844" r:id="rId840" display="India Regulatory Crosswalk"/>
    <hyperlink ref="L845" r:id="rId841" display="India Regulatory Crosswalk"/>
    <hyperlink ref="L846" r:id="rId842" display="India Regulatory Crosswalk"/>
    <hyperlink ref="L847" r:id="rId843" display="India Regulatory Crosswalk"/>
    <hyperlink ref="L848" r:id="rId844" display="Japan Regulatory Crosswalk"/>
    <hyperlink ref="L849" r:id="rId845" display="Japan Regulatory Crosswalk"/>
    <hyperlink ref="L850" r:id="rId846" display="Japan Regulatory Crosswalk"/>
    <hyperlink ref="L851" r:id="rId847" display="Japan Regulatory Crosswalk"/>
    <hyperlink ref="L852" r:id="rId848" display="Japan Regulatory Crosswalk"/>
    <hyperlink ref="L853" r:id="rId849" display="Japan Regulatory Crosswalk"/>
    <hyperlink ref="L854" r:id="rId850" display="Singapore Regulatory Crosswalk"/>
    <hyperlink ref="L855" r:id="rId851" display="Singapore Regulatory Crosswalk"/>
    <hyperlink ref="L856" r:id="rId852" display="Singapore Regulatory Crosswalk"/>
    <hyperlink ref="L857" r:id="rId853" display="Singapore Regulatory Crosswalk"/>
    <hyperlink ref="L858" r:id="rId854" display="Singapore Regulatory Crosswalk"/>
    <hyperlink ref="L859" r:id="rId855" display="Singapore Regulatory Crosswalk"/>
    <hyperlink ref="L860" r:id="rId856" display="Singapore Regulatory Crosswalk"/>
    <hyperlink ref="L861" r:id="rId857" display="Singapore Regulatory Crosswalk"/>
    <hyperlink ref="L862" r:id="rId858" display="Singapore Regulatory Crosswalk"/>
    <hyperlink ref="L863" r:id="rId859" display="Singapore Regulatory Crosswalk"/>
    <hyperlink ref="L864" r:id="rId860" display="Singapore Regulatory Crosswalk"/>
    <hyperlink ref="L865" r:id="rId861" display="Singapore Regulatory Crosswalk"/>
    <hyperlink ref="L866" r:id="rId862" display="Singapore Regulatory Crosswalk"/>
    <hyperlink ref="L867" r:id="rId863" display="Singapore Regulatory Crosswalk"/>
    <hyperlink ref="L868" r:id="rId864" display="Singapore Regulatory Crosswalk"/>
    <hyperlink ref="L869" r:id="rId865" display="Singapore Regulatory Crosswalk"/>
    <hyperlink ref="L870" r:id="rId866" display="Singapore Regulatory Crosswalk"/>
    <hyperlink ref="L871" r:id="rId867" display="Singapore Regulatory Crosswalk"/>
    <hyperlink ref="L872" r:id="rId868" display="Singapore Regulatory Crosswalk"/>
    <hyperlink ref="L873" r:id="rId869" display="Singapore Regulatory Crosswalk"/>
    <hyperlink ref="L874" r:id="rId870" display="Singapore Regulatory Crosswalk"/>
    <hyperlink ref="L875" r:id="rId871" display="Singapore Regulatory Crosswalk"/>
    <hyperlink ref="L876" r:id="rId872" display="Singapore Regulatory Crosswalk"/>
    <hyperlink ref="L877" r:id="rId873" display="Singapore Regulatory Crosswalk"/>
    <hyperlink ref="L878" r:id="rId874" display="Singapore Regulatory Crosswalk"/>
    <hyperlink ref="L879" r:id="rId875" display="Singapore Regulatory Crosswalk"/>
    <hyperlink ref="L880" r:id="rId876" display="Singapore Regulatory Crosswalk"/>
    <hyperlink ref="L881" r:id="rId877" display="Singapore Regulatory Crosswalk"/>
    <hyperlink ref="L882" r:id="rId878" display="Singapore Regulatory Crosswalk"/>
    <hyperlink ref="L883" r:id="rId879" display="Singapore Regulatory Crosswalk"/>
    <hyperlink ref="L884" r:id="rId880" display="Singapore Regulatory Crosswalk"/>
    <hyperlink ref="L885" r:id="rId881" display="Singapore Regulatory Crosswalk"/>
    <hyperlink ref="L886" r:id="rId882" display="Singapore Regulatory Crosswalk"/>
    <hyperlink ref="L887" r:id="rId883" display="Singapore Regulatory Crosswalk"/>
    <hyperlink ref="L888" r:id="rId884" display="South Korea Regulatory Crosswalk"/>
    <hyperlink ref="L889" r:id="rId885" display="South Korea Regulatory Crosswalk"/>
    <hyperlink ref="L890" r:id="rId886" display="South Korea Regulatory Crosswalk"/>
    <hyperlink ref="L891" r:id="rId887" display="South Korea Regulatory Crosswalk"/>
    <hyperlink ref="L892" r:id="rId888" display="South Korea Regulatory Crosswalk"/>
    <hyperlink ref="L893" r:id="rId889" display="South Korea Regulatory Crosswalk"/>
    <hyperlink ref="L894" r:id="rId890" display="South Korea Regulatory Crosswalk"/>
    <hyperlink ref="L895" r:id="rId891" display="South Korea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89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X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0"/>
    <col collapsed="false" customWidth="true" hidden="false" outlineLevel="0" max="50" min="4" style="0" width="18"/>
  </cols>
  <sheetData>
    <row r="1" customFormat="false" ht="30" hidden="false" customHeight="true" outlineLevel="0" collapsed="false">
      <c r="A1" s="62" t="s">
        <v>42</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row>
    <row r="2" customFormat="false" ht="15" hidden="false" customHeight="false" outlineLevel="0" collapsed="false">
      <c r="A2" s="3" t="s">
        <v>2882</v>
      </c>
    </row>
    <row r="4" customFormat="false" ht="15" hidden="false" customHeight="false" outlineLevel="0" collapsed="false">
      <c r="D4" s="64" t="s">
        <v>569</v>
      </c>
      <c r="E4" s="64"/>
      <c r="F4" s="64"/>
      <c r="G4" s="64"/>
      <c r="H4" s="64"/>
      <c r="I4" s="64"/>
      <c r="J4" s="65" t="s">
        <v>576</v>
      </c>
      <c r="K4" s="65"/>
      <c r="L4" s="65"/>
      <c r="M4" s="65"/>
      <c r="N4" s="65"/>
      <c r="O4" s="65"/>
      <c r="P4" s="66" t="s">
        <v>583</v>
      </c>
      <c r="Q4" s="66"/>
      <c r="R4" s="66"/>
      <c r="S4" s="66"/>
      <c r="T4" s="66"/>
      <c r="U4" s="66"/>
      <c r="V4" s="66"/>
      <c r="W4" s="66"/>
      <c r="X4" s="66"/>
      <c r="Y4" s="66"/>
      <c r="Z4" s="66"/>
      <c r="AA4" s="66"/>
      <c r="AB4" s="66"/>
      <c r="AC4" s="67" t="s">
        <v>597</v>
      </c>
      <c r="AD4" s="67"/>
      <c r="AE4" s="67"/>
      <c r="AF4" s="68" t="s">
        <v>601</v>
      </c>
      <c r="AG4" s="68"/>
      <c r="AH4" s="68"/>
      <c r="AI4" s="68"/>
      <c r="AJ4" s="69" t="s">
        <v>606</v>
      </c>
      <c r="AK4" s="69"/>
      <c r="AL4" s="70" t="s">
        <v>609</v>
      </c>
      <c r="AM4" s="70"/>
      <c r="AN4" s="70"/>
      <c r="AO4" s="70"/>
      <c r="AP4" s="70"/>
      <c r="AQ4" s="70"/>
      <c r="AR4" s="70"/>
      <c r="AS4" s="70"/>
      <c r="AT4" s="70"/>
      <c r="AU4" s="70"/>
      <c r="AV4" s="70"/>
      <c r="AW4" s="70"/>
      <c r="AX4" s="70"/>
    </row>
    <row r="5" customFormat="false" ht="60" hidden="false" customHeight="true" outlineLevel="0" collapsed="false">
      <c r="A5" s="71" t="s">
        <v>132</v>
      </c>
      <c r="B5" s="71" t="s">
        <v>133</v>
      </c>
      <c r="C5" s="71" t="s">
        <v>135</v>
      </c>
      <c r="D5" s="71" t="s">
        <v>568</v>
      </c>
      <c r="E5" s="71" t="s">
        <v>570</v>
      </c>
      <c r="F5" s="71" t="s">
        <v>571</v>
      </c>
      <c r="G5" s="71" t="s">
        <v>572</v>
      </c>
      <c r="H5" s="71" t="s">
        <v>573</v>
      </c>
      <c r="I5" s="71" t="s">
        <v>574</v>
      </c>
      <c r="J5" s="71" t="s">
        <v>575</v>
      </c>
      <c r="K5" s="71" t="s">
        <v>577</v>
      </c>
      <c r="L5" s="71" t="s">
        <v>578</v>
      </c>
      <c r="M5" s="71" t="s">
        <v>579</v>
      </c>
      <c r="N5" s="71" t="s">
        <v>580</v>
      </c>
      <c r="O5" s="71" t="s">
        <v>581</v>
      </c>
      <c r="P5" s="71" t="s">
        <v>582</v>
      </c>
      <c r="Q5" s="71" t="s">
        <v>584</v>
      </c>
      <c r="R5" s="71" t="s">
        <v>585</v>
      </c>
      <c r="S5" s="71" t="s">
        <v>586</v>
      </c>
      <c r="T5" s="71" t="s">
        <v>587</v>
      </c>
      <c r="U5" s="71" t="s">
        <v>588</v>
      </c>
      <c r="V5" s="71" t="s">
        <v>589</v>
      </c>
      <c r="W5" s="71" t="s">
        <v>590</v>
      </c>
      <c r="X5" s="71" t="s">
        <v>591</v>
      </c>
      <c r="Y5" s="71" t="s">
        <v>592</v>
      </c>
      <c r="Z5" s="71" t="s">
        <v>593</v>
      </c>
      <c r="AA5" s="71" t="s">
        <v>594</v>
      </c>
      <c r="AB5" s="71" t="s">
        <v>595</v>
      </c>
      <c r="AC5" s="71" t="s">
        <v>596</v>
      </c>
      <c r="AD5" s="71" t="s">
        <v>598</v>
      </c>
      <c r="AE5" s="71" t="s">
        <v>599</v>
      </c>
      <c r="AF5" s="71" t="s">
        <v>600</v>
      </c>
      <c r="AG5" s="71" t="s">
        <v>602</v>
      </c>
      <c r="AH5" s="71" t="s">
        <v>603</v>
      </c>
      <c r="AI5" s="71" t="s">
        <v>604</v>
      </c>
      <c r="AJ5" s="71" t="s">
        <v>605</v>
      </c>
      <c r="AK5" s="71" t="s">
        <v>607</v>
      </c>
      <c r="AL5" s="71" t="s">
        <v>608</v>
      </c>
      <c r="AM5" s="71" t="s">
        <v>610</v>
      </c>
      <c r="AN5" s="71" t="s">
        <v>611</v>
      </c>
      <c r="AO5" s="71" t="s">
        <v>612</v>
      </c>
      <c r="AP5" s="71" t="s">
        <v>613</v>
      </c>
      <c r="AQ5" s="71" t="s">
        <v>614</v>
      </c>
      <c r="AR5" s="71" t="s">
        <v>615</v>
      </c>
      <c r="AS5" s="71" t="s">
        <v>616</v>
      </c>
      <c r="AT5" s="71" t="s">
        <v>617</v>
      </c>
      <c r="AU5" s="71" t="s">
        <v>618</v>
      </c>
      <c r="AV5" s="71" t="s">
        <v>619</v>
      </c>
      <c r="AW5" s="71" t="s">
        <v>620</v>
      </c>
      <c r="AX5" s="71" t="s">
        <v>621</v>
      </c>
    </row>
    <row r="6" customFormat="false" ht="23.85" hidden="false" customHeight="false" outlineLevel="0" collapsed="false">
      <c r="A6" s="36" t="s">
        <v>159</v>
      </c>
      <c r="B6" s="6" t="s">
        <v>160</v>
      </c>
      <c r="C6" s="37" t="s">
        <v>108</v>
      </c>
      <c r="D6" s="72"/>
      <c r="E6" s="72"/>
      <c r="F6" s="6" t="s">
        <v>808</v>
      </c>
      <c r="G6" s="6" t="s">
        <v>2883</v>
      </c>
      <c r="H6" s="72"/>
      <c r="I6" s="6" t="s">
        <v>1168</v>
      </c>
      <c r="J6" s="6" t="s">
        <v>1194</v>
      </c>
      <c r="K6" s="72"/>
      <c r="L6" s="6" t="s">
        <v>1272</v>
      </c>
      <c r="M6" s="72"/>
      <c r="N6" s="72"/>
      <c r="O6" s="72"/>
      <c r="P6" s="6" t="s">
        <v>1575</v>
      </c>
      <c r="Q6" s="72"/>
      <c r="R6" s="6" t="s">
        <v>2884</v>
      </c>
      <c r="S6" s="72"/>
      <c r="T6" s="72"/>
      <c r="U6" s="72"/>
      <c r="V6" s="72"/>
      <c r="W6" s="72"/>
      <c r="X6" s="72"/>
      <c r="Y6" s="72"/>
      <c r="Z6" s="72"/>
      <c r="AA6" s="72"/>
      <c r="AB6" s="72"/>
      <c r="AC6" s="6" t="s">
        <v>2885</v>
      </c>
      <c r="AD6" s="6" t="s">
        <v>2886</v>
      </c>
      <c r="AE6" s="6" t="s">
        <v>2887</v>
      </c>
      <c r="AF6" s="72"/>
      <c r="AG6" s="72"/>
      <c r="AH6" s="72"/>
      <c r="AI6" s="72"/>
      <c r="AJ6" s="72"/>
      <c r="AK6" s="72"/>
      <c r="AL6" s="72"/>
      <c r="AM6" s="72"/>
      <c r="AN6" s="72"/>
      <c r="AO6" s="72"/>
      <c r="AP6" s="72"/>
      <c r="AQ6" s="72"/>
      <c r="AR6" s="72"/>
      <c r="AS6" s="72"/>
      <c r="AT6" s="72"/>
      <c r="AU6" s="72"/>
      <c r="AV6" s="72"/>
      <c r="AW6" s="6" t="s">
        <v>2888</v>
      </c>
      <c r="AX6" s="72"/>
    </row>
    <row r="7" customFormat="false" ht="46.25" hidden="false" customHeight="false" outlineLevel="0" collapsed="false">
      <c r="A7" s="36" t="s">
        <v>172</v>
      </c>
      <c r="B7" s="6" t="s">
        <v>173</v>
      </c>
      <c r="C7" s="37" t="s">
        <v>108</v>
      </c>
      <c r="D7" s="6" t="s">
        <v>2889</v>
      </c>
      <c r="E7" s="6" t="s">
        <v>722</v>
      </c>
      <c r="F7" s="6" t="s">
        <v>2890</v>
      </c>
      <c r="G7" s="6" t="s">
        <v>2891</v>
      </c>
      <c r="H7" s="6" t="s">
        <v>1130</v>
      </c>
      <c r="I7" s="72"/>
      <c r="J7" s="6" t="s">
        <v>1190</v>
      </c>
      <c r="K7" s="72"/>
      <c r="L7" s="72"/>
      <c r="M7" s="6" t="s">
        <v>1330</v>
      </c>
      <c r="N7" s="6" t="s">
        <v>1439</v>
      </c>
      <c r="O7" s="6" t="s">
        <v>1511</v>
      </c>
      <c r="P7" s="6" t="s">
        <v>1650</v>
      </c>
      <c r="Q7" s="72"/>
      <c r="R7" s="6" t="s">
        <v>2892</v>
      </c>
      <c r="S7" s="72"/>
      <c r="T7" s="72"/>
      <c r="U7" s="72"/>
      <c r="V7" s="72"/>
      <c r="W7" s="72"/>
      <c r="X7" s="72"/>
      <c r="Y7" s="72"/>
      <c r="Z7" s="72"/>
      <c r="AA7" s="72"/>
      <c r="AB7" s="72"/>
      <c r="AC7" s="6" t="s">
        <v>2893</v>
      </c>
      <c r="AD7" s="6" t="s">
        <v>2072</v>
      </c>
      <c r="AE7" s="6" t="s">
        <v>2894</v>
      </c>
      <c r="AF7" s="72"/>
      <c r="AG7" s="72"/>
      <c r="AH7" s="72"/>
      <c r="AI7" s="72"/>
      <c r="AJ7" s="72"/>
      <c r="AK7" s="72"/>
      <c r="AL7" s="72"/>
      <c r="AM7" s="6" t="s">
        <v>2420</v>
      </c>
      <c r="AN7" s="72"/>
      <c r="AO7" s="72"/>
      <c r="AP7" s="72"/>
      <c r="AQ7" s="72"/>
      <c r="AR7" s="72"/>
      <c r="AS7" s="72"/>
      <c r="AT7" s="72"/>
      <c r="AU7" s="72"/>
      <c r="AV7" s="72"/>
      <c r="AW7" s="72"/>
      <c r="AX7" s="72"/>
    </row>
    <row r="8" customFormat="false" ht="46.25" hidden="false" customHeight="false" outlineLevel="0" collapsed="false">
      <c r="A8" s="36" t="s">
        <v>182</v>
      </c>
      <c r="B8" s="6" t="s">
        <v>183</v>
      </c>
      <c r="C8" s="37" t="s">
        <v>109</v>
      </c>
      <c r="D8" s="6" t="s">
        <v>2889</v>
      </c>
      <c r="E8" s="6" t="s">
        <v>722</v>
      </c>
      <c r="F8" s="6" t="s">
        <v>2890</v>
      </c>
      <c r="G8" s="6" t="s">
        <v>2891</v>
      </c>
      <c r="H8" s="72"/>
      <c r="I8" s="72"/>
      <c r="J8" s="6" t="s">
        <v>1190</v>
      </c>
      <c r="K8" s="72"/>
      <c r="L8" s="72"/>
      <c r="M8" s="6" t="s">
        <v>1330</v>
      </c>
      <c r="N8" s="6" t="s">
        <v>1439</v>
      </c>
      <c r="O8" s="72"/>
      <c r="P8" s="6" t="s">
        <v>1650</v>
      </c>
      <c r="Q8" s="72"/>
      <c r="R8" s="6" t="s">
        <v>2895</v>
      </c>
      <c r="S8" s="72"/>
      <c r="T8" s="72"/>
      <c r="U8" s="72"/>
      <c r="V8" s="72"/>
      <c r="W8" s="72"/>
      <c r="X8" s="72"/>
      <c r="Y8" s="72"/>
      <c r="Z8" s="72"/>
      <c r="AA8" s="72"/>
      <c r="AB8" s="72"/>
      <c r="AC8" s="6" t="s">
        <v>2040</v>
      </c>
      <c r="AD8" s="6" t="s">
        <v>2896</v>
      </c>
      <c r="AE8" s="6" t="s">
        <v>2894</v>
      </c>
      <c r="AF8" s="72"/>
      <c r="AG8" s="72"/>
      <c r="AH8" s="72"/>
      <c r="AI8" s="72"/>
      <c r="AJ8" s="72"/>
      <c r="AK8" s="72"/>
      <c r="AL8" s="72"/>
      <c r="AM8" s="72"/>
      <c r="AN8" s="72"/>
      <c r="AO8" s="72"/>
      <c r="AP8" s="72"/>
      <c r="AQ8" s="72"/>
      <c r="AR8" s="72"/>
      <c r="AS8" s="72"/>
      <c r="AT8" s="72"/>
      <c r="AU8" s="72"/>
      <c r="AV8" s="72"/>
      <c r="AW8" s="72"/>
      <c r="AX8" s="72"/>
    </row>
    <row r="9" customFormat="false" ht="68.65" hidden="false" customHeight="false" outlineLevel="0" collapsed="false">
      <c r="A9" s="36" t="s">
        <v>190</v>
      </c>
      <c r="B9" s="6" t="s">
        <v>191</v>
      </c>
      <c r="C9" s="37" t="s">
        <v>109</v>
      </c>
      <c r="D9" s="6" t="s">
        <v>2897</v>
      </c>
      <c r="E9" s="72"/>
      <c r="F9" s="6" t="s">
        <v>2898</v>
      </c>
      <c r="G9" s="6" t="s">
        <v>2899</v>
      </c>
      <c r="H9" s="72"/>
      <c r="I9" s="72"/>
      <c r="J9" s="6" t="s">
        <v>2900</v>
      </c>
      <c r="K9" s="72"/>
      <c r="L9" s="72"/>
      <c r="M9" s="6" t="s">
        <v>2901</v>
      </c>
      <c r="N9" s="72"/>
      <c r="O9" s="72"/>
      <c r="P9" s="6" t="s">
        <v>2902</v>
      </c>
      <c r="Q9" s="72"/>
      <c r="R9" s="6" t="s">
        <v>2903</v>
      </c>
      <c r="S9" s="72"/>
      <c r="T9" s="72"/>
      <c r="U9" s="72"/>
      <c r="V9" s="72"/>
      <c r="W9" s="72"/>
      <c r="X9" s="72"/>
      <c r="Y9" s="72"/>
      <c r="Z9" s="72"/>
      <c r="AA9" s="72"/>
      <c r="AB9" s="72"/>
      <c r="AC9" s="6" t="s">
        <v>2904</v>
      </c>
      <c r="AD9" s="6" t="s">
        <v>2905</v>
      </c>
      <c r="AE9" s="6" t="s">
        <v>2906</v>
      </c>
      <c r="AF9" s="72"/>
      <c r="AG9" s="72"/>
      <c r="AH9" s="72"/>
      <c r="AI9" s="72"/>
      <c r="AJ9" s="72"/>
      <c r="AK9" s="72"/>
      <c r="AL9" s="72"/>
      <c r="AM9" s="72"/>
      <c r="AN9" s="72"/>
      <c r="AO9" s="72"/>
      <c r="AP9" s="72"/>
      <c r="AQ9" s="72"/>
      <c r="AR9" s="72"/>
      <c r="AS9" s="72"/>
      <c r="AT9" s="72"/>
      <c r="AU9" s="72"/>
      <c r="AV9" s="72"/>
      <c r="AW9" s="72"/>
      <c r="AX9" s="72"/>
    </row>
    <row r="10" customFormat="false" ht="79.85" hidden="false" customHeight="false" outlineLevel="0" collapsed="false">
      <c r="A10" s="36" t="s">
        <v>199</v>
      </c>
      <c r="B10" s="6" t="s">
        <v>200</v>
      </c>
      <c r="C10" s="37" t="s">
        <v>108</v>
      </c>
      <c r="D10" s="6" t="s">
        <v>2907</v>
      </c>
      <c r="E10" s="6" t="s">
        <v>2908</v>
      </c>
      <c r="F10" s="6" t="s">
        <v>2909</v>
      </c>
      <c r="G10" s="6" t="s">
        <v>2910</v>
      </c>
      <c r="H10" s="6" t="s">
        <v>1140</v>
      </c>
      <c r="I10" s="72"/>
      <c r="J10" s="6" t="s">
        <v>2911</v>
      </c>
      <c r="K10" s="6" t="s">
        <v>1224</v>
      </c>
      <c r="L10" s="6" t="s">
        <v>1263</v>
      </c>
      <c r="M10" s="6" t="s">
        <v>2912</v>
      </c>
      <c r="N10" s="6" t="s">
        <v>2913</v>
      </c>
      <c r="O10" s="6" t="s">
        <v>2914</v>
      </c>
      <c r="P10" s="6" t="s">
        <v>2915</v>
      </c>
      <c r="Q10" s="72"/>
      <c r="R10" s="6" t="s">
        <v>2916</v>
      </c>
      <c r="S10" s="72"/>
      <c r="T10" s="72"/>
      <c r="U10" s="72"/>
      <c r="V10" s="72"/>
      <c r="W10" s="72"/>
      <c r="X10" s="72"/>
      <c r="Y10" s="72"/>
      <c r="Z10" s="6" t="s">
        <v>1974</v>
      </c>
      <c r="AA10" s="72"/>
      <c r="AB10" s="72"/>
      <c r="AC10" s="6" t="s">
        <v>2917</v>
      </c>
      <c r="AD10" s="6" t="s">
        <v>2918</v>
      </c>
      <c r="AE10" s="6" t="s">
        <v>2919</v>
      </c>
      <c r="AF10" s="6" t="s">
        <v>2250</v>
      </c>
      <c r="AG10" s="6" t="s">
        <v>2264</v>
      </c>
      <c r="AH10" s="6" t="s">
        <v>2282</v>
      </c>
      <c r="AI10" s="72"/>
      <c r="AJ10" s="72"/>
      <c r="AK10" s="72"/>
      <c r="AL10" s="72"/>
      <c r="AM10" s="6" t="s">
        <v>2920</v>
      </c>
      <c r="AN10" s="6" t="s">
        <v>2921</v>
      </c>
      <c r="AO10" s="6" t="s">
        <v>2560</v>
      </c>
      <c r="AP10" s="6" t="s">
        <v>2577</v>
      </c>
      <c r="AQ10" s="6" t="s">
        <v>2647</v>
      </c>
      <c r="AR10" s="72"/>
      <c r="AS10" s="72"/>
      <c r="AT10" s="6" t="s">
        <v>2707</v>
      </c>
      <c r="AU10" s="6" t="s">
        <v>2922</v>
      </c>
      <c r="AV10" s="72"/>
      <c r="AW10" s="6" t="s">
        <v>2923</v>
      </c>
      <c r="AX10" s="6" t="s">
        <v>2870</v>
      </c>
    </row>
    <row r="11" customFormat="false" ht="135.8" hidden="false" customHeight="false" outlineLevel="0" collapsed="false">
      <c r="A11" s="36" t="s">
        <v>209</v>
      </c>
      <c r="B11" s="6" t="s">
        <v>210</v>
      </c>
      <c r="C11" s="37" t="s">
        <v>108</v>
      </c>
      <c r="D11" s="6" t="s">
        <v>2924</v>
      </c>
      <c r="E11" s="6" t="s">
        <v>791</v>
      </c>
      <c r="F11" s="6" t="s">
        <v>2925</v>
      </c>
      <c r="G11" s="6" t="s">
        <v>2926</v>
      </c>
      <c r="H11" s="72"/>
      <c r="I11" s="6" t="s">
        <v>2927</v>
      </c>
      <c r="J11" s="6" t="s">
        <v>1206</v>
      </c>
      <c r="K11" s="6" t="s">
        <v>2928</v>
      </c>
      <c r="L11" s="72"/>
      <c r="M11" s="6" t="s">
        <v>1358</v>
      </c>
      <c r="N11" s="6" t="s">
        <v>2929</v>
      </c>
      <c r="O11" s="6" t="s">
        <v>1486</v>
      </c>
      <c r="P11" s="6" t="s">
        <v>2930</v>
      </c>
      <c r="Q11" s="72"/>
      <c r="R11" s="6" t="s">
        <v>2931</v>
      </c>
      <c r="S11" s="72"/>
      <c r="T11" s="72"/>
      <c r="U11" s="72"/>
      <c r="V11" s="72"/>
      <c r="W11" s="72"/>
      <c r="X11" s="72"/>
      <c r="Y11" s="72"/>
      <c r="Z11" s="72"/>
      <c r="AA11" s="72"/>
      <c r="AB11" s="72"/>
      <c r="AC11" s="6" t="s">
        <v>2932</v>
      </c>
      <c r="AD11" s="6" t="s">
        <v>2933</v>
      </c>
      <c r="AE11" s="6" t="s">
        <v>2934</v>
      </c>
      <c r="AF11" s="72"/>
      <c r="AG11" s="72"/>
      <c r="AH11" s="72"/>
      <c r="AI11" s="72"/>
      <c r="AJ11" s="72"/>
      <c r="AK11" s="72"/>
      <c r="AL11" s="72"/>
      <c r="AM11" s="72"/>
      <c r="AN11" s="72"/>
      <c r="AO11" s="72"/>
      <c r="AP11" s="72"/>
      <c r="AQ11" s="72"/>
      <c r="AR11" s="72"/>
      <c r="AS11" s="72"/>
      <c r="AT11" s="72"/>
      <c r="AU11" s="72"/>
      <c r="AV11" s="72"/>
      <c r="AW11" s="6" t="s">
        <v>2935</v>
      </c>
      <c r="AX11" s="72"/>
    </row>
    <row r="12" customFormat="false" ht="46.25" hidden="false" customHeight="false" outlineLevel="0" collapsed="false">
      <c r="A12" s="36" t="s">
        <v>219</v>
      </c>
      <c r="B12" s="6" t="s">
        <v>220</v>
      </c>
      <c r="C12" s="37" t="s">
        <v>109</v>
      </c>
      <c r="D12" s="6" t="s">
        <v>675</v>
      </c>
      <c r="E12" s="72"/>
      <c r="F12" s="6" t="s">
        <v>2936</v>
      </c>
      <c r="G12" s="6" t="s">
        <v>2937</v>
      </c>
      <c r="H12" s="72"/>
      <c r="I12" s="6" t="s">
        <v>1176</v>
      </c>
      <c r="J12" s="72"/>
      <c r="K12" s="72"/>
      <c r="L12" s="72"/>
      <c r="M12" s="72"/>
      <c r="N12" s="72"/>
      <c r="O12" s="72"/>
      <c r="P12" s="6" t="s">
        <v>2938</v>
      </c>
      <c r="Q12" s="72"/>
      <c r="R12" s="6" t="s">
        <v>2939</v>
      </c>
      <c r="S12" s="72"/>
      <c r="T12" s="72"/>
      <c r="U12" s="6" t="s">
        <v>1904</v>
      </c>
      <c r="V12" s="72"/>
      <c r="W12" s="72"/>
      <c r="X12" s="72"/>
      <c r="Y12" s="72"/>
      <c r="Z12" s="72"/>
      <c r="AA12" s="72"/>
      <c r="AB12" s="72"/>
      <c r="AC12" s="6" t="s">
        <v>2940</v>
      </c>
      <c r="AD12" s="6" t="s">
        <v>2941</v>
      </c>
      <c r="AE12" s="6" t="s">
        <v>2942</v>
      </c>
      <c r="AF12" s="72"/>
      <c r="AG12" s="72"/>
      <c r="AH12" s="72"/>
      <c r="AI12" s="72"/>
      <c r="AJ12" s="72"/>
      <c r="AK12" s="72"/>
      <c r="AL12" s="6" t="s">
        <v>2943</v>
      </c>
      <c r="AM12" s="6" t="s">
        <v>2944</v>
      </c>
      <c r="AN12" s="6" t="s">
        <v>2945</v>
      </c>
      <c r="AO12" s="6" t="s">
        <v>2539</v>
      </c>
      <c r="AP12" s="72"/>
      <c r="AQ12" s="72"/>
      <c r="AR12" s="6" t="s">
        <v>2656</v>
      </c>
      <c r="AS12" s="6" t="s">
        <v>2667</v>
      </c>
      <c r="AT12" s="6" t="s">
        <v>2707</v>
      </c>
      <c r="AU12" s="6" t="s">
        <v>2946</v>
      </c>
      <c r="AV12" s="6" t="s">
        <v>2756</v>
      </c>
      <c r="AW12" s="6" t="s">
        <v>2847</v>
      </c>
      <c r="AX12" s="6" t="s">
        <v>2878</v>
      </c>
    </row>
    <row r="13" customFormat="false" ht="124.6" hidden="false" customHeight="false" outlineLevel="0" collapsed="false">
      <c r="A13" s="36" t="s">
        <v>230</v>
      </c>
      <c r="B13" s="6" t="s">
        <v>231</v>
      </c>
      <c r="C13" s="37" t="s">
        <v>108</v>
      </c>
      <c r="D13" s="6" t="s">
        <v>657</v>
      </c>
      <c r="E13" s="6" t="s">
        <v>2947</v>
      </c>
      <c r="F13" s="6" t="s">
        <v>2948</v>
      </c>
      <c r="G13" s="6" t="s">
        <v>2949</v>
      </c>
      <c r="H13" s="72"/>
      <c r="I13" s="6" t="s">
        <v>2950</v>
      </c>
      <c r="J13" s="72"/>
      <c r="K13" s="72"/>
      <c r="L13" s="6" t="s">
        <v>1270</v>
      </c>
      <c r="M13" s="72"/>
      <c r="N13" s="6" t="s">
        <v>1449</v>
      </c>
      <c r="O13" s="72"/>
      <c r="P13" s="6" t="s">
        <v>1624</v>
      </c>
      <c r="Q13" s="72"/>
      <c r="R13" s="6" t="s">
        <v>2951</v>
      </c>
      <c r="S13" s="72"/>
      <c r="T13" s="72"/>
      <c r="U13" s="72"/>
      <c r="V13" s="72"/>
      <c r="W13" s="72"/>
      <c r="X13" s="72"/>
      <c r="Y13" s="72"/>
      <c r="Z13" s="72"/>
      <c r="AA13" s="72"/>
      <c r="AB13" s="72"/>
      <c r="AC13" s="6" t="s">
        <v>2952</v>
      </c>
      <c r="AD13" s="6" t="s">
        <v>2087</v>
      </c>
      <c r="AE13" s="6" t="s">
        <v>2185</v>
      </c>
      <c r="AF13" s="6" t="s">
        <v>2254</v>
      </c>
      <c r="AG13" s="6" t="s">
        <v>2953</v>
      </c>
      <c r="AH13" s="72"/>
      <c r="AI13" s="6" t="s">
        <v>2291</v>
      </c>
      <c r="AJ13" s="6" t="s">
        <v>2313</v>
      </c>
      <c r="AK13" s="72"/>
      <c r="AL13" s="72"/>
      <c r="AM13" s="6" t="s">
        <v>2954</v>
      </c>
      <c r="AN13" s="6" t="s">
        <v>2955</v>
      </c>
      <c r="AO13" s="6" t="s">
        <v>2560</v>
      </c>
      <c r="AP13" s="72"/>
      <c r="AQ13" s="72"/>
      <c r="AR13" s="72"/>
      <c r="AS13" s="72"/>
      <c r="AT13" s="72"/>
      <c r="AU13" s="72"/>
      <c r="AV13" s="72"/>
      <c r="AW13" s="6" t="s">
        <v>2956</v>
      </c>
      <c r="AX13" s="72"/>
    </row>
    <row r="14" customFormat="false" ht="68.65" hidden="false" customHeight="false" outlineLevel="0" collapsed="false">
      <c r="A14" s="36" t="s">
        <v>239</v>
      </c>
      <c r="B14" s="6" t="s">
        <v>240</v>
      </c>
      <c r="C14" s="37" t="s">
        <v>109</v>
      </c>
      <c r="D14" s="72"/>
      <c r="E14" s="6" t="s">
        <v>727</v>
      </c>
      <c r="F14" s="6" t="s">
        <v>2957</v>
      </c>
      <c r="G14" s="6" t="s">
        <v>2958</v>
      </c>
      <c r="H14" s="72"/>
      <c r="I14" s="72"/>
      <c r="J14" s="72"/>
      <c r="K14" s="72"/>
      <c r="L14" s="6" t="s">
        <v>1270</v>
      </c>
      <c r="M14" s="72"/>
      <c r="N14" s="6" t="s">
        <v>1449</v>
      </c>
      <c r="O14" s="72"/>
      <c r="P14" s="6" t="s">
        <v>2959</v>
      </c>
      <c r="Q14" s="72"/>
      <c r="R14" s="6" t="s">
        <v>2960</v>
      </c>
      <c r="S14" s="72"/>
      <c r="T14" s="72"/>
      <c r="U14" s="72"/>
      <c r="V14" s="72"/>
      <c r="W14" s="72"/>
      <c r="X14" s="72"/>
      <c r="Y14" s="6" t="s">
        <v>1957</v>
      </c>
      <c r="Z14" s="72"/>
      <c r="AA14" s="72"/>
      <c r="AB14" s="72"/>
      <c r="AC14" s="6" t="s">
        <v>2961</v>
      </c>
      <c r="AD14" s="6" t="s">
        <v>2962</v>
      </c>
      <c r="AE14" s="6" t="s">
        <v>2963</v>
      </c>
      <c r="AF14" s="72"/>
      <c r="AG14" s="72"/>
      <c r="AH14" s="72"/>
      <c r="AI14" s="72"/>
      <c r="AJ14" s="72"/>
      <c r="AK14" s="72"/>
      <c r="AL14" s="72"/>
      <c r="AM14" s="6" t="s">
        <v>2471</v>
      </c>
      <c r="AN14" s="72"/>
      <c r="AO14" s="72"/>
      <c r="AP14" s="72"/>
      <c r="AQ14" s="72"/>
      <c r="AR14" s="72"/>
      <c r="AS14" s="72"/>
      <c r="AT14" s="72"/>
      <c r="AU14" s="72"/>
      <c r="AV14" s="72"/>
      <c r="AW14" s="6" t="s">
        <v>2964</v>
      </c>
      <c r="AX14" s="72"/>
    </row>
    <row r="15" customFormat="false" ht="35.05" hidden="false" customHeight="false" outlineLevel="0" collapsed="false">
      <c r="A15" s="36" t="s">
        <v>248</v>
      </c>
      <c r="B15" s="6" t="s">
        <v>249</v>
      </c>
      <c r="C15" s="37" t="s">
        <v>109</v>
      </c>
      <c r="D15" s="6" t="s">
        <v>675</v>
      </c>
      <c r="E15" s="72"/>
      <c r="F15" s="6" t="s">
        <v>2965</v>
      </c>
      <c r="G15" s="6" t="s">
        <v>2966</v>
      </c>
      <c r="H15" s="72"/>
      <c r="I15" s="72"/>
      <c r="J15" s="6" t="s">
        <v>1190</v>
      </c>
      <c r="K15" s="72"/>
      <c r="L15" s="72"/>
      <c r="M15" s="6" t="s">
        <v>1330</v>
      </c>
      <c r="N15" s="6" t="s">
        <v>1439</v>
      </c>
      <c r="O15" s="72"/>
      <c r="P15" s="6" t="s">
        <v>2967</v>
      </c>
      <c r="Q15" s="72"/>
      <c r="R15" s="6" t="s">
        <v>2968</v>
      </c>
      <c r="S15" s="72"/>
      <c r="T15" s="72"/>
      <c r="U15" s="72"/>
      <c r="V15" s="72"/>
      <c r="W15" s="72"/>
      <c r="X15" s="72"/>
      <c r="Y15" s="72"/>
      <c r="Z15" s="72"/>
      <c r="AA15" s="72"/>
      <c r="AB15" s="72"/>
      <c r="AC15" s="6" t="s">
        <v>2969</v>
      </c>
      <c r="AD15" s="6" t="s">
        <v>2896</v>
      </c>
      <c r="AE15" s="6" t="s">
        <v>2970</v>
      </c>
      <c r="AF15" s="72"/>
      <c r="AG15" s="72"/>
      <c r="AH15" s="72"/>
      <c r="AI15" s="72"/>
      <c r="AJ15" s="72"/>
      <c r="AK15" s="72"/>
      <c r="AL15" s="72"/>
      <c r="AM15" s="6" t="s">
        <v>2420</v>
      </c>
      <c r="AN15" s="72"/>
      <c r="AO15" s="72"/>
      <c r="AP15" s="72"/>
      <c r="AQ15" s="72"/>
      <c r="AR15" s="72"/>
      <c r="AS15" s="72"/>
      <c r="AT15" s="72"/>
      <c r="AU15" s="72"/>
      <c r="AV15" s="72"/>
      <c r="AW15" s="6" t="s">
        <v>2971</v>
      </c>
      <c r="AX15" s="72"/>
    </row>
    <row r="16" customFormat="false" ht="158.2" hidden="false" customHeight="false" outlineLevel="0" collapsed="false">
      <c r="A16" s="36" t="s">
        <v>255</v>
      </c>
      <c r="B16" s="6" t="s">
        <v>256</v>
      </c>
      <c r="C16" s="37" t="s">
        <v>108</v>
      </c>
      <c r="D16" s="6" t="s">
        <v>2972</v>
      </c>
      <c r="E16" s="72"/>
      <c r="F16" s="6" t="s">
        <v>2973</v>
      </c>
      <c r="G16" s="6" t="s">
        <v>2974</v>
      </c>
      <c r="H16" s="72"/>
      <c r="I16" s="6" t="s">
        <v>2975</v>
      </c>
      <c r="J16" s="72"/>
      <c r="K16" s="72"/>
      <c r="L16" s="72"/>
      <c r="M16" s="72"/>
      <c r="N16" s="72"/>
      <c r="O16" s="72"/>
      <c r="P16" s="6" t="s">
        <v>2976</v>
      </c>
      <c r="Q16" s="72"/>
      <c r="R16" s="6" t="s">
        <v>2977</v>
      </c>
      <c r="S16" s="72"/>
      <c r="T16" s="72"/>
      <c r="U16" s="6" t="s">
        <v>1896</v>
      </c>
      <c r="V16" s="6" t="s">
        <v>2978</v>
      </c>
      <c r="W16" s="6" t="s">
        <v>1930</v>
      </c>
      <c r="X16" s="72"/>
      <c r="Y16" s="6" t="s">
        <v>1963</v>
      </c>
      <c r="Z16" s="72"/>
      <c r="AA16" s="72"/>
      <c r="AB16" s="72"/>
      <c r="AC16" s="6" t="s">
        <v>2979</v>
      </c>
      <c r="AD16" s="6" t="s">
        <v>2980</v>
      </c>
      <c r="AE16" s="6" t="s">
        <v>2981</v>
      </c>
      <c r="AF16" s="6" t="s">
        <v>2982</v>
      </c>
      <c r="AG16" s="72"/>
      <c r="AH16" s="72"/>
      <c r="AI16" s="72"/>
      <c r="AJ16" s="72"/>
      <c r="AK16" s="72"/>
      <c r="AL16" s="72"/>
      <c r="AM16" s="6" t="s">
        <v>2983</v>
      </c>
      <c r="AN16" s="6" t="s">
        <v>2984</v>
      </c>
      <c r="AO16" s="6" t="s">
        <v>2985</v>
      </c>
      <c r="AP16" s="6" t="s">
        <v>2585</v>
      </c>
      <c r="AQ16" s="72"/>
      <c r="AR16" s="6" t="s">
        <v>2651</v>
      </c>
      <c r="AS16" s="6" t="s">
        <v>2986</v>
      </c>
      <c r="AT16" s="6" t="s">
        <v>2693</v>
      </c>
      <c r="AU16" s="6" t="s">
        <v>2987</v>
      </c>
      <c r="AV16" s="72"/>
      <c r="AW16" s="6" t="s">
        <v>2988</v>
      </c>
      <c r="AX16" s="72"/>
    </row>
    <row r="17" customFormat="false" ht="270.1" hidden="false" customHeight="false" outlineLevel="0" collapsed="false">
      <c r="A17" s="36" t="s">
        <v>263</v>
      </c>
      <c r="B17" s="6" t="s">
        <v>264</v>
      </c>
      <c r="C17" s="37" t="s">
        <v>108</v>
      </c>
      <c r="D17" s="6" t="s">
        <v>2989</v>
      </c>
      <c r="E17" s="72"/>
      <c r="F17" s="6" t="s">
        <v>2990</v>
      </c>
      <c r="G17" s="6" t="s">
        <v>2991</v>
      </c>
      <c r="H17" s="6" t="s">
        <v>1143</v>
      </c>
      <c r="I17" s="6" t="s">
        <v>2992</v>
      </c>
      <c r="J17" s="72"/>
      <c r="K17" s="72"/>
      <c r="L17" s="72"/>
      <c r="M17" s="72"/>
      <c r="N17" s="6" t="s">
        <v>1433</v>
      </c>
      <c r="O17" s="72"/>
      <c r="P17" s="6" t="s">
        <v>2993</v>
      </c>
      <c r="Q17" s="72"/>
      <c r="R17" s="6" t="s">
        <v>2994</v>
      </c>
      <c r="S17" s="72"/>
      <c r="T17" s="6" t="s">
        <v>1885</v>
      </c>
      <c r="U17" s="72"/>
      <c r="V17" s="72"/>
      <c r="W17" s="72"/>
      <c r="X17" s="72"/>
      <c r="Y17" s="72"/>
      <c r="Z17" s="72"/>
      <c r="AA17" s="72"/>
      <c r="AB17" s="72"/>
      <c r="AC17" s="6" t="s">
        <v>2995</v>
      </c>
      <c r="AD17" s="72"/>
      <c r="AE17" s="6" t="s">
        <v>2996</v>
      </c>
      <c r="AF17" s="6" t="s">
        <v>2254</v>
      </c>
      <c r="AG17" s="6" t="s">
        <v>2255</v>
      </c>
      <c r="AH17" s="6" t="s">
        <v>2997</v>
      </c>
      <c r="AI17" s="72"/>
      <c r="AJ17" s="6" t="s">
        <v>2313</v>
      </c>
      <c r="AK17" s="6" t="s">
        <v>2346</v>
      </c>
      <c r="AL17" s="72"/>
      <c r="AM17" s="6" t="s">
        <v>2998</v>
      </c>
      <c r="AN17" s="6" t="s">
        <v>2999</v>
      </c>
      <c r="AO17" s="6" t="s">
        <v>3000</v>
      </c>
      <c r="AP17" s="6" t="s">
        <v>3001</v>
      </c>
      <c r="AQ17" s="6" t="s">
        <v>3002</v>
      </c>
      <c r="AR17" s="6" t="s">
        <v>2658</v>
      </c>
      <c r="AS17" s="6" t="s">
        <v>3003</v>
      </c>
      <c r="AT17" s="6" t="s">
        <v>3004</v>
      </c>
      <c r="AU17" s="6" t="s">
        <v>2722</v>
      </c>
      <c r="AV17" s="6" t="s">
        <v>3005</v>
      </c>
      <c r="AW17" s="6" t="s">
        <v>3006</v>
      </c>
      <c r="AX17" s="6" t="s">
        <v>3007</v>
      </c>
    </row>
    <row r="18" customFormat="false" ht="102.2" hidden="false" customHeight="false" outlineLevel="0" collapsed="false">
      <c r="A18" s="36" t="s">
        <v>272</v>
      </c>
      <c r="B18" s="6" t="s">
        <v>273</v>
      </c>
      <c r="C18" s="37" t="s">
        <v>108</v>
      </c>
      <c r="D18" s="6" t="s">
        <v>3008</v>
      </c>
      <c r="E18" s="6" t="s">
        <v>760</v>
      </c>
      <c r="F18" s="6" t="s">
        <v>3009</v>
      </c>
      <c r="G18" s="6" t="s">
        <v>3010</v>
      </c>
      <c r="H18" s="6" t="s">
        <v>1130</v>
      </c>
      <c r="I18" s="6" t="s">
        <v>3011</v>
      </c>
      <c r="J18" s="6" t="s">
        <v>1190</v>
      </c>
      <c r="K18" s="72"/>
      <c r="L18" s="72"/>
      <c r="M18" s="6" t="s">
        <v>1330</v>
      </c>
      <c r="N18" s="72"/>
      <c r="O18" s="72"/>
      <c r="P18" s="6" t="s">
        <v>3012</v>
      </c>
      <c r="Q18" s="72"/>
      <c r="R18" s="6" t="s">
        <v>3013</v>
      </c>
      <c r="S18" s="72"/>
      <c r="T18" s="72"/>
      <c r="U18" s="72"/>
      <c r="V18" s="72"/>
      <c r="W18" s="6" t="s">
        <v>3014</v>
      </c>
      <c r="X18" s="6" t="s">
        <v>1937</v>
      </c>
      <c r="Y18" s="72"/>
      <c r="Z18" s="72"/>
      <c r="AA18" s="72"/>
      <c r="AB18" s="72"/>
      <c r="AC18" s="6" t="s">
        <v>3015</v>
      </c>
      <c r="AD18" s="6" t="s">
        <v>2072</v>
      </c>
      <c r="AE18" s="6" t="s">
        <v>3016</v>
      </c>
      <c r="AF18" s="6" t="s">
        <v>3017</v>
      </c>
      <c r="AG18" s="6" t="s">
        <v>2262</v>
      </c>
      <c r="AH18" s="6" t="s">
        <v>2281</v>
      </c>
      <c r="AI18" s="6" t="s">
        <v>2295</v>
      </c>
      <c r="AJ18" s="6" t="s">
        <v>2318</v>
      </c>
      <c r="AK18" s="6" t="s">
        <v>2360</v>
      </c>
      <c r="AL18" s="6" t="s">
        <v>3018</v>
      </c>
      <c r="AM18" s="6" t="s">
        <v>3019</v>
      </c>
      <c r="AN18" s="6" t="s">
        <v>3020</v>
      </c>
      <c r="AO18" s="6" t="s">
        <v>3021</v>
      </c>
      <c r="AP18" s="6" t="s">
        <v>3022</v>
      </c>
      <c r="AQ18" s="6" t="s">
        <v>3023</v>
      </c>
      <c r="AR18" s="6" t="s">
        <v>3024</v>
      </c>
      <c r="AS18" s="6" t="s">
        <v>3025</v>
      </c>
      <c r="AT18" s="6" t="s">
        <v>3026</v>
      </c>
      <c r="AU18" s="6" t="s">
        <v>3027</v>
      </c>
      <c r="AV18" s="6" t="s">
        <v>2756</v>
      </c>
      <c r="AW18" s="6" t="s">
        <v>3028</v>
      </c>
      <c r="AX18" s="6" t="s">
        <v>2878</v>
      </c>
    </row>
    <row r="19" customFormat="false" ht="337.3" hidden="false" customHeight="false" outlineLevel="0" collapsed="false">
      <c r="A19" s="36" t="s">
        <v>282</v>
      </c>
      <c r="B19" s="6" t="s">
        <v>283</v>
      </c>
      <c r="C19" s="37" t="s">
        <v>108</v>
      </c>
      <c r="D19" s="6" t="s">
        <v>3029</v>
      </c>
      <c r="E19" s="6" t="s">
        <v>760</v>
      </c>
      <c r="F19" s="6" t="s">
        <v>3030</v>
      </c>
      <c r="G19" s="6" t="s">
        <v>3031</v>
      </c>
      <c r="H19" s="6" t="s">
        <v>1146</v>
      </c>
      <c r="I19" s="6" t="s">
        <v>3032</v>
      </c>
      <c r="J19" s="6" t="s">
        <v>1194</v>
      </c>
      <c r="K19" s="72"/>
      <c r="L19" s="72"/>
      <c r="M19" s="6" t="s">
        <v>3033</v>
      </c>
      <c r="N19" s="72"/>
      <c r="O19" s="72"/>
      <c r="P19" s="6" t="s">
        <v>3034</v>
      </c>
      <c r="Q19" s="72"/>
      <c r="R19" s="6" t="s">
        <v>3035</v>
      </c>
      <c r="S19" s="72"/>
      <c r="T19" s="72"/>
      <c r="U19" s="72"/>
      <c r="V19" s="6" t="s">
        <v>1913</v>
      </c>
      <c r="W19" s="72"/>
      <c r="X19" s="72"/>
      <c r="Y19" s="6" t="s">
        <v>1949</v>
      </c>
      <c r="Z19" s="72"/>
      <c r="AA19" s="72"/>
      <c r="AB19" s="6" t="s">
        <v>1993</v>
      </c>
      <c r="AC19" s="6" t="s">
        <v>2021</v>
      </c>
      <c r="AD19" s="6" t="s">
        <v>2105</v>
      </c>
      <c r="AE19" s="6" t="s">
        <v>2202</v>
      </c>
      <c r="AF19" s="72"/>
      <c r="AG19" s="72"/>
      <c r="AH19" s="72"/>
      <c r="AI19" s="72"/>
      <c r="AJ19" s="72"/>
      <c r="AK19" s="72"/>
      <c r="AL19" s="6" t="s">
        <v>2384</v>
      </c>
      <c r="AM19" s="6" t="s">
        <v>2465</v>
      </c>
      <c r="AN19" s="6" t="s">
        <v>3036</v>
      </c>
      <c r="AO19" s="72"/>
      <c r="AP19" s="6" t="s">
        <v>3037</v>
      </c>
      <c r="AQ19" s="6" t="s">
        <v>2647</v>
      </c>
      <c r="AR19" s="6" t="s">
        <v>2660</v>
      </c>
      <c r="AS19" s="72"/>
      <c r="AT19" s="72"/>
      <c r="AU19" s="6" t="s">
        <v>3038</v>
      </c>
      <c r="AV19" s="6" t="s">
        <v>2760</v>
      </c>
      <c r="AW19" s="6" t="s">
        <v>3039</v>
      </c>
      <c r="AX19" s="72"/>
    </row>
    <row r="20" customFormat="false" ht="158.2" hidden="false" customHeight="false" outlineLevel="0" collapsed="false">
      <c r="A20" s="36" t="s">
        <v>291</v>
      </c>
      <c r="B20" s="6" t="s">
        <v>292</v>
      </c>
      <c r="C20" s="37" t="s">
        <v>108</v>
      </c>
      <c r="D20" s="6" t="s">
        <v>3040</v>
      </c>
      <c r="E20" s="6" t="s">
        <v>794</v>
      </c>
      <c r="F20" s="6" t="s">
        <v>3041</v>
      </c>
      <c r="G20" s="6" t="s">
        <v>3042</v>
      </c>
      <c r="H20" s="72"/>
      <c r="I20" s="6" t="s">
        <v>3043</v>
      </c>
      <c r="J20" s="6" t="s">
        <v>1206</v>
      </c>
      <c r="K20" s="6" t="s">
        <v>3044</v>
      </c>
      <c r="L20" s="6" t="s">
        <v>3045</v>
      </c>
      <c r="M20" s="6" t="s">
        <v>3046</v>
      </c>
      <c r="N20" s="6" t="s">
        <v>1435</v>
      </c>
      <c r="O20" s="72"/>
      <c r="P20" s="72"/>
      <c r="Q20" s="72"/>
      <c r="R20" s="6" t="s">
        <v>3047</v>
      </c>
      <c r="S20" s="72"/>
      <c r="T20" s="72"/>
      <c r="U20" s="72"/>
      <c r="V20" s="72"/>
      <c r="W20" s="72"/>
      <c r="X20" s="72"/>
      <c r="Y20" s="72"/>
      <c r="Z20" s="72"/>
      <c r="AA20" s="72"/>
      <c r="AB20" s="72"/>
      <c r="AC20" s="6" t="s">
        <v>2034</v>
      </c>
      <c r="AD20" s="6" t="s">
        <v>3048</v>
      </c>
      <c r="AE20" s="6" t="s">
        <v>3049</v>
      </c>
      <c r="AF20" s="72"/>
      <c r="AG20" s="72"/>
      <c r="AH20" s="72"/>
      <c r="AI20" s="72"/>
      <c r="AJ20" s="72"/>
      <c r="AK20" s="72"/>
      <c r="AL20" s="72"/>
      <c r="AM20" s="72"/>
      <c r="AN20" s="72"/>
      <c r="AO20" s="72"/>
      <c r="AP20" s="72"/>
      <c r="AQ20" s="72"/>
      <c r="AR20" s="72"/>
      <c r="AS20" s="72"/>
      <c r="AT20" s="72"/>
      <c r="AU20" s="72"/>
      <c r="AV20" s="72"/>
      <c r="AW20" s="72"/>
      <c r="AX20" s="72"/>
    </row>
    <row r="21" customFormat="false" ht="169.4" hidden="false" customHeight="false" outlineLevel="0" collapsed="false">
      <c r="A21" s="36" t="s">
        <v>300</v>
      </c>
      <c r="B21" s="6" t="s">
        <v>301</v>
      </c>
      <c r="C21" s="37" t="s">
        <v>108</v>
      </c>
      <c r="D21" s="6" t="s">
        <v>3050</v>
      </c>
      <c r="E21" s="6" t="s">
        <v>3051</v>
      </c>
      <c r="F21" s="6" t="s">
        <v>3052</v>
      </c>
      <c r="G21" s="6" t="s">
        <v>2910</v>
      </c>
      <c r="H21" s="72"/>
      <c r="I21" s="6" t="s">
        <v>3053</v>
      </c>
      <c r="J21" s="6" t="s">
        <v>1206</v>
      </c>
      <c r="K21" s="6" t="s">
        <v>1229</v>
      </c>
      <c r="L21" s="6" t="s">
        <v>3054</v>
      </c>
      <c r="M21" s="6" t="s">
        <v>3055</v>
      </c>
      <c r="N21" s="6" t="s">
        <v>3056</v>
      </c>
      <c r="O21" s="6" t="s">
        <v>1559</v>
      </c>
      <c r="P21" s="72"/>
      <c r="Q21" s="72"/>
      <c r="R21" s="6" t="s">
        <v>3057</v>
      </c>
      <c r="S21" s="72"/>
      <c r="T21" s="72"/>
      <c r="U21" s="72"/>
      <c r="V21" s="72"/>
      <c r="W21" s="72"/>
      <c r="X21" s="72"/>
      <c r="Y21" s="72"/>
      <c r="Z21" s="72"/>
      <c r="AA21" s="72"/>
      <c r="AB21" s="72"/>
      <c r="AC21" s="6" t="s">
        <v>2034</v>
      </c>
      <c r="AD21" s="6" t="s">
        <v>3048</v>
      </c>
      <c r="AE21" s="6" t="s">
        <v>3058</v>
      </c>
      <c r="AF21" s="72"/>
      <c r="AG21" s="72"/>
      <c r="AH21" s="72"/>
      <c r="AI21" s="72"/>
      <c r="AJ21" s="72"/>
      <c r="AK21" s="72"/>
      <c r="AL21" s="72"/>
      <c r="AM21" s="72"/>
      <c r="AN21" s="72"/>
      <c r="AO21" s="72"/>
      <c r="AP21" s="72"/>
      <c r="AQ21" s="72"/>
      <c r="AR21" s="72"/>
      <c r="AS21" s="72"/>
      <c r="AT21" s="72"/>
      <c r="AU21" s="72"/>
      <c r="AV21" s="72"/>
      <c r="AW21" s="6" t="s">
        <v>3059</v>
      </c>
      <c r="AX21" s="72"/>
    </row>
    <row r="22" customFormat="false" ht="91" hidden="false" customHeight="false" outlineLevel="0" collapsed="false">
      <c r="A22" s="36" t="s">
        <v>307</v>
      </c>
      <c r="B22" s="6" t="s">
        <v>308</v>
      </c>
      <c r="C22" s="37" t="s">
        <v>108</v>
      </c>
      <c r="D22" s="6" t="s">
        <v>3060</v>
      </c>
      <c r="E22" s="6" t="s">
        <v>3061</v>
      </c>
      <c r="F22" s="6" t="s">
        <v>3062</v>
      </c>
      <c r="G22" s="6" t="s">
        <v>3063</v>
      </c>
      <c r="H22" s="6" t="s">
        <v>1130</v>
      </c>
      <c r="I22" s="72"/>
      <c r="J22" s="6" t="s">
        <v>1190</v>
      </c>
      <c r="K22" s="72"/>
      <c r="L22" s="72"/>
      <c r="M22" s="6" t="s">
        <v>3064</v>
      </c>
      <c r="N22" s="6" t="s">
        <v>3065</v>
      </c>
      <c r="O22" s="6" t="s">
        <v>3066</v>
      </c>
      <c r="P22" s="6" t="s">
        <v>3067</v>
      </c>
      <c r="Q22" s="72"/>
      <c r="R22" s="6" t="s">
        <v>3068</v>
      </c>
      <c r="S22" s="72"/>
      <c r="T22" s="72"/>
      <c r="U22" s="72"/>
      <c r="V22" s="72"/>
      <c r="W22" s="6" t="s">
        <v>1926</v>
      </c>
      <c r="X22" s="6" t="s">
        <v>1937</v>
      </c>
      <c r="Y22" s="6" t="s">
        <v>1961</v>
      </c>
      <c r="Z22" s="6" t="s">
        <v>1969</v>
      </c>
      <c r="AA22" s="72"/>
      <c r="AB22" s="6" t="s">
        <v>1987</v>
      </c>
      <c r="AC22" s="6" t="s">
        <v>3069</v>
      </c>
      <c r="AD22" s="6" t="s">
        <v>2072</v>
      </c>
      <c r="AE22" s="6" t="s">
        <v>3070</v>
      </c>
      <c r="AF22" s="72"/>
      <c r="AG22" s="6" t="s">
        <v>2262</v>
      </c>
      <c r="AH22" s="6" t="s">
        <v>2281</v>
      </c>
      <c r="AI22" s="6" t="s">
        <v>2295</v>
      </c>
      <c r="AJ22" s="6" t="s">
        <v>2318</v>
      </c>
      <c r="AK22" s="72"/>
      <c r="AL22" s="6" t="s">
        <v>2378</v>
      </c>
      <c r="AM22" s="6" t="s">
        <v>3071</v>
      </c>
      <c r="AN22" s="6" t="s">
        <v>2493</v>
      </c>
      <c r="AO22" s="6" t="s">
        <v>2539</v>
      </c>
      <c r="AP22" s="6" t="s">
        <v>2622</v>
      </c>
      <c r="AQ22" s="72"/>
      <c r="AR22" s="6" t="s">
        <v>2656</v>
      </c>
      <c r="AS22" s="72"/>
      <c r="AT22" s="72"/>
      <c r="AU22" s="6" t="s">
        <v>2715</v>
      </c>
      <c r="AV22" s="72"/>
      <c r="AW22" s="6" t="s">
        <v>3028</v>
      </c>
      <c r="AX22" s="72"/>
    </row>
    <row r="23" customFormat="false" ht="57.45" hidden="false" customHeight="false" outlineLevel="0" collapsed="false">
      <c r="A23" s="36" t="s">
        <v>315</v>
      </c>
      <c r="B23" s="6" t="s">
        <v>316</v>
      </c>
      <c r="C23" s="37" t="s">
        <v>108</v>
      </c>
      <c r="D23" s="6" t="s">
        <v>687</v>
      </c>
      <c r="E23" s="6" t="s">
        <v>3072</v>
      </c>
      <c r="F23" s="6" t="s">
        <v>3073</v>
      </c>
      <c r="G23" s="6" t="s">
        <v>3063</v>
      </c>
      <c r="H23" s="72"/>
      <c r="I23" s="6" t="s">
        <v>1147</v>
      </c>
      <c r="J23" s="6" t="s">
        <v>3074</v>
      </c>
      <c r="K23" s="72"/>
      <c r="L23" s="6" t="s">
        <v>1276</v>
      </c>
      <c r="M23" s="6" t="s">
        <v>3075</v>
      </c>
      <c r="N23" s="6" t="s">
        <v>3076</v>
      </c>
      <c r="O23" s="6" t="s">
        <v>1548</v>
      </c>
      <c r="P23" s="72"/>
      <c r="Q23" s="72"/>
      <c r="R23" s="6" t="s">
        <v>3077</v>
      </c>
      <c r="S23" s="72"/>
      <c r="T23" s="72"/>
      <c r="U23" s="72"/>
      <c r="V23" s="72"/>
      <c r="W23" s="72"/>
      <c r="X23" s="72"/>
      <c r="Y23" s="72"/>
      <c r="Z23" s="72"/>
      <c r="AA23" s="72"/>
      <c r="AB23" s="72"/>
      <c r="AC23" s="6" t="s">
        <v>3078</v>
      </c>
      <c r="AD23" s="6" t="s">
        <v>3079</v>
      </c>
      <c r="AE23" s="6" t="s">
        <v>3058</v>
      </c>
      <c r="AF23" s="72"/>
      <c r="AG23" s="72"/>
      <c r="AH23" s="72"/>
      <c r="AI23" s="72"/>
      <c r="AJ23" s="72"/>
      <c r="AK23" s="72"/>
      <c r="AL23" s="72"/>
      <c r="AM23" s="72"/>
      <c r="AN23" s="72"/>
      <c r="AO23" s="72"/>
      <c r="AP23" s="72"/>
      <c r="AQ23" s="72"/>
      <c r="AR23" s="72"/>
      <c r="AS23" s="72"/>
      <c r="AT23" s="72"/>
      <c r="AU23" s="72"/>
      <c r="AV23" s="72"/>
      <c r="AW23" s="72"/>
      <c r="AX23" s="72"/>
    </row>
    <row r="24" customFormat="false" ht="113.4" hidden="false" customHeight="false" outlineLevel="0" collapsed="false">
      <c r="A24" s="36" t="s">
        <v>324</v>
      </c>
      <c r="B24" s="6" t="s">
        <v>325</v>
      </c>
      <c r="C24" s="37" t="s">
        <v>109</v>
      </c>
      <c r="D24" s="6" t="s">
        <v>3080</v>
      </c>
      <c r="E24" s="6" t="s">
        <v>3081</v>
      </c>
      <c r="F24" s="6" t="s">
        <v>3082</v>
      </c>
      <c r="G24" s="6" t="s">
        <v>3083</v>
      </c>
      <c r="H24" s="72"/>
      <c r="I24" s="72"/>
      <c r="J24" s="6" t="s">
        <v>3084</v>
      </c>
      <c r="K24" s="72"/>
      <c r="L24" s="72"/>
      <c r="M24" s="6" t="s">
        <v>3085</v>
      </c>
      <c r="N24" s="6" t="s">
        <v>1453</v>
      </c>
      <c r="O24" s="6" t="s">
        <v>3086</v>
      </c>
      <c r="P24" s="6" t="s">
        <v>3087</v>
      </c>
      <c r="Q24" s="72"/>
      <c r="R24" s="6" t="s">
        <v>1875</v>
      </c>
      <c r="S24" s="72"/>
      <c r="T24" s="72"/>
      <c r="U24" s="72"/>
      <c r="V24" s="72"/>
      <c r="W24" s="72"/>
      <c r="X24" s="72"/>
      <c r="Y24" s="6" t="s">
        <v>1966</v>
      </c>
      <c r="Z24" s="72"/>
      <c r="AA24" s="72"/>
      <c r="AB24" s="6" t="s">
        <v>1989</v>
      </c>
      <c r="AC24" s="6" t="s">
        <v>2040</v>
      </c>
      <c r="AD24" s="72"/>
      <c r="AE24" s="6" t="s">
        <v>3088</v>
      </c>
      <c r="AF24" s="72"/>
      <c r="AG24" s="72"/>
      <c r="AH24" s="72"/>
      <c r="AI24" s="72"/>
      <c r="AJ24" s="72"/>
      <c r="AK24" s="72"/>
      <c r="AL24" s="72"/>
      <c r="AM24" s="72"/>
      <c r="AN24" s="72"/>
      <c r="AO24" s="72"/>
      <c r="AP24" s="72"/>
      <c r="AQ24" s="72"/>
      <c r="AR24" s="72"/>
      <c r="AS24" s="72"/>
      <c r="AT24" s="72"/>
      <c r="AU24" s="72"/>
      <c r="AV24" s="72"/>
      <c r="AW24" s="72"/>
      <c r="AX24" s="72"/>
    </row>
    <row r="25" customFormat="false" ht="79.85" hidden="false" customHeight="false" outlineLevel="0" collapsed="false">
      <c r="A25" s="36" t="s">
        <v>331</v>
      </c>
      <c r="B25" s="6" t="s">
        <v>332</v>
      </c>
      <c r="C25" s="37" t="s">
        <v>108</v>
      </c>
      <c r="D25" s="6" t="s">
        <v>2907</v>
      </c>
      <c r="E25" s="6" t="s">
        <v>3089</v>
      </c>
      <c r="F25" s="6" t="s">
        <v>2909</v>
      </c>
      <c r="G25" s="6" t="s">
        <v>3063</v>
      </c>
      <c r="H25" s="72"/>
      <c r="I25" s="72"/>
      <c r="J25" s="6" t="s">
        <v>3090</v>
      </c>
      <c r="K25" s="72"/>
      <c r="L25" s="6" t="s">
        <v>1260</v>
      </c>
      <c r="M25" s="6" t="s">
        <v>3091</v>
      </c>
      <c r="N25" s="6" t="s">
        <v>3092</v>
      </c>
      <c r="O25" s="6" t="s">
        <v>3093</v>
      </c>
      <c r="P25" s="6" t="s">
        <v>2915</v>
      </c>
      <c r="Q25" s="72"/>
      <c r="R25" s="6" t="s">
        <v>3094</v>
      </c>
      <c r="S25" s="72"/>
      <c r="T25" s="72"/>
      <c r="U25" s="72"/>
      <c r="V25" s="72"/>
      <c r="W25" s="72"/>
      <c r="X25" s="72"/>
      <c r="Y25" s="72"/>
      <c r="Z25" s="72"/>
      <c r="AA25" s="72"/>
      <c r="AB25" s="72"/>
      <c r="AC25" s="6" t="s">
        <v>2047</v>
      </c>
      <c r="AD25" s="6" t="s">
        <v>2108</v>
      </c>
      <c r="AE25" s="6" t="s">
        <v>2233</v>
      </c>
      <c r="AF25" s="72"/>
      <c r="AG25" s="72"/>
      <c r="AH25" s="72"/>
      <c r="AI25" s="72"/>
      <c r="AJ25" s="72"/>
      <c r="AK25" s="72"/>
      <c r="AL25" s="72"/>
      <c r="AM25" s="72"/>
      <c r="AN25" s="72"/>
      <c r="AO25" s="72"/>
      <c r="AP25" s="72"/>
      <c r="AQ25" s="72"/>
      <c r="AR25" s="72"/>
      <c r="AS25" s="72"/>
      <c r="AT25" s="72"/>
      <c r="AU25" s="72"/>
      <c r="AV25" s="72"/>
      <c r="AW25" s="72"/>
      <c r="AX25" s="72"/>
    </row>
    <row r="26" customFormat="false" ht="46.25" hidden="false" customHeight="false" outlineLevel="0" collapsed="false">
      <c r="A26" s="36" t="s">
        <v>339</v>
      </c>
      <c r="B26" s="6" t="s">
        <v>340</v>
      </c>
      <c r="C26" s="37" t="s">
        <v>109</v>
      </c>
      <c r="D26" s="6" t="s">
        <v>3095</v>
      </c>
      <c r="E26" s="72"/>
      <c r="F26" s="6" t="s">
        <v>3096</v>
      </c>
      <c r="G26" s="6" t="s">
        <v>3063</v>
      </c>
      <c r="H26" s="72"/>
      <c r="I26" s="72"/>
      <c r="J26" s="6" t="s">
        <v>3097</v>
      </c>
      <c r="K26" s="72"/>
      <c r="L26" s="72"/>
      <c r="M26" s="6" t="s">
        <v>3098</v>
      </c>
      <c r="N26" s="6" t="s">
        <v>3099</v>
      </c>
      <c r="O26" s="6" t="s">
        <v>1518</v>
      </c>
      <c r="P26" s="6" t="s">
        <v>1611</v>
      </c>
      <c r="Q26" s="72"/>
      <c r="R26" s="6" t="s">
        <v>3100</v>
      </c>
      <c r="S26" s="72"/>
      <c r="T26" s="72"/>
      <c r="U26" s="72"/>
      <c r="V26" s="72"/>
      <c r="W26" s="72"/>
      <c r="X26" s="72"/>
      <c r="Y26" s="72"/>
      <c r="Z26" s="72"/>
      <c r="AA26" s="72"/>
      <c r="AB26" s="72"/>
      <c r="AC26" s="6" t="s">
        <v>2893</v>
      </c>
      <c r="AD26" s="6" t="s">
        <v>3101</v>
      </c>
      <c r="AE26" s="6" t="s">
        <v>3102</v>
      </c>
      <c r="AF26" s="72"/>
      <c r="AG26" s="72"/>
      <c r="AH26" s="72"/>
      <c r="AI26" s="72"/>
      <c r="AJ26" s="72"/>
      <c r="AK26" s="72"/>
      <c r="AL26" s="72"/>
      <c r="AM26" s="72"/>
      <c r="AN26" s="72"/>
      <c r="AO26" s="72"/>
      <c r="AP26" s="72"/>
      <c r="AQ26" s="72"/>
      <c r="AR26" s="72"/>
      <c r="AS26" s="72"/>
      <c r="AT26" s="72"/>
      <c r="AU26" s="72"/>
      <c r="AV26" s="72"/>
      <c r="AW26" s="72"/>
      <c r="AX26" s="72"/>
    </row>
    <row r="27" customFormat="false" ht="91" hidden="false" customHeight="false" outlineLevel="0" collapsed="false">
      <c r="A27" s="36" t="s">
        <v>347</v>
      </c>
      <c r="B27" s="6" t="s">
        <v>348</v>
      </c>
      <c r="C27" s="37" t="s">
        <v>108</v>
      </c>
      <c r="D27" s="6" t="s">
        <v>3103</v>
      </c>
      <c r="E27" s="6" t="s">
        <v>3104</v>
      </c>
      <c r="F27" s="6" t="s">
        <v>3105</v>
      </c>
      <c r="G27" s="6" t="s">
        <v>2910</v>
      </c>
      <c r="H27" s="72"/>
      <c r="I27" s="72"/>
      <c r="J27" s="6" t="s">
        <v>1206</v>
      </c>
      <c r="K27" s="6" t="s">
        <v>1226</v>
      </c>
      <c r="L27" s="6" t="s">
        <v>1263</v>
      </c>
      <c r="M27" s="6" t="s">
        <v>3106</v>
      </c>
      <c r="N27" s="6" t="s">
        <v>3107</v>
      </c>
      <c r="O27" s="6" t="s">
        <v>3108</v>
      </c>
      <c r="P27" s="6" t="s">
        <v>1605</v>
      </c>
      <c r="Q27" s="72"/>
      <c r="R27" s="6" t="s">
        <v>3109</v>
      </c>
      <c r="S27" s="72"/>
      <c r="T27" s="72"/>
      <c r="U27" s="72"/>
      <c r="V27" s="72"/>
      <c r="W27" s="72"/>
      <c r="X27" s="72"/>
      <c r="Y27" s="72"/>
      <c r="Z27" s="72"/>
      <c r="AA27" s="72"/>
      <c r="AB27" s="72"/>
      <c r="AC27" s="6" t="s">
        <v>2034</v>
      </c>
      <c r="AD27" s="6" t="s">
        <v>2081</v>
      </c>
      <c r="AE27" s="6" t="s">
        <v>3058</v>
      </c>
      <c r="AF27" s="72"/>
      <c r="AG27" s="72"/>
      <c r="AH27" s="72"/>
      <c r="AI27" s="72"/>
      <c r="AJ27" s="72"/>
      <c r="AK27" s="72"/>
      <c r="AL27" s="72"/>
      <c r="AM27" s="72"/>
      <c r="AN27" s="72"/>
      <c r="AO27" s="72"/>
      <c r="AP27" s="72"/>
      <c r="AQ27" s="72"/>
      <c r="AR27" s="72"/>
      <c r="AS27" s="72"/>
      <c r="AT27" s="72"/>
      <c r="AU27" s="72"/>
      <c r="AV27" s="72"/>
      <c r="AW27" s="72"/>
      <c r="AX27" s="72"/>
    </row>
    <row r="28" customFormat="false" ht="113.4" hidden="false" customHeight="false" outlineLevel="0" collapsed="false">
      <c r="A28" s="36" t="s">
        <v>356</v>
      </c>
      <c r="B28" s="6" t="s">
        <v>357</v>
      </c>
      <c r="C28" s="37" t="s">
        <v>108</v>
      </c>
      <c r="D28" s="6" t="s">
        <v>3110</v>
      </c>
      <c r="E28" s="6" t="s">
        <v>798</v>
      </c>
      <c r="F28" s="6" t="s">
        <v>3111</v>
      </c>
      <c r="G28" s="6" t="s">
        <v>3112</v>
      </c>
      <c r="H28" s="6" t="s">
        <v>1137</v>
      </c>
      <c r="I28" s="72"/>
      <c r="J28" s="6" t="s">
        <v>1206</v>
      </c>
      <c r="K28" s="6" t="s">
        <v>1242</v>
      </c>
      <c r="L28" s="72"/>
      <c r="M28" s="6" t="s">
        <v>3113</v>
      </c>
      <c r="N28" s="6" t="s">
        <v>1463</v>
      </c>
      <c r="O28" s="6" t="s">
        <v>1486</v>
      </c>
      <c r="P28" s="6" t="s">
        <v>3114</v>
      </c>
      <c r="Q28" s="72"/>
      <c r="R28" s="6" t="s">
        <v>1595</v>
      </c>
      <c r="S28" s="72"/>
      <c r="T28" s="72"/>
      <c r="U28" s="72"/>
      <c r="V28" s="72"/>
      <c r="W28" s="72"/>
      <c r="X28" s="6" t="s">
        <v>1943</v>
      </c>
      <c r="Y28" s="72"/>
      <c r="Z28" s="72"/>
      <c r="AA28" s="72"/>
      <c r="AB28" s="72"/>
      <c r="AC28" s="6" t="s">
        <v>2034</v>
      </c>
      <c r="AD28" s="72"/>
      <c r="AE28" s="72"/>
      <c r="AF28" s="72"/>
      <c r="AG28" s="6" t="s">
        <v>2261</v>
      </c>
      <c r="AH28" s="6" t="s">
        <v>2271</v>
      </c>
      <c r="AI28" s="72"/>
      <c r="AJ28" s="72"/>
      <c r="AK28" s="72"/>
      <c r="AL28" s="6" t="s">
        <v>2364</v>
      </c>
      <c r="AM28" s="6" t="s">
        <v>3115</v>
      </c>
      <c r="AN28" s="6" t="s">
        <v>2484</v>
      </c>
      <c r="AO28" s="6" t="s">
        <v>3116</v>
      </c>
      <c r="AP28" s="6" t="s">
        <v>3117</v>
      </c>
      <c r="AQ28" s="6" t="s">
        <v>2637</v>
      </c>
      <c r="AR28" s="72"/>
      <c r="AS28" s="6" t="s">
        <v>2670</v>
      </c>
      <c r="AT28" s="6" t="s">
        <v>2703</v>
      </c>
      <c r="AU28" s="6" t="s">
        <v>2724</v>
      </c>
      <c r="AV28" s="72"/>
      <c r="AW28" s="6" t="s">
        <v>3118</v>
      </c>
      <c r="AX28" s="6" t="s">
        <v>2866</v>
      </c>
    </row>
    <row r="29" customFormat="false" ht="135.8" hidden="false" customHeight="false" outlineLevel="0" collapsed="false">
      <c r="A29" s="36" t="s">
        <v>363</v>
      </c>
      <c r="B29" s="6" t="s">
        <v>364</v>
      </c>
      <c r="C29" s="37" t="s">
        <v>108</v>
      </c>
      <c r="D29" s="6" t="s">
        <v>3119</v>
      </c>
      <c r="E29" s="6" t="s">
        <v>3120</v>
      </c>
      <c r="F29" s="6" t="s">
        <v>3121</v>
      </c>
      <c r="G29" s="6" t="s">
        <v>3122</v>
      </c>
      <c r="H29" s="6" t="s">
        <v>1146</v>
      </c>
      <c r="I29" s="72"/>
      <c r="J29" s="6" t="s">
        <v>1194</v>
      </c>
      <c r="K29" s="6" t="s">
        <v>3123</v>
      </c>
      <c r="L29" s="6" t="s">
        <v>3124</v>
      </c>
      <c r="M29" s="6" t="s">
        <v>3125</v>
      </c>
      <c r="N29" s="6" t="s">
        <v>3126</v>
      </c>
      <c r="O29" s="6" t="s">
        <v>3127</v>
      </c>
      <c r="P29" s="6" t="s">
        <v>3128</v>
      </c>
      <c r="Q29" s="72"/>
      <c r="R29" s="6" t="s">
        <v>3129</v>
      </c>
      <c r="S29" s="72"/>
      <c r="T29" s="72"/>
      <c r="U29" s="72"/>
      <c r="V29" s="72"/>
      <c r="W29" s="72"/>
      <c r="X29" s="72"/>
      <c r="Y29" s="72"/>
      <c r="Z29" s="72"/>
      <c r="AA29" s="72"/>
      <c r="AB29" s="72"/>
      <c r="AC29" s="6" t="s">
        <v>3130</v>
      </c>
      <c r="AD29" s="6" t="s">
        <v>3131</v>
      </c>
      <c r="AE29" s="6" t="s">
        <v>3132</v>
      </c>
      <c r="AF29" s="72"/>
      <c r="AG29" s="72"/>
      <c r="AH29" s="72"/>
      <c r="AI29" s="72"/>
      <c r="AJ29" s="72"/>
      <c r="AK29" s="72"/>
      <c r="AL29" s="72"/>
      <c r="AM29" s="72"/>
      <c r="AN29" s="72"/>
      <c r="AO29" s="72"/>
      <c r="AP29" s="72"/>
      <c r="AQ29" s="72"/>
      <c r="AR29" s="72"/>
      <c r="AS29" s="72"/>
      <c r="AT29" s="72"/>
      <c r="AU29" s="72"/>
      <c r="AV29" s="72"/>
      <c r="AW29" s="6" t="s">
        <v>3059</v>
      </c>
      <c r="AX29" s="72"/>
    </row>
    <row r="30" customFormat="false" ht="191.75" hidden="false" customHeight="false" outlineLevel="0" collapsed="false">
      <c r="A30" s="36" t="s">
        <v>371</v>
      </c>
      <c r="B30" s="6" t="s">
        <v>372</v>
      </c>
      <c r="C30" s="37" t="s">
        <v>108</v>
      </c>
      <c r="D30" s="6" t="s">
        <v>3133</v>
      </c>
      <c r="E30" s="72"/>
      <c r="F30" s="6" t="s">
        <v>3134</v>
      </c>
      <c r="G30" s="6" t="s">
        <v>3135</v>
      </c>
      <c r="H30" s="72"/>
      <c r="I30" s="6" t="s">
        <v>1175</v>
      </c>
      <c r="J30" s="6" t="s">
        <v>1206</v>
      </c>
      <c r="K30" s="6" t="s">
        <v>3136</v>
      </c>
      <c r="L30" s="72"/>
      <c r="M30" s="6" t="s">
        <v>3137</v>
      </c>
      <c r="N30" s="6" t="s">
        <v>3138</v>
      </c>
      <c r="O30" s="6" t="s">
        <v>1486</v>
      </c>
      <c r="P30" s="6" t="s">
        <v>1619</v>
      </c>
      <c r="Q30" s="72"/>
      <c r="R30" s="6" t="s">
        <v>3139</v>
      </c>
      <c r="S30" s="72"/>
      <c r="T30" s="72"/>
      <c r="U30" s="72"/>
      <c r="V30" s="72"/>
      <c r="W30" s="72"/>
      <c r="X30" s="6" t="s">
        <v>1943</v>
      </c>
      <c r="Y30" s="72"/>
      <c r="Z30" s="72"/>
      <c r="AA30" s="72"/>
      <c r="AB30" s="72"/>
      <c r="AC30" s="6" t="s">
        <v>3140</v>
      </c>
      <c r="AD30" s="6" t="s">
        <v>3141</v>
      </c>
      <c r="AE30" s="6" t="s">
        <v>3142</v>
      </c>
      <c r="AF30" s="6" t="s">
        <v>2250</v>
      </c>
      <c r="AG30" s="6" t="s">
        <v>2261</v>
      </c>
      <c r="AH30" s="72"/>
      <c r="AI30" s="72"/>
      <c r="AJ30" s="72"/>
      <c r="AK30" s="72"/>
      <c r="AL30" s="72"/>
      <c r="AM30" s="6" t="s">
        <v>2465</v>
      </c>
      <c r="AN30" s="72"/>
      <c r="AO30" s="72"/>
      <c r="AP30" s="72"/>
      <c r="AQ30" s="72"/>
      <c r="AR30" s="72"/>
      <c r="AS30" s="72"/>
      <c r="AT30" s="72"/>
      <c r="AU30" s="72"/>
      <c r="AV30" s="72"/>
      <c r="AW30" s="6" t="s">
        <v>3143</v>
      </c>
      <c r="AX30" s="72"/>
    </row>
    <row r="31" customFormat="false" ht="158.2" hidden="false" customHeight="false" outlineLevel="0" collapsed="false">
      <c r="A31" s="36" t="s">
        <v>379</v>
      </c>
      <c r="B31" s="6" t="s">
        <v>380</v>
      </c>
      <c r="C31" s="37" t="s">
        <v>109</v>
      </c>
      <c r="D31" s="6" t="s">
        <v>3144</v>
      </c>
      <c r="E31" s="72"/>
      <c r="F31" s="6" t="s">
        <v>3145</v>
      </c>
      <c r="G31" s="6" t="s">
        <v>3063</v>
      </c>
      <c r="H31" s="72"/>
      <c r="I31" s="72"/>
      <c r="J31" s="6" t="s">
        <v>3146</v>
      </c>
      <c r="K31" s="6" t="s">
        <v>1235</v>
      </c>
      <c r="L31" s="6" t="s">
        <v>3147</v>
      </c>
      <c r="M31" s="6" t="s">
        <v>3148</v>
      </c>
      <c r="N31" s="6" t="s">
        <v>1467</v>
      </c>
      <c r="O31" s="6" t="s">
        <v>3149</v>
      </c>
      <c r="P31" s="6" t="s">
        <v>1619</v>
      </c>
      <c r="Q31" s="72"/>
      <c r="R31" s="6" t="s">
        <v>1642</v>
      </c>
      <c r="S31" s="72"/>
      <c r="T31" s="72"/>
      <c r="U31" s="72"/>
      <c r="V31" s="72"/>
      <c r="W31" s="72"/>
      <c r="X31" s="72"/>
      <c r="Y31" s="72"/>
      <c r="Z31" s="72"/>
      <c r="AA31" s="72"/>
      <c r="AB31" s="72"/>
      <c r="AC31" s="6" t="s">
        <v>2040</v>
      </c>
      <c r="AD31" s="6" t="s">
        <v>2072</v>
      </c>
      <c r="AE31" s="6" t="s">
        <v>3150</v>
      </c>
      <c r="AF31" s="72"/>
      <c r="AG31" s="72"/>
      <c r="AH31" s="72"/>
      <c r="AI31" s="72"/>
      <c r="AJ31" s="72"/>
      <c r="AK31" s="72"/>
      <c r="AL31" s="72"/>
      <c r="AM31" s="72"/>
      <c r="AN31" s="72"/>
      <c r="AO31" s="72"/>
      <c r="AP31" s="72"/>
      <c r="AQ31" s="72"/>
      <c r="AR31" s="72"/>
      <c r="AS31" s="72"/>
      <c r="AT31" s="72"/>
      <c r="AU31" s="72"/>
      <c r="AV31" s="72"/>
      <c r="AW31" s="72"/>
      <c r="AX31" s="72"/>
    </row>
    <row r="32" customFormat="false" ht="180.55" hidden="false" customHeight="false" outlineLevel="0" collapsed="false">
      <c r="A32" s="36" t="s">
        <v>386</v>
      </c>
      <c r="B32" s="6" t="s">
        <v>387</v>
      </c>
      <c r="C32" s="37" t="s">
        <v>108</v>
      </c>
      <c r="D32" s="6" t="s">
        <v>3151</v>
      </c>
      <c r="E32" s="6" t="s">
        <v>791</v>
      </c>
      <c r="F32" s="6" t="s">
        <v>3152</v>
      </c>
      <c r="G32" s="6" t="s">
        <v>2910</v>
      </c>
      <c r="H32" s="72"/>
      <c r="I32" s="72"/>
      <c r="J32" s="6" t="s">
        <v>1206</v>
      </c>
      <c r="K32" s="6" t="s">
        <v>1233</v>
      </c>
      <c r="L32" s="6" t="s">
        <v>1260</v>
      </c>
      <c r="M32" s="6" t="s">
        <v>3153</v>
      </c>
      <c r="N32" s="6" t="s">
        <v>3154</v>
      </c>
      <c r="O32" s="6" t="s">
        <v>3127</v>
      </c>
      <c r="P32" s="6" t="s">
        <v>3155</v>
      </c>
      <c r="Q32" s="72"/>
      <c r="R32" s="6" t="s">
        <v>3156</v>
      </c>
      <c r="S32" s="72"/>
      <c r="T32" s="72"/>
      <c r="U32" s="72"/>
      <c r="V32" s="72"/>
      <c r="W32" s="72"/>
      <c r="X32" s="72"/>
      <c r="Y32" s="72"/>
      <c r="Z32" s="72"/>
      <c r="AA32" s="72"/>
      <c r="AB32" s="72"/>
      <c r="AC32" s="6" t="s">
        <v>3157</v>
      </c>
      <c r="AD32" s="6" t="s">
        <v>3158</v>
      </c>
      <c r="AE32" s="6" t="s">
        <v>3159</v>
      </c>
      <c r="AF32" s="72"/>
      <c r="AG32" s="72"/>
      <c r="AH32" s="72"/>
      <c r="AI32" s="72"/>
      <c r="AJ32" s="72"/>
      <c r="AK32" s="72"/>
      <c r="AL32" s="72"/>
      <c r="AM32" s="72"/>
      <c r="AN32" s="72"/>
      <c r="AO32" s="72"/>
      <c r="AP32" s="72"/>
      <c r="AQ32" s="72"/>
      <c r="AR32" s="72"/>
      <c r="AS32" s="72"/>
      <c r="AT32" s="72"/>
      <c r="AU32" s="72"/>
      <c r="AV32" s="72"/>
      <c r="AW32" s="72"/>
      <c r="AX32" s="72"/>
    </row>
    <row r="33" customFormat="false" ht="102.2" hidden="false" customHeight="false" outlineLevel="0" collapsed="false">
      <c r="A33" s="36" t="s">
        <v>394</v>
      </c>
      <c r="B33" s="6" t="s">
        <v>395</v>
      </c>
      <c r="C33" s="37" t="s">
        <v>109</v>
      </c>
      <c r="D33" s="6" t="s">
        <v>3160</v>
      </c>
      <c r="E33" s="72"/>
      <c r="F33" s="6" t="s">
        <v>3161</v>
      </c>
      <c r="G33" s="6" t="s">
        <v>3162</v>
      </c>
      <c r="H33" s="6" t="s">
        <v>1140</v>
      </c>
      <c r="I33" s="72"/>
      <c r="J33" s="6" t="s">
        <v>3163</v>
      </c>
      <c r="K33" s="72"/>
      <c r="L33" s="72"/>
      <c r="M33" s="6" t="s">
        <v>3164</v>
      </c>
      <c r="N33" s="6" t="s">
        <v>3165</v>
      </c>
      <c r="O33" s="6" t="s">
        <v>3166</v>
      </c>
      <c r="P33" s="6" t="s">
        <v>2915</v>
      </c>
      <c r="Q33" s="72"/>
      <c r="R33" s="6" t="s">
        <v>3167</v>
      </c>
      <c r="S33" s="72"/>
      <c r="T33" s="72"/>
      <c r="U33" s="72"/>
      <c r="V33" s="72"/>
      <c r="W33" s="72"/>
      <c r="X33" s="6" t="s">
        <v>1939</v>
      </c>
      <c r="Y33" s="72"/>
      <c r="Z33" s="72"/>
      <c r="AA33" s="72"/>
      <c r="AB33" s="72"/>
      <c r="AC33" s="6" t="s">
        <v>3078</v>
      </c>
      <c r="AD33" s="6" t="s">
        <v>3079</v>
      </c>
      <c r="AE33" s="6" t="s">
        <v>3168</v>
      </c>
      <c r="AF33" s="6" t="s">
        <v>2250</v>
      </c>
      <c r="AG33" s="6" t="s">
        <v>2264</v>
      </c>
      <c r="AH33" s="72"/>
      <c r="AI33" s="72"/>
      <c r="AJ33" s="72"/>
      <c r="AK33" s="6" t="s">
        <v>2349</v>
      </c>
      <c r="AL33" s="72"/>
      <c r="AM33" s="6" t="s">
        <v>2443</v>
      </c>
      <c r="AN33" s="6" t="s">
        <v>2490</v>
      </c>
      <c r="AO33" s="72"/>
      <c r="AP33" s="72"/>
      <c r="AQ33" s="72"/>
      <c r="AR33" s="72"/>
      <c r="AS33" s="72"/>
      <c r="AT33" s="72"/>
      <c r="AU33" s="72"/>
      <c r="AV33" s="72"/>
      <c r="AW33" s="6" t="s">
        <v>3169</v>
      </c>
      <c r="AX33" s="72"/>
    </row>
    <row r="34" customFormat="false" ht="79.85" hidden="false" customHeight="false" outlineLevel="0" collapsed="false">
      <c r="A34" s="36" t="s">
        <v>403</v>
      </c>
      <c r="B34" s="6" t="s">
        <v>404</v>
      </c>
      <c r="C34" s="37" t="s">
        <v>109</v>
      </c>
      <c r="D34" s="6" t="s">
        <v>3160</v>
      </c>
      <c r="E34" s="72"/>
      <c r="F34" s="6" t="s">
        <v>3170</v>
      </c>
      <c r="G34" s="6" t="s">
        <v>3171</v>
      </c>
      <c r="H34" s="72"/>
      <c r="I34" s="72"/>
      <c r="J34" s="6" t="s">
        <v>1198</v>
      </c>
      <c r="K34" s="72"/>
      <c r="L34" s="72"/>
      <c r="M34" s="6" t="s">
        <v>3172</v>
      </c>
      <c r="N34" s="6" t="s">
        <v>3173</v>
      </c>
      <c r="O34" s="6" t="s">
        <v>3174</v>
      </c>
      <c r="P34" s="6" t="s">
        <v>3175</v>
      </c>
      <c r="Q34" s="72"/>
      <c r="R34" s="6" t="s">
        <v>3176</v>
      </c>
      <c r="S34" s="72"/>
      <c r="T34" s="72"/>
      <c r="U34" s="6" t="s">
        <v>1901</v>
      </c>
      <c r="V34" s="72"/>
      <c r="W34" s="6" t="s">
        <v>1926</v>
      </c>
      <c r="X34" s="6" t="s">
        <v>1939</v>
      </c>
      <c r="Y34" s="6" t="s">
        <v>1961</v>
      </c>
      <c r="Z34" s="6" t="s">
        <v>1969</v>
      </c>
      <c r="AA34" s="72"/>
      <c r="AB34" s="6" t="s">
        <v>3177</v>
      </c>
      <c r="AC34" s="6" t="s">
        <v>3178</v>
      </c>
      <c r="AD34" s="6" t="s">
        <v>2072</v>
      </c>
      <c r="AE34" s="6" t="s">
        <v>2229</v>
      </c>
      <c r="AF34" s="72"/>
      <c r="AG34" s="6" t="s">
        <v>2262</v>
      </c>
      <c r="AH34" s="72"/>
      <c r="AI34" s="72"/>
      <c r="AJ34" s="72"/>
      <c r="AK34" s="6" t="s">
        <v>2360</v>
      </c>
      <c r="AL34" s="72"/>
      <c r="AM34" s="6" t="s">
        <v>2435</v>
      </c>
      <c r="AN34" s="6" t="s">
        <v>3179</v>
      </c>
      <c r="AO34" s="6" t="s">
        <v>2556</v>
      </c>
      <c r="AP34" s="6" t="s">
        <v>3180</v>
      </c>
      <c r="AQ34" s="72"/>
      <c r="AR34" s="72"/>
      <c r="AS34" s="72"/>
      <c r="AT34" s="72"/>
      <c r="AU34" s="72"/>
      <c r="AV34" s="6" t="s">
        <v>2758</v>
      </c>
      <c r="AW34" s="6" t="s">
        <v>3181</v>
      </c>
      <c r="AX34" s="72"/>
    </row>
    <row r="35" customFormat="false" ht="68.65" hidden="false" customHeight="false" outlineLevel="0" collapsed="false">
      <c r="A35" s="36" t="s">
        <v>412</v>
      </c>
      <c r="B35" s="6" t="s">
        <v>413</v>
      </c>
      <c r="C35" s="37" t="s">
        <v>109</v>
      </c>
      <c r="D35" s="6" t="s">
        <v>3160</v>
      </c>
      <c r="E35" s="72"/>
      <c r="F35" s="6" t="s">
        <v>3182</v>
      </c>
      <c r="G35" s="6" t="s">
        <v>3183</v>
      </c>
      <c r="H35" s="72"/>
      <c r="I35" s="72"/>
      <c r="J35" s="6" t="s">
        <v>3184</v>
      </c>
      <c r="K35" s="72"/>
      <c r="L35" s="72"/>
      <c r="M35" s="6" t="s">
        <v>3185</v>
      </c>
      <c r="N35" s="6" t="s">
        <v>3186</v>
      </c>
      <c r="O35" s="6" t="s">
        <v>3187</v>
      </c>
      <c r="P35" s="6" t="s">
        <v>3188</v>
      </c>
      <c r="Q35" s="72"/>
      <c r="R35" s="6" t="s">
        <v>3189</v>
      </c>
      <c r="S35" s="72"/>
      <c r="T35" s="72"/>
      <c r="U35" s="72"/>
      <c r="V35" s="72"/>
      <c r="W35" s="72"/>
      <c r="X35" s="72"/>
      <c r="Y35" s="6" t="s">
        <v>1963</v>
      </c>
      <c r="Z35" s="6" t="s">
        <v>3190</v>
      </c>
      <c r="AA35" s="72"/>
      <c r="AB35" s="72"/>
      <c r="AC35" s="6" t="s">
        <v>3191</v>
      </c>
      <c r="AD35" s="6" t="s">
        <v>3192</v>
      </c>
      <c r="AE35" s="6" t="s">
        <v>3193</v>
      </c>
      <c r="AF35" s="72"/>
      <c r="AG35" s="72"/>
      <c r="AH35" s="72"/>
      <c r="AI35" s="72"/>
      <c r="AJ35" s="72"/>
      <c r="AK35" s="6" t="s">
        <v>2349</v>
      </c>
      <c r="AL35" s="72"/>
      <c r="AM35" s="72"/>
      <c r="AN35" s="72"/>
      <c r="AO35" s="72"/>
      <c r="AP35" s="72"/>
      <c r="AQ35" s="72"/>
      <c r="AR35" s="72"/>
      <c r="AS35" s="72"/>
      <c r="AT35" s="72"/>
      <c r="AU35" s="72"/>
      <c r="AV35" s="72"/>
      <c r="AW35" s="6" t="s">
        <v>3194</v>
      </c>
      <c r="AX35" s="72"/>
    </row>
    <row r="36" customFormat="false" ht="236.55" hidden="false" customHeight="false" outlineLevel="0" collapsed="false">
      <c r="A36" s="36" t="s">
        <v>419</v>
      </c>
      <c r="B36" s="6" t="s">
        <v>420</v>
      </c>
      <c r="C36" s="37" t="s">
        <v>109</v>
      </c>
      <c r="D36" s="6" t="s">
        <v>3195</v>
      </c>
      <c r="E36" s="6" t="s">
        <v>3196</v>
      </c>
      <c r="F36" s="6" t="s">
        <v>3197</v>
      </c>
      <c r="G36" s="6" t="s">
        <v>3198</v>
      </c>
      <c r="H36" s="6" t="s">
        <v>1146</v>
      </c>
      <c r="I36" s="6" t="s">
        <v>1168</v>
      </c>
      <c r="J36" s="6" t="s">
        <v>1194</v>
      </c>
      <c r="K36" s="72"/>
      <c r="L36" s="6" t="s">
        <v>1258</v>
      </c>
      <c r="M36" s="6" t="s">
        <v>3199</v>
      </c>
      <c r="N36" s="6" t="s">
        <v>3200</v>
      </c>
      <c r="O36" s="6" t="s">
        <v>3201</v>
      </c>
      <c r="P36" s="6" t="s">
        <v>3202</v>
      </c>
      <c r="Q36" s="72"/>
      <c r="R36" s="6" t="s">
        <v>3203</v>
      </c>
      <c r="S36" s="72"/>
      <c r="T36" s="72"/>
      <c r="U36" s="72"/>
      <c r="V36" s="72"/>
      <c r="W36" s="72"/>
      <c r="X36" s="72"/>
      <c r="Y36" s="6" t="s">
        <v>1951</v>
      </c>
      <c r="Z36" s="72"/>
      <c r="AA36" s="72"/>
      <c r="AB36" s="6" t="s">
        <v>1993</v>
      </c>
      <c r="AC36" s="6" t="s">
        <v>3204</v>
      </c>
      <c r="AD36" s="6" t="s">
        <v>3205</v>
      </c>
      <c r="AE36" s="6" t="s">
        <v>3206</v>
      </c>
      <c r="AF36" s="72"/>
      <c r="AG36" s="72"/>
      <c r="AH36" s="72"/>
      <c r="AI36" s="72"/>
      <c r="AJ36" s="72"/>
      <c r="AK36" s="72"/>
      <c r="AL36" s="72"/>
      <c r="AM36" s="72"/>
      <c r="AN36" s="72"/>
      <c r="AO36" s="72"/>
      <c r="AP36" s="72"/>
      <c r="AQ36" s="72"/>
      <c r="AR36" s="72"/>
      <c r="AS36" s="72"/>
      <c r="AT36" s="72"/>
      <c r="AU36" s="72"/>
      <c r="AV36" s="72"/>
      <c r="AW36" s="6" t="s">
        <v>3039</v>
      </c>
      <c r="AX36" s="72"/>
    </row>
    <row r="37" customFormat="false" ht="79.85" hidden="false" customHeight="false" outlineLevel="0" collapsed="false">
      <c r="A37" s="36" t="s">
        <v>427</v>
      </c>
      <c r="B37" s="6" t="s">
        <v>428</v>
      </c>
      <c r="C37" s="37" t="s">
        <v>109</v>
      </c>
      <c r="D37" s="6" t="s">
        <v>3207</v>
      </c>
      <c r="E37" s="6" t="s">
        <v>775</v>
      </c>
      <c r="F37" s="6" t="s">
        <v>3208</v>
      </c>
      <c r="G37" s="6" t="s">
        <v>3183</v>
      </c>
      <c r="H37" s="6" t="s">
        <v>1140</v>
      </c>
      <c r="I37" s="72"/>
      <c r="J37" s="6" t="s">
        <v>1194</v>
      </c>
      <c r="K37" s="72"/>
      <c r="L37" s="72"/>
      <c r="M37" s="6" t="s">
        <v>3209</v>
      </c>
      <c r="N37" s="6" t="s">
        <v>3210</v>
      </c>
      <c r="O37" s="72"/>
      <c r="P37" s="6" t="s">
        <v>1585</v>
      </c>
      <c r="Q37" s="72"/>
      <c r="R37" s="6" t="s">
        <v>3211</v>
      </c>
      <c r="S37" s="72"/>
      <c r="T37" s="72"/>
      <c r="U37" s="72"/>
      <c r="V37" s="72"/>
      <c r="W37" s="72"/>
      <c r="X37" s="6" t="s">
        <v>1939</v>
      </c>
      <c r="Y37" s="72"/>
      <c r="Z37" s="72"/>
      <c r="AA37" s="72"/>
      <c r="AB37" s="72"/>
      <c r="AC37" s="6" t="s">
        <v>3212</v>
      </c>
      <c r="AD37" s="6" t="s">
        <v>3213</v>
      </c>
      <c r="AE37" s="6" t="s">
        <v>3214</v>
      </c>
      <c r="AF37" s="72"/>
      <c r="AG37" s="72"/>
      <c r="AH37" s="72"/>
      <c r="AI37" s="72"/>
      <c r="AJ37" s="72"/>
      <c r="AK37" s="6" t="s">
        <v>2349</v>
      </c>
      <c r="AL37" s="72"/>
      <c r="AM37" s="6" t="s">
        <v>2954</v>
      </c>
      <c r="AN37" s="72"/>
      <c r="AO37" s="72"/>
      <c r="AP37" s="72"/>
      <c r="AQ37" s="72"/>
      <c r="AR37" s="72"/>
      <c r="AS37" s="72"/>
      <c r="AT37" s="72"/>
      <c r="AU37" s="72"/>
      <c r="AV37" s="72"/>
      <c r="AW37" s="6" t="s">
        <v>3215</v>
      </c>
      <c r="AX37" s="72"/>
    </row>
    <row r="38" customFormat="false" ht="258.95" hidden="false" customHeight="false" outlineLevel="0" collapsed="false">
      <c r="A38" s="36" t="s">
        <v>434</v>
      </c>
      <c r="B38" s="6" t="s">
        <v>435</v>
      </c>
      <c r="C38" s="37" t="s">
        <v>108</v>
      </c>
      <c r="D38" s="6" t="s">
        <v>3216</v>
      </c>
      <c r="E38" s="6" t="s">
        <v>752</v>
      </c>
      <c r="F38" s="6" t="s">
        <v>3217</v>
      </c>
      <c r="G38" s="6" t="s">
        <v>3218</v>
      </c>
      <c r="H38" s="72"/>
      <c r="I38" s="72"/>
      <c r="J38" s="72"/>
      <c r="K38" s="72"/>
      <c r="L38" s="72"/>
      <c r="M38" s="72"/>
      <c r="N38" s="72"/>
      <c r="O38" s="72"/>
      <c r="P38" s="6" t="s">
        <v>3219</v>
      </c>
      <c r="Q38" s="72"/>
      <c r="R38" s="6" t="s">
        <v>3220</v>
      </c>
      <c r="S38" s="72"/>
      <c r="T38" s="72"/>
      <c r="U38" s="72"/>
      <c r="V38" s="72"/>
      <c r="W38" s="72"/>
      <c r="X38" s="6" t="s">
        <v>1948</v>
      </c>
      <c r="Y38" s="6" t="s">
        <v>1955</v>
      </c>
      <c r="Z38" s="72"/>
      <c r="AA38" s="72"/>
      <c r="AB38" s="72"/>
      <c r="AC38" s="6" t="s">
        <v>3221</v>
      </c>
      <c r="AD38" s="6" t="s">
        <v>2108</v>
      </c>
      <c r="AE38" s="6" t="s">
        <v>3222</v>
      </c>
      <c r="AF38" s="72"/>
      <c r="AG38" s="72"/>
      <c r="AH38" s="72"/>
      <c r="AI38" s="6" t="s">
        <v>2286</v>
      </c>
      <c r="AJ38" s="72"/>
      <c r="AK38" s="6" t="s">
        <v>2334</v>
      </c>
      <c r="AL38" s="72"/>
      <c r="AM38" s="6" t="s">
        <v>2412</v>
      </c>
      <c r="AN38" s="72"/>
      <c r="AO38" s="72"/>
      <c r="AP38" s="72"/>
      <c r="AQ38" s="72"/>
      <c r="AR38" s="72"/>
      <c r="AS38" s="72"/>
      <c r="AT38" s="72"/>
      <c r="AU38" s="72"/>
      <c r="AV38" s="72"/>
      <c r="AW38" s="6" t="s">
        <v>3223</v>
      </c>
      <c r="AX38" s="72"/>
    </row>
    <row r="39" customFormat="false" ht="292.5" hidden="false" customHeight="false" outlineLevel="0" collapsed="false">
      <c r="A39" s="36" t="s">
        <v>443</v>
      </c>
      <c r="B39" s="6" t="s">
        <v>444</v>
      </c>
      <c r="C39" s="37" t="s">
        <v>109</v>
      </c>
      <c r="D39" s="6" t="s">
        <v>3224</v>
      </c>
      <c r="E39" s="6" t="s">
        <v>3225</v>
      </c>
      <c r="F39" s="6" t="s">
        <v>3226</v>
      </c>
      <c r="G39" s="6" t="s">
        <v>3227</v>
      </c>
      <c r="H39" s="6" t="s">
        <v>3228</v>
      </c>
      <c r="I39" s="6" t="s">
        <v>1178</v>
      </c>
      <c r="J39" s="6" t="s">
        <v>3229</v>
      </c>
      <c r="K39" s="72"/>
      <c r="L39" s="72"/>
      <c r="M39" s="72"/>
      <c r="N39" s="6" t="s">
        <v>1477</v>
      </c>
      <c r="O39" s="6" t="s">
        <v>3230</v>
      </c>
      <c r="P39" s="6" t="s">
        <v>1611</v>
      </c>
      <c r="Q39" s="72"/>
      <c r="R39" s="6" t="s">
        <v>3231</v>
      </c>
      <c r="S39" s="72"/>
      <c r="T39" s="72"/>
      <c r="U39" s="72"/>
      <c r="V39" s="72"/>
      <c r="W39" s="72"/>
      <c r="X39" s="6" t="s">
        <v>3232</v>
      </c>
      <c r="Y39" s="6" t="s">
        <v>3233</v>
      </c>
      <c r="Z39" s="6" t="s">
        <v>1971</v>
      </c>
      <c r="AA39" s="6" t="s">
        <v>1983</v>
      </c>
      <c r="AB39" s="72"/>
      <c r="AC39" s="6" t="s">
        <v>3234</v>
      </c>
      <c r="AD39" s="6" t="s">
        <v>3235</v>
      </c>
      <c r="AE39" s="6" t="s">
        <v>3236</v>
      </c>
      <c r="AF39" s="6" t="s">
        <v>2250</v>
      </c>
      <c r="AG39" s="6" t="s">
        <v>2264</v>
      </c>
      <c r="AH39" s="6" t="s">
        <v>2282</v>
      </c>
      <c r="AI39" s="72"/>
      <c r="AJ39" s="6" t="s">
        <v>2320</v>
      </c>
      <c r="AK39" s="6" t="s">
        <v>3237</v>
      </c>
      <c r="AL39" s="72"/>
      <c r="AM39" s="72"/>
      <c r="AN39" s="6" t="s">
        <v>2484</v>
      </c>
      <c r="AO39" s="72"/>
      <c r="AP39" s="72"/>
      <c r="AQ39" s="72"/>
      <c r="AR39" s="72"/>
      <c r="AS39" s="72"/>
      <c r="AT39" s="72"/>
      <c r="AU39" s="72"/>
      <c r="AV39" s="72"/>
      <c r="AW39" s="6" t="s">
        <v>3238</v>
      </c>
      <c r="AX39" s="72"/>
    </row>
    <row r="40" customFormat="false" ht="124.6" hidden="false" customHeight="false" outlineLevel="0" collapsed="false">
      <c r="A40" s="36" t="s">
        <v>452</v>
      </c>
      <c r="B40" s="6" t="s">
        <v>453</v>
      </c>
      <c r="C40" s="37" t="s">
        <v>108</v>
      </c>
      <c r="D40" s="6" t="s">
        <v>667</v>
      </c>
      <c r="E40" s="72"/>
      <c r="F40" s="6" t="s">
        <v>3239</v>
      </c>
      <c r="G40" s="6" t="s">
        <v>3240</v>
      </c>
      <c r="H40" s="72"/>
      <c r="I40" s="6" t="s">
        <v>1183</v>
      </c>
      <c r="J40" s="72"/>
      <c r="K40" s="72"/>
      <c r="L40" s="72"/>
      <c r="M40" s="72"/>
      <c r="N40" s="6" t="s">
        <v>1449</v>
      </c>
      <c r="O40" s="72"/>
      <c r="P40" s="6" t="s">
        <v>3241</v>
      </c>
      <c r="Q40" s="72"/>
      <c r="R40" s="6" t="s">
        <v>3242</v>
      </c>
      <c r="S40" s="72"/>
      <c r="T40" s="72"/>
      <c r="U40" s="72"/>
      <c r="V40" s="72"/>
      <c r="W40" s="72"/>
      <c r="X40" s="72"/>
      <c r="Y40" s="72"/>
      <c r="Z40" s="72"/>
      <c r="AA40" s="72"/>
      <c r="AB40" s="72"/>
      <c r="AC40" s="6" t="s">
        <v>3243</v>
      </c>
      <c r="AD40" s="6" t="s">
        <v>2112</v>
      </c>
      <c r="AE40" s="6" t="s">
        <v>3244</v>
      </c>
      <c r="AF40" s="72"/>
      <c r="AG40" s="72"/>
      <c r="AH40" s="72"/>
      <c r="AI40" s="6" t="s">
        <v>2291</v>
      </c>
      <c r="AJ40" s="72"/>
      <c r="AK40" s="6" t="s">
        <v>3245</v>
      </c>
      <c r="AL40" s="6" t="s">
        <v>2369</v>
      </c>
      <c r="AM40" s="6" t="s">
        <v>3246</v>
      </c>
      <c r="AN40" s="6" t="s">
        <v>3247</v>
      </c>
      <c r="AO40" s="6" t="s">
        <v>2539</v>
      </c>
      <c r="AP40" s="6" t="s">
        <v>2622</v>
      </c>
      <c r="AQ40" s="6" t="s">
        <v>3248</v>
      </c>
      <c r="AR40" s="6" t="s">
        <v>2656</v>
      </c>
      <c r="AS40" s="6" t="s">
        <v>2667</v>
      </c>
      <c r="AT40" s="6" t="s">
        <v>2707</v>
      </c>
      <c r="AU40" s="6" t="s">
        <v>3249</v>
      </c>
      <c r="AV40" s="6" t="s">
        <v>2756</v>
      </c>
      <c r="AW40" s="6" t="s">
        <v>3250</v>
      </c>
      <c r="AX40" s="6" t="s">
        <v>2878</v>
      </c>
    </row>
    <row r="41" customFormat="false" ht="91" hidden="false" customHeight="false" outlineLevel="0" collapsed="false">
      <c r="A41" s="36" t="s">
        <v>461</v>
      </c>
      <c r="B41" s="6" t="s">
        <v>462</v>
      </c>
      <c r="C41" s="37" t="s">
        <v>108</v>
      </c>
      <c r="D41" s="72"/>
      <c r="E41" s="6" t="s">
        <v>3251</v>
      </c>
      <c r="F41" s="6" t="s">
        <v>3252</v>
      </c>
      <c r="G41" s="6" t="s">
        <v>3253</v>
      </c>
      <c r="H41" s="6" t="s">
        <v>1133</v>
      </c>
      <c r="I41" s="72"/>
      <c r="J41" s="6" t="s">
        <v>1220</v>
      </c>
      <c r="K41" s="72"/>
      <c r="L41" s="72"/>
      <c r="M41" s="6" t="s">
        <v>3254</v>
      </c>
      <c r="N41" s="6" t="s">
        <v>3255</v>
      </c>
      <c r="O41" s="6" t="s">
        <v>3256</v>
      </c>
      <c r="P41" s="6" t="s">
        <v>1585</v>
      </c>
      <c r="Q41" s="72"/>
      <c r="R41" s="6" t="s">
        <v>3257</v>
      </c>
      <c r="S41" s="72"/>
      <c r="T41" s="72"/>
      <c r="U41" s="72"/>
      <c r="V41" s="72"/>
      <c r="W41" s="72"/>
      <c r="X41" s="72"/>
      <c r="Y41" s="72"/>
      <c r="Z41" s="72"/>
      <c r="AA41" s="72"/>
      <c r="AB41" s="72"/>
      <c r="AC41" s="6" t="s">
        <v>3258</v>
      </c>
      <c r="AD41" s="72"/>
      <c r="AE41" s="6" t="s">
        <v>2118</v>
      </c>
      <c r="AF41" s="72"/>
      <c r="AG41" s="72"/>
      <c r="AH41" s="72"/>
      <c r="AI41" s="72"/>
      <c r="AJ41" s="72"/>
      <c r="AK41" s="6" t="s">
        <v>2338</v>
      </c>
      <c r="AL41" s="72"/>
      <c r="AM41" s="72"/>
      <c r="AN41" s="72"/>
      <c r="AO41" s="72"/>
      <c r="AP41" s="72"/>
      <c r="AQ41" s="72"/>
      <c r="AR41" s="72"/>
      <c r="AS41" s="72"/>
      <c r="AT41" s="72"/>
      <c r="AU41" s="72"/>
      <c r="AV41" s="72"/>
      <c r="AW41" s="72"/>
      <c r="AX41" s="72"/>
    </row>
    <row r="42" customFormat="false" ht="202.95" hidden="false" customHeight="false" outlineLevel="0" collapsed="false">
      <c r="A42" s="36" t="s">
        <v>469</v>
      </c>
      <c r="B42" s="6" t="s">
        <v>470</v>
      </c>
      <c r="C42" s="37" t="s">
        <v>109</v>
      </c>
      <c r="D42" s="6" t="s">
        <v>3259</v>
      </c>
      <c r="E42" s="72"/>
      <c r="F42" s="6" t="s">
        <v>3260</v>
      </c>
      <c r="G42" s="6" t="s">
        <v>3261</v>
      </c>
      <c r="H42" s="72"/>
      <c r="I42" s="6" t="s">
        <v>1167</v>
      </c>
      <c r="J42" s="72"/>
      <c r="K42" s="72"/>
      <c r="L42" s="72"/>
      <c r="M42" s="72"/>
      <c r="N42" s="72"/>
      <c r="O42" s="72"/>
      <c r="P42" s="72"/>
      <c r="Q42" s="6" t="s">
        <v>3262</v>
      </c>
      <c r="R42" s="72"/>
      <c r="S42" s="6" t="s">
        <v>3262</v>
      </c>
      <c r="T42" s="72"/>
      <c r="U42" s="72"/>
      <c r="V42" s="72"/>
      <c r="W42" s="6" t="s">
        <v>1931</v>
      </c>
      <c r="X42" s="72"/>
      <c r="Y42" s="6" t="s">
        <v>1951</v>
      </c>
      <c r="Z42" s="72"/>
      <c r="AA42" s="72"/>
      <c r="AB42" s="72"/>
      <c r="AC42" s="6" t="s">
        <v>3263</v>
      </c>
      <c r="AD42" s="72"/>
      <c r="AE42" s="6" t="s">
        <v>3264</v>
      </c>
      <c r="AF42" s="6" t="s">
        <v>2254</v>
      </c>
      <c r="AG42" s="6" t="s">
        <v>2255</v>
      </c>
      <c r="AH42" s="6" t="s">
        <v>2276</v>
      </c>
      <c r="AI42" s="72"/>
      <c r="AJ42" s="6" t="s">
        <v>2326</v>
      </c>
      <c r="AK42" s="6" t="s">
        <v>3265</v>
      </c>
      <c r="AL42" s="72"/>
      <c r="AM42" s="6" t="s">
        <v>3266</v>
      </c>
      <c r="AN42" s="6" t="s">
        <v>3267</v>
      </c>
      <c r="AO42" s="6" t="s">
        <v>3268</v>
      </c>
      <c r="AP42" s="6" t="s">
        <v>3269</v>
      </c>
      <c r="AQ42" s="6" t="s">
        <v>2637</v>
      </c>
      <c r="AR42" s="6" t="s">
        <v>2651</v>
      </c>
      <c r="AS42" s="6" t="s">
        <v>2986</v>
      </c>
      <c r="AT42" s="6" t="s">
        <v>2701</v>
      </c>
      <c r="AU42" s="6" t="s">
        <v>3270</v>
      </c>
      <c r="AV42" s="6" t="s">
        <v>3271</v>
      </c>
      <c r="AW42" s="6" t="s">
        <v>3272</v>
      </c>
      <c r="AX42" s="6" t="s">
        <v>3273</v>
      </c>
    </row>
    <row r="43" customFormat="false" ht="191.75" hidden="false" customHeight="false" outlineLevel="0" collapsed="false">
      <c r="A43" s="36" t="s">
        <v>477</v>
      </c>
      <c r="B43" s="6" t="s">
        <v>478</v>
      </c>
      <c r="C43" s="37" t="s">
        <v>109</v>
      </c>
      <c r="D43" s="6" t="s">
        <v>3274</v>
      </c>
      <c r="E43" s="6" t="s">
        <v>744</v>
      </c>
      <c r="F43" s="6" t="s">
        <v>3275</v>
      </c>
      <c r="G43" s="6" t="s">
        <v>3276</v>
      </c>
      <c r="H43" s="72"/>
      <c r="I43" s="6" t="s">
        <v>1178</v>
      </c>
      <c r="J43" s="72"/>
      <c r="K43" s="72"/>
      <c r="L43" s="72"/>
      <c r="M43" s="72"/>
      <c r="N43" s="72"/>
      <c r="O43" s="72"/>
      <c r="P43" s="72"/>
      <c r="Q43" s="6" t="s">
        <v>3277</v>
      </c>
      <c r="R43" s="6" t="s">
        <v>3278</v>
      </c>
      <c r="S43" s="6" t="s">
        <v>1676</v>
      </c>
      <c r="T43" s="72"/>
      <c r="U43" s="72"/>
      <c r="V43" s="6" t="s">
        <v>3279</v>
      </c>
      <c r="W43" s="72"/>
      <c r="X43" s="72"/>
      <c r="Y43" s="72"/>
      <c r="Z43" s="72"/>
      <c r="AA43" s="72"/>
      <c r="AB43" s="72"/>
      <c r="AC43" s="6" t="s">
        <v>3280</v>
      </c>
      <c r="AD43" s="72"/>
      <c r="AE43" s="6" t="s">
        <v>3281</v>
      </c>
      <c r="AF43" s="6" t="s">
        <v>2254</v>
      </c>
      <c r="AG43" s="6" t="s">
        <v>2255</v>
      </c>
      <c r="AH43" s="6" t="s">
        <v>2278</v>
      </c>
      <c r="AI43" s="72"/>
      <c r="AJ43" s="6" t="s">
        <v>2313</v>
      </c>
      <c r="AK43" s="72"/>
      <c r="AL43" s="72"/>
      <c r="AM43" s="6" t="s">
        <v>3282</v>
      </c>
      <c r="AN43" s="6" t="s">
        <v>2484</v>
      </c>
      <c r="AO43" s="6" t="s">
        <v>2552</v>
      </c>
      <c r="AP43" s="6" t="s">
        <v>3283</v>
      </c>
      <c r="AQ43" s="72"/>
      <c r="AR43" s="72"/>
      <c r="AS43" s="6" t="s">
        <v>2680</v>
      </c>
      <c r="AT43" s="72"/>
      <c r="AU43" s="6" t="s">
        <v>3284</v>
      </c>
      <c r="AV43" s="72"/>
      <c r="AW43" s="6" t="s">
        <v>3285</v>
      </c>
      <c r="AX43" s="72"/>
    </row>
    <row r="44" customFormat="false" ht="124.6" hidden="false" customHeight="false" outlineLevel="0" collapsed="false">
      <c r="A44" s="36" t="s">
        <v>485</v>
      </c>
      <c r="B44" s="6" t="s">
        <v>486</v>
      </c>
      <c r="C44" s="37" t="s">
        <v>109</v>
      </c>
      <c r="D44" s="6" t="s">
        <v>3286</v>
      </c>
      <c r="E44" s="6" t="s">
        <v>3287</v>
      </c>
      <c r="F44" s="6" t="s">
        <v>3288</v>
      </c>
      <c r="G44" s="6" t="s">
        <v>3289</v>
      </c>
      <c r="H44" s="6" t="s">
        <v>3290</v>
      </c>
      <c r="I44" s="6" t="s">
        <v>1183</v>
      </c>
      <c r="J44" s="6" t="s">
        <v>1218</v>
      </c>
      <c r="K44" s="72"/>
      <c r="L44" s="72"/>
      <c r="M44" s="6" t="s">
        <v>3291</v>
      </c>
      <c r="N44" s="6" t="s">
        <v>3292</v>
      </c>
      <c r="O44" s="6" t="s">
        <v>1531</v>
      </c>
      <c r="P44" s="6" t="s">
        <v>3293</v>
      </c>
      <c r="Q44" s="72"/>
      <c r="R44" s="72"/>
      <c r="S44" s="72"/>
      <c r="T44" s="72"/>
      <c r="U44" s="72"/>
      <c r="V44" s="72"/>
      <c r="W44" s="72"/>
      <c r="X44" s="6" t="s">
        <v>3294</v>
      </c>
      <c r="Y44" s="72"/>
      <c r="Z44" s="72"/>
      <c r="AA44" s="6" t="s">
        <v>1983</v>
      </c>
      <c r="AB44" s="72"/>
      <c r="AC44" s="72"/>
      <c r="AD44" s="72"/>
      <c r="AE44" s="6" t="s">
        <v>3295</v>
      </c>
      <c r="AF44" s="6" t="s">
        <v>2246</v>
      </c>
      <c r="AG44" s="6" t="s">
        <v>2267</v>
      </c>
      <c r="AH44" s="6" t="s">
        <v>2247</v>
      </c>
      <c r="AI44" s="6" t="s">
        <v>2291</v>
      </c>
      <c r="AJ44" s="6" t="s">
        <v>3296</v>
      </c>
      <c r="AK44" s="6" t="s">
        <v>3297</v>
      </c>
      <c r="AL44" s="72"/>
      <c r="AM44" s="6" t="s">
        <v>3298</v>
      </c>
      <c r="AN44" s="6" t="s">
        <v>3299</v>
      </c>
      <c r="AO44" s="6" t="s">
        <v>3300</v>
      </c>
      <c r="AP44" s="6" t="s">
        <v>3301</v>
      </c>
      <c r="AQ44" s="6" t="s">
        <v>3302</v>
      </c>
      <c r="AR44" s="6" t="s">
        <v>2660</v>
      </c>
      <c r="AS44" s="6" t="s">
        <v>3303</v>
      </c>
      <c r="AT44" s="6" t="s">
        <v>3304</v>
      </c>
      <c r="AU44" s="6" t="s">
        <v>3305</v>
      </c>
      <c r="AV44" s="6" t="s">
        <v>2753</v>
      </c>
      <c r="AW44" s="6" t="s">
        <v>3306</v>
      </c>
      <c r="AX44" s="6" t="s">
        <v>2864</v>
      </c>
    </row>
    <row r="45" customFormat="false" ht="214.15" hidden="false" customHeight="false" outlineLevel="0" collapsed="false">
      <c r="A45" s="36" t="s">
        <v>494</v>
      </c>
      <c r="B45" s="6" t="s">
        <v>495</v>
      </c>
      <c r="C45" s="37" t="s">
        <v>109</v>
      </c>
      <c r="D45" s="6" t="s">
        <v>3307</v>
      </c>
      <c r="E45" s="6" t="s">
        <v>764</v>
      </c>
      <c r="F45" s="6" t="s">
        <v>3308</v>
      </c>
      <c r="G45" s="6" t="s">
        <v>3309</v>
      </c>
      <c r="H45" s="72"/>
      <c r="I45" s="72"/>
      <c r="J45" s="72"/>
      <c r="K45" s="72"/>
      <c r="L45" s="72"/>
      <c r="M45" s="6" t="s">
        <v>1297</v>
      </c>
      <c r="N45" s="6" t="s">
        <v>1479</v>
      </c>
      <c r="O45" s="6" t="s">
        <v>1505</v>
      </c>
      <c r="P45" s="6" t="s">
        <v>3310</v>
      </c>
      <c r="Q45" s="72"/>
      <c r="R45" s="6" t="s">
        <v>3311</v>
      </c>
      <c r="S45" s="72"/>
      <c r="T45" s="72"/>
      <c r="U45" s="72"/>
      <c r="V45" s="72"/>
      <c r="W45" s="72"/>
      <c r="X45" s="72"/>
      <c r="Y45" s="6" t="s">
        <v>1957</v>
      </c>
      <c r="Z45" s="72"/>
      <c r="AA45" s="6" t="s">
        <v>1983</v>
      </c>
      <c r="AB45" s="72"/>
      <c r="AC45" s="6" t="s">
        <v>3312</v>
      </c>
      <c r="AD45" s="6" t="s">
        <v>2095</v>
      </c>
      <c r="AE45" s="6" t="s">
        <v>3313</v>
      </c>
      <c r="AF45" s="6" t="s">
        <v>2250</v>
      </c>
      <c r="AG45" s="6" t="s">
        <v>2264</v>
      </c>
      <c r="AH45" s="6" t="s">
        <v>2282</v>
      </c>
      <c r="AI45" s="72"/>
      <c r="AJ45" s="6" t="s">
        <v>2320</v>
      </c>
      <c r="AK45" s="72"/>
      <c r="AL45" s="72"/>
      <c r="AM45" s="72"/>
      <c r="AN45" s="72"/>
      <c r="AO45" s="72"/>
      <c r="AP45" s="72"/>
      <c r="AQ45" s="72"/>
      <c r="AR45" s="72"/>
      <c r="AS45" s="72"/>
      <c r="AT45" s="72"/>
      <c r="AU45" s="72"/>
      <c r="AV45" s="72"/>
      <c r="AW45" s="6" t="s">
        <v>3314</v>
      </c>
      <c r="AX45" s="72"/>
    </row>
    <row r="46" customFormat="false" ht="102.2" hidden="false" customHeight="false" outlineLevel="0" collapsed="false">
      <c r="A46" s="36" t="s">
        <v>503</v>
      </c>
      <c r="B46" s="6" t="s">
        <v>504</v>
      </c>
      <c r="C46" s="37" t="s">
        <v>109</v>
      </c>
      <c r="D46" s="6" t="s">
        <v>3315</v>
      </c>
      <c r="E46" s="6" t="s">
        <v>744</v>
      </c>
      <c r="F46" s="6" t="s">
        <v>3316</v>
      </c>
      <c r="G46" s="6" t="s">
        <v>3317</v>
      </c>
      <c r="H46" s="6" t="s">
        <v>1135</v>
      </c>
      <c r="I46" s="6" t="s">
        <v>1159</v>
      </c>
      <c r="J46" s="72"/>
      <c r="K46" s="72"/>
      <c r="L46" s="72"/>
      <c r="M46" s="72"/>
      <c r="N46" s="72"/>
      <c r="O46" s="72"/>
      <c r="P46" s="6" t="s">
        <v>3318</v>
      </c>
      <c r="Q46" s="72"/>
      <c r="R46" s="72"/>
      <c r="S46" s="72"/>
      <c r="T46" s="72"/>
      <c r="U46" s="6" t="s">
        <v>1908</v>
      </c>
      <c r="V46" s="72"/>
      <c r="W46" s="72"/>
      <c r="X46" s="6" t="s">
        <v>3294</v>
      </c>
      <c r="Y46" s="72"/>
      <c r="Z46" s="72"/>
      <c r="AA46" s="6" t="s">
        <v>1983</v>
      </c>
      <c r="AB46" s="72"/>
      <c r="AC46" s="72"/>
      <c r="AD46" s="72"/>
      <c r="AE46" s="72"/>
      <c r="AF46" s="6" t="s">
        <v>3017</v>
      </c>
      <c r="AG46" s="6" t="s">
        <v>3319</v>
      </c>
      <c r="AH46" s="6" t="s">
        <v>3320</v>
      </c>
      <c r="AI46" s="6" t="s">
        <v>3321</v>
      </c>
      <c r="AJ46" s="6" t="s">
        <v>2316</v>
      </c>
      <c r="AK46" s="72"/>
      <c r="AL46" s="6" t="s">
        <v>2364</v>
      </c>
      <c r="AM46" s="6" t="s">
        <v>3322</v>
      </c>
      <c r="AN46" s="72"/>
      <c r="AO46" s="6" t="s">
        <v>3323</v>
      </c>
      <c r="AP46" s="6" t="s">
        <v>3324</v>
      </c>
      <c r="AQ46" s="6" t="s">
        <v>3302</v>
      </c>
      <c r="AR46" s="6" t="s">
        <v>2651</v>
      </c>
      <c r="AS46" s="6" t="s">
        <v>2670</v>
      </c>
      <c r="AT46" s="6" t="s">
        <v>2701</v>
      </c>
      <c r="AU46" s="6" t="s">
        <v>3325</v>
      </c>
      <c r="AV46" s="6" t="s">
        <v>2753</v>
      </c>
      <c r="AW46" s="6" t="s">
        <v>3326</v>
      </c>
      <c r="AX46" s="6" t="s">
        <v>2866</v>
      </c>
    </row>
    <row r="47" customFormat="false" ht="169.4" hidden="false" customHeight="false" outlineLevel="0" collapsed="false">
      <c r="A47" s="36" t="s">
        <v>512</v>
      </c>
      <c r="B47" s="6" t="s">
        <v>513</v>
      </c>
      <c r="C47" s="37" t="s">
        <v>109</v>
      </c>
      <c r="D47" s="6" t="s">
        <v>3327</v>
      </c>
      <c r="E47" s="72"/>
      <c r="F47" s="6" t="s">
        <v>3328</v>
      </c>
      <c r="G47" s="6" t="s">
        <v>3329</v>
      </c>
      <c r="H47" s="6" t="s">
        <v>1130</v>
      </c>
      <c r="I47" s="6" t="s">
        <v>1162</v>
      </c>
      <c r="J47" s="72"/>
      <c r="K47" s="72"/>
      <c r="L47" s="72"/>
      <c r="M47" s="72"/>
      <c r="N47" s="72"/>
      <c r="O47" s="72"/>
      <c r="P47" s="6" t="s">
        <v>3330</v>
      </c>
      <c r="Q47" s="72"/>
      <c r="R47" s="6" t="s">
        <v>3331</v>
      </c>
      <c r="S47" s="72"/>
      <c r="T47" s="72"/>
      <c r="U47" s="6" t="s">
        <v>3332</v>
      </c>
      <c r="V47" s="72"/>
      <c r="W47" s="72"/>
      <c r="X47" s="72"/>
      <c r="Y47" s="72"/>
      <c r="Z47" s="72"/>
      <c r="AA47" s="72"/>
      <c r="AB47" s="72"/>
      <c r="AC47" s="6" t="s">
        <v>3333</v>
      </c>
      <c r="AD47" s="72"/>
      <c r="AE47" s="6" t="s">
        <v>2146</v>
      </c>
      <c r="AF47" s="6" t="s">
        <v>2242</v>
      </c>
      <c r="AG47" s="72"/>
      <c r="AH47" s="6" t="s">
        <v>2276</v>
      </c>
      <c r="AI47" s="6" t="s">
        <v>3334</v>
      </c>
      <c r="AJ47" s="6" t="s">
        <v>3335</v>
      </c>
      <c r="AK47" s="72"/>
      <c r="AL47" s="6" t="s">
        <v>2372</v>
      </c>
      <c r="AM47" s="72"/>
      <c r="AN47" s="72"/>
      <c r="AO47" s="6" t="s">
        <v>2568</v>
      </c>
      <c r="AP47" s="72"/>
      <c r="AQ47" s="72"/>
      <c r="AR47" s="72"/>
      <c r="AS47" s="72"/>
      <c r="AT47" s="72"/>
      <c r="AU47" s="72"/>
      <c r="AV47" s="72"/>
      <c r="AW47" s="72"/>
      <c r="AX47" s="72"/>
    </row>
    <row r="48" customFormat="false" ht="102.2" hidden="false" customHeight="false" outlineLevel="0" collapsed="false">
      <c r="A48" s="36" t="s">
        <v>521</v>
      </c>
      <c r="B48" s="6" t="s">
        <v>522</v>
      </c>
      <c r="C48" s="37" t="s">
        <v>109</v>
      </c>
      <c r="D48" s="6" t="s">
        <v>675</v>
      </c>
      <c r="E48" s="72"/>
      <c r="F48" s="6" t="s">
        <v>3336</v>
      </c>
      <c r="G48" s="6" t="s">
        <v>3337</v>
      </c>
      <c r="H48" s="72"/>
      <c r="I48" s="6" t="s">
        <v>1153</v>
      </c>
      <c r="J48" s="72"/>
      <c r="K48" s="72"/>
      <c r="L48" s="72"/>
      <c r="M48" s="72"/>
      <c r="N48" s="72"/>
      <c r="O48" s="72"/>
      <c r="P48" s="6" t="s">
        <v>3338</v>
      </c>
      <c r="Q48" s="6" t="s">
        <v>1664</v>
      </c>
      <c r="R48" s="6" t="s">
        <v>3339</v>
      </c>
      <c r="S48" s="72"/>
      <c r="T48" s="72"/>
      <c r="U48" s="72"/>
      <c r="V48" s="72"/>
      <c r="W48" s="6" t="s">
        <v>1924</v>
      </c>
      <c r="X48" s="72"/>
      <c r="Y48" s="72"/>
      <c r="Z48" s="72"/>
      <c r="AA48" s="72"/>
      <c r="AB48" s="72"/>
      <c r="AC48" s="6" t="s">
        <v>3340</v>
      </c>
      <c r="AD48" s="6" t="s">
        <v>2112</v>
      </c>
      <c r="AE48" s="6" t="s">
        <v>2142</v>
      </c>
      <c r="AF48" s="72"/>
      <c r="AG48" s="72"/>
      <c r="AH48" s="6" t="s">
        <v>2273</v>
      </c>
      <c r="AI48" s="72"/>
      <c r="AJ48" s="6" t="s">
        <v>2332</v>
      </c>
      <c r="AK48" s="6" t="s">
        <v>2344</v>
      </c>
      <c r="AL48" s="6" t="s">
        <v>2369</v>
      </c>
      <c r="AM48" s="72"/>
      <c r="AN48" s="72"/>
      <c r="AO48" s="72"/>
      <c r="AP48" s="72"/>
      <c r="AQ48" s="72"/>
      <c r="AR48" s="72"/>
      <c r="AS48" s="72"/>
      <c r="AT48" s="72"/>
      <c r="AU48" s="72"/>
      <c r="AV48" s="72"/>
      <c r="AW48" s="72"/>
      <c r="AX48" s="72"/>
    </row>
    <row r="49" customFormat="false" ht="147" hidden="false" customHeight="false" outlineLevel="0" collapsed="false">
      <c r="A49" s="36" t="s">
        <v>529</v>
      </c>
      <c r="B49" s="6" t="s">
        <v>530</v>
      </c>
      <c r="C49" s="37" t="s">
        <v>109</v>
      </c>
      <c r="D49" s="6" t="s">
        <v>679</v>
      </c>
      <c r="E49" s="72"/>
      <c r="F49" s="6" t="s">
        <v>3341</v>
      </c>
      <c r="G49" s="6" t="s">
        <v>3342</v>
      </c>
      <c r="H49" s="6" t="s">
        <v>1137</v>
      </c>
      <c r="I49" s="6" t="s">
        <v>1166</v>
      </c>
      <c r="J49" s="72"/>
      <c r="K49" s="72"/>
      <c r="L49" s="72"/>
      <c r="M49" s="72"/>
      <c r="N49" s="72"/>
      <c r="O49" s="72"/>
      <c r="P49" s="6" t="s">
        <v>1589</v>
      </c>
      <c r="Q49" s="6" t="s">
        <v>3343</v>
      </c>
      <c r="R49" s="6" t="s">
        <v>1777</v>
      </c>
      <c r="S49" s="72"/>
      <c r="T49" s="72"/>
      <c r="U49" s="72"/>
      <c r="V49" s="72"/>
      <c r="W49" s="6" t="s">
        <v>1925</v>
      </c>
      <c r="X49" s="72"/>
      <c r="Y49" s="72"/>
      <c r="Z49" s="72"/>
      <c r="AA49" s="72"/>
      <c r="AB49" s="72"/>
      <c r="AC49" s="6" t="s">
        <v>2038</v>
      </c>
      <c r="AD49" s="6" t="s">
        <v>2103</v>
      </c>
      <c r="AE49" s="6" t="s">
        <v>3344</v>
      </c>
      <c r="AF49" s="72"/>
      <c r="AG49" s="72"/>
      <c r="AH49" s="6" t="s">
        <v>2269</v>
      </c>
      <c r="AI49" s="72"/>
      <c r="AJ49" s="6" t="s">
        <v>2330</v>
      </c>
      <c r="AK49" s="72"/>
      <c r="AL49" s="72"/>
      <c r="AM49" s="72"/>
      <c r="AN49" s="72"/>
      <c r="AO49" s="72"/>
      <c r="AP49" s="72"/>
      <c r="AQ49" s="72"/>
      <c r="AR49" s="72"/>
      <c r="AS49" s="72"/>
      <c r="AT49" s="72"/>
      <c r="AU49" s="72"/>
      <c r="AV49" s="72"/>
      <c r="AW49" s="6" t="s">
        <v>3345</v>
      </c>
      <c r="AX49" s="72"/>
    </row>
    <row r="50" customFormat="false" ht="337.3" hidden="false" customHeight="false" outlineLevel="0" collapsed="false">
      <c r="A50" s="36" t="s">
        <v>538</v>
      </c>
      <c r="B50" s="6" t="s">
        <v>539</v>
      </c>
      <c r="C50" s="37" t="s">
        <v>109</v>
      </c>
      <c r="D50" s="6" t="s">
        <v>3346</v>
      </c>
      <c r="E50" s="6" t="s">
        <v>3347</v>
      </c>
      <c r="F50" s="6" t="s">
        <v>3348</v>
      </c>
      <c r="G50" s="6" t="s">
        <v>3112</v>
      </c>
      <c r="H50" s="6" t="s">
        <v>3349</v>
      </c>
      <c r="I50" s="6" t="s">
        <v>3350</v>
      </c>
      <c r="J50" s="6" t="s">
        <v>1206</v>
      </c>
      <c r="K50" s="6" t="s">
        <v>1242</v>
      </c>
      <c r="L50" s="72"/>
      <c r="M50" s="72"/>
      <c r="N50" s="6" t="s">
        <v>1463</v>
      </c>
      <c r="O50" s="6" t="s">
        <v>1531</v>
      </c>
      <c r="P50" s="6" t="s">
        <v>3114</v>
      </c>
      <c r="Q50" s="72"/>
      <c r="R50" s="72"/>
      <c r="S50" s="72"/>
      <c r="T50" s="72"/>
      <c r="U50" s="72"/>
      <c r="V50" s="72"/>
      <c r="W50" s="6" t="s">
        <v>1929</v>
      </c>
      <c r="X50" s="6" t="s">
        <v>1943</v>
      </c>
      <c r="Y50" s="72"/>
      <c r="Z50" s="72"/>
      <c r="AA50" s="6" t="s">
        <v>1983</v>
      </c>
      <c r="AB50" s="72"/>
      <c r="AC50" s="6" t="s">
        <v>2017</v>
      </c>
      <c r="AD50" s="72"/>
      <c r="AE50" s="72"/>
      <c r="AF50" s="6" t="s">
        <v>2242</v>
      </c>
      <c r="AG50" s="6" t="s">
        <v>2261</v>
      </c>
      <c r="AH50" s="6" t="s">
        <v>2271</v>
      </c>
      <c r="AI50" s="72"/>
      <c r="AJ50" s="6" t="s">
        <v>3351</v>
      </c>
      <c r="AK50" s="72"/>
      <c r="AL50" s="6" t="s">
        <v>2364</v>
      </c>
      <c r="AM50" s="72"/>
      <c r="AN50" s="72"/>
      <c r="AO50" s="72"/>
      <c r="AP50" s="72"/>
      <c r="AQ50" s="72"/>
      <c r="AR50" s="72"/>
      <c r="AS50" s="72"/>
      <c r="AT50" s="72"/>
      <c r="AU50" s="72"/>
      <c r="AV50" s="72"/>
      <c r="AW50" s="6" t="s">
        <v>3352</v>
      </c>
      <c r="AX50" s="72"/>
    </row>
    <row r="51" customFormat="false" ht="35.05" hidden="false" customHeight="false" outlineLevel="0" collapsed="false">
      <c r="A51" s="36" t="s">
        <v>548</v>
      </c>
      <c r="B51" s="6" t="s">
        <v>549</v>
      </c>
      <c r="C51" s="37" t="s">
        <v>109</v>
      </c>
      <c r="D51" s="6" t="s">
        <v>684</v>
      </c>
      <c r="E51" s="6" t="s">
        <v>760</v>
      </c>
      <c r="F51" s="6" t="s">
        <v>3353</v>
      </c>
      <c r="G51" s="6" t="s">
        <v>1074</v>
      </c>
      <c r="H51" s="6" t="s">
        <v>1143</v>
      </c>
      <c r="I51" s="72"/>
      <c r="J51" s="72"/>
      <c r="K51" s="72"/>
      <c r="L51" s="72"/>
      <c r="M51" s="72"/>
      <c r="N51" s="72"/>
      <c r="O51" s="72"/>
      <c r="P51" s="6" t="s">
        <v>3354</v>
      </c>
      <c r="Q51" s="72"/>
      <c r="R51" s="6" t="s">
        <v>3355</v>
      </c>
      <c r="S51" s="72"/>
      <c r="T51" s="72"/>
      <c r="U51" s="72"/>
      <c r="V51" s="72"/>
      <c r="W51" s="72"/>
      <c r="X51" s="72"/>
      <c r="Y51" s="72"/>
      <c r="Z51" s="72"/>
      <c r="AA51" s="72"/>
      <c r="AB51" s="72"/>
      <c r="AC51" s="6" t="s">
        <v>2009</v>
      </c>
      <c r="AD51" s="72"/>
      <c r="AE51" s="72"/>
      <c r="AF51" s="72"/>
      <c r="AG51" s="72"/>
      <c r="AH51" s="72"/>
      <c r="AI51" s="72"/>
      <c r="AJ51" s="72"/>
      <c r="AK51" s="6" t="s">
        <v>2360</v>
      </c>
      <c r="AL51" s="72"/>
      <c r="AM51" s="72"/>
      <c r="AN51" s="72"/>
      <c r="AO51" s="72"/>
      <c r="AP51" s="72"/>
      <c r="AQ51" s="72"/>
      <c r="AR51" s="72"/>
      <c r="AS51" s="72"/>
      <c r="AT51" s="72"/>
      <c r="AU51" s="72"/>
      <c r="AV51" s="72"/>
      <c r="AW51" s="72"/>
      <c r="AX51" s="72"/>
    </row>
    <row r="52" customFormat="false" ht="15" hidden="false" customHeight="false" outlineLevel="0" collapsed="false">
      <c r="B52" s="5" t="s">
        <v>3356</v>
      </c>
      <c r="D52" s="24" t="n">
        <v>24</v>
      </c>
      <c r="E52" s="24" t="n">
        <v>25</v>
      </c>
      <c r="F52" s="24" t="n">
        <v>55</v>
      </c>
      <c r="G52" s="24" t="n">
        <v>72</v>
      </c>
      <c r="H52" s="24" t="n">
        <v>12</v>
      </c>
      <c r="I52" s="24" t="n">
        <v>20</v>
      </c>
      <c r="J52" s="24" t="n">
        <v>10</v>
      </c>
      <c r="K52" s="24" t="n">
        <v>10</v>
      </c>
      <c r="L52" s="24" t="n">
        <v>10</v>
      </c>
      <c r="M52" s="24" t="n">
        <v>55</v>
      </c>
      <c r="N52" s="24" t="n">
        <v>32</v>
      </c>
      <c r="O52" s="24" t="n">
        <v>26</v>
      </c>
      <c r="P52" s="24" t="n">
        <v>38</v>
      </c>
      <c r="Q52" s="24" t="n">
        <v>9</v>
      </c>
      <c r="R52" s="24" t="n">
        <v>93</v>
      </c>
      <c r="S52" s="24" t="n">
        <v>3</v>
      </c>
      <c r="T52" s="24" t="n">
        <v>4</v>
      </c>
      <c r="U52" s="24" t="n">
        <v>9</v>
      </c>
      <c r="V52" s="24" t="n">
        <v>5</v>
      </c>
      <c r="W52" s="24" t="n">
        <v>7</v>
      </c>
      <c r="X52" s="24" t="n">
        <v>7</v>
      </c>
      <c r="Y52" s="24" t="n">
        <v>8</v>
      </c>
      <c r="Z52" s="24" t="n">
        <v>4</v>
      </c>
      <c r="AA52" s="24" t="n">
        <v>4</v>
      </c>
      <c r="AB52" s="24" t="n">
        <v>7</v>
      </c>
      <c r="AC52" s="24" t="n">
        <v>22</v>
      </c>
      <c r="AD52" s="24" t="n">
        <v>18</v>
      </c>
      <c r="AE52" s="24" t="n">
        <v>61</v>
      </c>
      <c r="AF52" s="24" t="n">
        <v>5</v>
      </c>
      <c r="AG52" s="24" t="n">
        <v>7</v>
      </c>
      <c r="AH52" s="24" t="n">
        <v>10</v>
      </c>
      <c r="AI52" s="24" t="n">
        <v>5</v>
      </c>
      <c r="AJ52" s="24" t="n">
        <v>12</v>
      </c>
      <c r="AK52" s="24" t="n">
        <v>11</v>
      </c>
      <c r="AL52" s="24" t="n">
        <v>14</v>
      </c>
      <c r="AM52" s="24" t="n">
        <v>33</v>
      </c>
      <c r="AN52" s="24" t="n">
        <v>23</v>
      </c>
      <c r="AO52" s="24" t="n">
        <v>13</v>
      </c>
      <c r="AP52" s="24" t="n">
        <v>17</v>
      </c>
      <c r="AQ52" s="24" t="n">
        <v>10</v>
      </c>
      <c r="AR52" s="24" t="n">
        <v>4</v>
      </c>
      <c r="AS52" s="24" t="n">
        <v>8</v>
      </c>
      <c r="AT52" s="24" t="n">
        <v>9</v>
      </c>
      <c r="AU52" s="24" t="n">
        <v>12</v>
      </c>
      <c r="AV52" s="24" t="n">
        <v>6</v>
      </c>
      <c r="AW52" s="24" t="n">
        <v>34</v>
      </c>
      <c r="AX52" s="24" t="n">
        <v>8</v>
      </c>
    </row>
  </sheetData>
  <mergeCells count="7">
    <mergeCell ref="D4:I4"/>
    <mergeCell ref="J4:O4"/>
    <mergeCell ref="P4:AB4"/>
    <mergeCell ref="AC4:AE4"/>
    <mergeCell ref="AF4:AI4"/>
    <mergeCell ref="AJ4:AK4"/>
    <mergeCell ref="AL4:AX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8"/>
    <col collapsed="false" customWidth="true" hidden="false" outlineLevel="0" max="4" min="3" style="0" width="34"/>
    <col collapsed="false" customWidth="true" hidden="false" outlineLevel="0" max="5" min="5" style="0" width="44"/>
    <col collapsed="false" customWidth="true" hidden="false" outlineLevel="0" max="6" min="6" style="0" width="12"/>
    <col collapsed="false" customWidth="true" hidden="false" outlineLevel="0" max="7" min="7" style="0" width="16"/>
  </cols>
  <sheetData>
    <row r="1" customFormat="false" ht="30" hidden="false" customHeight="true" outlineLevel="0" collapsed="false">
      <c r="A1" s="73" t="s">
        <v>3357</v>
      </c>
      <c r="B1" s="74"/>
      <c r="C1" s="74"/>
      <c r="D1" s="74"/>
      <c r="E1" s="74"/>
      <c r="F1" s="74"/>
      <c r="G1" s="74"/>
    </row>
    <row r="2" customFormat="false" ht="15" hidden="false" customHeight="false" outlineLevel="0" collapsed="false">
      <c r="A2" s="3" t="s">
        <v>3358</v>
      </c>
    </row>
    <row r="4" customFormat="false" ht="23.85" hidden="false" customHeight="false" outlineLevel="0" collapsed="false">
      <c r="A4" s="75" t="s">
        <v>3359</v>
      </c>
      <c r="B4" s="75" t="s">
        <v>3360</v>
      </c>
      <c r="C4" s="75" t="s">
        <v>3361</v>
      </c>
      <c r="D4" s="75" t="s">
        <v>625</v>
      </c>
      <c r="E4" s="75" t="s">
        <v>3362</v>
      </c>
      <c r="F4" s="75" t="s">
        <v>630</v>
      </c>
      <c r="G4" s="75" t="s">
        <v>38</v>
      </c>
    </row>
    <row r="5" customFormat="false" ht="23.85" hidden="false" customHeight="false" outlineLevel="0" collapsed="false">
      <c r="A5" s="36" t="s">
        <v>3363</v>
      </c>
      <c r="B5" s="6" t="s">
        <v>3364</v>
      </c>
      <c r="C5" s="6" t="s">
        <v>3365</v>
      </c>
      <c r="D5" s="6" t="s">
        <v>3366</v>
      </c>
      <c r="E5" s="6" t="s">
        <v>3367</v>
      </c>
      <c r="F5" s="26" t="str">
        <f aca="false">(COUNTIFS('Control Library'!$A$5:$A$50,"AI-CTRL-002",'Control Library'!$R$5:$R$50,"Implemented")+COUNTIFS('Control Library'!$A$5:$A$50,"AI-CTRL-003",'Control Library'!$R$5:$R$50,"Implemented")+COUNTIFS('Control Library'!$A$5:$A$50,"AI-CTRL-010",'Control Library'!$R$5:$R$50,"Implemented")+COUNTIFS('Control Library'!$A$5:$A$50,"AI-CTRL-017",'Control Library'!$R$5:$R$50,"Implemented"))&amp;" of 4"</f>
        <v>0 of 4</v>
      </c>
      <c r="G5" s="43" t="str">
        <f aca="false">IF((COUNTIFS('Control Library'!$A$5:$A$50,"AI-CTRL-002",'Control Library'!$R$5:$R$50,"Implemented")+COUNTIFS('Control Library'!$A$5:$A$50,"AI-CTRL-003",'Control Library'!$R$5:$R$50,"Implemented")+COUNTIFS('Control Library'!$A$5:$A$50,"AI-CTRL-010",'Control Library'!$R$5:$R$50,"Implemented")+COUNTIFS('Control Library'!$A$5:$A$50,"AI-CTRL-017",'Control Library'!$R$5:$R$50,"Implemented"))=4,"Fully covered",IF((COUNTIFS('Control Library'!$A$5:$A$50,"AI-CTRL-002",'Control Library'!$R$5:$R$50,"Implemented")+COUNTIFS('Control Library'!$A$5:$A$50,"AI-CTRL-003",'Control Library'!$R$5:$R$50,"Implemented")+COUNTIFS('Control Library'!$A$5:$A$50,"AI-CTRL-010",'Control Library'!$R$5:$R$50,"Implemented")+COUNTIFS('Control Library'!$A$5:$A$50,"AI-CTRL-017",'Control Library'!$R$5:$R$50,"Implemented"))=0,"Not covered","Partly covered"))</f>
        <v>Not covered</v>
      </c>
    </row>
    <row r="6" customFormat="false" ht="35.05" hidden="false" customHeight="false" outlineLevel="0" collapsed="false">
      <c r="A6" s="36" t="s">
        <v>165</v>
      </c>
      <c r="B6" s="76" t="s">
        <v>3368</v>
      </c>
      <c r="C6" s="76" t="s">
        <v>3369</v>
      </c>
      <c r="D6" s="76" t="s">
        <v>3370</v>
      </c>
      <c r="E6" s="76" t="s">
        <v>3371</v>
      </c>
      <c r="F6" s="26" t="str">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Library'!$R$5:$R$50,"Implemented"))&amp;" of 6"</f>
        <v>0 of 6</v>
      </c>
      <c r="G6" s="43" t="str">
        <f aca="false">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Library'!$R$5:$R$50,"Implemented"))=6,"Fully covered",IF((COUNTIFS('Control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Library'!$R$5:$R$50,"Implemented"))=0,"Not covered","Partly covered"))</f>
        <v>Not covered</v>
      </c>
    </row>
    <row r="7" customFormat="false" ht="35.05" hidden="false" customHeight="false" outlineLevel="0" collapsed="false">
      <c r="A7" s="36" t="s">
        <v>3372</v>
      </c>
      <c r="B7" s="6" t="s">
        <v>3373</v>
      </c>
      <c r="C7" s="6" t="s">
        <v>3374</v>
      </c>
      <c r="D7" s="6" t="s">
        <v>3375</v>
      </c>
      <c r="E7" s="6" t="s">
        <v>3376</v>
      </c>
      <c r="F7" s="26" t="str">
        <f aca="false">(COUNTIFS('Control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Library'!$R$5:$R$50,"Implemented"))&amp;" of 7"</f>
        <v>0 of 7</v>
      </c>
      <c r="G7" s="43" t="str">
        <f aca="false">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Library'!$R$5:$R$50,"Implemented"))=7,"Fully covered",IF((COUNTIFS('Control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Library'!$R$5:$R$50,"Implemented"))=0,"Not covered","Partly covered"))</f>
        <v>Not covered</v>
      </c>
    </row>
    <row r="8" customFormat="false" ht="23.85" hidden="false" customHeight="false" outlineLevel="0" collapsed="false">
      <c r="A8" s="36" t="s">
        <v>3377</v>
      </c>
      <c r="B8" s="76" t="s">
        <v>3378</v>
      </c>
      <c r="C8" s="76" t="s">
        <v>3379</v>
      </c>
      <c r="D8" s="76" t="s">
        <v>190</v>
      </c>
      <c r="E8" s="76" t="s">
        <v>3380</v>
      </c>
      <c r="F8" s="26" t="str">
        <f aca="false">(COUNTIFS('Control Library'!$A$5:$A$50,"AI-CTRL-004",'Control Library'!$R$5:$R$50,"Implemented"))&amp;" of 1"</f>
        <v>0 of 1</v>
      </c>
      <c r="G8" s="43" t="str">
        <f aca="false">IF((COUNTIFS('Control Library'!$A$5:$A$50,"AI-CTRL-004",'Control Library'!$R$5:$R$50,"Implemented"))=1,"Fully covered",IF((COUNTIFS('Control Library'!$A$5:$A$50,"AI-CTRL-004",'Control Library'!$R$5:$R$50,"Implemented"))=0,"Not covered","Partly covered"))</f>
        <v>Not covered</v>
      </c>
    </row>
    <row r="9" customFormat="false" ht="35.05" hidden="false" customHeight="false" outlineLevel="0" collapsed="false">
      <c r="A9" s="36" t="s">
        <v>698</v>
      </c>
      <c r="B9" s="6" t="s">
        <v>3381</v>
      </c>
      <c r="C9" s="6" t="s">
        <v>3382</v>
      </c>
      <c r="D9" s="6" t="s">
        <v>697</v>
      </c>
      <c r="E9" s="6" t="s">
        <v>3383</v>
      </c>
      <c r="F9" s="26" t="str">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Library'!$R$5:$R$50,"Implemented"))&amp;" of 7"</f>
        <v>0 of 7</v>
      </c>
      <c r="G9" s="43" t="str">
        <f aca="false">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Library'!$R$5:$R$50,"Implemented"))=7,"Fully covered",IF((COUNTIFS('Control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Library'!$R$5:$R$50,"Implemented"))=0,"Not covered","Partly covered"))</f>
        <v>Not covered</v>
      </c>
    </row>
    <row r="10" customFormat="false" ht="23.85" hidden="false" customHeight="false" outlineLevel="0" collapsed="false">
      <c r="A10" s="36" t="s">
        <v>319</v>
      </c>
      <c r="B10" s="76" t="s">
        <v>3384</v>
      </c>
      <c r="C10" s="76" t="s">
        <v>3385</v>
      </c>
      <c r="D10" s="76" t="s">
        <v>689</v>
      </c>
      <c r="E10" s="76" t="s">
        <v>3386</v>
      </c>
      <c r="F10" s="26" t="str">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Library'!$R$5:$R$50,"Implemented"))&amp;" of 5"</f>
        <v>0 of 5</v>
      </c>
      <c r="G10" s="43" t="str">
        <f aca="false">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Library'!$R$5:$R$50,"Implemented"))=5,"Fully covered",IF((COUNTIFS('Control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Library'!$R$5:$R$50,"Implemented"))=0,"Not covered","Partly covered"))</f>
        <v>Not covered</v>
      </c>
    </row>
    <row r="11" customFormat="false" ht="57.45" hidden="false" customHeight="false" outlineLevel="0" collapsed="false">
      <c r="A11" s="36" t="s">
        <v>702</v>
      </c>
      <c r="B11" s="6" t="s">
        <v>3387</v>
      </c>
      <c r="C11" s="6" t="s">
        <v>3388</v>
      </c>
      <c r="D11" s="6" t="s">
        <v>701</v>
      </c>
      <c r="E11" s="6" t="s">
        <v>3389</v>
      </c>
      <c r="F11" s="26" t="str">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Library'!$R$5:$R$50,"Implemented"))&amp;" of 12"</f>
        <v>0 of 12</v>
      </c>
      <c r="G11" s="43" t="str">
        <f aca="false">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Library'!$R$5:$R$50,"Implemented"))=12,"Fully covered",IF((COUNTIFS('Control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Library'!$R$5:$R$50,"Implemented"))=0,"Not covered","Partly covered"))</f>
        <v>Not covered</v>
      </c>
    </row>
    <row r="12" customFormat="false" ht="46.25" hidden="false" customHeight="false" outlineLevel="0" collapsed="false">
      <c r="A12" s="36" t="s">
        <v>398</v>
      </c>
      <c r="B12" s="76" t="s">
        <v>3390</v>
      </c>
      <c r="C12" s="76" t="s">
        <v>3391</v>
      </c>
      <c r="D12" s="76" t="s">
        <v>692</v>
      </c>
      <c r="E12" s="76" t="s">
        <v>3392</v>
      </c>
      <c r="F12" s="26" t="str">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Library'!$R$5:$R$50,"Implemented"))&amp;" of 10"</f>
        <v>0 of 10</v>
      </c>
      <c r="G12" s="43" t="str">
        <f aca="false">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Library'!$R$5:$R$50,"Implemented"))=10,"Fully covered",IF((COUNTIFS('Control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Library'!$R$5:$R$50,"Implemented"))=0,"Not covered","Partly covered"))</f>
        <v>Not covered</v>
      </c>
    </row>
    <row r="13" customFormat="false" ht="23.85" hidden="false" customHeight="false" outlineLevel="0" collapsed="false">
      <c r="A13" s="36" t="s">
        <v>243</v>
      </c>
      <c r="B13" s="6" t="s">
        <v>3393</v>
      </c>
      <c r="C13" s="6" t="s">
        <v>3394</v>
      </c>
      <c r="D13" s="6" t="s">
        <v>3395</v>
      </c>
      <c r="E13" s="6" t="s">
        <v>3396</v>
      </c>
      <c r="F13" s="26" t="str">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Library'!$R$5:$R$50,"Implemented"))&amp;" of 5"</f>
        <v>0 of 5</v>
      </c>
      <c r="G13" s="43" t="str">
        <f aca="false">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Library'!$R$5:$R$50,"Implemented"))=5,"Fully covered",IF((COUNTIFS('Control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Library'!$R$5:$R$50,"Implemented"))=0,"Not covered","Partly covered"))</f>
        <v>Not covered</v>
      </c>
    </row>
    <row r="14" customFormat="false" ht="35.05" hidden="false" customHeight="false" outlineLevel="0" collapsed="false">
      <c r="A14" s="36" t="s">
        <v>224</v>
      </c>
      <c r="B14" s="76" t="s">
        <v>3397</v>
      </c>
      <c r="C14" s="76" t="s">
        <v>3398</v>
      </c>
      <c r="D14" s="76" t="s">
        <v>926</v>
      </c>
      <c r="E14" s="76" t="s">
        <v>3399</v>
      </c>
      <c r="F14" s="26" t="str">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Library'!$R$5:$R$50,"Implemented"))&amp;" of 6"</f>
        <v>0 of 6</v>
      </c>
      <c r="G14" s="43" t="str">
        <f aca="false">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Library'!$R$5:$R$50,"Implemented"))=6,"Fully covered",IF((COUNTIFS('Control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Library'!$R$5:$R$50,"Implemented"))=0,"Not covered","Partly covered"))</f>
        <v>Not covered</v>
      </c>
    </row>
    <row r="15" customFormat="false" ht="35.05" hidden="false" customHeight="false" outlineLevel="0" collapsed="false">
      <c r="A15" s="36" t="s">
        <v>464</v>
      </c>
      <c r="B15" s="6" t="s">
        <v>3400</v>
      </c>
      <c r="C15" s="6" t="s">
        <v>3401</v>
      </c>
      <c r="D15" s="6" t="s">
        <v>1301</v>
      </c>
      <c r="E15" s="6" t="s">
        <v>3402</v>
      </c>
      <c r="F15" s="26" t="str">
        <f aca="false">(COUNTIFS('Control Library'!$A$5:$A$50,"AI-CTRL-025",'Control Library'!$R$5:$R$50,"Implemented")+COUNTIFS('Control Library'!$A$5:$A$50,"AI-CTRL-036",'Control Library'!$R$5:$R$50,"Implemented"))&amp;" of 2"</f>
        <v>0 of 2</v>
      </c>
      <c r="G15" s="43" t="str">
        <f aca="false">IF((COUNTIFS('Control Library'!$A$5:$A$50,"AI-CTRL-025",'Control Library'!$R$5:$R$50,"Implemented")+COUNTIFS('Control Library'!$A$5:$A$50,"AI-CTRL-036",'Control Library'!$R$5:$R$50,"Implemented"))=2,"Fully covered",IF((COUNTIFS('Control Library'!$A$5:$A$50,"AI-CTRL-025",'Control Library'!$R$5:$R$50,"Implemented")+COUNTIFS('Control Library'!$A$5:$A$50,"AI-CTRL-036",'Control Library'!$R$5:$R$50,"Implemented"))=0,"Not covered","Partly covered"))</f>
        <v>Not covered</v>
      </c>
    </row>
    <row r="16" customFormat="false" ht="35.05" hidden="false" customHeight="false" outlineLevel="0" collapsed="false">
      <c r="A16" s="36" t="s">
        <v>636</v>
      </c>
      <c r="B16" s="76" t="s">
        <v>3403</v>
      </c>
      <c r="C16" s="76" t="s">
        <v>3404</v>
      </c>
      <c r="D16" s="76" t="s">
        <v>634</v>
      </c>
      <c r="E16" s="76" t="s">
        <v>3405</v>
      </c>
      <c r="F16" s="26" t="str">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Library'!$R$5:$R$50,"Implemented"))&amp;" of 4"</f>
        <v>0 of 4</v>
      </c>
      <c r="G16" s="43" t="str">
        <f aca="false">IF((COUNTIFS('Control Library'!$A$5:$A$50,"AI-CTRL-039",'Control Library'!$R$5:$R$50,"Implemented")+COUNTIFS('Control Library'!$A$5:$A$50,"AI-CTRL-041",'Control Library'!$R$5:$R$50,"Implemented")+COUNTIFS('Control Library'!$A$5:$A$50,"AI-CTRL-042",'Control Library'!$R$5:$R$50,"Implemented")+COUNTIFS('Control Library'!$A$5:$A$50,"AI-CTRL-045",'Control Library'!$R$5:$R$50,"Implemented"))=4,"Fully covered",IF((COUNTIFS('Control Library'!$A$5:$A$50,"AI-CTRL-039",'Control Library'!$R$5:$R$50,"Implemented")+COUNTIFS('Control Library'!$A$5:$A$50,"AI-CTRL-041",'Control Library'!$R$5:$R$50,"Implemented")+COUNTIFS('Control Library'!$A$5:$A$50,"AI-CTRL-042",'Control Library'!$R$5:$R$50,"Implemented")+COUNTIFS('Control Library'!$A$5:$A$50,"AI-CTRL-045",'Control Library'!$R$5:$R$50,"Implemented"))=0,"Not covered","Partly covered"))</f>
        <v>Not covered</v>
      </c>
    </row>
    <row r="17" customFormat="false" ht="35.05" hidden="false" customHeight="false" outlineLevel="0" collapsed="false">
      <c r="A17" s="36" t="s">
        <v>647</v>
      </c>
      <c r="B17" s="6" t="s">
        <v>3406</v>
      </c>
      <c r="C17" s="6" t="s">
        <v>3407</v>
      </c>
      <c r="D17" s="6" t="s">
        <v>494</v>
      </c>
      <c r="E17" s="6" t="s">
        <v>3408</v>
      </c>
      <c r="F17" s="26" t="str">
        <f aca="false">(COUNTIFS('Control Library'!$A$5:$A$50,"AI-CTRL-040",'Control Library'!$R$5:$R$50,"Implemented"))&amp;" of 1"</f>
        <v>0 of 1</v>
      </c>
      <c r="G17" s="43" t="str">
        <f aca="false">IF((COUNTIFS('Control Library'!$A$5:$A$50,"AI-CTRL-040",'Control Library'!$R$5:$R$50,"Implemented"))=1,"Fully covered",IF((COUNTIFS('Control Library'!$A$5:$A$50,"AI-CTRL-040",'Control Library'!$R$5:$R$50,"Implemented"))=0,"Not covered","Partly covered"))</f>
        <v>Not covered</v>
      </c>
    </row>
    <row r="18" customFormat="false" ht="23.85" hidden="false" customHeight="false" outlineLevel="0" collapsed="false">
      <c r="A18" s="36" t="s">
        <v>656</v>
      </c>
      <c r="B18" s="76" t="s">
        <v>3409</v>
      </c>
      <c r="C18" s="76" t="s">
        <v>3410</v>
      </c>
      <c r="D18" s="76" t="s">
        <v>655</v>
      </c>
      <c r="E18" s="76" t="s">
        <v>3411</v>
      </c>
      <c r="F18" s="26" t="str">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Library'!$R$5:$R$50,"Implemented"))&amp;" of 4"</f>
        <v>0 of 4</v>
      </c>
      <c r="G18" s="43" t="str">
        <f aca="false">IF((COUNTIFS('Control Library'!$A$5:$A$50,"AI-CTRL-033",'Control Library'!$R$5:$R$50,"Implemented")+COUNTIFS('Control Library'!$A$5:$A$50,"AI-CTRL-039",'Control Library'!$R$5:$R$50,"Implemented")+COUNTIFS('Control Library'!$A$5:$A$50,"AI-CTRL-041",'Control Library'!$R$5:$R$50,"Implemented")+COUNTIFS('Control Library'!$A$5:$A$50,"AI-CTRL-045",'Control Library'!$R$5:$R$50,"Implemented"))=4,"Fully covered",IF((COUNTIFS('Control Library'!$A$5:$A$50,"AI-CTRL-033",'Control Library'!$R$5:$R$50,"Implemented")+COUNTIFS('Control Library'!$A$5:$A$50,"AI-CTRL-039",'Control Library'!$R$5:$R$50,"Implemented")+COUNTIFS('Control Library'!$A$5:$A$50,"AI-CTRL-041",'Control Library'!$R$5:$R$50,"Implemented")+COUNTIFS('Control Library'!$A$5:$A$50,"AI-CTRL-045",'Control Library'!$R$5:$R$50,"Implemented"))=0,"Not covered","Partly covered"))</f>
        <v>Not covered</v>
      </c>
    </row>
    <row r="19" customFormat="false" ht="23.85" hidden="false" customHeight="false" outlineLevel="0" collapsed="false">
      <c r="A19" s="36" t="s">
        <v>660</v>
      </c>
      <c r="B19" s="6" t="s">
        <v>3412</v>
      </c>
      <c r="C19" s="6" t="s">
        <v>3413</v>
      </c>
      <c r="D19" s="6" t="s">
        <v>659</v>
      </c>
      <c r="E19" s="6" t="s">
        <v>3414</v>
      </c>
      <c r="F19" s="26" t="str">
        <f aca="false">(COUNTIFS('Control Library'!$A$5:$A$50,"AI-CTRL-008",'Control Library'!$R$5:$R$50,"Implemented")+COUNTIFS('Control Library'!$A$5:$A$50,"AI-CTRL-038",'Control Library'!$R$5:$R$50,"Implemented")+COUNTIFS('Control Library'!$A$5:$A$50,"AI-CTRL-041",'Control Library'!$R$5:$R$50,"Implemented"))&amp;" of 3"</f>
        <v>0 of 3</v>
      </c>
      <c r="G19" s="43" t="str">
        <f aca="false">IF((COUNTIFS('Control Library'!$A$5:$A$50,"AI-CTRL-008",'Control Library'!$R$5:$R$50,"Implemented")+COUNTIFS('Control Library'!$A$5:$A$50,"AI-CTRL-038",'Control Library'!$R$5:$R$50,"Implemented")+COUNTIFS('Control Library'!$A$5:$A$50,"AI-CTRL-041",'Control Library'!$R$5:$R$50,"Implemented"))=3,"Fully covered",IF((COUNTIFS('Control Library'!$A$5:$A$50,"AI-CTRL-008",'Control Library'!$R$5:$R$50,"Implemented")+COUNTIFS('Control Library'!$A$5:$A$50,"AI-CTRL-038",'Control Library'!$R$5:$R$50,"Implemented")+COUNTIFS('Control Library'!$A$5:$A$50,"AI-CTRL-041",'Control Library'!$R$5:$R$50,"Implemented"))=0,"Not covered","Partly covered"))</f>
        <v>Not covered</v>
      </c>
    </row>
    <row r="20" customFormat="false" ht="23.85" hidden="false" customHeight="false" outlineLevel="0" collapsed="false">
      <c r="A20" s="36" t="s">
        <v>642</v>
      </c>
      <c r="B20" s="76" t="s">
        <v>3415</v>
      </c>
      <c r="C20" s="76" t="s">
        <v>3416</v>
      </c>
      <c r="D20" s="76" t="s">
        <v>641</v>
      </c>
      <c r="E20" s="76" t="s">
        <v>3417</v>
      </c>
      <c r="F20" s="26" t="str">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Library'!$R$5:$R$50,"Implemented"))&amp;" of 5"</f>
        <v>0 of 5</v>
      </c>
      <c r="G20" s="43" t="str">
        <f aca="false">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Library'!$R$5:$R$50,"Implemented"))=5,"Fully covered",IF((COUNTIFS('Control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Library'!$R$5:$R$50,"Implemented"))=0,"Not covered","Partly covered"))</f>
        <v>Not covered</v>
      </c>
    </row>
    <row r="21" customFormat="false" ht="23.85" hidden="false" customHeight="false" outlineLevel="0" collapsed="false">
      <c r="A21" s="36" t="s">
        <v>666</v>
      </c>
      <c r="B21" s="6" t="s">
        <v>3418</v>
      </c>
      <c r="C21" s="6" t="s">
        <v>3419</v>
      </c>
      <c r="D21" s="6" t="s">
        <v>665</v>
      </c>
      <c r="E21" s="6" t="s">
        <v>3420</v>
      </c>
      <c r="F21" s="26" t="str">
        <f aca="false">(COUNTIFS('Control Library'!$A$5:$A$50,"AI-CTRL-017",'Control Library'!$R$5:$R$50,"Implemented")+COUNTIFS('Control Library'!$A$5:$A$50,"AI-CTRL-019",'Control Library'!$R$5:$R$50,"Implemented")+COUNTIFS('Control Library'!$A$5:$A$50,"AI-CTRL-034",'Control Library'!$R$5:$R$50,"Implemented"))&amp;" of 3"</f>
        <v>0 of 3</v>
      </c>
      <c r="G21" s="43" t="str">
        <f aca="false">IF((COUNTIFS('Control Library'!$A$5:$A$50,"AI-CTRL-017",'Control Library'!$R$5:$R$50,"Implemented")+COUNTIFS('Control Library'!$A$5:$A$50,"AI-CTRL-019",'Control Library'!$R$5:$R$50,"Implemented")+COUNTIFS('Control Library'!$A$5:$A$50,"AI-CTRL-034",'Control Library'!$R$5:$R$50,"Implemented"))=3,"Fully covered",IF((COUNTIFS('Control Library'!$A$5:$A$50,"AI-CTRL-017",'Control Library'!$R$5:$R$50,"Implemented")+COUNTIFS('Control Library'!$A$5:$A$50,"AI-CTRL-019",'Control Library'!$R$5:$R$50,"Implemented")+COUNTIFS('Control Library'!$A$5:$A$50,"AI-CTRL-034",'Control Library'!$R$5:$R$50,"Implemented"))=0,"Not covered","Partly covered"))</f>
        <v>Not covered</v>
      </c>
    </row>
    <row r="22" customFormat="false" ht="23.85" hidden="false" customHeight="false" outlineLevel="0" collapsed="false">
      <c r="A22" s="36" t="s">
        <v>651</v>
      </c>
      <c r="B22" s="76" t="s">
        <v>3421</v>
      </c>
      <c r="C22" s="76" t="s">
        <v>3422</v>
      </c>
      <c r="D22" s="76" t="s">
        <v>650</v>
      </c>
      <c r="E22" s="76" t="s">
        <v>3423</v>
      </c>
      <c r="F22" s="26" t="str">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Library'!$R$5:$R$50,"Implemented"))&amp;" of 4"</f>
        <v>0 of 4</v>
      </c>
      <c r="G22" s="43" t="str">
        <f aca="false">IF((COUNTIFS('Control Library'!$A$5:$A$50,"AI-CTRL-011",'Control Library'!$R$5:$R$50,"Implemented")+COUNTIFS('Control Library'!$A$5:$A$50,"AI-CTRL-012",'Control Library'!$R$5:$R$50,"Implemented")+COUNTIFS('Control Library'!$A$5:$A$50,"AI-CTRL-037",'Control Library'!$R$5:$R$50,"Implemented")+COUNTIFS('Control Library'!$A$5:$A$50,"AI-CTRL-045",'Control Library'!$R$5:$R$50,"Implemented"))=4,"Fully covered",IF((COUNTIFS('Control Library'!$A$5:$A$50,"AI-CTRL-011",'Control Library'!$R$5:$R$50,"Implemented")+COUNTIFS('Control Library'!$A$5:$A$50,"AI-CTRL-012",'Control Library'!$R$5:$R$50,"Implemented")+COUNTIFS('Control Library'!$A$5:$A$50,"AI-CTRL-037",'Control Library'!$R$5:$R$50,"Implemented")+COUNTIFS('Control Library'!$A$5:$A$50,"AI-CTRL-045",'Control Library'!$R$5:$R$50,"Implemented"))=0,"Not covered","Partly covered"))</f>
        <v>Not covered</v>
      </c>
    </row>
    <row r="23" customFormat="false" ht="35.05" hidden="false" customHeight="false" outlineLevel="0" collapsed="false">
      <c r="A23" s="36" t="s">
        <v>3424</v>
      </c>
      <c r="B23" s="6" t="s">
        <v>3425</v>
      </c>
      <c r="C23" s="6" t="s">
        <v>3426</v>
      </c>
      <c r="D23" s="6" t="s">
        <v>3427</v>
      </c>
      <c r="E23" s="6" t="s">
        <v>3428</v>
      </c>
      <c r="F23" s="26" t="str">
        <f aca="false">(COUNTIFS('Control Library'!$A$5:$A$50,"AI-CTRL-012",'Control Library'!$R$5:$R$50,"Implemented")+COUNTIFS('Control Library'!$A$5:$A$50,"AI-CTRL-023",'Control Library'!$R$5:$R$50,"Implemented")+COUNTIFS('Control Library'!$A$5:$A$50,"AI-CTRL-044",'Control Library'!$R$5:$R$50,"Implemented")+COUNTIFS('Control Library'!$A$5:$A$50,"AI-CTRL-045",'Control Library'!$R$5:$R$50,"Implemented"))&amp;" of 4"</f>
        <v>0 of 4</v>
      </c>
      <c r="G23" s="43" t="str">
        <f aca="false">IF((COUNTIFS('Control Library'!$A$5:$A$50,"AI-CTRL-012",'Control Library'!$R$5:$R$50,"Implemented")+COUNTIFS('Control Library'!$A$5:$A$50,"AI-CTRL-023",'Control Library'!$R$5:$R$50,"Implemented")+COUNTIFS('Control Library'!$A$5:$A$50,"AI-CTRL-044",'Control Library'!$R$5:$R$50,"Implemented")+COUNTIFS('Control Library'!$A$5:$A$50,"AI-CTRL-045",'Control Library'!$R$5:$R$50,"Implemented"))=4,"Fully covered",IF((COUNTIFS('Control Library'!$A$5:$A$50,"AI-CTRL-012",'Control Library'!$R$5:$R$50,"Implemented")+COUNTIFS('Control Library'!$A$5:$A$50,"AI-CTRL-023",'Control Library'!$R$5:$R$50,"Implemented")+COUNTIFS('Control Library'!$A$5:$A$50,"AI-CTRL-044",'Control Library'!$R$5:$R$50,"Implemented")+COUNTIFS('Control Library'!$A$5:$A$50,"AI-CTRL-045",'Control Library'!$R$5:$R$50,"Implemented"))=0,"Not covered","Partly covered"))</f>
        <v>Not covered</v>
      </c>
    </row>
    <row r="24" customFormat="false" ht="23.85" hidden="false" customHeight="false" outlineLevel="0" collapsed="false">
      <c r="A24" s="36" t="s">
        <v>670</v>
      </c>
      <c r="B24" s="76" t="s">
        <v>3429</v>
      </c>
      <c r="C24" s="76" t="s">
        <v>3430</v>
      </c>
      <c r="D24" s="76" t="s">
        <v>669</v>
      </c>
      <c r="E24" s="76" t="s">
        <v>3431</v>
      </c>
      <c r="F24" s="26" t="str">
        <f aca="false">(COUNTIFS('Control Library'!$A$5:$A$50,"AI-CTRL-034",'Control Library'!$R$5:$R$50,"Implemented")+COUNTIFS('Control Library'!$A$5:$A$50,"AI-CTRL-035",'Control Library'!$R$5:$R$50,"Implemented")+COUNTIFS('Control Library'!$A$5:$A$50,"AI-CTRL-039",'Control Library'!$R$5:$R$50,"Implemented"))&amp;" of 3"</f>
        <v>0 of 3</v>
      </c>
      <c r="G24" s="43" t="str">
        <f aca="false">IF((COUNTIFS('Control Library'!$A$5:$A$50,"AI-CTRL-034",'Control Library'!$R$5:$R$50,"Implemented")+COUNTIFS('Control Library'!$A$5:$A$50,"AI-CTRL-035",'Control Library'!$R$5:$R$50,"Implemented")+COUNTIFS('Control Library'!$A$5:$A$50,"AI-CTRL-039",'Control Library'!$R$5:$R$50,"Implemented"))=3,"Fully covered",IF((COUNTIFS('Control Library'!$A$5:$A$50,"AI-CTRL-034",'Control Library'!$R$5:$R$50,"Implemented")+COUNTIFS('Control Library'!$A$5:$A$50,"AI-CTRL-035",'Control Library'!$R$5:$R$50,"Implemented")+COUNTIFS('Control Library'!$A$5:$A$50,"AI-CTRL-039",'Control Library'!$R$5:$R$50,"Implemented"))=0,"Not covered","Partly covered"))</f>
        <v>Not covered</v>
      </c>
    </row>
    <row r="25" customFormat="false" ht="23.85" hidden="false" customHeight="false" outlineLevel="0" collapsed="false">
      <c r="A25" s="36" t="s">
        <v>713</v>
      </c>
      <c r="B25" s="6" t="s">
        <v>3432</v>
      </c>
      <c r="C25" s="6" t="s">
        <v>3433</v>
      </c>
      <c r="D25" s="6" t="s">
        <v>712</v>
      </c>
      <c r="E25" s="6" t="s">
        <v>3434</v>
      </c>
      <c r="F25" s="26" t="str">
        <f aca="false">(COUNTIFS('Control Library'!$A$5:$A$50,"AI-CTRL-025",'Control Library'!$R$5:$R$50,"Implemented")+COUNTIFS('Control Library'!$A$5:$A$50,"AI-CTRL-026",'Control Library'!$R$5:$R$50,"Implemented")+COUNTIFS('Control Library'!$A$5:$A$50,"AI-CTRL-027",'Control Library'!$R$5:$R$50,"Implemented"))&amp;" of 3"</f>
        <v>0 of 3</v>
      </c>
      <c r="G25" s="43" t="str">
        <f aca="false">IF((COUNTIFS('Control Library'!$A$5:$A$50,"AI-CTRL-025",'Control Library'!$R$5:$R$50,"Implemented")+COUNTIFS('Control Library'!$A$5:$A$50,"AI-CTRL-026",'Control Library'!$R$5:$R$50,"Implemented")+COUNTIFS('Control Library'!$A$5:$A$50,"AI-CTRL-027",'Control Library'!$R$5:$R$50,"Implemented"))=3,"Fully covered",IF((COUNTIFS('Control Library'!$A$5:$A$50,"AI-CTRL-025",'Control Library'!$R$5:$R$50,"Implemented")+COUNTIFS('Control Library'!$A$5:$A$50,"AI-CTRL-026",'Control Library'!$R$5:$R$50,"Implemented")+COUNTIFS('Control Library'!$A$5:$A$50,"AI-CTRL-027",'Control Library'!$R$5:$R$50,"Implemented"))=0,"Not covered","Partly covered"))</f>
        <v>Not covered</v>
      </c>
    </row>
    <row r="26" customFormat="false" ht="23.85" hidden="false" customHeight="false" outlineLevel="0" collapsed="false">
      <c r="A26" s="36" t="s">
        <v>717</v>
      </c>
      <c r="B26" s="76" t="s">
        <v>715</v>
      </c>
      <c r="C26" s="76" t="s">
        <v>3435</v>
      </c>
      <c r="D26" s="76" t="s">
        <v>716</v>
      </c>
      <c r="E26" s="76" t="s">
        <v>3436</v>
      </c>
      <c r="F26" s="26" t="str">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Library'!$R$5:$R$50,"Implemented"))&amp;" of 4"</f>
        <v>0 of 4</v>
      </c>
      <c r="G26" s="43" t="str">
        <f aca="false">IF((COUNTIFS('Control Library'!$A$5:$A$50,"AI-CTRL-004",'Control Library'!$R$5:$R$50,"Implemented")+COUNTIFS('Control Library'!$A$5:$A$50,"AI-CTRL-015",'Control Library'!$R$5:$R$50,"Implemented")+COUNTIFS('Control Library'!$A$5:$A$50,"AI-CTRL-016",'Control Library'!$R$5:$R$50,"Implemented")+COUNTIFS('Control Library'!$A$5:$A$50,"AI-CTRL-027",'Control Library'!$R$5:$R$50,"Implemented"))=4,"Fully covered",IF((COUNTIFS('Control Library'!$A$5:$A$50,"AI-CTRL-004",'Control Library'!$R$5:$R$50,"Implemented")+COUNTIFS('Control Library'!$A$5:$A$50,"AI-CTRL-015",'Control Library'!$R$5:$R$50,"Implemented")+COUNTIFS('Control Library'!$A$5:$A$50,"AI-CTRL-016",'Control Library'!$R$5:$R$50,"Implemented")+COUNTIFS('Control Library'!$A$5:$A$50,"AI-CTRL-027",'Control Library'!$R$5:$R$50,"Implemented"))=0,"Not covered","Partly covered"))</f>
        <v>Not covered</v>
      </c>
    </row>
    <row r="27" customFormat="false" ht="23.85" hidden="false" customHeight="false" outlineLevel="0" collapsed="false">
      <c r="A27" s="36" t="s">
        <v>721</v>
      </c>
      <c r="B27" s="6" t="s">
        <v>3437</v>
      </c>
      <c r="C27" s="6" t="s">
        <v>3438</v>
      </c>
      <c r="D27" s="6" t="s">
        <v>720</v>
      </c>
      <c r="E27" s="6" t="s">
        <v>3439</v>
      </c>
      <c r="F27" s="26" t="str">
        <f aca="false">(COUNTIFS('Control Library'!$A$5:$A$50,"AI-CTRL-024",'Control Library'!$R$5:$R$50,"Implemented")+COUNTIFS('Control Library'!$A$5:$A$50,"AI-CTRL-031",'Control Library'!$R$5:$R$50,"Implemented"))&amp;" of 2"</f>
        <v>0 of 2</v>
      </c>
      <c r="G27" s="43" t="str">
        <f aca="false">IF((COUNTIFS('Control Library'!$A$5:$A$50,"AI-CTRL-024",'Control Library'!$R$5:$R$50,"Implemented")+COUNTIFS('Control Library'!$A$5:$A$50,"AI-CTRL-031",'Control Library'!$R$5:$R$50,"Implemented"))=2,"Fully covered",IF((COUNTIFS('Control Library'!$A$5:$A$50,"AI-CTRL-024",'Control Library'!$R$5:$R$50,"Implemented")+COUNTIFS('Control Library'!$A$5:$A$50,"AI-CTRL-031",'Control Library'!$R$5:$R$50,"Implemented"))=0,"Not covered","Partly covered"))</f>
        <v>Not covered</v>
      </c>
    </row>
    <row r="28" customFormat="false" ht="23.85" hidden="false" customHeight="false" outlineLevel="0" collapsed="false">
      <c r="A28" s="36" t="s">
        <v>706</v>
      </c>
      <c r="B28" s="76" t="s">
        <v>704</v>
      </c>
      <c r="C28" s="76" t="s">
        <v>3440</v>
      </c>
      <c r="D28" s="76" t="s">
        <v>705</v>
      </c>
      <c r="E28" s="76" t="s">
        <v>3441</v>
      </c>
      <c r="F28" s="26" t="str">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Library'!$R$5:$R$50,"Implemented"))&amp;" of 4"</f>
        <v>0 of 4</v>
      </c>
      <c r="G28" s="43" t="str">
        <f aca="false">IF((COUNTIFS('Control Library'!$A$5:$A$50,"AI-CTRL-005",'Control Library'!$R$5:$R$50,"Implemented")+COUNTIFS('Control Library'!$A$5:$A$50,"AI-CTRL-020",'Control Library'!$R$5:$R$50,"Implemented")+COUNTIFS('Control Library'!$A$5:$A$50,"AI-CTRL-022",'Control Library'!$R$5:$R$50,"Implemented")+COUNTIFS('Control Library'!$A$5:$A$50,"AI-CTRL-024",'Control Library'!$R$5:$R$50,"Implemented"))=4,"Fully covered",IF((COUNTIFS('Control Library'!$A$5:$A$50,"AI-CTRL-005",'Control Library'!$R$5:$R$50,"Implemented")+COUNTIFS('Control Library'!$A$5:$A$50,"AI-CTRL-020",'Control Library'!$R$5:$R$50,"Implemented")+COUNTIFS('Control Library'!$A$5:$A$50,"AI-CTRL-022",'Control Library'!$R$5:$R$50,"Implemented")+COUNTIFS('Control Library'!$A$5:$A$50,"AI-CTRL-024",'Control Library'!$R$5:$R$50,"Implemented"))=0,"Not covered","Partly covered"))</f>
        <v>Not covered</v>
      </c>
    </row>
    <row r="29" customFormat="false" ht="23.85" hidden="false" customHeight="false" outlineLevel="0" collapsed="false">
      <c r="A29" s="36" t="s">
        <v>674</v>
      </c>
      <c r="B29" s="6" t="s">
        <v>3442</v>
      </c>
      <c r="C29" s="6" t="s">
        <v>3443</v>
      </c>
      <c r="D29" s="6" t="s">
        <v>673</v>
      </c>
      <c r="E29" s="6" t="s">
        <v>3444</v>
      </c>
      <c r="F29" s="26" t="str">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Library'!$R$5:$R$50,"Implemented"))&amp;" of 4"</f>
        <v>0 of 4</v>
      </c>
      <c r="G29" s="43" t="str">
        <f aca="false">IF((COUNTIFS('Control Library'!$A$5:$A$50,"AI-CTRL-006",'Control Library'!$R$5:$R$50,"Implemented")+COUNTIFS('Control Library'!$A$5:$A$50,"AI-CTRL-015",'Control Library'!$R$5:$R$50,"Implemented")+COUNTIFS('Control Library'!$A$5:$A$50,"AI-CTRL-025",'Control Library'!$R$5:$R$50,"Implemented")+COUNTIFS('Control Library'!$A$5:$A$50,"AI-CTRL-027",'Control Library'!$R$5:$R$50,"Implemented"))=4,"Fully covered",IF((COUNTIFS('Control Library'!$A$5:$A$50,"AI-CTRL-006",'Control Library'!$R$5:$R$50,"Implemented")+COUNTIFS('Control Library'!$A$5:$A$50,"AI-CTRL-015",'Control Library'!$R$5:$R$50,"Implemented")+COUNTIFS('Control Library'!$A$5:$A$50,"AI-CTRL-025",'Control Library'!$R$5:$R$50,"Implemented")+COUNTIFS('Control Library'!$A$5:$A$50,"AI-CTRL-027",'Control Library'!$R$5:$R$50,"Implemented"))=0,"Not covered","Partly covered"))</f>
        <v>Not covered</v>
      </c>
    </row>
    <row r="30" customFormat="false" ht="23.85" hidden="false" customHeight="false" outlineLevel="0" collapsed="false">
      <c r="A30" s="36" t="s">
        <v>3445</v>
      </c>
      <c r="B30" s="76" t="s">
        <v>3446</v>
      </c>
      <c r="C30" s="76" t="s">
        <v>3447</v>
      </c>
      <c r="D30" s="76" t="s">
        <v>3448</v>
      </c>
      <c r="E30" s="76" t="s">
        <v>3449</v>
      </c>
      <c r="F30" s="26" t="str">
        <f aca="false">(COUNTIFS('Control Library'!$A$5:$A$50,"AI-CTRL-008",'Control Library'!$R$5:$R$50,"Implemented")+COUNTIFS('Control Library'!$A$5:$A$50,"AI-CTRL-020",'Control Library'!$R$5:$R$50,"Implemented"))&amp;" of 2"</f>
        <v>0 of 2</v>
      </c>
      <c r="G30" s="43" t="str">
        <f aca="false">IF((COUNTIFS('Control Library'!$A$5:$A$50,"AI-CTRL-008",'Control Library'!$R$5:$R$50,"Implemented")+COUNTIFS('Control Library'!$A$5:$A$50,"AI-CTRL-020",'Control Library'!$R$5:$R$50,"Implemented"))=2,"Fully covered",IF((COUNTIFS('Control Library'!$A$5:$A$50,"AI-CTRL-008",'Control Library'!$R$5:$R$50,"Implemented")+COUNTIFS('Control Library'!$A$5:$A$50,"AI-CTRL-020",'Control Library'!$R$5:$R$50,"Implemented"))=0,"Not covered","Partly covered"))</f>
        <v>Not covered</v>
      </c>
    </row>
    <row r="31" customFormat="false" ht="23.85" hidden="false" customHeight="false" outlineLevel="0" collapsed="false">
      <c r="A31" s="36" t="s">
        <v>552</v>
      </c>
      <c r="B31" s="6" t="s">
        <v>3450</v>
      </c>
      <c r="C31" s="6" t="s">
        <v>3451</v>
      </c>
      <c r="D31" s="6" t="s">
        <v>686</v>
      </c>
      <c r="E31" s="6" t="s">
        <v>3452</v>
      </c>
      <c r="F31" s="26" t="str">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Library'!$R$5:$R$50,"Implemented"))&amp;" of 5"</f>
        <v>0 of 5</v>
      </c>
      <c r="G31" s="43" t="str">
        <f aca="false">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Library'!$R$5:$R$50,"Implemented"))=5,"Fully covered",IF((COUNTIFS('Control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Library'!$R$5:$R$50,"Implemented"))=0,"Not covered","Partly covered"))</f>
        <v>Not covered</v>
      </c>
    </row>
    <row r="32" customFormat="false" ht="35.05" hidden="false" customHeight="false" outlineLevel="0" collapsed="false">
      <c r="A32" s="36" t="s">
        <v>818</v>
      </c>
      <c r="B32" s="76" t="s">
        <v>3453</v>
      </c>
      <c r="C32" s="76" t="s">
        <v>3454</v>
      </c>
      <c r="D32" s="76" t="s">
        <v>817</v>
      </c>
      <c r="E32" s="76" t="s">
        <v>3455</v>
      </c>
      <c r="F32" s="26" t="str">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Library'!$R$5:$R$50,"Implemented"))&amp;" of 6"</f>
        <v>0 of 6</v>
      </c>
      <c r="G32" s="43" t="str">
        <f aca="false">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Library'!$R$5:$R$50,"Implemented"))=6,"Fully covered",IF((COUNTIFS('Control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Library'!$R$5:$R$50,"Implemented"))=0,"Not covered","Partly covered"))</f>
        <v>Not covered</v>
      </c>
    </row>
    <row r="33" customFormat="false" ht="23.85" hidden="false" customHeight="false" outlineLevel="0" collapsed="false">
      <c r="A33" s="36" t="s">
        <v>822</v>
      </c>
      <c r="B33" s="6" t="s">
        <v>3456</v>
      </c>
      <c r="C33" s="6" t="s">
        <v>3457</v>
      </c>
      <c r="D33" s="6" t="s">
        <v>821</v>
      </c>
      <c r="E33" s="6" t="s">
        <v>3458</v>
      </c>
      <c r="F33" s="26" t="str">
        <f aca="false">(COUNTIFS('Control Library'!$A$5:$A$50,"AI-CTRL-011",'Control Library'!$R$5:$R$50,"Implemented")+COUNTIFS('Control Library'!$A$5:$A$50,"AI-CTRL-037",'Control Library'!$R$5:$R$50,"Implemented"))&amp;" of 2"</f>
        <v>0 of 2</v>
      </c>
      <c r="G33" s="43" t="str">
        <f aca="false">IF((COUNTIFS('Control Library'!$A$5:$A$50,"AI-CTRL-011",'Control Library'!$R$5:$R$50,"Implemented")+COUNTIFS('Control Library'!$A$5:$A$50,"AI-CTRL-037",'Control Library'!$R$5:$R$50,"Implemented"))=2,"Fully covered",IF((COUNTIFS('Control Library'!$A$5:$A$50,"AI-CTRL-011",'Control Library'!$R$5:$R$50,"Implemented")+COUNTIFS('Control Library'!$A$5:$A$50,"AI-CTRL-037",'Control Library'!$R$5:$R$50,"Implemented"))=0,"Not covered","Partly covered"))</f>
        <v>Not covered</v>
      </c>
    </row>
    <row r="34" customFormat="false" ht="23.85" hidden="false" customHeight="false" outlineLevel="0" collapsed="false">
      <c r="A34" s="36" t="s">
        <v>970</v>
      </c>
      <c r="B34" s="76" t="s">
        <v>3459</v>
      </c>
      <c r="C34" s="76" t="s">
        <v>3460</v>
      </c>
      <c r="D34" s="76" t="s">
        <v>3461</v>
      </c>
      <c r="E34" s="76" t="s">
        <v>3462</v>
      </c>
      <c r="F34" s="26" t="str">
        <f aca="false">(COUNTIFS('Control Library'!$A$5:$A$50,"AI-CTRL-036",'Control Library'!$R$5:$R$50,"Implemented")+COUNTIFS('Control Library'!$A$5:$A$50,"AI-CTRL-014",'Control Library'!$R$5:$R$50,"Implemented")+COUNTIFS('Control Library'!$A$5:$A$50,"AI-CTRL-037",'Control Library'!$R$5:$R$50,"Implemented"))&amp;" of 3"</f>
        <v>0 of 3</v>
      </c>
      <c r="G34" s="43" t="str">
        <f aca="false">IF((COUNTIFS('Control Library'!$A$5:$A$50,"AI-CTRL-036",'Control Library'!$R$5:$R$50,"Implemented")+COUNTIFS('Control Library'!$A$5:$A$50,"AI-CTRL-014",'Control Library'!$R$5:$R$50,"Implemented")+COUNTIFS('Control Library'!$A$5:$A$50,"AI-CTRL-037",'Control Library'!$R$5:$R$50,"Implemented"))=3,"Fully covered",IF((COUNTIFS('Control Library'!$A$5:$A$50,"AI-CTRL-036",'Control Library'!$R$5:$R$50,"Implemented")+COUNTIFS('Control Library'!$A$5:$A$50,"AI-CTRL-014",'Control Library'!$R$5:$R$50,"Implemented")+COUNTIFS('Control Library'!$A$5:$A$50,"AI-CTRL-037",'Control Library'!$R$5:$R$50,"Implemented"))=0,"Not covered","Partly covered"))</f>
        <v>Not covered</v>
      </c>
    </row>
    <row r="35" customFormat="false" ht="35.05" hidden="false" customHeight="false" outlineLevel="0" collapsed="false">
      <c r="A35" s="36" t="s">
        <v>940</v>
      </c>
      <c r="B35" s="6" t="s">
        <v>3463</v>
      </c>
      <c r="C35" s="6" t="s">
        <v>3464</v>
      </c>
      <c r="D35" s="6" t="s">
        <v>939</v>
      </c>
      <c r="E35" s="6" t="s">
        <v>3465</v>
      </c>
      <c r="F35" s="26" t="str">
        <f aca="false">(COUNTIFS('Control Library'!$A$5:$A$50,"AI-CTRL-014",'Control Library'!$R$5:$R$50,"Implemented")+COUNTIFS('Control Library'!$A$5:$A$50,"AI-CTRL-031",'Control Library'!$R$5:$R$50,"Implemented")+COUNTIFS('Control Library'!$A$5:$A$50,"AI-CTRL-040",'Control Library'!$R$5:$R$50,"Implemented"))&amp;" of 3"</f>
        <v>0 of 3</v>
      </c>
      <c r="G35" s="43" t="str">
        <f aca="false">IF((COUNTIFS('Control Library'!$A$5:$A$50,"AI-CTRL-014",'Control Library'!$R$5:$R$50,"Implemented")+COUNTIFS('Control Library'!$A$5:$A$50,"AI-CTRL-031",'Control Library'!$R$5:$R$50,"Implemented")+COUNTIFS('Control Library'!$A$5:$A$50,"AI-CTRL-040",'Control Library'!$R$5:$R$50,"Implemented"))=3,"Fully covered",IF((COUNTIFS('Control Library'!$A$5:$A$50,"AI-CTRL-014",'Control Library'!$R$5:$R$50,"Implemented")+COUNTIFS('Control Library'!$A$5:$A$50,"AI-CTRL-031",'Control Library'!$R$5:$R$50,"Implemented")+COUNTIFS('Control Library'!$A$5:$A$50,"AI-CTRL-040",'Control Library'!$R$5:$R$50,"Implemented"))=0,"Not covered","Partly covered"))</f>
        <v>Not covered</v>
      </c>
    </row>
    <row r="36" customFormat="false" ht="35.05" hidden="false" customHeight="false" outlineLevel="0" collapsed="false">
      <c r="A36" s="36" t="s">
        <v>3466</v>
      </c>
      <c r="B36" s="76" t="s">
        <v>3467</v>
      </c>
      <c r="C36" s="76" t="s">
        <v>3468</v>
      </c>
      <c r="D36" s="76" t="s">
        <v>3469</v>
      </c>
      <c r="E36" s="76" t="s">
        <v>3470</v>
      </c>
      <c r="F36" s="26" t="str">
        <f aca="false">(COUNTIFS('Control Library'!$A$5:$A$50,"AI-CTRL-011",'Control Library'!$R$5:$R$50,"Implemented")+COUNTIFS('Control Library'!$A$5:$A$50,"AI-CTRL-031",'Control Library'!$R$5:$R$50,"Implemented")+COUNTIFS('Control Library'!$A$5:$A$50,"AI-CTRL-034",'Control Library'!$R$5:$R$50,"Implemented"))&amp;" of 3"</f>
        <v>0 of 3</v>
      </c>
      <c r="G36" s="43" t="str">
        <f aca="false">IF((COUNTIFS('Control Library'!$A$5:$A$50,"AI-CTRL-011",'Control Library'!$R$5:$R$50,"Implemented")+COUNTIFS('Control Library'!$A$5:$A$50,"AI-CTRL-031",'Control Library'!$R$5:$R$50,"Implemented")+COUNTIFS('Control Library'!$A$5:$A$50,"AI-CTRL-034",'Control Library'!$R$5:$R$50,"Implemented"))=3,"Fully covered",IF((COUNTIFS('Control Library'!$A$5:$A$50,"AI-CTRL-011",'Control Library'!$R$5:$R$50,"Implemented")+COUNTIFS('Control Library'!$A$5:$A$50,"AI-CTRL-031",'Control Library'!$R$5:$R$50,"Implemented")+COUNTIFS('Control Library'!$A$5:$A$50,"AI-CTRL-034",'Control Library'!$R$5:$R$50,"Implemented"))=0,"Not covered","Partly covered"))</f>
        <v>Not covered</v>
      </c>
    </row>
    <row r="37" customFormat="false" ht="35.05" hidden="false" customHeight="false" outlineLevel="0" collapsed="false">
      <c r="A37" s="36" t="s">
        <v>951</v>
      </c>
      <c r="B37" s="6" t="s">
        <v>3471</v>
      </c>
      <c r="C37" s="6" t="s">
        <v>3472</v>
      </c>
      <c r="D37" s="6" t="s">
        <v>3473</v>
      </c>
      <c r="E37" s="6" t="s">
        <v>3474</v>
      </c>
      <c r="F37" s="26" t="str">
        <f aca="false">(COUNTIFS('Control Library'!$A$5:$A$50,"AI-CTRL-044",'Control Library'!$R$5:$R$50,"Implemented")+COUNTIFS('Control Library'!$A$5:$A$50,"AI-CTRL-040",'Control Library'!$R$5:$R$50,"Implemented")+COUNTIFS('Control Library'!$A$5:$A$50,"AI-CTRL-045",'Control Library'!$R$5:$R$50,"Implemented"))&amp;" of 3"</f>
        <v>0 of 3</v>
      </c>
      <c r="G37" s="43" t="str">
        <f aca="false">IF((COUNTIFS('Control Library'!$A$5:$A$50,"AI-CTRL-044",'Control Library'!$R$5:$R$50,"Implemented")+COUNTIFS('Control Library'!$A$5:$A$50,"AI-CTRL-040",'Control Library'!$R$5:$R$50,"Implemented")+COUNTIFS('Control Library'!$A$5:$A$50,"AI-CTRL-045",'Control Library'!$R$5:$R$50,"Implemented"))=3,"Fully covered",IF((COUNTIFS('Control Library'!$A$5:$A$50,"AI-CTRL-044",'Control Library'!$R$5:$R$50,"Implemented")+COUNTIFS('Control Library'!$A$5:$A$50,"AI-CTRL-040",'Control Library'!$R$5:$R$50,"Implemented")+COUNTIFS('Control Library'!$A$5:$A$50,"AI-CTRL-045",'Control Library'!$R$5:$R$50,"Implemented"))=0,"Not covered","Partly covered"))</f>
        <v>Not covered</v>
      </c>
    </row>
    <row r="38" customFormat="false" ht="23.85" hidden="false" customHeight="false" outlineLevel="0" collapsed="false">
      <c r="A38" s="36" t="s">
        <v>962</v>
      </c>
      <c r="B38" s="76" t="s">
        <v>3475</v>
      </c>
      <c r="C38" s="76" t="s">
        <v>3476</v>
      </c>
      <c r="D38" s="76" t="s">
        <v>3477</v>
      </c>
      <c r="E38" s="76" t="s">
        <v>3478</v>
      </c>
      <c r="F38" s="26" t="str">
        <f aca="false">(COUNTIFS('Control Library'!$A$5:$A$50,"AI-CTRL-044",'Control Library'!$R$5:$R$50,"Implemented")+COUNTIFS('Control Library'!$A$5:$A$50,"AI-CTRL-012",'Control Library'!$R$5:$R$50,"Implemented"))&amp;" of 2"</f>
        <v>0 of 2</v>
      </c>
      <c r="G38" s="43" t="str">
        <f aca="false">IF((COUNTIFS('Control Library'!$A$5:$A$50,"AI-CTRL-044",'Control Library'!$R$5:$R$50,"Implemented")+COUNTIFS('Control Library'!$A$5:$A$50,"AI-CTRL-012",'Control Library'!$R$5:$R$50,"Implemented"))=2,"Fully covered",IF((COUNTIFS('Control Library'!$A$5:$A$50,"AI-CTRL-044",'Control Library'!$R$5:$R$50,"Implemented")+COUNTIFS('Control Library'!$A$5:$A$50,"AI-CTRL-012",'Control Library'!$R$5:$R$50,"Implemented"))=0,"Not covered","Partly covered"))</f>
        <v>Not covered</v>
      </c>
    </row>
    <row r="39" customFormat="false" ht="23.85" hidden="false" customHeight="false" outlineLevel="0" collapsed="false">
      <c r="A39" s="36" t="s">
        <v>1134</v>
      </c>
      <c r="B39" s="6" t="s">
        <v>3479</v>
      </c>
      <c r="C39" s="6" t="s">
        <v>3480</v>
      </c>
      <c r="D39" s="6" t="s">
        <v>461</v>
      </c>
      <c r="E39" s="6" t="s">
        <v>3481</v>
      </c>
      <c r="F39" s="26" t="str">
        <f aca="false">(COUNTIFS('Control Library'!$A$5:$A$50,"AI-CTRL-036",'Control Library'!$R$5:$R$50,"Implemented"))&amp;" of 1"</f>
        <v>0 of 1</v>
      </c>
      <c r="G39" s="43" t="str">
        <f aca="false">IF((COUNTIFS('Control Library'!$A$5:$A$50,"AI-CTRL-036",'Control Library'!$R$5:$R$50,"Implemented"))=1,"Fully covered",IF((COUNTIFS('Control Library'!$A$5:$A$50,"AI-CTRL-036",'Control Library'!$R$5:$R$50,"Implemented"))=0,"Not covered","Partly covered"))</f>
        <v>Not covered</v>
      </c>
    </row>
    <row r="40" customFormat="false" ht="23.85" hidden="false" customHeight="false" outlineLevel="0" collapsed="false">
      <c r="A40" s="36" t="s">
        <v>3482</v>
      </c>
      <c r="B40" s="76" t="s">
        <v>3483</v>
      </c>
      <c r="C40" s="76" t="s">
        <v>3484</v>
      </c>
      <c r="D40" s="76" t="s">
        <v>3485</v>
      </c>
      <c r="E40" s="76" t="s">
        <v>3486</v>
      </c>
      <c r="F40" s="26" t="str">
        <f aca="false">(COUNTIFS('Control Library'!$A$5:$A$50,"AI-CTRL-046",'Control Library'!$R$5:$R$50,"Implemented")+COUNTIFS('Control Library'!$A$5:$A$50,"AI-CTRL-031",'Control Library'!$R$5:$R$50,"Implemented")+COUNTIFS('Control Library'!$A$5:$A$50,"AI-CTRL-014",'Control Library'!$R$5:$R$50,"Implemented"))&amp;" of 3"</f>
        <v>0 of 3</v>
      </c>
      <c r="G40" s="43" t="str">
        <f aca="false">IF((COUNTIFS('Control Library'!$A$5:$A$50,"AI-CTRL-046",'Control Library'!$R$5:$R$50,"Implemented")+COUNTIFS('Control Library'!$A$5:$A$50,"AI-CTRL-031",'Control Library'!$R$5:$R$50,"Implemented")+COUNTIFS('Control Library'!$A$5:$A$50,"AI-CTRL-014",'Control Library'!$R$5:$R$50,"Implemented"))=3,"Fully covered",IF((COUNTIFS('Control Library'!$A$5:$A$50,"AI-CTRL-046",'Control Library'!$R$5:$R$50,"Implemented")+COUNTIFS('Control Library'!$A$5:$A$50,"AI-CTRL-031",'Control Library'!$R$5:$R$50,"Implemented")+COUNTIFS('Control Library'!$A$5:$A$50,"AI-CTRL-014",'Control Library'!$R$5:$R$50,"Implemented"))=0,"Not covered","Partly covered"))</f>
        <v>Not covered</v>
      </c>
    </row>
    <row r="41" customFormat="false" ht="23.85" hidden="false" customHeight="false" outlineLevel="0" collapsed="false">
      <c r="A41" s="36" t="s">
        <v>3487</v>
      </c>
      <c r="B41" s="6" t="s">
        <v>3488</v>
      </c>
      <c r="C41" s="6" t="s">
        <v>3489</v>
      </c>
      <c r="D41" s="6" t="s">
        <v>3490</v>
      </c>
      <c r="E41" s="6" t="s">
        <v>3491</v>
      </c>
      <c r="F41" s="26" t="str">
        <f aca="false">(COUNTIFS('Control Library'!$A$5:$A$50,"AI-CTRL-011",'Control Library'!$R$5:$R$50,"Implemented")+COUNTIFS('Control Library'!$A$5:$A$50,"AI-CTRL-013",'Control Library'!$R$5:$R$50,"Implemented")+COUNTIFS('Control Library'!$A$5:$A$50,"AI-CTRL-037",'Control Library'!$R$5:$R$50,"Implemented"))&amp;" of 3"</f>
        <v>0 of 3</v>
      </c>
      <c r="G41" s="43" t="str">
        <f aca="false">IF((COUNTIFS('Control Library'!$A$5:$A$50,"AI-CTRL-011",'Control Library'!$R$5:$R$50,"Implemented")+COUNTIFS('Control Library'!$A$5:$A$50,"AI-CTRL-013",'Control Library'!$R$5:$R$50,"Implemented")+COUNTIFS('Control Library'!$A$5:$A$50,"AI-CTRL-037",'Control Library'!$R$5:$R$50,"Implemented"))=3,"Fully covered",IF((COUNTIFS('Control Library'!$A$5:$A$50,"AI-CTRL-011",'Control Library'!$R$5:$R$50,"Implemented")+COUNTIFS('Control Library'!$A$5:$A$50,"AI-CTRL-013",'Control Library'!$R$5:$R$50,"Implemented")+COUNTIFS('Control Library'!$A$5:$A$50,"AI-CTRL-037",'Control Library'!$R$5:$R$50,"Implemented"))=0,"Not covered","Partly covered"))</f>
        <v>Not covered</v>
      </c>
    </row>
    <row r="42" customFormat="false" ht="23.85" hidden="false" customHeight="false" outlineLevel="0" collapsed="false">
      <c r="A42" s="36" t="s">
        <v>3492</v>
      </c>
      <c r="B42" s="76" t="s">
        <v>3493</v>
      </c>
      <c r="C42" s="76" t="s">
        <v>3494</v>
      </c>
      <c r="D42" s="76" t="s">
        <v>3495</v>
      </c>
      <c r="E42" s="76" t="s">
        <v>3496</v>
      </c>
      <c r="F42" s="26" t="str">
        <f aca="false">(COUNTIFS('Control Library'!$A$5:$A$50,"AI-CTRL-008",'Control Library'!$R$5:$R$50,"Implemented")+COUNTIFS('Control Library'!$A$5:$A$50,"AI-CTRL-038",'Control Library'!$R$5:$R$50,"Implemented")+COUNTIFS('Control Library'!$A$5:$A$50,"AI-CTRL-035",'Control Library'!$R$5:$R$50,"Implemented"))&amp;" of 3"</f>
        <v>0 of 3</v>
      </c>
      <c r="G42" s="43" t="str">
        <f aca="false">IF((COUNTIFS('Control Library'!$A$5:$A$50,"AI-CTRL-008",'Control Library'!$R$5:$R$50,"Implemented")+COUNTIFS('Control Library'!$A$5:$A$50,"AI-CTRL-038",'Control Library'!$R$5:$R$50,"Implemented")+COUNTIFS('Control Library'!$A$5:$A$50,"AI-CTRL-035",'Control Library'!$R$5:$R$50,"Implemented"))=3,"Fully covered",IF((COUNTIFS('Control Library'!$A$5:$A$50,"AI-CTRL-008",'Control Library'!$R$5:$R$50,"Implemented")+COUNTIFS('Control Library'!$A$5:$A$50,"AI-CTRL-038",'Control Library'!$R$5:$R$50,"Implemented")+COUNTIFS('Control Library'!$A$5:$A$50,"AI-CTRL-035",'Control Library'!$R$5:$R$50,"Implemented"))=0,"Not covered","Partly covered"))</f>
        <v>Not covered</v>
      </c>
    </row>
    <row r="43" customFormat="false" ht="23.85" hidden="false" customHeight="false" outlineLevel="0" collapsed="false">
      <c r="A43" s="36" t="s">
        <v>3497</v>
      </c>
      <c r="B43" s="6" t="s">
        <v>3498</v>
      </c>
      <c r="C43" s="6" t="s">
        <v>3499</v>
      </c>
      <c r="D43" s="6" t="s">
        <v>3500</v>
      </c>
      <c r="E43" s="6" t="s">
        <v>3501</v>
      </c>
      <c r="F43" s="26" t="str">
        <f aca="false">(COUNTIFS('Control Library'!$A$5:$A$50,"AI-CTRL-033",'Control Library'!$R$5:$R$50,"Implemented")+COUNTIFS('Control Library'!$A$5:$A$50,"AI-CTRL-034",'Control Library'!$R$5:$R$50,"Implemented")+COUNTIFS('Control Library'!$A$5:$A$50,"AI-CTRL-038",'Control Library'!$R$5:$R$50,"Implemented"))&amp;" of 3"</f>
        <v>0 of 3</v>
      </c>
      <c r="G43" s="43" t="str">
        <f aca="false">IF((COUNTIFS('Control Library'!$A$5:$A$50,"AI-CTRL-033",'Control Library'!$R$5:$R$50,"Implemented")+COUNTIFS('Control Library'!$A$5:$A$50,"AI-CTRL-034",'Control Library'!$R$5:$R$50,"Implemented")+COUNTIFS('Control Library'!$A$5:$A$50,"AI-CTRL-038",'Control Library'!$R$5:$R$50,"Implemented"))=3,"Fully covered",IF((COUNTIFS('Control Library'!$A$5:$A$50,"AI-CTRL-033",'Control Library'!$R$5:$R$50,"Implemented")+COUNTIFS('Control Library'!$A$5:$A$50,"AI-CTRL-034",'Control Library'!$R$5:$R$50,"Implemented")+COUNTIFS('Control Library'!$A$5:$A$50,"AI-CTRL-038",'Control Library'!$R$5:$R$50,"Implemented"))=0,"Not covered","Partly covered"))</f>
        <v>Not covered</v>
      </c>
    </row>
    <row r="44" customFormat="false" ht="35.05" hidden="false" customHeight="false" outlineLevel="0" collapsed="false">
      <c r="A44" s="36" t="s">
        <v>3502</v>
      </c>
      <c r="B44" s="76" t="s">
        <v>3503</v>
      </c>
      <c r="C44" s="76" t="s">
        <v>3504</v>
      </c>
      <c r="D44" s="76" t="s">
        <v>3505</v>
      </c>
      <c r="E44" s="76" t="s">
        <v>3506</v>
      </c>
      <c r="F44" s="26" t="str">
        <f aca="false">(COUNTIFS('Control Library'!$A$5:$A$50,"AI-CTRL-038",'Control Library'!$R$5:$R$50,"Implemented")+COUNTIFS('Control Library'!$A$5:$A$50,"AI-CTRL-011",'Control Library'!$R$5:$R$50,"Implemented")+COUNTIFS('Control Library'!$A$5:$A$50,"AI-CTRL-008",'Control Library'!$R$5:$R$50,"Implemented"))&amp;" of 3"</f>
        <v>0 of 3</v>
      </c>
      <c r="G44" s="43" t="str">
        <f aca="false">IF((COUNTIFS('Control Library'!$A$5:$A$50,"AI-CTRL-038",'Control Library'!$R$5:$R$50,"Implemented")+COUNTIFS('Control Library'!$A$5:$A$50,"AI-CTRL-011",'Control Library'!$R$5:$R$50,"Implemented")+COUNTIFS('Control Library'!$A$5:$A$50,"AI-CTRL-008",'Control Library'!$R$5:$R$50,"Implemented"))=3,"Fully covered",IF((COUNTIFS('Control Library'!$A$5:$A$50,"AI-CTRL-038",'Control Library'!$R$5:$R$50,"Implemented")+COUNTIFS('Control Library'!$A$5:$A$50,"AI-CTRL-011",'Control Library'!$R$5:$R$50,"Implemented")+COUNTIFS('Control Library'!$A$5:$A$50,"AI-CTRL-008",'Control Library'!$R$5:$R$50,"Implemented"))=0,"Not covered","Partly covered"))</f>
        <v>Not covered</v>
      </c>
    </row>
    <row r="45" customFormat="false" ht="23.85" hidden="false" customHeight="false" outlineLevel="0" collapsed="false">
      <c r="A45" s="36" t="s">
        <v>3507</v>
      </c>
      <c r="B45" s="6" t="s">
        <v>3508</v>
      </c>
      <c r="C45" s="6" t="s">
        <v>3509</v>
      </c>
      <c r="D45" s="6" t="s">
        <v>3510</v>
      </c>
      <c r="E45" s="6" t="s">
        <v>3511</v>
      </c>
      <c r="F45" s="26" t="str">
        <f aca="false">(COUNTIFS('Control Library'!$A$5:$A$50,"AI-CTRL-012",'Control Library'!$R$5:$R$50,"Implemented")+COUNTIFS('Control Library'!$A$5:$A$50,"AI-CTRL-014",'Control Library'!$R$5:$R$50,"Implemented")+COUNTIFS('Control Library'!$A$5:$A$50,"AI-CTRL-039",'Control Library'!$R$5:$R$50,"Implemented"))&amp;" of 3"</f>
        <v>0 of 3</v>
      </c>
      <c r="G45" s="43" t="str">
        <f aca="false">IF((COUNTIFS('Control Library'!$A$5:$A$50,"AI-CTRL-012",'Control Library'!$R$5:$R$50,"Implemented")+COUNTIFS('Control Library'!$A$5:$A$50,"AI-CTRL-014",'Control Library'!$R$5:$R$50,"Implemented")+COUNTIFS('Control Library'!$A$5:$A$50,"AI-CTRL-039",'Control Library'!$R$5:$R$50,"Implemented"))=3,"Fully covered",IF((COUNTIFS('Control Library'!$A$5:$A$50,"AI-CTRL-012",'Control Library'!$R$5:$R$50,"Implemented")+COUNTIFS('Control Library'!$A$5:$A$50,"AI-CTRL-014",'Control Library'!$R$5:$R$50,"Implemented")+COUNTIFS('Control Library'!$A$5:$A$50,"AI-CTRL-039",'Control Library'!$R$5:$R$50,"Implemented"))=0,"Not covered","Partly covered"))</f>
        <v>Not covered</v>
      </c>
    </row>
    <row r="46" customFormat="false" ht="35.05" hidden="false" customHeight="false" outlineLevel="0" collapsed="false">
      <c r="A46" s="36" t="s">
        <v>3512</v>
      </c>
      <c r="B46" s="76" t="s">
        <v>3513</v>
      </c>
      <c r="C46" s="76" t="s">
        <v>3514</v>
      </c>
      <c r="D46" s="76" t="s">
        <v>3515</v>
      </c>
      <c r="E46" s="76" t="s">
        <v>3516</v>
      </c>
      <c r="F46" s="26" t="str">
        <f aca="false">(COUNTIFS('Control Library'!$A$5:$A$50,"AI-CTRL-045",'Control Library'!$R$5:$R$50,"Implemented")+COUNTIFS('Control Library'!$A$5:$A$50,"AI-CTRL-039",'Control Library'!$R$5:$R$50,"Implemented")+COUNTIFS('Control Library'!$A$5:$A$50,"AI-CTRL-012",'Control Library'!$R$5:$R$50,"Implemented"))&amp;" of 3"</f>
        <v>0 of 3</v>
      </c>
      <c r="G46" s="43" t="str">
        <f aca="false">IF((COUNTIFS('Control Library'!$A$5:$A$50,"AI-CTRL-045",'Control Library'!$R$5:$R$50,"Implemented")+COUNTIFS('Control Library'!$A$5:$A$50,"AI-CTRL-039",'Control Library'!$R$5:$R$50,"Implemented")+COUNTIFS('Control Library'!$A$5:$A$50,"AI-CTRL-012",'Control Library'!$R$5:$R$50,"Implemented"))=3,"Fully covered",IF((COUNTIFS('Control Library'!$A$5:$A$50,"AI-CTRL-045",'Control Library'!$R$5:$R$50,"Implemented")+COUNTIFS('Control Library'!$A$5:$A$50,"AI-CTRL-039",'Control Library'!$R$5:$R$50,"Implemented")+COUNTIFS('Control Library'!$A$5:$A$50,"AI-CTRL-012",'Control Library'!$R$5:$R$50,"Implemented"))=0,"Not covered","Partly covered"))</f>
        <v>Not covered</v>
      </c>
    </row>
    <row r="47" customFormat="false" ht="23.85" hidden="false" customHeight="false" outlineLevel="0" collapsed="false">
      <c r="A47" s="36" t="s">
        <v>3517</v>
      </c>
      <c r="B47" s="6" t="s">
        <v>3518</v>
      </c>
      <c r="C47" s="6" t="s">
        <v>3519</v>
      </c>
      <c r="D47" s="6" t="s">
        <v>3520</v>
      </c>
      <c r="E47" s="6" t="s">
        <v>3521</v>
      </c>
      <c r="F47" s="26" t="str">
        <f aca="false">(COUNTIFS('Control Library'!$A$5:$A$50,"AI-CTRL-031",'Control Library'!$R$5:$R$50,"Implemented")+COUNTIFS('Control Library'!$A$5:$A$50,"AI-CTRL-004",'Control Library'!$R$5:$R$50,"Implemented")+COUNTIFS('Control Library'!$A$5:$A$50,"AI-CTRL-033",'Control Library'!$R$5:$R$50,"Implemented"))&amp;" of 3"</f>
        <v>0 of 3</v>
      </c>
      <c r="G47" s="43" t="str">
        <f aca="false">IF((COUNTIFS('Control Library'!$A$5:$A$50,"AI-CTRL-031",'Control Library'!$R$5:$R$50,"Implemented")+COUNTIFS('Control Library'!$A$5:$A$50,"AI-CTRL-004",'Control Library'!$R$5:$R$50,"Implemented")+COUNTIFS('Control Library'!$A$5:$A$50,"AI-CTRL-033",'Control Library'!$R$5:$R$50,"Implemented"))=3,"Fully covered",IF((COUNTIFS('Control Library'!$A$5:$A$50,"AI-CTRL-031",'Control Library'!$R$5:$R$50,"Implemented")+COUNTIFS('Control Library'!$A$5:$A$50,"AI-CTRL-004",'Control Library'!$R$5:$R$50,"Implemented")+COUNTIFS('Control Library'!$A$5:$A$50,"AI-CTRL-033",'Control Library'!$R$5:$R$50,"Implemented"))=0,"Not covered","Partly covered"))</f>
        <v>Not covered</v>
      </c>
    </row>
    <row r="48" customFormat="false" ht="35.05" hidden="false" customHeight="false" outlineLevel="0" collapsed="false">
      <c r="A48" s="36" t="s">
        <v>3522</v>
      </c>
      <c r="B48" s="76" t="s">
        <v>3523</v>
      </c>
      <c r="C48" s="76" t="s">
        <v>3524</v>
      </c>
      <c r="D48" s="76" t="s">
        <v>3525</v>
      </c>
      <c r="E48" s="76" t="s">
        <v>3526</v>
      </c>
      <c r="F48" s="26" t="str">
        <f aca="false">(COUNTIFS('Control Library'!$A$5:$A$50,"AI-CTRL-031",'Control Library'!$R$5:$R$50,"Implemented")+COUNTIFS('Control Library'!$A$5:$A$50,"AI-CTRL-034",'Control Library'!$R$5:$R$50,"Implemented")+COUNTIFS('Control Library'!$A$5:$A$50,"AI-CTRL-033",'Control Library'!$R$5:$R$50,"Implemented"))&amp;" of 3"</f>
        <v>0 of 3</v>
      </c>
      <c r="G48" s="43" t="str">
        <f aca="false">IF((COUNTIFS('Control Library'!$A$5:$A$50,"AI-CTRL-031",'Control Library'!$R$5:$R$50,"Implemented")+COUNTIFS('Control Library'!$A$5:$A$50,"AI-CTRL-034",'Control Library'!$R$5:$R$50,"Implemented")+COUNTIFS('Control Library'!$A$5:$A$50,"AI-CTRL-033",'Control Library'!$R$5:$R$50,"Implemented"))=3,"Fully covered",IF((COUNTIFS('Control Library'!$A$5:$A$50,"AI-CTRL-031",'Control Library'!$R$5:$R$50,"Implemented")+COUNTIFS('Control Library'!$A$5:$A$50,"AI-CTRL-034",'Control Library'!$R$5:$R$50,"Implemented")+COUNTIFS('Control Library'!$A$5:$A$50,"AI-CTRL-033",'Control Library'!$R$5:$R$50,"Implemented"))=0,"Not covered","Partly covered"))</f>
        <v>Not covered</v>
      </c>
    </row>
    <row r="49" customFormat="false" ht="35.05" hidden="false" customHeight="false" outlineLevel="0" collapsed="false">
      <c r="A49" s="36" t="s">
        <v>3527</v>
      </c>
      <c r="B49" s="6" t="s">
        <v>3528</v>
      </c>
      <c r="C49" s="6" t="s">
        <v>3529</v>
      </c>
      <c r="D49" s="6" t="s">
        <v>3530</v>
      </c>
      <c r="E49" s="6" t="s">
        <v>3531</v>
      </c>
      <c r="F49" s="26" t="str">
        <f aca="false">(COUNTIFS('Control Library'!$A$5:$A$50,"AI-CTRL-015",'Control Library'!$R$5:$R$50,"Implemented")+COUNTIFS('Control Library'!$A$5:$A$50,"AI-CTRL-008",'Control Library'!$R$5:$R$50,"Implemented")+COUNTIFS('Control Library'!$A$5:$A$50,"AI-CTRL-009",'Control Library'!$R$5:$R$50,"Implemented"))&amp;" of 3"</f>
        <v>0 of 3</v>
      </c>
      <c r="G49" s="43" t="str">
        <f aca="false">IF((COUNTIFS('Control Library'!$A$5:$A$50,"AI-CTRL-015",'Control Library'!$R$5:$R$50,"Implemented")+COUNTIFS('Control Library'!$A$5:$A$50,"AI-CTRL-008",'Control Library'!$R$5:$R$50,"Implemented")+COUNTIFS('Control Library'!$A$5:$A$50,"AI-CTRL-009",'Control Library'!$R$5:$R$50,"Implemented"))=3,"Fully covered",IF((COUNTIFS('Control Library'!$A$5:$A$50,"AI-CTRL-015",'Control Library'!$R$5:$R$50,"Implemented")+COUNTIFS('Control Library'!$A$5:$A$50,"AI-CTRL-008",'Control Library'!$R$5:$R$50,"Implemented")+COUNTIFS('Control Library'!$A$5:$A$50,"AI-CTRL-009",'Control Library'!$R$5:$R$50,"Implemented"))=0,"Not covered","Partly covered"))</f>
        <v>Not covered</v>
      </c>
    </row>
    <row r="50" customFormat="false" ht="35.05" hidden="false" customHeight="false" outlineLevel="0" collapsed="false">
      <c r="A50" s="36" t="s">
        <v>3532</v>
      </c>
      <c r="B50" s="76" t="s">
        <v>3533</v>
      </c>
      <c r="C50" s="76" t="s">
        <v>3534</v>
      </c>
      <c r="D50" s="76" t="s">
        <v>3535</v>
      </c>
      <c r="E50" s="76" t="s">
        <v>3536</v>
      </c>
      <c r="F50" s="26" t="str">
        <f aca="false">(COUNTIFS('Control Library'!$A$5:$A$50,"AI-CTRL-015",'Control Library'!$R$5:$R$50,"Implemented")+COUNTIFS('Control Library'!$A$5:$A$50,"AI-CTRL-016",'Control Library'!$R$5:$R$50,"Implemented")+COUNTIFS('Control Library'!$A$5:$A$50,"AI-CTRL-006",'Control Library'!$R$5:$R$50,"Implemented"))&amp;" of 3"</f>
        <v>0 of 3</v>
      </c>
      <c r="G50" s="43" t="str">
        <f aca="false">IF((COUNTIFS('Control Library'!$A$5:$A$50,"AI-CTRL-015",'Control Library'!$R$5:$R$50,"Implemented")+COUNTIFS('Control Library'!$A$5:$A$50,"AI-CTRL-016",'Control Library'!$R$5:$R$50,"Implemented")+COUNTIFS('Control Library'!$A$5:$A$50,"AI-CTRL-006",'Control Library'!$R$5:$R$50,"Implemented"))=3,"Fully covered",IF((COUNTIFS('Control Library'!$A$5:$A$50,"AI-CTRL-015",'Control Library'!$R$5:$R$50,"Implemented")+COUNTIFS('Control Library'!$A$5:$A$50,"AI-CTRL-016",'Control Library'!$R$5:$R$50,"Implemented")+COUNTIFS('Control Library'!$A$5:$A$50,"AI-CTRL-006",'Control Library'!$R$5:$R$50,"Implemented"))=0,"Not covered","Partly covered"))</f>
        <v>Not covered</v>
      </c>
    </row>
  </sheetData>
  <conditionalFormatting sqref="G5:G50">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3"/>
    <col collapsed="false" customWidth="true" hidden="false" outlineLevel="0" max="2" min="2" style="0" width="14"/>
    <col collapsed="false" customWidth="true" hidden="false" outlineLevel="0" max="3" min="3" style="0" width="21"/>
  </cols>
  <sheetData>
    <row r="1" customFormat="false" ht="15" hidden="false" customHeight="false" outlineLevel="0" collapsed="false">
      <c r="A1" s="77" t="s">
        <v>3537</v>
      </c>
      <c r="B1" s="77" t="s">
        <v>3538</v>
      </c>
      <c r="C1" s="77" t="s">
        <v>3539</v>
      </c>
    </row>
    <row r="2" customFormat="false" ht="15" hidden="false" customHeight="false" outlineLevel="0" collapsed="false">
      <c r="A2" s="0" t="s">
        <v>103</v>
      </c>
      <c r="B2" s="0" t="s">
        <v>171</v>
      </c>
      <c r="C2" s="0" t="s">
        <v>3540</v>
      </c>
    </row>
    <row r="3" customFormat="false" ht="15" hidden="false" customHeight="false" outlineLevel="0" collapsed="false">
      <c r="A3" s="0" t="s">
        <v>104</v>
      </c>
      <c r="B3" s="0" t="s">
        <v>3541</v>
      </c>
      <c r="C3" s="0" t="s">
        <v>3542</v>
      </c>
    </row>
    <row r="4" customFormat="false" ht="15" hidden="false" customHeight="false" outlineLevel="0" collapsed="false">
      <c r="A4" s="0" t="s">
        <v>105</v>
      </c>
      <c r="C4" s="0" t="s">
        <v>3543</v>
      </c>
    </row>
    <row r="5" customFormat="false" ht="15" hidden="false" customHeight="false" outlineLevel="0" collapsed="false">
      <c r="A5" s="0" t="s">
        <v>106</v>
      </c>
      <c r="C5" s="0" t="s">
        <v>3544</v>
      </c>
    </row>
    <row r="6" customFormat="false" ht="15" hidden="false" customHeight="false" outlineLevel="0" collapsed="false">
      <c r="A6" s="0"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2026-10-24T11:23:18Z</dcterms:created>
  <dc:creator>Nachiket Sathaye; Ankush Jain</dc:creator>
  <dc:description>Copyright (c) 2026 Nachiket Sathaye and Ankush Jain.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2026-10-24T11:23:18Z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