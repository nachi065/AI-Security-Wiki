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Dashboard" sheetId="3" state="visible" r:id="rId5"/>
    <sheet name="AI Risk Register" sheetId="4" state="visible" r:id="rId6"/>
    <sheet name="Guidelines" sheetId="5" state="visible" r:id="rId7"/>
    <sheet name="Triage" sheetId="6" state="visible" r:id="rId8"/>
    <sheet name="Methodology" sheetId="7" state="visible" r:id="rId9"/>
    <sheet name="Settings" sheetId="8" state="visible" r:id="rId10"/>
    <sheet name="AI Risk Library" sheetId="9" state="visible" r:id="rId11"/>
    <sheet name="Control Library" sheetId="10" state="visible" r:id="rId12"/>
    <sheet name="Framework Matrix" sheetId="11" state="visible" r:id="rId13"/>
    <sheet name="Framework Crosswalk" sheetId="12" state="visible" r:id="rId14"/>
    <sheet name="Regulatory Crosswalk" sheetId="13" state="visible" r:id="rId15"/>
    <sheet name="Control Gaps" sheetId="14" state="visible" r:id="rId16"/>
    <sheet name="Threat Library" sheetId="15" state="visible" r:id="rId17"/>
    <sheet name="Lists" sheetId="16" state="visible" r:id="rId18"/>
  </sheets>
  <definedNames>
    <definedName function="false" hidden="true" localSheetId="8" name="_xlnm._FilterDatabase" vbProcedure="false">'AI Risk Library'!$A$4:$M$50</definedName>
    <definedName function="false" hidden="true" localSheetId="3" name="_xlnm._FilterDatabase" vbProcedure="false">'AI Risk Register'!$A$4:$BM$150</definedName>
    <definedName function="false" hidden="true" localSheetId="13" name="_xlnm._FilterDatabase" vbProcedure="false">'Control Gaps'!$A$4:$H$50</definedName>
    <definedName function="false" hidden="true" localSheetId="9" name="_xlnm._FilterDatabase" vbProcedure="false">'Control Library'!$A$4:$V$50</definedName>
    <definedName function="false" hidden="true" localSheetId="11" name="_xlnm._FilterDatabase" vbProcedure="false">'Framework Crosswalk'!$A$4:$K$738</definedName>
    <definedName function="false" hidden="true" localSheetId="12" name="_xlnm._FilterDatabase" vbProcedure="false">'Regulatory Crosswalk'!$A$4:$K$200</definedName>
    <definedName function="false" hidden="true" localSheetId="14" name="_xlnm._FilterDatabase" vbProcedure="false">'Threat Library'!$A$4:$F$101</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N4" authorId="0">
      <text>
        <r>
          <rPr>
            <sz val="10"/>
            <rFont val="Arial"/>
            <family val="2"/>
          </rPr>
          <t xml:space="preserve">Reads the Triage sheet. "Applies" when any listed question is answered Yes.</t>
        </r>
      </text>
    </comment>
    <comment ref="AR4" authorId="0">
      <text>
        <r>
          <rPr>
            <sz val="10"/>
            <rFont val="Arial"/>
            <family val="2"/>
          </rPr>
          <t xml:space="preserve">From Risk, Control and Test Traceability: test cases under the mapped controls. A test case linked to two controls may be counted twice.</t>
        </r>
      </text>
    </comment>
    <comment ref="AW4" authorId="0">
      <text>
        <r>
          <rPr>
            <sz val="10"/>
            <rFont val="Arial"/>
            <family val="2"/>
          </rPr>
          <t xml:space="preserve">Target rating if set, otherwise current rating.</t>
        </r>
      </text>
    </comment>
  </commentList>
</comments>
</file>

<file path=xl/sharedStrings.xml><?xml version="1.0" encoding="utf-8"?>
<sst xmlns="http://schemas.openxmlformats.org/spreadsheetml/2006/main" count="16646" uniqueCount="6127">
  <si>
    <t xml:space="preserve">AI Risk Register Workbook</t>
  </si>
  <si>
    <t xml:space="preserve">Built from the AI Security Wiki (https://nachi065.github.io/AI-Security-Wiki/) on 25 October 2026. Version 1.2.</t>
  </si>
  <si>
    <t xml:space="preserve">Read first</t>
  </si>
  <si>
    <t xml:space="preserve">Illustrative ratings</t>
  </si>
  <si>
    <t xml:space="preserve">Every likelihood and impact on the register is the wiki's generic example, not an assessment of any organization. Re-score each row for your environment before relying on it.</t>
  </si>
  <si>
    <t xml:space="preserve">Defaults to approve</t>
  </si>
  <si>
    <t xml:space="preserve">Orange cells on Settings (likelihood wording, band boundaries, deadlines, review intervals, acceptance authority, appetite) are workbook defaults, not taken from a standard. The wiki says the governing body approves the risk criteria.</t>
  </si>
  <si>
    <t xml:space="preserve">Not legal advice</t>
  </si>
  <si>
    <t xml:space="preserve">Framework references are the wiki's mappings. Check the standards themselves before claiming conformance.</t>
  </si>
  <si>
    <t xml:space="preserve">How to use</t>
  </si>
  <si>
    <t xml:space="preserve">1. Settings</t>
  </si>
  <si>
    <t xml:space="preserve">Agree the scales, bands, deadlines, appetite and acceptance authority. Everything else recalculates.</t>
  </si>
  <si>
    <t xml:space="preserve">2. Triage</t>
  </si>
  <si>
    <t xml:space="preserve">For a specific use case, answer the Yes/No questions. The register's Triage Result shows which risks apply.</t>
  </si>
  <si>
    <t xml:space="preserve">3. AI Risk Register</t>
  </si>
  <si>
    <t xml:space="preserve">For each applicable risk: write the scenario, record existing controls and coverage, re-score current likelihood and impact.</t>
  </si>
  <si>
    <t xml:space="preserve">4. Treatment</t>
  </si>
  <si>
    <t xml:space="preserve">Choose Mitigate / Avoid / Transfer / Accept, use the mapped controls and evidence, and set the target likelihood and impact.</t>
  </si>
  <si>
    <t xml:space="preserve">5. Track</t>
  </si>
  <si>
    <t xml:space="preserve">Assign owners and dates, keep Status current, and clear every "Record Check" message.</t>
  </si>
  <si>
    <t xml:space="preserve">6. Dashboard</t>
  </si>
  <si>
    <t xml:space="preserve">Report counts, heat map, overdue items and risks to escalate.</t>
  </si>
  <si>
    <t xml:space="preserve">New risks</t>
  </si>
  <si>
    <t xml:space="preserve">Use rows 51 to 150 of the register; formulas and dropdowns are already there. Use the Threat Library and Control Gaps sheets to find them.</t>
  </si>
  <si>
    <t xml:space="preserve">Colour legend</t>
  </si>
  <si>
    <t xml:space="preserve">Yellow cells</t>
  </si>
  <si>
    <t xml:space="preserve">Enter or choose a value.</t>
  </si>
  <si>
    <t xml:space="preserve">Grey cells</t>
  </si>
  <si>
    <t xml:space="preserve">Calculated. Do not overwrite.</t>
  </si>
  <si>
    <t xml:space="preserve">White cells</t>
  </si>
  <si>
    <t xml:space="preserve">Copied from the wiki. Edit if your mapping differs.</t>
  </si>
  <si>
    <t xml:space="preserve">Orange cells (Settings)</t>
  </si>
  <si>
    <t xml:space="preserve">Workbook defaults awaiting approval.</t>
  </si>
  <si>
    <t xml:space="preserve">Sheets</t>
  </si>
  <si>
    <t xml:space="preserve">Dashboard</t>
  </si>
  <si>
    <t xml:space="preserve">Summary counts, heat map, by-domain and by-status views.</t>
  </si>
  <si>
    <t xml:space="preserve">AI Risk Register</t>
  </si>
  <si>
    <t xml:space="preserve">The register: 46 pre-filled risks, 65 columns in five sections.</t>
  </si>
  <si>
    <t xml:space="preserve">Guidelines</t>
  </si>
  <si>
    <t xml:space="preserve">What each column means, plus an illustrative worked example.</t>
  </si>
  <si>
    <t xml:space="preserve">Triage</t>
  </si>
  <si>
    <t xml:space="preserve">Wiki use-case triage questions A1 to E12.</t>
  </si>
  <si>
    <t xml:space="preserve">Methodology</t>
  </si>
  <si>
    <t xml:space="preserve">Rating method, treatment options, review triggers and ISO/IEC 23894 alignment, from the wiki.</t>
  </si>
  <si>
    <t xml:space="preserve">Settings</t>
  </si>
  <si>
    <t xml:space="preserve">Scales, bands and risk criteria.</t>
  </si>
  <si>
    <t xml:space="preserve">AI Risk Library</t>
  </si>
  <si>
    <t xml:space="preserve">Reference copy of the 46 wiki risks with example ratings and AI Risk Map, NIST AI 600-1 and OWASP MCP links.</t>
  </si>
  <si>
    <t xml:space="preserve">Control Library</t>
  </si>
  <si>
    <t xml:space="preserve">The 46 wiki controls with objective, evidence, audit test, owner, frequency and framework references.</t>
  </si>
  <si>
    <t xml:space="preserve">Control Gaps</t>
  </si>
  <si>
    <t xml:space="preserve">A weakness for each control (replaces the generic vulnerability list).</t>
  </si>
  <si>
    <t xml:space="preserve">Threat Library</t>
  </si>
  <si>
    <t xml:space="preserve">97 threats and techniques from OWASP LLM 2025, OWASP Agentic, OWASP MCP, MITRE ATLAS and NIST AI 600-1, linked to register risks.</t>
  </si>
  <si>
    <t xml:space="preserve">Framework Crosswalk</t>
  </si>
  <si>
    <t xml:space="preserve">Every item of the 19 wiki framework crosswalks (FINOS, AI Risk Map, NIST AI RMF, AI 600-1, AI 100-2, AI BCF, OWASP LLM, Agentic and MCP, MITRE ATLAS, ISO/IEC 42001, 27001 and nine other ISO/IEC AI standards, NIST CSF, CIS, SOC 2, OECD, EU Ethics Guidelines, UNESCO, IEEE 7000-series, Council of Europe Convention, G7 Code, privacy laws), with wiki controls and register risks.</t>
  </si>
  <si>
    <t xml:space="preserve">Regulatory Crosswalk</t>
  </si>
  <si>
    <t xml:space="preserve">AI laws and guidance from the 13 regional pages (GCC, EU, UK, US, Australia, Brazil, Canada, China, Hong Kong incl. HKMA, India, Japan, Singapore incl. MAS, South Korea), with the wiki's verification tags.</t>
  </si>
  <si>
    <t xml:space="preserve">Framework Matrix</t>
  </si>
  <si>
    <t xml:space="preserve">The 46 risks against all frameworks in one grid.</t>
  </si>
  <si>
    <t xml:space="preserve">Lists</t>
  </si>
  <si>
    <t xml:space="preserve">Dropdown values. Edit to match your organization.</t>
  </si>
  <si>
    <t xml:space="preserve">License</t>
  </si>
  <si>
    <t xml:space="preserve">Copyright, CC BY-SA 4.0 notice, how to credit, ShareAlike, disclaimer and third-party material.</t>
  </si>
  <si>
    <t xml:space="preserve">Changes from the source template (Risk Register - Risk Transfer.xlsx)</t>
  </si>
  <si>
    <t xml:space="preserve">Scoring</t>
  </si>
  <si>
    <t xml:space="preserve">CIA x exposure x likelihood replaced by likelihood x impact on 1-4 scales, so non-security AI risks can be rated. Bands cover every possible score with no gaps.</t>
  </si>
  <si>
    <t xml:space="preserve">Exposure factor bug</t>
  </si>
  <si>
    <t xml:space="preserve">The source multiplied a text value ("Low") in its risk formula; here every score input is a 1-4 dropdown.</t>
  </si>
  <si>
    <t xml:space="preserve">Band mismatch</t>
  </si>
  <si>
    <t xml:space="preserve">The source formula and its methodology table disagreed on where High starts; here the formula reads the band table directly.</t>
  </si>
  <si>
    <t xml:space="preserve">Treatment consistency</t>
  </si>
  <si>
    <t xml:space="preserve">The Record Check column flags mismatches such as Accept without an expiry, Closed while outside appetite, or Transfer without contract evidence.</t>
  </si>
  <si>
    <t xml:space="preserve">Threats and vulnerabilities</t>
  </si>
  <si>
    <t xml:space="preserve">Generic ISMS lists replaced by an AI threat library and a control-gap library.</t>
  </si>
  <si>
    <t xml:space="preserve">Controls and frameworks</t>
  </si>
  <si>
    <t xml:space="preserve">ISO/IEC 27001:2013 Annex A replaced by the wiki control library and every wiki crosswalk: framework, standard, ethics, international and regional regulatory.</t>
  </si>
  <si>
    <t xml:space="preserve">Added</t>
  </si>
  <si>
    <t xml:space="preserve">Owner domain, AI channel and asset type, scenario field, triage, evidence required, framework references, test case counts, appetite check, acceptance authority, review dates, escalation and consultation record.</t>
  </si>
  <si>
    <t xml:space="preserve">Removed</t>
  </si>
  <si>
    <t xml:space="preserve">Client names and IP addresses from the source sample rows.</t>
  </si>
  <si>
    <t xml:space="preserve">Sources (AI Security Wiki pages)</t>
  </si>
  <si>
    <t xml:space="preserve">Enterprise AI Risk Register</t>
  </si>
  <si>
    <t xml:space="preserve">https://nachi065.github.io/AI-Security-Wiki/02_Risk_Management/02B_Enterprise_AI_Risk_Register.html</t>
  </si>
  <si>
    <t xml:space="preserve">AI Risk Methodology</t>
  </si>
  <si>
    <t xml:space="preserve">https://nachi065.github.io/AI-Security-Wiki/02_Risk_Management/02A_AI_Risk_Methodology.html</t>
  </si>
  <si>
    <t xml:space="preserve">AI Risk Treatment Plan</t>
  </si>
  <si>
    <t xml:space="preserve">https://nachi065.github.io/AI-Security-Wiki/02_Risk_Management/02C_AI_Risk_Treatment_Plan.html</t>
  </si>
  <si>
    <t xml:space="preserve">AI Risk to Control Mapping</t>
  </si>
  <si>
    <t xml:space="preserve">https://nachi065.github.io/AI-Security-Wiki/02_Risk_Management/02D_AI_Risk_to_Control_Mapping.html</t>
  </si>
  <si>
    <t xml:space="preserve">AI Use-Case Risk Triage</t>
  </si>
  <si>
    <t xml:space="preserve">https://nachi065.github.io/AI-Security-Wiki/02_Risk_Management/02F_AI_Use_Case_Risk_Triage.html</t>
  </si>
  <si>
    <t xml:space="preserve">Risk, Control and Test Traceability</t>
  </si>
  <si>
    <t xml:space="preserve">https://nachi065.github.io/AI-Security-Wiki/02_Risk_Management/02G_Risk_Control_Test_Traceability.html</t>
  </si>
  <si>
    <t xml:space="preserve">Control Objectives Library</t>
  </si>
  <si>
    <t xml:space="preserve">https://nachi065.github.io/AI-Security-Wiki/03_Control_Library/03_AI_Security_Control_Objectives_Library.html</t>
  </si>
  <si>
    <t xml:space="preserve">Framework crosswalks</t>
  </si>
  <si>
    <t xml:space="preserve">https://nachi065.github.io/AI-Security-Wiki/23_Framework_Crosswalks/index.html</t>
  </si>
  <si>
    <t xml:space="preserve">AI Governance Operating Model (roles)</t>
  </si>
  <si>
    <t xml:space="preserve">https://nachi065.github.io/AI-Security-Wiki/08_Governance/16_AI_Governance_Operating_Model.html</t>
  </si>
  <si>
    <t xml:space="preserve">Licence and credit</t>
  </si>
  <si>
    <t xml:space="preserve">Licence</t>
  </si>
  <si>
    <t xml:space="preserve">Copyright (c) 2026 Nachiket Sathaye and Ankush Jain. Licensed under CC BY-SA 4.0 (https://creativecommons.org/licenses/by-sa/4.0/). See the License sheet for how to credit the work, the ShareAlike terms, the disclaimer and third-party material.</t>
  </si>
  <si>
    <t xml:space="preserve">AI Risk Map</t>
  </si>
  <si>
    <t xml:space="preserve">Owner domains and risks AI-R29 to AI-R46 are adapted by the wiki from the AI Risk Map v1.3 (2026) by Evan Wheeler, RiskFramework.org, CC BY-SA 4.0.</t>
  </si>
  <si>
    <t xml:space="preserve">AI Risk Register Workbook Copyright (c) 2026 Nachiket Sathaye and Ankush Jain. Licensed under CC BY-SA 4.0 (https://creativecommons.org/licenses/by-sa/4.0/). See the License sheet for credit, ShareAlike and third-party terms.</t>
  </si>
  <si>
    <t xml:space="preserve">AI Risk Register Workbook, version 1.1, 25 October 2026</t>
  </si>
  <si>
    <t xml:space="preserve">License notice</t>
  </si>
  <si>
    <t xml:space="preserve">Work</t>
  </si>
  <si>
    <t xml:space="preserve">Copyright</t>
  </si>
  <si>
    <t xml:space="preserve">Copyright (c) 2026 Nachiket Sathaye and Ankush Jain.</t>
  </si>
  <si>
    <t xml:space="preserve">This work, AI Risk Register Workbook,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</si>
  <si>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</si>
  <si>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</si>
  <si>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</si>
  <si>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</si>
  <si>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</si>
  <si>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</si>
  <si>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</si>
  <si>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</si>
  <si>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</si>
  <si>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</si>
  <si>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Risk Register Workbook"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</si>
  <si>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</si>
  <si>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Risk Register Workbook by Nachiket Sathaye and Ankush Jain (https://nachi065.github.io/AI-Security-Wiki/), CC BY-SA 4.0. Changes: added our own ratings and owners."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</si>
  <si>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</si>
  <si>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</si>
  <si>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</si>
  <si>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</si>
  <si>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</si>
  <si>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</si>
  <si>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</si>
  <si>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</si>
  <si>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</si>
  <si>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ratings are illustrative examples, and its framework mappings are the wiki's own and should be checked against each source.</t>
  </si>
  <si>
    <t xml:space="preserve">Third-party material</t>
  </si>
  <si>
    <t xml:space="preserve">Owner domains and risks AI-R29 to AI-R46 are adapted from the AI Risk Map v1.3 (2026) by Evan Wheeler, RiskFramework.org (https://riskframework.org/), licensed under CC BY-SA 4.0. Changes: the risk factors were paraphrased, combined into register entries, given controls and ratings, and mapped to the wiki.</t>
  </si>
  <si>
    <t xml:space="preserve">Frameworks and standards</t>
  </si>
  <si>
    <t xml:space="preserve">Framework names, identifiers and short item titles (for example ISO/IEC, NIST, OWASP, MITRE ATLAS, CIS, AICPA SOC 2, FINOS, OECD, UNESCO, IEEE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</si>
  <si>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</si>
  <si>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</si>
  <si>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</si>
  <si>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</si>
  <si>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AI Risk Dashboard</t>
  </si>
  <si>
    <t xml:space="preserve">All figures are formulas over the AI Risk Register sheet.</t>
  </si>
  <si>
    <t xml:space="preserve">Rating</t>
  </si>
  <si>
    <t xml:space="preserve">Current</t>
  </si>
  <si>
    <t xml:space="preserve">Target</t>
  </si>
  <si>
    <t xml:space="preserve">Residual used</t>
  </si>
  <si>
    <t xml:space="preserve">By status</t>
  </si>
  <si>
    <t xml:space="preserve">Critical</t>
  </si>
  <si>
    <t xml:space="preserve">Open</t>
  </si>
  <si>
    <t xml:space="preserve">High</t>
  </si>
  <si>
    <t xml:space="preserve">In progress</t>
  </si>
  <si>
    <t xml:space="preserve">Medium</t>
  </si>
  <si>
    <t xml:space="preserve">Mitigated - verifying</t>
  </si>
  <si>
    <t xml:space="preserve">Low</t>
  </si>
  <si>
    <t xml:space="preserve">Transferred</t>
  </si>
  <si>
    <t xml:space="preserve">Total risks in register</t>
  </si>
  <si>
    <t xml:space="preserve">Accepted</t>
  </si>
  <si>
    <t xml:space="preserve">Outside appetite (residual)</t>
  </si>
  <si>
    <t xml:space="preserve">Closed</t>
  </si>
  <si>
    <t xml:space="preserve">Report to AI Governance Committee</t>
  </si>
  <si>
    <t xml:space="preserve">No status yet</t>
  </si>
  <si>
    <t xml:space="preserve">Deadline exceeded</t>
  </si>
  <si>
    <t xml:space="preserve">Deadline approaching</t>
  </si>
  <si>
    <t xml:space="preserve">Treatment not yet chosen</t>
  </si>
  <si>
    <t xml:space="preserve">By treatment decision</t>
  </si>
  <si>
    <t xml:space="preserve">Records passing all checks</t>
  </si>
  <si>
    <t xml:space="preserve">Mitigate</t>
  </si>
  <si>
    <t xml:space="preserve">Applies to triaged use case</t>
  </si>
  <si>
    <t xml:space="preserve">Avoid</t>
  </si>
  <si>
    <t xml:space="preserve">Transfer</t>
  </si>
  <si>
    <t xml:space="preserve">Heat map: current likelihood x current impact (number of risks)</t>
  </si>
  <si>
    <t xml:space="preserve">Accept</t>
  </si>
  <si>
    <t xml:space="preserve">Impact \ Likelihood</t>
  </si>
  <si>
    <t xml:space="preserve">1 Low</t>
  </si>
  <si>
    <t xml:space="preserve">2 Medium</t>
  </si>
  <si>
    <t xml:space="preserve">3 High</t>
  </si>
  <si>
    <t xml:space="preserve">4 Very High</t>
  </si>
  <si>
    <t xml:space="preserve">4 Critical</t>
  </si>
  <si>
    <t xml:space="preserve">By owner domain (current rating)</t>
  </si>
  <si>
    <t xml:space="preserve">Domain</t>
  </si>
  <si>
    <t xml:space="preserve">Total</t>
  </si>
  <si>
    <t xml:space="preserve">01 AI Governance and Accountability</t>
  </si>
  <si>
    <t xml:space="preserve">02 Strategy and Value Realization</t>
  </si>
  <si>
    <t xml:space="preserve">03 Data and Privacy</t>
  </si>
  <si>
    <t xml:space="preserve">04 Model Development and Performance</t>
  </si>
  <si>
    <t xml:space="preserve">05 Security and Adversarial Threats</t>
  </si>
  <si>
    <t xml:space="preserve">06 Safety, Ethics and Responsible AI</t>
  </si>
  <si>
    <t xml:space="preserve">07 Operations and Resilience</t>
  </si>
  <si>
    <t xml:space="preserve">08 Legal, Regulatory and Compliance</t>
  </si>
  <si>
    <t xml:space="preserve">09 Third-Party and Model Supply Chain</t>
  </si>
  <si>
    <t xml:space="preserve">10 Workforce, Human and Societal</t>
  </si>
  <si>
    <t xml:space="preserve">11 Financial and Resource</t>
  </si>
  <si>
    <t xml:space="preserve">12 Autonomy and Delegated Action (Agentic AI)</t>
  </si>
  <si>
    <t xml:space="preserve">Pre-filled with the 46 risks of the AI Security Wiki register. Ratings are the wiki's generic examples, not an assessment of any organization: re-score every row. Yellow = enter or choose; grey = calculated; white = from the wiki (editable). Rows 51 to 150 are free for new risks.</t>
  </si>
  <si>
    <t xml:space="preserve">Risk Identification</t>
  </si>
  <si>
    <t xml:space="preserve">Current Risk Assessment (with existing controls)</t>
  </si>
  <si>
    <t xml:space="preserve">Risk Treatment and Control Mapping</t>
  </si>
  <si>
    <t xml:space="preserve">Values After Planned Treatment</t>
  </si>
  <si>
    <t xml:space="preserve">Ownership, Mitigation and Tracking</t>
  </si>
  <si>
    <t xml:space="preserve">Risk ID</t>
  </si>
  <si>
    <t xml:space="preserve">Risk Title</t>
  </si>
  <si>
    <t xml:space="preserve">Owner Domain</t>
  </si>
  <si>
    <t xml:space="preserve">Owner Domain Name</t>
  </si>
  <si>
    <t xml:space="preserve">Suggested Owner (wiki)</t>
  </si>
  <si>
    <t xml:space="preserve">Second Owner Domain</t>
  </si>
  <si>
    <t xml:space="preserve">AI System / Use Case</t>
  </si>
  <si>
    <t xml:space="preserve">AI Channel</t>
  </si>
  <si>
    <t xml:space="preserve">AI Asset Type</t>
  </si>
  <si>
    <t xml:space="preserve">Risk Description (wiki risk factor)</t>
  </si>
  <si>
    <t xml:space="preserve">Risk Scenario for this system</t>
  </si>
  <si>
    <t xml:space="preserve">Main Impact Type</t>
  </si>
  <si>
    <t xml:space="preserve">Triage Questions</t>
  </si>
  <si>
    <t xml:space="preserve">Triage Result</t>
  </si>
  <si>
    <t xml:space="preserve">Existing Controls in Place</t>
  </si>
  <si>
    <t xml:space="preserve">Existing Control Coverage</t>
  </si>
  <si>
    <t xml:space="preserve">Current Likelihood (1-4)</t>
  </si>
  <si>
    <t xml:space="preserve">Current Impact (1-4)</t>
  </si>
  <si>
    <t xml:space="preserve">Current Score</t>
  </si>
  <si>
    <t xml:space="preserve">Current Rating</t>
  </si>
  <si>
    <t xml:space="preserve">Assessment Approach</t>
  </si>
  <si>
    <t xml:space="preserve">Estimated Annual Loss (optional)</t>
  </si>
  <si>
    <t xml:space="preserve">Treatment Decision</t>
  </si>
  <si>
    <t xml:space="preserve">Treatment Plan / Justification</t>
  </si>
  <si>
    <t xml:space="preserve">Mapped Controls (AI-CTRL)</t>
  </si>
  <si>
    <t xml:space="preserve">Baseline-Tier Controls</t>
  </si>
  <si>
    <t xml:space="preserve">Primary Control Measures</t>
  </si>
  <si>
    <t xml:space="preserve">Evidence Required</t>
  </si>
  <si>
    <t xml:space="preserve">ISO/IEC 42001 Annex A</t>
  </si>
  <si>
    <t xml:space="preserve">ISO/IEC 27001:2022 Annex A</t>
  </si>
  <si>
    <t xml:space="preserve">NIST AI RMF</t>
  </si>
  <si>
    <t xml:space="preserve">OWASP (LLM / Agentic)</t>
  </si>
  <si>
    <t xml:space="preserve">MITRE ATLAS Techniques</t>
  </si>
  <si>
    <t xml:space="preserve">FINOS AIGF</t>
  </si>
  <si>
    <t xml:space="preserve">NIST CSF</t>
  </si>
  <si>
    <t xml:space="preserve">CIS Controls</t>
  </si>
  <si>
    <t xml:space="preserve">SOC 2</t>
  </si>
  <si>
    <t xml:space="preserve">NIST AI 600-1</t>
  </si>
  <si>
    <t xml:space="preserve">AI Risk Map v1.3</t>
  </si>
  <si>
    <t xml:space="preserve">OWASP MCP Top 10</t>
  </si>
  <si>
    <t xml:space="preserve">Ethics, Principles and International Instruments</t>
  </si>
  <si>
    <t xml:space="preserve">Regulations Linked (IDs, via controls)</t>
  </si>
  <si>
    <t xml:space="preserve">Framework Items Linked (all crosswalks)</t>
  </si>
  <si>
    <t xml:space="preserve">Test Cases (wiki count)</t>
  </si>
  <si>
    <t xml:space="preserve">Target Likelihood (1-4)</t>
  </si>
  <si>
    <t xml:space="preserve">Target Impact (1-4)</t>
  </si>
  <si>
    <t xml:space="preserve">Target Score</t>
  </si>
  <si>
    <t xml:space="preserve">Target Rating</t>
  </si>
  <si>
    <t xml:space="preserve">Residual Rating Used</t>
  </si>
  <si>
    <t xml:space="preserve">Within Appetite?</t>
  </si>
  <si>
    <t xml:space="preserve">Acceptance Authority</t>
  </si>
  <si>
    <t xml:space="preserve">Risk Owner (accountable)</t>
  </si>
  <si>
    <t xml:space="preserve">Implementation Owner</t>
  </si>
  <si>
    <t xml:space="preserve">Date Identified</t>
  </si>
  <si>
    <t xml:space="preserve">Mitigation Deadline</t>
  </si>
  <si>
    <t xml:space="preserve">Target Implementation Date</t>
  </si>
  <si>
    <t xml:space="preserve">Status</t>
  </si>
  <si>
    <t xml:space="preserve">Deadline Alert</t>
  </si>
  <si>
    <t xml:space="preserve">Acceptance Expiry</t>
  </si>
  <si>
    <t xml:space="preserve">Last Review Date</t>
  </si>
  <si>
    <t xml:space="preserve">Next Review Due</t>
  </si>
  <si>
    <t xml:space="preserve">Report to AI Governance Committee?</t>
  </si>
  <si>
    <t xml:space="preserve">Consulted (who, what changed)</t>
  </si>
  <si>
    <t xml:space="preserve">Record Check</t>
  </si>
  <si>
    <t xml:space="preserve">Notes</t>
  </si>
  <si>
    <t xml:space="preserve">AI-R01</t>
  </si>
  <si>
    <t xml:space="preserve">Critical Infrastructure Information Exposure</t>
  </si>
  <si>
    <t xml:space="preserve">03</t>
  </si>
  <si>
    <t xml:space="preserve">Enterprise-wide (all AI use)</t>
  </si>
  <si>
    <t xml:space="preserve">Users may submit sensitive infrastructure, architecture, security, operational or business information into AI tools for summarization, translation, troubleshooting or code support. Required controls include prompt inspection, upload inspection, classification-aware policy enforcement, audit logging and SOC alerting.</t>
  </si>
  <si>
    <t xml:space="preserve">B1; C3</t>
  </si>
  <si>
    <t xml:space="preserve">Qualitative (4 x 4)</t>
  </si>
  <si>
    <t xml:space="preserve">AI-CTRL-002, AI-CTRL-003, AI-CTRL-010, AI-CTRL-017</t>
  </si>
  <si>
    <t xml:space="preserve">AI-CTRL-002, AI-CTRL-017</t>
  </si>
  <si>
    <t xml:space="preserve">Prompt inspection; file upload protection; classification-aware enforcement</t>
  </si>
  <si>
    <t xml:space="preserve">Prompt logs; upload block logs; data classification policy; SOC alerts</t>
  </si>
  <si>
    <t xml:space="preserve">A.2.2; A.4.3; A.7.6; A.9.2</t>
  </si>
  <si>
    <t xml:space="preserve">A.5.10; A.5.12; A.5.13; A.5.14; A.8.10; A.8.11; A.8.12; A.8.23; A.8.24; A.8.33</t>
  </si>
  <si>
    <t xml:space="preserve">GOVERN 1.4; MANAGE 1.3; MANAGE 4.1; MEASURE 2.7; MEASURE 2.10</t>
  </si>
  <si>
    <t xml:space="preserve">LLM02:2025</t>
  </si>
  <si>
    <t xml:space="preserve">AML.T0025; AML.T0057; AML.T0085</t>
  </si>
  <si>
    <t xml:space="preserve">AIR-RC-001</t>
  </si>
  <si>
    <t xml:space="preserve">DE.CM; GV.PO; ID.AM; PR.DS</t>
  </si>
  <si>
    <t xml:space="preserve">CIS 3; CIS 9</t>
  </si>
  <si>
    <t xml:space="preserve">C1.1; C1.2; CC5.3; CC6.1; CC6.7</t>
  </si>
  <si>
    <t xml:space="preserve">None</t>
  </si>
  <si>
    <t xml:space="preserve">EU Ethics Guidelines: Privacy and data governance; UNESCO Recommendation: Right to privacy and data protection; IEEE 7000-series: IEEE 7002-2022; Council of Europe AI Convention: Art. 11</t>
  </si>
  <si>
    <t xml:space="preserve">GCC: U1, S1, S3, Q1; EU: E2; UK: UK2; US: US17; Brazil: BR2; India: IN1; Singapore: SG4, SG5, MAS 2.3 to 2.5, MAS 5.4</t>
  </si>
  <si>
    <t xml:space="preserve">Wiki example ratings: likelihood High, impact Critical, residual Critical, priority 1.</t>
  </si>
  <si>
    <t xml:space="preserve">AI-R02</t>
  </si>
  <si>
    <t xml:space="preserve">Shadow AI and Ungoverned AI Usage</t>
  </si>
  <si>
    <t xml:space="preserve">01</t>
  </si>
  <si>
    <t xml:space="preserve">Unapproved AI use may occur through public AI sites, browser extensions, IDE plugins, SaaS features, APIs or desktop AI applications. Required controls include AI discovery, tool classification, allow/monitor/warn/block policy, endpoint visibility and reporting.</t>
  </si>
  <si>
    <t xml:space="preserve">D6</t>
  </si>
  <si>
    <t xml:space="preserve">AI-CTRL-001, AI-CTRL-010, AI-CTRL-011, AI-CTRL-012, AI-CTRL-037, AI-CTRL-044</t>
  </si>
  <si>
    <t xml:space="preserve">AI-CTRL-001, AI-CTRL-011, AI-CTRL-012</t>
  </si>
  <si>
    <t xml:space="preserve">AI discovery; application risk classification; policy enforcement</t>
  </si>
  <si>
    <t xml:space="preserve">AI inventory; shadow AI reports; user activity dashboard</t>
  </si>
  <si>
    <t xml:space="preserve">A.2.2; A.2.4; A.3.2; A.4.2; A.4.6; A.5.2; A.9.2; A.9.4; Clause 6.1.2; Clause 6.1.3; Clause 7.2; Clause 7.3</t>
  </si>
  <si>
    <t xml:space="preserve">A.5.1; A.5.2; A.5.4; A.5.8; A.5.9; A.5.10; A.5.12; A.6.3; A.8.12; A.8.16; A.8.23; Clause 6.1.2; Clause 6.1.3</t>
  </si>
  <si>
    <t xml:space="preserve">GOVERN 1.2; GOVERN 1.3; GOVERN 1.4; GOVERN 1.6; GOVERN 1.7; GOVERN 2.1; GOVERN 2.2; GOVERN 6.1; MANAGE 1.2; MANAGE 1.3; MANAGE 1.4; MAP 1.1; MAP 1.5; MAP 3.4</t>
  </si>
  <si>
    <t xml:space="preserve">LLM02:2025; LLM03:2025</t>
  </si>
  <si>
    <t xml:space="preserve">AML.T0057</t>
  </si>
  <si>
    <t xml:space="preserve">None seen</t>
  </si>
  <si>
    <t xml:space="preserve">DE.CM; GV.PO; GV.RM; GV.RR; ID.AM; ID.RA; PR.AT; PR.DS</t>
  </si>
  <si>
    <t xml:space="preserve">CIS 1; CIS 2; CIS 3; CIS 9; CIS 14</t>
  </si>
  <si>
    <t xml:space="preserve">CC1.3; CC1.4; CC2.2; CC3.1; CC3.2; CC5.3; CC6.7; CC6.8; CC7.2; CC9.1</t>
  </si>
  <si>
    <t xml:space="preserve">01 Governance and oversight; 01 Policy and standards; 07 MLOps and deployment</t>
  </si>
  <si>
    <t xml:space="preserve">MCP09:2025</t>
  </si>
  <si>
    <t xml:space="preserve">OECD AI Principles: Principle 1.1, Principle 1.5; EU Ethics Guidelines: Accountability; UNESCO Recommendation: Proportionality and do no harm, Multi-stakeholder and adaptive governance ..., Responsibility and accountability, Awareness and literacy; Council of Europe AI Convention: Art. 9, Art. 16, Art. 20; G7 Hiroshima Code: Action 1, Action 5</t>
  </si>
  <si>
    <t xml:space="preserve">GCC: U3, U4, U6, U9, U12, S2, S3, S5, Q3, Q4, B2, O1; EU: E1a, E1b, E1c, E8, E12, E14, E17; UK: UK1, UK5, UK6, UK11, UK13; US: US5, US6, US8, US9, US12, US14, US15, US16; Australia: AU1, AU4, AU7; Brazil: BR1, BR3; Canada: CA4, CA5, CA6, CA8; China: CN1, CN2, CN5; India: IN4, IN5, IN6, IN7, IN8, IN13; Japan: JP1, JP2, JP3, JP6; Singapore: SG1, SG2, SG5, MAS 1.6, 2.1 to 2.2, MAS 2.3 to 2.5, MAS 3.1 to 3.4, MAS 3.5, MAS 1.5, 3.6, MAS 4.2 to 4.4, MAS 4.5 to 4.9, MAS 4.10 to 4.13, MAS 5.26, MAS 6.1 to 6.2; South: KR3, KR4, KR5, KR6</t>
  </si>
  <si>
    <t xml:space="preserve">Wiki example ratings: likelihood High, impact High, residual High, priority 2.</t>
  </si>
  <si>
    <t xml:space="preserve">AI-R03</t>
  </si>
  <si>
    <t xml:space="preserve">Sensitive Data Leakage Through Prompts and Uploads</t>
  </si>
  <si>
    <t xml:space="preserve">AI interactions can contain confidential data, personal data, credentials, source code, logs and business documents. Required controls include sensitive data detection, redaction/masking/warning/blocking and evidence generation.</t>
  </si>
  <si>
    <t xml:space="preserve">B1; B2</t>
  </si>
  <si>
    <t xml:space="preserve">AI-CTRL-002, AI-CTRL-003, AI-CTRL-010, AI-CTRL-012, AI-CTRL-013, AI-CTRL-017, AI-CTRL-021</t>
  </si>
  <si>
    <t xml:space="preserve">AI-CTRL-002, AI-CTRL-012, AI-CTRL-013, AI-CTRL-017</t>
  </si>
  <si>
    <t xml:space="preserve">Sensitive data detection; redaction; block/warn policy</t>
  </si>
  <si>
    <t xml:space="preserve">DLP events; AI prompt detections; policy screenshots</t>
  </si>
  <si>
    <t xml:space="preserve">A.2.2; A.2.4; A.3.2; A.4.3; A.5.2; A.5.3; A.5.4; A.6.2.4; A.7.6; A.9.2</t>
  </si>
  <si>
    <t xml:space="preserve">A.5.1; A.5.2; A.5.4; A.5.10; A.5.12; A.5.13; A.5.14; A.5.31; A.5.34; A.8.7; A.8.10; A.8.11; A.8.12; A.8.23; A.8.24; A.8.26; A.8.33</t>
  </si>
  <si>
    <t xml:space="preserve">GOVERN 1.1; GOVERN 1.2; GOVERN 1.4; GOVERN 2.1; GOVERN 2.2; MANAGE 1.3; MANAGE 4.1; MAP 5.1; MEASURE 2.7; MEASURE 2.10</t>
  </si>
  <si>
    <t xml:space="preserve">LLM01:2025; LLM02:2025</t>
  </si>
  <si>
    <t xml:space="preserve">AML.T0025; AML.T0051; AML.T0057; AML.T0085; AML.T0088; AML.T0129</t>
  </si>
  <si>
    <t xml:space="preserve">DE.CM; GV.OC; GV.PO; GV.RR; ID.AM; PR.DS</t>
  </si>
  <si>
    <t xml:space="preserve">CIS 3; CIS 9; CIS 10</t>
  </si>
  <si>
    <t xml:space="preserve">C1.1; C1.2; CC1.3; CC2.2; CC5.3; CC6.1; CC6.7; CC6.8; P1.1; P3.1; P4.1; P4.2; P5.1</t>
  </si>
  <si>
    <t xml:space="preserve">Data Privacy</t>
  </si>
  <si>
    <t xml:space="preserve">03 Privacy and consent</t>
  </si>
  <si>
    <t xml:space="preserve">OECD AI Principles: Principle 1.2, Principle 1.3, Principle 1.5; EU Ethics Guidelines: Privacy and data governance, Accountability; UNESCO Recommendation: Right to privacy and data protection, Multi-stakeholder and adaptive governance ..., Responsibility and accountability; IEEE 7000-series: IEEE 7002-2022; Council of Europe AI Convention: Art. 9, Art. 11; G7 Hiroshima Code: Action 5, Action 11</t>
  </si>
  <si>
    <t xml:space="preserve">GCC: U1, U3, U4, U5, U6, U7, U12, S1, S2, S3, Q1, Q3, B1, B2, O2; EU: E1a, E1b, E1c, E2, E3, E4, E12, E17; UK: UK1, UK2, UK3, UK4, UK5, UK13; US: US5, US8, US9, US12, US14, US15, US17; Australia: AU1, AU2, AU3, AU3a, AU4, AU7; Brazil: BR2, BR3; Canada: CA2, CA3, CA5, CA7, CA8; China: CN1, CN2, CN5, CN7, CN9; India: IN1, IN2, IN3, IN4, IN11, IN13; Japan: JP1, JP2, JP3, JP4; Singapore: SG1, SG4, SG5, MAS 2.3 to 2.5, MAS 3.1 to 3.4, MAS 3.5, MAS 1.5, 3.6, MAS 5.4; South: KR5, KR6, KR7</t>
  </si>
  <si>
    <t xml:space="preserve">Wiki example ratings: likelihood High, impact Critical, residual High, priority 3.</t>
  </si>
  <si>
    <t xml:space="preserve">AI-R04</t>
  </si>
  <si>
    <t xml:space="preserve">IDE-Based Source Code and Credential Exposure</t>
  </si>
  <si>
    <t xml:space="preserve">AI coding assistants can expose source code, API keys, internal URLs, infrastructure-as-code and application logic. Required controls include IDE visibility, secret detection, source code protection and developer governance.</t>
  </si>
  <si>
    <t xml:space="preserve">A5</t>
  </si>
  <si>
    <t xml:space="preserve">AI-CTRL-004</t>
  </si>
  <si>
    <t xml:space="preserve">None (all Advanced)</t>
  </si>
  <si>
    <t xml:space="preserve">IDE discovery; source code protection; secret detection</t>
  </si>
  <si>
    <t xml:space="preserve">IDE inventory; secret detection log; developer policy evidence</t>
  </si>
  <si>
    <t xml:space="preserve">A.4.4; A.9.2</t>
  </si>
  <si>
    <t xml:space="preserve">A.8.4; A.8.12; A.8.28</t>
  </si>
  <si>
    <t xml:space="preserve">GOVERN 6.1; MANAGE 4.1; MEASURE 2.10</t>
  </si>
  <si>
    <t xml:space="preserve">AML.T0055; AML.T0057</t>
  </si>
  <si>
    <t xml:space="preserve">PR.DS; PR.PS</t>
  </si>
  <si>
    <t xml:space="preserve">CIS 3; CIS 16</t>
  </si>
  <si>
    <t xml:space="preserve">CC6.7; CC8.1</t>
  </si>
  <si>
    <t xml:space="preserve">Wiki example ratings: likelihood Medium-High, impact High, residual High, priority 4. "Medium-High" likelihood mapped to 3 (High).</t>
  </si>
  <si>
    <t xml:space="preserve">AI-R05</t>
  </si>
  <si>
    <t xml:space="preserve">Prompt Injection Against Custom AI Applications</t>
  </si>
  <si>
    <t xml:space="preserve">05</t>
  </si>
  <si>
    <t xml:space="preserve">Custom AI applications, RAG systems and internal chatbots can be manipulated through direct or indirect prompt injection. Required controls include runtime inspection, RAG security validation, guardrails and output filtering.</t>
  </si>
  <si>
    <t xml:space="preserve">A6; B5; C2</t>
  </si>
  <si>
    <t xml:space="preserve">AI-CTRL-005, AI-CTRL-019, AI-CTRL-020, AI-CTRL-021, AI-CTRL-026, AI-CTRL-033, AI-CTRL-034</t>
  </si>
  <si>
    <t xml:space="preserve">AI-CTRL-005, AI-CTRL-020, AI-CTRL-033</t>
  </si>
  <si>
    <t xml:space="preserve">Prompt injection detection; runtime inspection; RAG validation</t>
  </si>
  <si>
    <t xml:space="preserve">Red team report; runtime logs; guardrail evidence</t>
  </si>
  <si>
    <t xml:space="preserve">A.5.2; A.6.2.2; A.6.2.4; A.6.2.5; A.6.2.6; A.7.3; A.7.4; A.7.5</t>
  </si>
  <si>
    <t xml:space="preserve">A.5.8; A.8.3; A.8.7; A.8.8; A.8.12; A.8.16; A.8.25; A.8.26; A.8.27; A.8.28; A.8.29; A.8.32</t>
  </si>
  <si>
    <t xml:space="preserve">GOVERN 4.2; GOVERN 4.3; MANAGE 1.1; MANAGE 1.3; MAP 2.3; MEASURE 2.1; MEASURE 2.6; MEASURE 2.7; MEASURE 2.10</t>
  </si>
  <si>
    <t xml:space="preserve">ASI01; ASI06; LLM01:2025; LLM02:2025; LLM03:2025; LLM04:2025; LLM05:2025; LLM06:2025; LLM07:2025; LLM08:2025; LLM09:2025; LLM10:2025</t>
  </si>
  <si>
    <t xml:space="preserve">AML.T0051; AML.T0054; AML.T0056; AML.T0057; AML.T0066; AML.T0067; AML.T0068; AML.T0070; AML.T0071; AML.T0077; AML.T0080; AML.T0088; AML.T0092; AML.T0093; AML.T0094; AML.T0129</t>
  </si>
  <si>
    <t xml:space="preserve">AIR-SEC-010</t>
  </si>
  <si>
    <t xml:space="preserve">DE.CM; ID.IM; ID.RA; PR.DS; PR.PS</t>
  </si>
  <si>
    <t xml:space="preserve">CIS 3; CIS 7; CIS 10; CIS 13; CIS 16; CIS 18</t>
  </si>
  <si>
    <t xml:space="preserve">CC3.4; CC4.1; CC6.1; CC6.6; CC6.7; CC6.8; CC7.1; CC7.2; CC8.1; PI1.2; PI1.4; PI1.5</t>
  </si>
  <si>
    <t xml:space="preserve">Information Security</t>
  </si>
  <si>
    <t xml:space="preserve">05 Data and pipeline attacks; 05 Inference-time (input) attacks</t>
  </si>
  <si>
    <t xml:space="preserve">MCP06:2025</t>
  </si>
  <si>
    <t xml:space="preserve">OECD AI Principles: Principle 1.4; EU Ethics Guidelines: Technical robustness and safety; UNESCO Recommendation: Safety and security; IEEE 7000-series: IEEE 7000-2021; Council of Europe AI Convention: Art. 12; G7 Hiroshima Code: Action 1, Action 2</t>
  </si>
  <si>
    <t xml:space="preserve">GCC: U2, U11, S6, S7, Q4; EU: E1c, E5, E7, E17; UK: UK10; US: US3; Australia: AU8; China: CN7; India: IN8, IN10, IN11; Singapore: SG2, SG5, SG7, SG8, MAS 5.12 to 5.13, MAS 5.14 to 5.15, MAS 5.16, MAS 5.18 to 5.21, MAS 5.22, MAS 5.24, MAS 5.25; South: KR4</t>
  </si>
  <si>
    <t xml:space="preserve">Wiki example ratings: likelihood Medium, impact Critical, residual High, priority 5.</t>
  </si>
  <si>
    <t xml:space="preserve">AI-R06</t>
  </si>
  <si>
    <t xml:space="preserve">AI Output Leakage and Oversharing</t>
  </si>
  <si>
    <t xml:space="preserve">AI responses may aggregate or expose information beyond the intended context due to permission hygiene, weak retrieval controls or prompt manipulation. Required controls include output inspection, source-document logging and permission-aware response governance.</t>
  </si>
  <si>
    <t xml:space="preserve">A6; B1; B5</t>
  </si>
  <si>
    <t xml:space="preserve">AI-CTRL-005, AI-CTRL-016, AI-CTRL-017, AI-CTRL-018, AI-CTRL-020</t>
  </si>
  <si>
    <t xml:space="preserve">Output inspection; retrieval governance; source-document logging</t>
  </si>
  <si>
    <t xml:space="preserve">Response logs; retrieval logs; permission validation evidence</t>
  </si>
  <si>
    <t xml:space="preserve">A.4.3; A.6.2.4; A.6.2.6; A.7.6</t>
  </si>
  <si>
    <t xml:space="preserve">A.5.12; A.5.13; A.5.15; A.5.18; A.8.2; A.8.3; A.8.10; A.8.11; A.8.12; A.8.16; A.8.24; A.8.26; A.8.27; A.8.28; A.8.33</t>
  </si>
  <si>
    <t xml:space="preserve">MANAGE 1.3; MEASURE 2.7; MEASURE 2.10</t>
  </si>
  <si>
    <t xml:space="preserve">ASI01; ASI03; LLM01:2025; LLM02:2025; LLM05:2025; LLM06:2025; LLM07:2025; LLM08:2025</t>
  </si>
  <si>
    <t xml:space="preserve">AML.T0012; AML.T0025; AML.T0051; AML.T0054; AML.T0055; AML.T0056; AML.T0057; AML.T0064; AML.T0067; AML.T0068; AML.T0077; AML.T0082; AML.T0083; AML.T0085; AML.T0093; AML.T0098</t>
  </si>
  <si>
    <t xml:space="preserve">AIR-SEC-002</t>
  </si>
  <si>
    <t xml:space="preserve">DE.CM; ID.AM; PR.AA; PR.DS; PR.PS</t>
  </si>
  <si>
    <t xml:space="preserve">CIS 3; CIS 5; CIS 6; CIS 13; CIS 16</t>
  </si>
  <si>
    <t xml:space="preserve">C1.1; C1.2; CC6.1; CC6.3; CC6.6; CC6.7; CC7.2; PI1.4</t>
  </si>
  <si>
    <t xml:space="preserve">03 Privacy and consent; 05 Output and integration security; 05 AI access and identity</t>
  </si>
  <si>
    <t xml:space="preserve">MCP10:2025</t>
  </si>
  <si>
    <t xml:space="preserve">OECD AI Principles: Principle 1.4; EU Ethics Guidelines: Technical robustness and safety, Privacy and data governance; UNESCO Recommendation: Safety and security, Right to privacy and data protection; IEEE 7000-series: IEEE 7002-2022; Council of Europe AI Convention: Art. 11</t>
  </si>
  <si>
    <t xml:space="preserve">GCC: U1, U2, U11, S1, S6, S7, Q1; EU: E2, E5, E7, E17; UK: UK2, UK10; US: US3, US17; Australia: AU8; Brazil: BR2; China: CN7; India: IN1, IN8, IN10, IN11; Singapore: SG2, SG4, SG5, SG7, SG8, MAS 5.4, MAS 5.16; South: KR4</t>
  </si>
  <si>
    <t xml:space="preserve">Wiki example ratings: likelihood Medium, impact High, residual High, priority 6.</t>
  </si>
  <si>
    <t xml:space="preserve">AI-R07</t>
  </si>
  <si>
    <t xml:space="preserve">AI Agent and Tool-Calling Abuse</t>
  </si>
  <si>
    <t xml:space="preserve">12</t>
  </si>
  <si>
    <t xml:space="preserve">Agents can call tools, APIs and workflows. Risks include excessive privilege, unauthorized action, tool misuse, MCP compromise and insufficient traceability. Required controls include identity, least privilege, approvals, tool governance and action logging.</t>
  </si>
  <si>
    <t xml:space="preserve">A1; A2</t>
  </si>
  <si>
    <t xml:space="preserve">AI-CTRL-006, AI-CTRL-015, AI-CTRL-016, AI-CTRL-022, AI-CTRL-023, AI-CTRL-024, AI-CTRL-025, AI-CTRL-026, AI-CTRL-027, AI-CTRL-033, AI-CTRL-034, AI-CTRL-045</t>
  </si>
  <si>
    <t xml:space="preserve">AI-CTRL-006, AI-CTRL-015, AI-CTRL-016, AI-CTRL-022, AI-CTRL-023, AI-CTRL-024, AI-CTRL-025, AI-CTRL-027, AI-CTRL-033</t>
  </si>
  <si>
    <t xml:space="preserve">Agent identity; tool governance; approvals; action logging</t>
  </si>
  <si>
    <t xml:space="preserve">Agent registry; API/tool matrix; approval logs; SIEM events</t>
  </si>
  <si>
    <t xml:space="preserve">A.4.2; A.4.4; A.4.5; A.5.2; A.6.2.2; A.6.2.4; A.6.2.5; A.6.2.6; A.9.2; A.9.3; A.10.3</t>
  </si>
  <si>
    <t xml:space="preserve">A.5.3; A.5.8; A.5.15; A.5.16; A.5.17; A.5.18; A.5.19; A.5.21; A.5.26; A.8.2; A.8.3; A.8.5; A.8.8; A.8.9; A.8.15; A.8.16; A.8.19; A.8.22; A.8.25; A.8.27; A.8.29; A.8.31; A.8.32</t>
  </si>
  <si>
    <t xml:space="preserve">GOVERN 1.6; GOVERN 3.2; GOVERN 4.2; GOVERN 4.3; GOVERN 6.1; MANAGE 1.1; MANAGE 1.3; MANAGE 2.3; MANAGE 2.4; MANAGE 3.1; MAP 3.5; MAP 4.1; MAP 4.2; MEASURE 2.1; MEASURE 2.4; MEASURE 2.6; MEASURE 2.7; MEASURE 2.8; MEASURE 2.10</t>
  </si>
  <si>
    <t xml:space="preserve">ASI02; ASI03; ASI04; ASI05; ASI06; ASI07; ASI08; ASI09; ASI10; LLM01:2025; LLM02:2025; LLM03:2025; LLM04:2025; LLM05:2025; LLM06:2025; LLM07:2025; LLM08:2025; LLM09:2025; LLM10:2025</t>
  </si>
  <si>
    <t xml:space="preserve">AML.T0010; AML.T0012; AML.T0034; AML.T0050; AML.T0053; AML.T0055; AML.T0073; AML.T0080; AML.T0081; AML.T0083; AML.T0086; AML.T0091; AML.T0092; AML.T0094; AML.T0098; AML.T0099; AML.T0101; AML.T0102; AML.T0105; AML.T0109; AML.T0110</t>
  </si>
  <si>
    <t xml:space="preserve">AIR-SEC-024</t>
  </si>
  <si>
    <t xml:space="preserve">DE.CM; GV.RR; GV.SC; ID.IM; ID.RA; PR.AA; PR.DS; PR.IR; PR.PS; RS.MA; RS.MI</t>
  </si>
  <si>
    <t xml:space="preserve">CIS 2; CIS 3; CIS 4; CIS 5; CIS 6; CIS 7; CIS 8; CIS 12; CIS 15; CIS 16; CIS 17; CIS 18</t>
  </si>
  <si>
    <t xml:space="preserve">CC3.4; CC4.1; CC6.1; CC6.2; CC6.3; CC6.6; CC6.8; CC7.1; CC7.2; CC7.4; CC8.1; CC9.2; PI1.5</t>
  </si>
  <si>
    <t xml:space="preserve">05 Output and integration security; 12 Autonomy, alignment and oversight; 12 Tool access and authorization; 12 Action integrity and traceability</t>
  </si>
  <si>
    <t xml:space="preserve">MCP02:2025; MCP07:2025</t>
  </si>
  <si>
    <t xml:space="preserve">OECD AI Principles: Principle 1.2, Principle 1.4; EU Ethics Guidelines: Human agency and oversight, Technical robustness and safety; UNESCO Recommendation: Safety and security, Human oversight and determination; IEEE 7000-series: IEEE 7000-2021; Council of Europe AI Convention: Art. 7, Art. 8, Art. 12, 14, 15; G7 Hiroshima Code: Action 1, Action 2</t>
  </si>
  <si>
    <t xml:space="preserve">GCC: U3, U6, U9, Q4, B4; EU: E1c; UK: UK3, UK5; US: US8, US10; Australia: AU4; Canada: CA3; China: CN6; India: IN5, IN6, IN13; Singapore: SG2, SG5, SG7, MAS 4.5 to 4.9, MAS 5.3, MAS 5.9, MAS 5.12 to 5.13, MAS 5.14 to 5.15, MAS 5.16, MAS 5.18 to 5.21, MAS 5.22, MAS 5.24, MAS 5.25; South: KR3</t>
  </si>
  <si>
    <t xml:space="preserve">Wiki example ratings: likelihood Medium, impact Critical, residual Critical, priority 7.</t>
  </si>
  <si>
    <t xml:space="preserve">AI-R08</t>
  </si>
  <si>
    <t xml:space="preserve">AI Supply Chain and Model Integrity Risk</t>
  </si>
  <si>
    <t xml:space="preserve">09</t>
  </si>
  <si>
    <t xml:space="preserve">AI applications rely on models, libraries, datasets, plugins, extensions and MCP servers. Required controls include AI asset inventory, model inventory, AI BOM, model scanning, plugin governance and vulnerability integration.</t>
  </si>
  <si>
    <t xml:space="preserve">B6</t>
  </si>
  <si>
    <t xml:space="preserve">AI-CTRL-014, AI-CTRL-016, AI-CTRL-019, AI-CTRL-024, AI-CTRL-028, AI-CTRL-029, AI-CTRL-030, AI-CTRL-031, AI-CTRL-032, AI-CTRL-033</t>
  </si>
  <si>
    <t xml:space="preserve">AI-CTRL-014, AI-CTRL-016, AI-CTRL-024, AI-CTRL-033</t>
  </si>
  <si>
    <t xml:space="preserve">AI asset inventory; model inventory; plugin governance; dependency scanning; least-privilege workload identities</t>
  </si>
  <si>
    <t xml:space="preserve">AI BOM; model registry; vulnerability reports</t>
  </si>
  <si>
    <t xml:space="preserve">A.4.2; A.4.4; A.4.5; A.5.2; A.6.2.2; A.6.2.3; A.6.2.4; A.6.2.5; A.6.2.6; A.7.2; A.7.3; A.7.4; A.7.5; A.10.2; A.10.3</t>
  </si>
  <si>
    <t xml:space="preserve">A.5.8; A.5.9; A.5.15; A.5.18; A.5.19; A.5.20; A.5.21; A.5.22; A.5.23; A.8.2; A.8.3; A.8.4; A.8.8; A.8.9; A.8.12; A.8.19; A.8.20; A.8.22; A.8.24; A.8.25; A.8.27; A.8.29; A.8.30; A.8.31; A.8.32; A.8.33</t>
  </si>
  <si>
    <t xml:space="preserve">GOVERN 4.2; GOVERN 6.1; GOVERN 6.2; MANAGE 1.1; MANAGE 1.3; MANAGE 3.1; MANAGE 3.2; MAP 2.3; MAP 4.1; MAP 4.2; MEASURE 2.5; MEASURE 2.7; MEASURE 2.10</t>
  </si>
  <si>
    <t xml:space="preserve">ASI02; ASI03; ASI04; LLM02:2025; LLM03:2025; LLM04:2025; LLM06:2025; LLM08:2025; LLM10:2025</t>
  </si>
  <si>
    <t xml:space="preserve">AML.T0010; AML.T0012; AML.T0015; AML.T0018; AML.T0020; AML.T0024; AML.T0025; AML.T0043; AML.T0044; AML.T0049; AML.T0055; AML.T0059; AML.T0066; AML.T0070; AML.T0071; AML.T0083; AML.T0098; AML.T0099; AML.T0109; AML.T0110; AML.T0111; AML.T0115; AML.T0119; AML.T0132</t>
  </si>
  <si>
    <t xml:space="preserve">AIR-SEC-008; AIR-SEC-009; AIR-SEC-026</t>
  </si>
  <si>
    <t xml:space="preserve">GV.SC; ID.AM; ID.RA; PR.AA; PR.DS; PR.IR; PR.PS</t>
  </si>
  <si>
    <t xml:space="preserve">CIS 2; CIS 3; CIS 4; CIS 5; CIS 6; CIS 7; CIS 12; CIS 13; CIS 15; CIS 16</t>
  </si>
  <si>
    <t xml:space="preserve">C1.1; CC3.4; CC6.1; CC6.3; CC6.6; CC6.7; CC6.8; CC7.1; CC8.1; CC9.2; PI1.2</t>
  </si>
  <si>
    <t xml:space="preserve">Information Security; Value Chain and Component Integration</t>
  </si>
  <si>
    <t xml:space="preserve">03 Sourcing and provenance; 04 Design and training; 05 Data and pipeline attacks; 05 Model attacks; 05 Supply-chain and artifact integrity; 09 Open-source component risk</t>
  </si>
  <si>
    <t xml:space="preserve">MCP04:2025</t>
  </si>
  <si>
    <t xml:space="preserve">OECD AI Principles: Principle 1.4; EU Ethics Guidelines: Technical robustness and safety, Privacy and data governance; IEEE 7000-series: IEEE 7000-2021; G7 Hiroshima Code: Action 1, Action 6, Action 11</t>
  </si>
  <si>
    <t xml:space="preserve">GCC: U2, U9, U11, S6, S7, S9, Q4; EU: E1e, E6, E9, E11, E13, E15; UK: UK8; US: US6, US14, US15, US16, US17; Australia: AU8; Brazil: BR4; India: IN5, IN7, IN13; Japan: JP5, JP6; Singapore: SG5, MAS 5.4, MAS 5.10 to 5.11, MAS 5.12 to 5.13, MAS 5.16, MAS 5.17, MAS 5.18 to 5.21, MAS 5.22, MAS 5.25, MAS 5.26, MAS 6.3</t>
  </si>
  <si>
    <t xml:space="preserve">Wiki example ratings: likelihood Medium, impact High, residual High, priority 8.</t>
  </si>
  <si>
    <t xml:space="preserve">AI-R09</t>
  </si>
  <si>
    <t xml:space="preserve">Lack of AI Auditability and Forensic Visibility</t>
  </si>
  <si>
    <t xml:space="preserve">07</t>
  </si>
  <si>
    <t xml:space="preserve">Investigations are weak if prompts, responses, uploads, retrieved documents, model calls, tool invocations and agent decisions cannot be reconstructed. Required controls include policy-based logging, audit export, SIEM integration and retention controls.</t>
  </si>
  <si>
    <t xml:space="preserve">D7</t>
  </si>
  <si>
    <t xml:space="preserve">AI-CTRL-008, AI-CTRL-009, AI-CTRL-035, AI-CTRL-038, AI-CTRL-043</t>
  </si>
  <si>
    <t xml:space="preserve">AI-CTRL-008, AI-CTRL-035</t>
  </si>
  <si>
    <t xml:space="preserve">Audit logging; SIEM integration; retention controls</t>
  </si>
  <si>
    <t xml:space="preserve">Exportable audit records; SIEM event IDs; retention policy</t>
  </si>
  <si>
    <t xml:space="preserve">A.3.3; A.6.2.6; A.6.2.8; A.8.3; A.8.4; A.8.5; Clause 4.2; Clause 9.1; Clause 9.2; Clause 9.3; Clause 10.2</t>
  </si>
  <si>
    <t xml:space="preserve">A.5.5; A.5.24; A.5.25; A.5.26; A.5.27; A.5.28; A.5.31; A.5.33; A.5.35; A.5.36; A.6.8; A.8.15; A.8.16; A.8.17; Clause 9.2</t>
  </si>
  <si>
    <t xml:space="preserve">GOVERN 1.1; GOVERN 1.5; GOVERN 4.3; GOVERN 5.1; GOVERN 6.2; MANAGE 2.3; MANAGE 4.1; MANAGE 4.2; MANAGE 4.3; MEASURE 1.2; MEASURE 1.3; MEASURE 2.4; MEASURE 2.8; MEASURE 3.1</t>
  </si>
  <si>
    <t xml:space="preserve">None seen as a risk; FINOS addresses it through detective mitigations such as AIR-DET-004 and AIR-DET-021</t>
  </si>
  <si>
    <t xml:space="preserve">DE.AE; DE.CM; GV.OC; GV.OV; ID.IM; PR.PS; RC.RP; RS.AN; RS.CO; RS.MA; RS.MI</t>
  </si>
  <si>
    <t xml:space="preserve">CIS 8; CIS 13; CIS 17</t>
  </si>
  <si>
    <t xml:space="preserve">CC2.3; CC4.1; CC4.2; CC7.2; CC7.3; CC7.4; CC7.5</t>
  </si>
  <si>
    <t xml:space="preserve">01 Audit and assurance; 04 Reproducibility and documentation; 07 Monitoring and observability; 07 Incident management; 12 Action integrity and traceability</t>
  </si>
  <si>
    <t xml:space="preserve">MCP08:2025</t>
  </si>
  <si>
    <t xml:space="preserve">OECD AI Principles: Principle 1.5; EU Ethics Guidelines: Transparency, Accountability; UNESCO Recommendation: Multi-stakeholder and adaptive governance ..., Responsibility and accountability; IEEE 7000-series: IEEE 7001-2021; Council of Europe AI Convention: Art. 9, Art. 26; G7 Hiroshima Code: Action 2, Action 4</t>
  </si>
  <si>
    <t xml:space="preserve">GCC: U1, U2, U5, U11, U12, S6, S7, O1; EU: E1c, E2, E5, E6, E7; UK: UK2, UK6, UK10; US: US6, US14, US15, US17; Australia: AU3, AU3a, AU8; Brazil: BR2; Canada: CA2, CA6; China: CN7; India: IN1, IN2, IN3, IN6, IN7, IN10; Japan: JP4; Singapore: SG3, SG5, SG7, SG8, MAS 3.5, MAS 5.17, MAS 5.18 to 5.21, MAS 5.23, MAS 5.24; South: KR7</t>
  </si>
  <si>
    <t xml:space="preserve">Wiki example ratings: likelihood High, impact High, residual High, priority 9.</t>
  </si>
  <si>
    <t xml:space="preserve">AI-R10</t>
  </si>
  <si>
    <t xml:space="preserve">Data Sovereignty and Third-Party Processing Risk</t>
  </si>
  <si>
    <t xml:space="preserve">08</t>
  </si>
  <si>
    <t xml:space="preserve">AI platforms may process or retain prompts, uploads, metadata and logs in external locations. Required controls include data residency validation, training exclusion, retention configuration, administrative access logging and deployment model assessment.</t>
  </si>
  <si>
    <t xml:space="preserve">B3; B4</t>
  </si>
  <si>
    <t xml:space="preserve">AI-CTRL-007, AI-CTRL-013, AI-CTRL-014, AI-CTRL-032, AI-CTRL-042, AI-CTRL-043</t>
  </si>
  <si>
    <t xml:space="preserve">AI-CTRL-013, AI-CTRL-014</t>
  </si>
  <si>
    <t xml:space="preserve">Residency; retention; training exclusion; admin access logging</t>
  </si>
  <si>
    <t xml:space="preserve">Vendor documentation; DPA clauses; residency attestation; admin logs</t>
  </si>
  <si>
    <t xml:space="preserve">A.4.5; A.5.2; A.5.3; A.5.4; A.5.5; A.8.3; A.8.5; A.10.2; A.10.3; Clause 4.2</t>
  </si>
  <si>
    <t xml:space="preserve">A.5.5; A.5.8; A.5.14; A.5.19; A.5.20; A.5.21; A.5.22; A.5.23; A.5.31; A.5.33; A.5.34; A.8.8; A.8.9; A.8.10; A.8.11; A.8.20; A.8.22; A.8.24</t>
  </si>
  <si>
    <t xml:space="preserve">GOVERN 1.1; GOVERN 5.1; GOVERN 6.1; GOVERN 6.2; MANAGE 3.1; MAP 1.1; MAP 4.1; MAP 4.2; MAP 5.1; MEASURE 2.7; MEASURE 2.10</t>
  </si>
  <si>
    <t xml:space="preserve">AML.T0010; AML.T0025; AML.T0049; AML.T0055; AML.T0057; AML.T0109; AML.T0132</t>
  </si>
  <si>
    <t xml:space="preserve">GV.OC; GV.SC; ID.RA; PR.DS; PR.IR; PR.PS; RS.CO</t>
  </si>
  <si>
    <t xml:space="preserve">CIS 3; CIS 4; CIS 7; CIS 12; CIS 13; CIS 15; CIS 17</t>
  </si>
  <si>
    <t xml:space="preserve">C1.1; C1.2; CC2.3; CC3.2; CC6.1; CC6.6; CC7.1; CC9.2; P1.1; P3.1; P4.1; P4.2; P5.1</t>
  </si>
  <si>
    <t xml:space="preserve">03 Privacy and consent; 08 Contractual and licensing; 08 Cross-border; 09 Vendor due diligence</t>
  </si>
  <si>
    <t xml:space="preserve">OECD AI Principles: Principle 1.2, Principle 1.3; EU Ethics Guidelines: Privacy and data governance; UNESCO Recommendation: Proportionality and do no harm, Right to privacy and data protection, Multi-stakeholder and adaptive governance ...; IEEE 7000-series: IEEE 7000-2021, IEEE 7002-2022; Council of Europe AI Convention: Art. 7, Art. 11, Art. 16, Art. 26; G7 Hiroshima Code: Action 4, Action 6, Action 11</t>
  </si>
  <si>
    <t xml:space="preserve">GCC: U1, U5, U6, U7, U9, U11, S1, S6, S7, S10, Q1, B1, O2; EU: E1c, E1e, E2, E3, E4, E6, E9, E13, E15, E17; UK: UK2, UK3, UK4, UK13; US: US5, US8, US9, US15, US16, US17; Australia: AU2, AU3, AU3a, AU8; Brazil: BR2, BR3, BR4; Canada: CA2, CA3, CA7; China: CN1, CN2, CN7, CN9; India: IN1, IN2, IN3, IN5, IN7, IN11, IN13; Japan: JP4, JP6; Singapore: SG4, SG5, MAS 5.4, MAS 5.10 to 5.11, MAS 5.16, MAS 5.22, MAS 6.3; South: KR7</t>
  </si>
  <si>
    <t xml:space="preserve">Wiki example ratings: likelihood Medium, impact Critical, residual High, priority 10.</t>
  </si>
  <si>
    <t xml:space="preserve">AI-R11</t>
  </si>
  <si>
    <t xml:space="preserve">AI Cost Abuse and Resource Exhaustion</t>
  </si>
  <si>
    <t xml:space="preserve">AI usage is metered, so leaked keys, automated traffic against public endpoints, runaway agents and retry loops can exhaust budget or capacity within hours. Required controls include cost attribution, budgets and quotas with enforcement, rate limits, spend anomaly detection, key revocation and limits on agent loops.</t>
  </si>
  <si>
    <t xml:space="preserve">D2</t>
  </si>
  <si>
    <t xml:space="preserve">AI-CTRL-025, AI-CTRL-036</t>
  </si>
  <si>
    <t xml:space="preserve">Cost attribution; budgets, quotas and rate limits; spend anomaly detection; agent task limits</t>
  </si>
  <si>
    <t xml:space="preserve">Cost attribution reports; budget and quota configuration; anomaly alerts; key revocation records</t>
  </si>
  <si>
    <t xml:space="preserve">A.4.5; A.6.2.6</t>
  </si>
  <si>
    <t xml:space="preserve">A.5.18; A.5.26; A.8.6; A.8.16</t>
  </si>
  <si>
    <t xml:space="preserve">MANAGE 2.3; MANAGE 2.4; MANAGE 4.1; MEASURE 2.7</t>
  </si>
  <si>
    <t xml:space="preserve">ASI08; ASI10; LLM06:2025; LLM10:2025</t>
  </si>
  <si>
    <t xml:space="preserve">AML.T0029; AML.T0034; AML.T0046; AML.T0053</t>
  </si>
  <si>
    <t xml:space="preserve">None seen as a risk; related mitigation AIR-DET-009</t>
  </si>
  <si>
    <t xml:space="preserve">DE.CM; PR.IR; RS.MA; RS.MI</t>
  </si>
  <si>
    <t xml:space="preserve">CIS 6; CIS 17</t>
  </si>
  <si>
    <t xml:space="preserve">A1.1; CC6.2; CC7.4</t>
  </si>
  <si>
    <t xml:space="preserve">07 Availability and scalability; 11 Cost and compute economics</t>
  </si>
  <si>
    <t xml:space="preserve">OECD AI Principles: Principle 1.4; EU Ethics Guidelines: Human agency and oversight; G7 Hiroshima Code: Action 2</t>
  </si>
  <si>
    <t xml:space="preserve">GCC: U9; India: IN6, IN13; Singapore: SG2, SG5, SG7, MAS 5.3</t>
  </si>
  <si>
    <t xml:space="preserve">Wiki example ratings: likelihood Medium, impact High, residual High, priority 11.</t>
  </si>
  <si>
    <t xml:space="preserve">AI-R12</t>
  </si>
  <si>
    <t xml:space="preserve">Unreliable or Harmful AI Output</t>
  </si>
  <si>
    <t xml:space="preserve">06</t>
  </si>
  <si>
    <t xml:space="preserve">AI systems can give confident wrong answers, invent sources, packages and links, drift outside their approved scope or produce harmful content, and people act on the result. Required controls include grounding in approved sources, citation verification, topic restriction, harmful content filtering and factuality evaluation.</t>
  </si>
  <si>
    <t xml:space="preserve">C2; C3; C5</t>
  </si>
  <si>
    <t xml:space="preserve">AI-CTRL-039, AI-CTRL-041, AI-CTRL-042, AI-CTRL-045</t>
  </si>
  <si>
    <t xml:space="preserve">Grounding and citation verification; topic restriction; harmful content filtering; factuality evaluation</t>
  </si>
  <si>
    <t xml:space="preserve">Grounding test results; topic policy; content filter results; factuality baseline</t>
  </si>
  <si>
    <t xml:space="preserve">A.5.2; A.5.3; A.5.4; A.5.5; A.6.2.4; A.8.2; A.9.2; A.9.3</t>
  </si>
  <si>
    <t xml:space="preserve">A.5.8; A.5.31; A.5.34</t>
  </si>
  <si>
    <t xml:space="preserve">GOVERN 1.1; GOVERN 3.2; MAP 1.1; MAP 2.2; MAP 3.5; MAP 5.1; MEASURE 2.5; MEASURE 2.6; MEASURE 2.9; MEASURE 2.11</t>
  </si>
  <si>
    <t xml:space="preserve">ASI09; LLM06:2025; LLM09:2025</t>
  </si>
  <si>
    <t xml:space="preserve">AML.T0048; AML.T0060; AML.T0062</t>
  </si>
  <si>
    <t xml:space="preserve">AIR-OP-004</t>
  </si>
  <si>
    <t xml:space="preserve">GV.OC; GV.RR; ID.RA</t>
  </si>
  <si>
    <t xml:space="preserve">CC3.2; PI1.3; PI1.4</t>
  </si>
  <si>
    <t xml:space="preserve">CBRN Information or Capabilities; Confabulation; Dangerous, Violent, or Hateful Content; Information Integrity; Obscene, Degrading, and/or Abusive Content</t>
  </si>
  <si>
    <t xml:space="preserve">04 Accuracy and validation; 06 Harmful / inaccurate output; 06 Misuse and dual-use</t>
  </si>
  <si>
    <t xml:space="preserve">OECD AI Principles: Principle 1.2, Principle 1.3; EU Ethics Guidelines: Human agency and oversight, Transparency, Diversity, non-discrimination and fairness; UNESCO Recommendation: Proportionality and do no harm, Transparency and explainability, Human oversight and determination, Fairness and non-discrimination; IEEE 7000-series: IEEE 7000-2021, IEEE 7001-2021, IEEE 7002-2022, IEEE 7003-2024; Council of Europe AI Convention: Art. 7, Art. 8, Art. 10, Art. 12, 14, 15, Art. 16; G7 Hiroshima Code: Action 3, Action 7</t>
  </si>
  <si>
    <t xml:space="preserve">GCC: U3, U4, U6, U9, S2, Q3, Q4; EU: E1c, E1d, E10, E16; UK: UK1, UK3, UK4, UK7, UK11, UK12, UK13; US: US5, US7, US8, US10, US11, US12, US14, US15, US16; Australia: AU2, AU6, AU6a; Brazil: BR1, BR4; Canada: CA3, CA4, CA5, CA7; China: CN1, CN2, CN3, CN4, CN5, CN6; India: IN4, IN5, IN6, IN9, IN13; Japan: JP3; Singapore: SG1, SG3, SG5, SG6, MAS 5.5 to 5.6, MAS 5.7 to 5.8, MAS 5.9, MAS 5.14 to 5.15; South: KR2, KR3</t>
  </si>
  <si>
    <t xml:space="preserve">Wiki example ratings: likelihood Medium, impact High, residual High, priority 12.</t>
  </si>
  <si>
    <t xml:space="preserve">AI-R13</t>
  </si>
  <si>
    <t xml:space="preserve">AI Service Disruption and Dependency Failure</t>
  </si>
  <si>
    <t xml:space="preserve">Business processes come to depend on AI services, model providers and the security controls in front of them. Outages, provider changes, overload or a control that fails open can stop the process or silently remove protection. Required controls include defined fail modes, failover that keeps policy intact, fallback paths, tested backups, provider exit plans and detection of silent control failure.</t>
  </si>
  <si>
    <t xml:space="preserve">B3; C3; D5</t>
  </si>
  <si>
    <t xml:space="preserve">AI-CTRL-040</t>
  </si>
  <si>
    <t xml:space="preserve">Defined fail modes; resilient failover; continuity and exit planning; control health monitoring</t>
  </si>
  <si>
    <t xml:space="preserve">Fail-mode test results; failover and restore tests; continuity and exit plans; health alerts</t>
  </si>
  <si>
    <t xml:space="preserve">A.5.29; A.5.30; A.8.6; A.8.13; A.8.14</t>
  </si>
  <si>
    <t xml:space="preserve">GOVERN 6.2; MANAGE 2.3; MEASURE 2.7</t>
  </si>
  <si>
    <t xml:space="preserve">AML.T0029</t>
  </si>
  <si>
    <t xml:space="preserve">AIR-OP-007</t>
  </si>
  <si>
    <t xml:space="preserve">PR.IR; RC.RP</t>
  </si>
  <si>
    <t xml:space="preserve">CIS 11</t>
  </si>
  <si>
    <t xml:space="preserve">A1.1; A1.2; A1.3; CC9.1</t>
  </si>
  <si>
    <t xml:space="preserve">07 Availability and scalability; 11 Scaling and resource constraints</t>
  </si>
  <si>
    <t xml:space="preserve">OECD AI Principles: Principle 1.4; EU Ethics Guidelines: Technical robustness and safety; UNESCO Recommendation: Safety and security; Council of Europe AI Convention: Art. 12</t>
  </si>
  <si>
    <t xml:space="preserve">Singapore: SG5, MAS 5.3, MAS 5.10 to 5.11, MAS 6.3</t>
  </si>
  <si>
    <t xml:space="preserve">Wiki example ratings: likelihood Medium, impact High, residual Medium, priority 13.</t>
  </si>
  <si>
    <t xml:space="preserve">AI-R14</t>
  </si>
  <si>
    <t xml:space="preserve">Biased or Discriminatory AI Outcomes</t>
  </si>
  <si>
    <t xml:space="preserve">AI outputs or decisions can disadvantage people or groups because of skewed data, proxy variables or the way a prompt frames the task. Required controls include group-level fairness testing before release and in operation, review of proxy variables, documented thresholds and human review of adverse outcomes.</t>
  </si>
  <si>
    <t xml:space="preserve">C1</t>
  </si>
  <si>
    <t xml:space="preserve">AI-CTRL-033, AI-CTRL-039, AI-CTRL-041, AI-CTRL-045</t>
  </si>
  <si>
    <t xml:space="preserve">AI-CTRL-033</t>
  </si>
  <si>
    <t xml:space="preserve">Group-level fairness testing; proxy review; oversight of adverse outcomes</t>
  </si>
  <si>
    <t xml:space="preserve">Fairness metric definitions; results by group; threshold approvals</t>
  </si>
  <si>
    <t xml:space="preserve">A.5.2; A.5.4; A.6.2.2; A.6.2.4; A.6.2.5; A.8.2; A.9.2; A.9.3</t>
  </si>
  <si>
    <t xml:space="preserve">A.5.8; A.8.25; A.8.27; A.8.29; A.8.32</t>
  </si>
  <si>
    <t xml:space="preserve">GOVERN 3.2; GOVERN 4.2; MANAGE 1.1; MAP 2.2; MAP 3.5; MAP 5.1; MEASURE 2.5; MEASURE 2.6; MEASURE 2.7; MEASURE 2.9; MEASURE 2.11</t>
  </si>
  <si>
    <t xml:space="preserve">AIR-OP-016</t>
  </si>
  <si>
    <t xml:space="preserve">GV.RR; ID.RA; PR.PS</t>
  </si>
  <si>
    <t xml:space="preserve">CIS 16</t>
  </si>
  <si>
    <t xml:space="preserve">CC3.4; CC8.1; PI1.3; PI1.4</t>
  </si>
  <si>
    <t xml:space="preserve">Harmful Bias or Homogenization</t>
  </si>
  <si>
    <t xml:space="preserve">06 Bias and fairness</t>
  </si>
  <si>
    <t xml:space="preserve">OECD AI Principles: Principle 1.2, Principle 1.3; EU Ethics Guidelines: Human agency and oversight, Transparency, Diversity, non-discrimination and fairness; UNESCO Recommendation: Transparency and explainability, Human oversight and determination, Fairness and non-discrimination; IEEE 7000-series: IEEE 7000-2021, IEEE 7001-2021, IEEE 7003-2024; Council of Europe AI Convention: Art. 7, Art. 8, Art. 10, Art. 12, 14, 15; G7 Hiroshima Code: Action 1, Action 3, Action 7</t>
  </si>
  <si>
    <t xml:space="preserve">GCC: U3, U4, U6, U9, S2, Q3, Q4; EU: E1c, E1d, E10, E16; UK: UK1, UK3, UK4, UK7, UK11, UK12, UK13; US: US5, US7, US8, US10, US11, US12, US14, US15, US16; Australia: AU2, AU6, AU6a; Brazil: BR1, BR4; Canada: CA3, CA4, CA5, CA7; China: CN1, CN2, CN3, CN4, CN5, CN6; India: IN4, IN5, IN6, IN9, IN13; Japan: JP3; Singapore: SG1, SG3, SG5, SG6, MAS 5.5 to 5.6, MAS 5.7 to 5.8, MAS 5.9, MAS 5.12 to 5.13, MAS 5.14 to 5.15, MAS 5.18 to 5.21, MAS 5.22, MAS 5.25; South: KR2, KR3</t>
  </si>
  <si>
    <t xml:space="preserve">Wiki example ratings: likelihood Medium, impact High, residual High, priority 14.</t>
  </si>
  <si>
    <t xml:space="preserve">AI-R15</t>
  </si>
  <si>
    <t xml:space="preserve">Lack of Explainability and Decision Traceability</t>
  </si>
  <si>
    <t xml:space="preserve">04</t>
  </si>
  <si>
    <t xml:space="preserve">The basis for an AI-assisted decision may not be explainable to a customer, reviewer or regulator, and the decision may not be reconstructable later. Required controls include decision records that name the model version, prompt template and sources, explanation templates by audience and retention that matches the decision's life.</t>
  </si>
  <si>
    <t xml:space="preserve">C1; C4; D7</t>
  </si>
  <si>
    <t xml:space="preserve">AI-CTRL-008, AI-CTRL-038, AI-CTRL-041</t>
  </si>
  <si>
    <t xml:space="preserve">AI-CTRL-008</t>
  </si>
  <si>
    <t xml:space="preserve">Decision records; explanation templates; retention</t>
  </si>
  <si>
    <t xml:space="preserve">Decision records; sample reconstructions; retention configuration</t>
  </si>
  <si>
    <t xml:space="preserve">A.5.4; A.6.2.4; A.6.2.8; A.8.2; Clause 9.1; Clause 9.2; Clause 9.3; Clause 10.2</t>
  </si>
  <si>
    <t xml:space="preserve">A.5.28; A.5.33; A.5.35; A.5.36; A.8.15; A.8.17; Clause 9.2</t>
  </si>
  <si>
    <t xml:space="preserve">GOVERN 1.5; MANAGE 4.1; MANAGE 4.2; MAP 5.1; MEASURE 1.2; MEASURE 1.3; MEASURE 2.4; MEASURE 2.8; MEASURE 2.9; MEASURE 2.11</t>
  </si>
  <si>
    <t xml:space="preserve">AIR-OP-017</t>
  </si>
  <si>
    <t xml:space="preserve">DE.CM; GV.OV; ID.IM; PR.PS</t>
  </si>
  <si>
    <t xml:space="preserve">CIS 8</t>
  </si>
  <si>
    <t xml:space="preserve">CC4.1; CC4.2; CC7.2</t>
  </si>
  <si>
    <t xml:space="preserve">04 Explainability; 04 Reproducibility and documentation</t>
  </si>
  <si>
    <t xml:space="preserve">OECD AI Principles: Principle 1.2, Principle 1.3, Principle 1.5; EU Ethics Guidelines: Transparency, Diversity, non-discrimination and fairness, Accountability; UNESCO Recommendation: Responsibility and accountability, Transparency and explainability, Fairness and non-discrimination; IEEE 7000-series: IEEE 7001-2021, IEEE 7003-2024; Council of Europe AI Convention: Art. 9, Art. 10</t>
  </si>
  <si>
    <t xml:space="preserve">GCC: U4, U5, U6, U9, U11, U12, S2, S6, S7, Q3, Q4, O1; EU: E1c, E7; UK: UK1, UK3, UK4, UK6, UK10, UK12, UK13; US: US5, US6, US8, US10, US11, US12, US14, US15, US16; Australia: AU2, AU6, AU6a; Brazil: BR1; Canada: CA3, CA6; China: CN5; India: IN4, IN5, IN6, IN7; Japan: JP3; Singapore: SG3, SG5, SG6, SG7, MAS 5.5 to 5.6, MAS 5.7 to 5.8, MAS 5.14 to 5.15, MAS 5.17, MAS 5.18 to 5.21, MAS 5.23, MAS 5.24; South: KR3</t>
  </si>
  <si>
    <t xml:space="preserve">Wiki example ratings: likelihood Medium, impact High, residual High, priority 15.</t>
  </si>
  <si>
    <t xml:space="preserve">AI-R16</t>
  </si>
  <si>
    <t xml:space="preserve">Foundation Model Version Change and Non-Deterministic Behaviour</t>
  </si>
  <si>
    <t xml:space="preserve">Providers update, replace or retire models, and the same input can give different outputs. Guardrails, prompts and safety evaluations that passed before can regress without any change on the customer side. Required controls include version pinning, tracking of provider notices, a regression suite on every change, tolerance limits for output variation and tested rollback.</t>
  </si>
  <si>
    <t xml:space="preserve">B3; D1</t>
  </si>
  <si>
    <t xml:space="preserve">AI-CTRL-014, AI-CTRL-031, AI-CTRL-033, AI-CTRL-034, AI-CTRL-040</t>
  </si>
  <si>
    <t xml:space="preserve">AI-CTRL-014, AI-CTRL-033</t>
  </si>
  <si>
    <t xml:space="preserve">Model version pinning; regression on change; rollback</t>
  </si>
  <si>
    <t xml:space="preserve">Model inventory with versions; regression results; rollback test</t>
  </si>
  <si>
    <t xml:space="preserve">A.4.2; A.4.5; A.5.2; A.6.2.2; A.6.2.4; A.6.2.5; A.6.2.6; A.7.5; A.10.2; A.10.3</t>
  </si>
  <si>
    <t xml:space="preserve">A.5.8; A.5.9; A.5.19; A.5.20; A.5.21; A.5.22; A.5.23; A.5.29; A.5.30; A.8.6; A.8.8; A.8.13; A.8.14; A.8.19; A.8.25; A.8.27; A.8.29; A.8.30; A.8.32</t>
  </si>
  <si>
    <t xml:space="preserve">GOVERN 4.2; GOVERN 4.3; GOVERN 6.1; GOVERN 6.2; MANAGE 1.1; MANAGE 2.3; MANAGE 3.1; MANAGE 3.2; MAP 4.1; MEASURE 2.1; MEASURE 2.6; MEASURE 2.7</t>
  </si>
  <si>
    <t xml:space="preserve">LLM01:2025; LLM02:2025; LLM03:2025; LLM04:2025; LLM05:2025; LLM06:2025; LLM07:2025; LLM08:2025; LLM09:2025; LLM10:2025</t>
  </si>
  <si>
    <t xml:space="preserve">AML.T0010; AML.T0029; AML.T0109; AML.T0111; AML.T0115</t>
  </si>
  <si>
    <t xml:space="preserve">AIR-OP-005; AIR-OP-006</t>
  </si>
  <si>
    <t xml:space="preserve">GV.SC; ID.AM; ID.IM; ID.RA; PR.IR; PR.PS; RC.RP</t>
  </si>
  <si>
    <t xml:space="preserve">CIS 2; CIS 7; CIS 11; CIS 15; CIS 16; CIS 18</t>
  </si>
  <si>
    <t xml:space="preserve">A1.1; A1.2; A1.3; CC3.4; CC4.1; CC7.1; CC8.1; CC9.1; CC9.2</t>
  </si>
  <si>
    <t xml:space="preserve">04 Robustness and drift; 06 Transparency, disclosure and provenance; 07 MLOps and deployment; 07 Change and lifecycle management</t>
  </si>
  <si>
    <t xml:space="preserve">GCC: U9, Q4; EU: E1c, E1e, E6, E9, E13, E15; US: US15, US16, US17; Australia: AU8; Brazil: BR4; India: IN5, IN7, IN13; Japan: JP6; Singapore: SG5, MAS 5.3, MAS 5.10 to 5.11, MAS 5.12 to 5.13, MAS 5.14 to 5.15, MAS 5.18 to 5.21, MAS 5.22, MAS 5.24, MAS 5.25, MAS 6.3</t>
  </si>
  <si>
    <t xml:space="preserve">Wiki example ratings: likelihood High, impact Medium, residual High, priority 16.</t>
  </si>
  <si>
    <t xml:space="preserve">AI-R17</t>
  </si>
  <si>
    <t xml:space="preserve">Data Quality Degradation and Model Drift</t>
  </si>
  <si>
    <t xml:space="preserve">Source data, retrieval content or input patterns change over time, so output quality or safety falls without any code change. Required controls include quality baselines, freshness limits and named owners for each source, drift indicators with thresholds and a defined response when a threshold is crossed.</t>
  </si>
  <si>
    <t xml:space="preserve">B5; B6</t>
  </si>
  <si>
    <t xml:space="preserve">AI-CTRL-017, AI-CTRL-019, AI-CTRL-034</t>
  </si>
  <si>
    <t xml:space="preserve">AI-CTRL-017</t>
  </si>
  <si>
    <t xml:space="preserve">Quality baselines; freshness limits; drift monitoring</t>
  </si>
  <si>
    <t xml:space="preserve">Baselines; drift alerts and actions; source ownership records</t>
  </si>
  <si>
    <t xml:space="preserve">A.4.3; A.6.2.4; A.7.3; A.7.4; A.7.5; A.7.6</t>
  </si>
  <si>
    <t xml:space="preserve">A.5.12; A.5.13; A.8.8; A.8.10; A.8.11; A.8.12; A.8.24; A.8.29; A.8.32; A.8.33</t>
  </si>
  <si>
    <t xml:space="preserve">GOVERN 4.3; MAP 2.3; MEASURE 2.1; MEASURE 2.6; MEASURE 2.7; MEASURE 2.10</t>
  </si>
  <si>
    <t xml:space="preserve">AML.T0025; AML.T0057; AML.T0066; AML.T0070; AML.T0071; AML.T0085</t>
  </si>
  <si>
    <t xml:space="preserve">AIR-OP-019</t>
  </si>
  <si>
    <t xml:space="preserve">ID.AM; ID.IM; ID.RA; PR.DS</t>
  </si>
  <si>
    <t xml:space="preserve">CIS 3; CIS 7; CIS 18</t>
  </si>
  <si>
    <t xml:space="preserve">C1.1; C1.2; CC4.1; CC6.1; CC6.7; CC7.1; CC8.1; PI1.2</t>
  </si>
  <si>
    <t xml:space="preserve">03 Quality and labeling; 04 Robustness and drift</t>
  </si>
  <si>
    <t xml:space="preserve">OECD AI Principles: Principle 1.4; EU Ethics Guidelines: Technical robustness and safety, Privacy and data governance; UNESCO Recommendation: Safety and security, Right to privacy and data protection; IEEE 7000-series: IEEE 7002-2022; Council of Europe AI Convention: Art. 11, Art. 12; G7 Hiroshima Code: Action 1, Action 2</t>
  </si>
  <si>
    <t xml:space="preserve">GCC: U1, S1, Q1; EU: E1c, E2; UK: UK2; US: US17; Brazil: BR2; India: IN1; Singapore: SG4, SG5, MAS 5.4, MAS 5.14 to 5.15, MAS 5.22, MAS 5.24</t>
  </si>
  <si>
    <t xml:space="preserve">Wiki example ratings: likelihood Medium, impact High, residual High, priority 17.</t>
  </si>
  <si>
    <t xml:space="preserve">AI-R18</t>
  </si>
  <si>
    <t xml:space="preserve">Model Overreach and Use Beyond Approved Purpose</t>
  </si>
  <si>
    <t xml:space="preserve">A system approved for a low-risk purpose may later be used for a higher-risk one, or its autonomy and data access may grow without a new assessment. Required controls include a purpose statement per use case, change triggers that force reassessment and monitoring of actual use against the approved purpose.</t>
  </si>
  <si>
    <t xml:space="preserve">A2; D6</t>
  </si>
  <si>
    <t xml:space="preserve">AI-CTRL-011, AI-CTRL-012, AI-CTRL-037, AI-CTRL-045</t>
  </si>
  <si>
    <t xml:space="preserve">AI-CTRL-011, AI-CTRL-012</t>
  </si>
  <si>
    <t xml:space="preserve">Purpose statements; change triggers; use monitoring</t>
  </si>
  <si>
    <t xml:space="preserve">Approved purpose records; change-trigger logs; reassessment records</t>
  </si>
  <si>
    <t xml:space="preserve">A.2.2; A.2.4; A.3.2; A.4.2; A.5.2; A.9.2; A.9.3; A.9.4; Clause 6.1.2; Clause 6.1.3</t>
  </si>
  <si>
    <t xml:space="preserve">A.5.1; A.5.2; A.5.4; A.5.8; A.5.9; A.5.10; A.5.12; Clause 6.1.2; Clause 6.1.3</t>
  </si>
  <si>
    <t xml:space="preserve">GOVERN 1.2; GOVERN 1.3; GOVERN 1.4; GOVERN 1.6; GOVERN 1.7; GOVERN 2.1; GOVERN 2.2; GOVERN 3.2; MANAGE 1.2; MANAGE 1.4; MAP 1.1; MAP 1.5; MAP 3.5</t>
  </si>
  <si>
    <t xml:space="preserve">ASI09; LLM06:2025</t>
  </si>
  <si>
    <t xml:space="preserve">AIR-OP-018; AIR-OP-014</t>
  </si>
  <si>
    <t xml:space="preserve">GV.PO; GV.RM; GV.RR; ID.AM; ID.RA</t>
  </si>
  <si>
    <t xml:space="preserve">CIS 1; CIS 2</t>
  </si>
  <si>
    <t xml:space="preserve">CC1.3; CC2.2; CC3.1; CC3.2; CC5.3; CC9.1</t>
  </si>
  <si>
    <t xml:space="preserve">01 Governance and oversight; 02 Use-case selection and sourcing</t>
  </si>
  <si>
    <t xml:space="preserve">OECD AI Principles: Principle 1.1, Principle 1.2, Principle 1.5; EU Ethics Guidelines: Human agency and oversight, Accountability; UNESCO Recommendation: Proportionality and do no harm, Multi-stakeholder and adaptive governance ..., Responsibility and accountability, Human oversight and determination; Council of Europe AI Convention: Art. 7, Art. 8, Art. 9, 14, 15, Art. 16; G7 Hiroshima Code: Action 1, Action 5</t>
  </si>
  <si>
    <t xml:space="preserve">GCC: U3, U4, U6, U9, U12, S2, S3, S5, Q3, Q4, B2, O1; EU: E1a, E1b, E1c, E8, E12, E14, E17; UK: UK1, UK5, UK6, UK11, UK13; US: US5, US6, US8, US9, US12, US14, US15, US16; Australia: AU1, AU4, AU7; Brazil: BR1, BR3; Canada: CA4, CA5, CA6, CA8; China: CN1, CN2, CN5; India: IN4, IN5, IN6, IN7, IN8, IN13; Japan: JP1, JP2, JP3, JP6; Singapore: SG1, SG2, SG5, MAS 1.6, 2.1 to 2.2, MAS 2.3 to 2.5, MAS 3.1 to 3.4, MAS 3.5, MAS 1.5, 3.6, MAS 4.2 to 4.4, MAS 4.5 to 4.9, MAS 4.10 to 4.13, MAS 5.9, MAS 5.26; South: KR3, KR4, KR5, KR6</t>
  </si>
  <si>
    <t xml:space="preserve">Wiki example ratings: likelihood Medium, impact High, residual High, priority 18.</t>
  </si>
  <si>
    <t xml:space="preserve">AI-R19</t>
  </si>
  <si>
    <t xml:space="preserve">Insufficient or Ineffective Human Oversight</t>
  </si>
  <si>
    <t xml:space="preserve">A person may be nominally in the loop but unable or unwilling to review meaningfully, through automation bias, missing context, no authority to override or a volume that forces rubber-stamping. Required controls include oversight points set by risk tier, reviewer context, authority and training, and effectiveness measures such as override rates and sampled re-review.</t>
  </si>
  <si>
    <t xml:space="preserve">A2; C1; C5</t>
  </si>
  <si>
    <t xml:space="preserve">AI-CTRL-012, AI-CTRL-023, AI-CTRL-044, AI-CTRL-045</t>
  </si>
  <si>
    <t xml:space="preserve">AI-CTRL-012, AI-CTRL-023</t>
  </si>
  <si>
    <t xml:space="preserve">Oversight design by tier; reviewer authority and training; effectiveness measures</t>
  </si>
  <si>
    <t xml:space="preserve">Oversight design records; reviewer authority and training records; override metrics</t>
  </si>
  <si>
    <t xml:space="preserve">A.2.2; A.2.4; A.3.2; A.4.6; A.9.2; A.9.3; Clause 7.2; Clause 7.3</t>
  </si>
  <si>
    <t xml:space="preserve">A.5.1; A.5.2; A.5.3; A.5.4; A.5.10; A.6.3</t>
  </si>
  <si>
    <t xml:space="preserve">GOVERN 1.2; GOVERN 1.4; GOVERN 2.1; GOVERN 2.2; GOVERN 3.2; MAP 3.4; MAP 3.5</t>
  </si>
  <si>
    <t xml:space="preserve">AML.T0053; AML.T0101</t>
  </si>
  <si>
    <t xml:space="preserve">AIR-RC-022</t>
  </si>
  <si>
    <t xml:space="preserve">GV.PO; GV.RR; PR.AA; PR.AT</t>
  </si>
  <si>
    <t xml:space="preserve">CIS 14</t>
  </si>
  <si>
    <t xml:space="preserve">CC1.3; CC1.4; CC2.2; CC5.3</t>
  </si>
  <si>
    <t xml:space="preserve">Human-AI Configuration</t>
  </si>
  <si>
    <t xml:space="preserve">06 Human agency and over-reliance; 12 Autonomy, alignment and oversight</t>
  </si>
  <si>
    <t xml:space="preserve">OECD AI Principles: Principle 1.2, Principle 1.5; EU Ethics Guidelines: Human agency and oversight, Accountability; UNESCO Recommendation: Multi-stakeholder and adaptive governance ..., Responsibility and accountability, Human oversight and determination, Awareness and literacy; Council of Europe AI Convention: Art. 7, Art. 8, Art. 9, 14, 15, Art. 20; G7 Hiroshima Code: Action 5</t>
  </si>
  <si>
    <t xml:space="preserve">GCC: U3, U4, U6, U9, U12, S2, S3, Q3, Q4, B2, B4; EU: E1a, E1b, E1c, E12, E17; UK: UK1, UK3, UK5, UK13; US: US8, US9, US10, US12, US14, US15; Australia: AU1, AU4, AU7; Brazil: BR3; Canada: CA3, CA5, CA8; China: CN1, CN5, CN6; India: IN4, IN5, IN6, IN13; Japan: JP1, JP2, JP3; Singapore: SG1, SG2, SG5, MAS 2.3 to 2.5, MAS 3.1 to 3.4, MAS 3.5, MAS 1.5, 3.6, MAS 5.9, MAS 6.1 to 6.2; South: KR3, KR5, KR6</t>
  </si>
  <si>
    <t xml:space="preserve">Wiki example ratings: likelihood Medium, impact High, residual High, priority 19.</t>
  </si>
  <si>
    <t xml:space="preserve">AI-R20</t>
  </si>
  <si>
    <t xml:space="preserve">Reputational Harm from AI Behaviour</t>
  </si>
  <si>
    <t xml:space="preserve">10</t>
  </si>
  <si>
    <t xml:space="preserve">A public-facing or customer-facing AI system may say something offensive, misleading or off-brand, or make a commitment the organisation did not intend, and the output becomes public. Required controls include content filtering, topic restriction, adversarial testing before release and a public-incident response path.</t>
  </si>
  <si>
    <t xml:space="preserve">C2; D4</t>
  </si>
  <si>
    <t xml:space="preserve">AI-CTRL-034, AI-CTRL-035, AI-CTRL-039</t>
  </si>
  <si>
    <t xml:space="preserve">AI-CTRL-035</t>
  </si>
  <si>
    <t xml:space="preserve">Content safety; adversarial testing; public incident response</t>
  </si>
  <si>
    <t xml:space="preserve">Filter results; red team reports; communications playbook</t>
  </si>
  <si>
    <t xml:space="preserve">A.3.3; A.6.2.4; A.6.2.6; A.8.2; A.8.3; A.8.4</t>
  </si>
  <si>
    <t xml:space="preserve">A.5.24; A.5.25; A.5.26; A.5.27; A.5.28; A.6.8; A.8.8; A.8.29</t>
  </si>
  <si>
    <t xml:space="preserve">GOVERN 4.3; GOVERN 6.2; MANAGE 2.3; MANAGE 4.3; MAP 2.2; MEASURE 2.1; MEASURE 2.5; MEASURE 2.6; MEASURE 2.7</t>
  </si>
  <si>
    <t xml:space="preserve">AIR-OP-020</t>
  </si>
  <si>
    <t xml:space="preserve">DE.AE; ID.IM; ID.RA; RC.RP; RS.AN; RS.CO; RS.MA; RS.MI</t>
  </si>
  <si>
    <t xml:space="preserve">CIS 7; CIS 17; CIS 18</t>
  </si>
  <si>
    <t xml:space="preserve">CC4.1; CC7.1; CC7.3; CC7.4; CC7.5; PI1.3; PI1.4</t>
  </si>
  <si>
    <t xml:space="preserve">Dangerous, Violent, or Hateful Content; Information Integrity</t>
  </si>
  <si>
    <t xml:space="preserve">06 Harmful / inaccurate output; 10 Societal and reputational</t>
  </si>
  <si>
    <t xml:space="preserve">OECD AI Principles: Principle 1.3, Principle 1.4; EU Ethics Guidelines: Technical robustness and safety, Transparency; UNESCO Recommendation: Safety and security, Transparency and explainability; IEEE 7000-series: IEEE 7001-2021; Council of Europe AI Convention: Art. 8, Art. 12; G7 Hiroshima Code: Action 1, Action 2, Action 3, Action 4, Action 7</t>
  </si>
  <si>
    <t xml:space="preserve">GCC: U1, U2, U3, U4, S2, Q3; EU: E1c, E1d, E2, E5, E6, E10, E16; UK: UK1, UK2, UK7, UK11; US: US7, US11, US14, US17; Australia: AU2, AU3, AU3a, AU6, AU6a, AU8; Brazil: BR2, BR4; Canada: CA2, CA4, CA5, CA7; China: CN1, CN2, CN3, CN4, CN6, CN7; India: IN1, IN2, IN3, IN4, IN9, IN10; Japan: JP3, JP4; Singapore: SG1, SG3, SG5, SG8, MAS 3.5, MAS 5.5 to 5.6, MAS 5.14 to 5.15, MAS 5.22, MAS 5.23, MAS 5.24; South: KR2, KR7</t>
  </si>
  <si>
    <t xml:space="preserve">Wiki example ratings: likelihood Medium, impact High, residual Medium, priority 20.</t>
  </si>
  <si>
    <t xml:space="preserve">AI-R21</t>
  </si>
  <si>
    <t xml:space="preserve">Agent Memory and State Persistence Poisoning</t>
  </si>
  <si>
    <t xml:space="preserve">Malicious or wrong content written into an agent's long-term memory or saved state can influence later sessions or other users and survive restarts. Required controls include memory integrity checks, provenance for stored entries, purge and rollback procedures and isolation of memory between users.</t>
  </si>
  <si>
    <t xml:space="preserve">A3</t>
  </si>
  <si>
    <t xml:space="preserve">AI-CTRL-025, AI-CTRL-026, AI-CTRL-027</t>
  </si>
  <si>
    <t xml:space="preserve">AI-CTRL-025, AI-CTRL-027</t>
  </si>
  <si>
    <t xml:space="preserve">Memory integrity; provenance; purge and isolation</t>
  </si>
  <si>
    <t xml:space="preserve">Memory configuration; purge tests; provenance logs</t>
  </si>
  <si>
    <t xml:space="preserve">A.4.5; A.6.2.5; A.6.2.6</t>
  </si>
  <si>
    <t xml:space="preserve">A.5.18; A.5.26; A.8.3; A.8.22; A.8.27; A.8.31</t>
  </si>
  <si>
    <t xml:space="preserve">MANAGE 1.3; MANAGE 2.3; MANAGE 2.4; MEASURE 2.7; MEASURE 2.10</t>
  </si>
  <si>
    <t xml:space="preserve">ASI05; ASI06; ASI08; ASI10; LLM01:2025; LLM04:2025; LLM06:2025</t>
  </si>
  <si>
    <t xml:space="preserve">AML.T0034; AML.T0050; AML.T0053; AML.T0080; AML.T0092; AML.T0094; AML.T0102; AML.T0105</t>
  </si>
  <si>
    <t xml:space="preserve">AIR-SEC-027</t>
  </si>
  <si>
    <t xml:space="preserve">PR.DS; PR.IR; PR.PS; RS.MA; RS.MI</t>
  </si>
  <si>
    <t xml:space="preserve">CIS 3; CIS 4; CIS 6; CIS 12; CIS 16; CIS 17</t>
  </si>
  <si>
    <t xml:space="preserve">CC6.1; CC6.2; CC6.6; CC6.8; CC7.4; PI1.5</t>
  </si>
  <si>
    <t xml:space="preserve">03 Retention and disposal; 12 Memory and context integrity</t>
  </si>
  <si>
    <t xml:space="preserve">OECD AI Principles: Principle 1.4; EU Ethics Guidelines: Human agency and oversight</t>
  </si>
  <si>
    <t xml:space="preserve">Wiki example ratings: likelihood Medium, impact High, residual High, priority 21.</t>
  </si>
  <si>
    <t xml:space="preserve">AI-R22</t>
  </si>
  <si>
    <t xml:space="preserve">Agent-Mediated Credential Discovery and Harvesting</t>
  </si>
  <si>
    <t xml:space="preserve">An agent with file, shell or environment access can find and use credentials it was never meant to hold, and an injected instruction can make it send them out. Required controls include keeping secrets out of agent-readable locations, short-lived scoped tokens issued at call time, canary credentials and separate identities for agents.</t>
  </si>
  <si>
    <t xml:space="preserve">A1; A5</t>
  </si>
  <si>
    <t xml:space="preserve">AI-CTRL-004, AI-CTRL-015, AI-CTRL-016, AI-CTRL-027</t>
  </si>
  <si>
    <t xml:space="preserve">AI-CTRL-015, AI-CTRL-016, AI-CTRL-027</t>
  </si>
  <si>
    <t xml:space="preserve">Credential exposure prevention; scoped short-lived tokens; canaries</t>
  </si>
  <si>
    <t xml:space="preserve">Runtime configuration review; canary alert tests; credential issuance logs</t>
  </si>
  <si>
    <t xml:space="preserve">A.4.4; A.4.5; A.6.2.5; A.9.2</t>
  </si>
  <si>
    <t xml:space="preserve">A.5.15; A.5.16; A.5.17; A.5.18; A.8.2; A.8.3; A.8.4; A.8.5; A.8.12; A.8.22; A.8.27; A.8.28; A.8.31</t>
  </si>
  <si>
    <t xml:space="preserve">GOVERN 6.1; MANAGE 1.3; MANAGE 4.1; MEASURE 2.7; MEASURE 2.8; MEASURE 2.10</t>
  </si>
  <si>
    <t xml:space="preserve">ASI03; ASI05; ASI07; LLM02:2025; LLM03:2025; LLM06:2025</t>
  </si>
  <si>
    <t xml:space="preserve">AML.T0012; AML.T0050; AML.T0055; AML.T0057; AML.T0073; AML.T0083; AML.T0091; AML.T0098; AML.T0102; AML.T0105</t>
  </si>
  <si>
    <t xml:space="preserve">AIR-SEC-029</t>
  </si>
  <si>
    <t xml:space="preserve">PR.AA; PR.DS; PR.IR; PR.PS</t>
  </si>
  <si>
    <t xml:space="preserve">CIS 3; CIS 4; CIS 5; CIS 6; CIS 12; CIS 16</t>
  </si>
  <si>
    <t xml:space="preserve">CC6.1; CC6.2; CC6.3; CC6.6; CC6.7; CC6.8; CC8.1</t>
  </si>
  <si>
    <t xml:space="preserve">05 AI access and identity; 12 Tool access and authorization</t>
  </si>
  <si>
    <t xml:space="preserve">MCP01:2025</t>
  </si>
  <si>
    <t xml:space="preserve">Singapore: SG5, MAS 5.16</t>
  </si>
  <si>
    <t xml:space="preserve">Wiki example ratings: likelihood Medium, impact Critical, residual High, priority 22.</t>
  </si>
  <si>
    <t xml:space="preserve">AI-R23</t>
  </si>
  <si>
    <t xml:space="preserve">Skill, Plugin and MCP Server Supply Chain Compromise</t>
  </si>
  <si>
    <t xml:space="preserve">Agent skills, plugins and MCP servers run with the agent's authority, and a compromised or malicious one can act as the agent. This narrows AI-R08 to the agent extension surface. Required controls include an allowlist, review before approval, version pinning, integrity checks and removal procedures.</t>
  </si>
  <si>
    <t xml:space="preserve">A4</t>
  </si>
  <si>
    <t xml:space="preserve">AI-CTRL-024, AI-CTRL-031</t>
  </si>
  <si>
    <t xml:space="preserve">AI-CTRL-024</t>
  </si>
  <si>
    <t xml:space="preserve">Skill, plugin and MCP governance; AI-BOM</t>
  </si>
  <si>
    <t xml:space="preserve">Allowlist; review records; pinning configuration</t>
  </si>
  <si>
    <t xml:space="preserve">A.4.2; A.4.4; A.7.5; A.10.3</t>
  </si>
  <si>
    <t xml:space="preserve">A.5.9; A.5.19; A.5.21; A.8.8; A.8.9; A.8.19; A.8.30; A.8.32</t>
  </si>
  <si>
    <t xml:space="preserve">GOVERN 6.1; MANAGE 3.1; MANAGE 3.2; MAP 4.1; MAP 4.2</t>
  </si>
  <si>
    <t xml:space="preserve">ASI02; ASI04; LLM03:2025</t>
  </si>
  <si>
    <t xml:space="preserve">AML.T0010; AML.T0099; AML.T0109; AML.T0110; AML.T0111; AML.T0115</t>
  </si>
  <si>
    <t xml:space="preserve">AIR-SEC-030; AIR-SEC-026</t>
  </si>
  <si>
    <t xml:space="preserve">GV.SC; ID.AM; ID.RA; PR.PS</t>
  </si>
  <si>
    <t xml:space="preserve">CIS 2; CIS 7; CIS 15; CIS 16</t>
  </si>
  <si>
    <t xml:space="preserve">CC6.8; CC7.1; CC8.1; CC9.2</t>
  </si>
  <si>
    <t xml:space="preserve">Value Chain and Component Integration</t>
  </si>
  <si>
    <t xml:space="preserve">05 Supply-chain and artifact integrity; 12 Tool access and authorization</t>
  </si>
  <si>
    <t xml:space="preserve">MCP02:2025; MCP03:2025; MCP04:2025; MCP05:2025; MCP09:2025</t>
  </si>
  <si>
    <t xml:space="preserve">Singapore: SG5, MAS 5.10 to 5.11, MAS 5.16</t>
  </si>
  <si>
    <t xml:space="preserve">Wiki example ratings: likelihood Medium, impact Critical, residual High, priority 23.</t>
  </si>
  <si>
    <t xml:space="preserve">AI-R24</t>
  </si>
  <si>
    <t xml:space="preserve">Tool Chain Manipulation and Injection</t>
  </si>
  <si>
    <t xml:space="preserve">An attacker can steer an agent through a sequence of individually permitted tool calls, or inject instructions through tool inputs and outputs, so the combined effect is one nobody authorised. Required controls include deterministic checks on call sequences, validation of tool inputs and outputs and runtime inspection.</t>
  </si>
  <si>
    <t xml:space="preserve">A1; A6</t>
  </si>
  <si>
    <t xml:space="preserve">AI-CTRL-005, AI-CTRL-020, AI-CTRL-022, AI-CTRL-024</t>
  </si>
  <si>
    <t xml:space="preserve">Sequence authorisation; tool I/O validation; runtime inspection</t>
  </si>
  <si>
    <t xml:space="preserve">Tool permission matrix with sequence rules; multi-step test results</t>
  </si>
  <si>
    <t xml:space="preserve">A.4.4; A.6.2.2; A.6.2.4; A.6.2.6; A.10.3</t>
  </si>
  <si>
    <t xml:space="preserve">A.5.3; A.5.15; A.5.19; A.5.21; A.8.3; A.8.9; A.8.16; A.8.19; A.8.26; A.8.27; A.8.28; A.8.32</t>
  </si>
  <si>
    <t xml:space="preserve">GOVERN 6.1; MANAGE 1.3; MANAGE 3.1; MAP 4.1; MAP 4.2; MEASURE 2.7; MEASURE 2.10</t>
  </si>
  <si>
    <t xml:space="preserve">ASI01; ASI02; ASI04; LLM01:2025; LLM02:2025; LLM03:2025; LLM05:2025; LLM06:2025; LLM07:2025</t>
  </si>
  <si>
    <t xml:space="preserve">AML.T0010; AML.T0051; AML.T0053; AML.T0054; AML.T0056; AML.T0057; AML.T0067; AML.T0068; AML.T0077; AML.T0086; AML.T0093; AML.T0099; AML.T0101; AML.T0109; AML.T0110</t>
  </si>
  <si>
    <t xml:space="preserve">AIR-SEC-025</t>
  </si>
  <si>
    <t xml:space="preserve">DE.CM; GV.SC; PR.AA; PR.DS; PR.PS</t>
  </si>
  <si>
    <t xml:space="preserve">CIS 2; CIS 6; CIS 13; CIS 15; CIS 16</t>
  </si>
  <si>
    <t xml:space="preserve">CC6.1; CC6.3; CC6.6; CC6.8; CC7.2; CC8.1; CC9.2; PI1.4</t>
  </si>
  <si>
    <t xml:space="preserve">05 Output and integration security</t>
  </si>
  <si>
    <t xml:space="preserve">MCP03:2025; MCP05:2025; MCP06:2025</t>
  </si>
  <si>
    <t xml:space="preserve">OECD AI Principles: Principle 1.4; EU Ethics Guidelines: Technical robustness and safety; UNESCO Recommendation: Safety and security</t>
  </si>
  <si>
    <t xml:space="preserve">GCC: U2, U11, S6, S7; EU: E5, E7, E17; UK: UK10; US: US3; Australia: AU8; China: CN7; India: IN8, IN10, IN11; Singapore: SG2, SG5, SG7, SG8, MAS 5.16; South: KR4</t>
  </si>
  <si>
    <t xml:space="preserve">Wiki example ratings: likelihood Medium, impact Critical, residual High, priority 24.</t>
  </si>
  <si>
    <t xml:space="preserve">AI-R25</t>
  </si>
  <si>
    <t xml:space="preserve">Multi-Agent Trust Boundary Violation</t>
  </si>
  <si>
    <t xml:space="preserve">Agents that call or delegate to other agents can pass on instructions, data or authority across boundaries nobody intended, so one compromised agent affects the rest. Required controls include an agent trust map, identity for every agent, containment and isolation between agents and logging of inter-agent requests.</t>
  </si>
  <si>
    <t xml:space="preserve">AI-CTRL-006, AI-CTRL-015, AI-CTRL-025, AI-CTRL-027</t>
  </si>
  <si>
    <t xml:space="preserve">Agent trust map; identity; containment; isolation</t>
  </si>
  <si>
    <t xml:space="preserve">Agent trust map; inter-agent request logs</t>
  </si>
  <si>
    <t xml:space="preserve">A.4.2; A.4.5; A.6.2.5; A.6.2.6</t>
  </si>
  <si>
    <t xml:space="preserve">A.5.15; A.5.16; A.5.17; A.5.18; A.5.26; A.8.5; A.8.15; A.8.16; A.8.22; A.8.27; A.8.31</t>
  </si>
  <si>
    <t xml:space="preserve">GOVERN 1.6; MANAGE 1.3; MANAGE 2.3; MANAGE 2.4; MEASURE 2.4; MEASURE 2.7; MEASURE 2.8</t>
  </si>
  <si>
    <t xml:space="preserve">ASI03; ASI05; ASI07; ASI08; ASI10; LLM06:2025</t>
  </si>
  <si>
    <t xml:space="preserve">AML.T0012; AML.T0034; AML.T0050; AML.T0053; AML.T0073; AML.T0081; AML.T0091; AML.T0102; AML.T0105</t>
  </si>
  <si>
    <t xml:space="preserve">AIR-OP-028</t>
  </si>
  <si>
    <t xml:space="preserve">DE.CM; PR.AA; PR.IR; PR.PS; RS.MA; RS.MI</t>
  </si>
  <si>
    <t xml:space="preserve">CIS 4; CIS 5; CIS 6; CIS 8; CIS 12; CIS 16; CIS 17</t>
  </si>
  <si>
    <t xml:space="preserve">CC6.1; CC6.2; CC6.6; CC6.8; CC7.2; CC7.4</t>
  </si>
  <si>
    <t xml:space="preserve">12 Multi-agent orchestration</t>
  </si>
  <si>
    <t xml:space="preserve">GCC: U9; India: IN6, IN13; Singapore: SG2, SG5, SG7, MAS 4.5 to 4.9, MAS 5.3</t>
  </si>
  <si>
    <t xml:space="preserve">Wiki example ratings: likelihood Medium, impact High, residual High, priority 25.</t>
  </si>
  <si>
    <t xml:space="preserve">AI-R26</t>
  </si>
  <si>
    <t xml:space="preserve">Reasoning Trace and Intermediate Output Exposure</t>
  </si>
  <si>
    <t xml:space="preserve">Reasoning steps, intermediate tool output and system instructions can expose sensitive data, internal logic or attack paths when they are shown to users or written to logs. Required controls include classifying these traces, deciding what is displayed and retained, and testing for leakage.</t>
  </si>
  <si>
    <t xml:space="preserve">D3</t>
  </si>
  <si>
    <t xml:space="preserve">AI-CTRL-008, AI-CTRL-020</t>
  </si>
  <si>
    <t xml:space="preserve">Trace classification; display and logging rules; leakage tests</t>
  </si>
  <si>
    <t xml:space="preserve">Classification decision; display configuration; leakage tests</t>
  </si>
  <si>
    <t xml:space="preserve">A.6.2.4; A.6.2.6; A.6.2.8</t>
  </si>
  <si>
    <t xml:space="preserve">A.5.28; A.5.33; A.8.15; A.8.17; A.8.26; A.8.28</t>
  </si>
  <si>
    <t xml:space="preserve">MANAGE 4.1; MEASURE 2.4; MEASURE 2.7; MEASURE 2.8; MEASURE 2.10</t>
  </si>
  <si>
    <t xml:space="preserve">LLM02:2025; LLM05:2025</t>
  </si>
  <si>
    <t xml:space="preserve">AML.T0057; AML.T0067; AML.T0077</t>
  </si>
  <si>
    <t xml:space="preserve">None seen in the FINOS repository</t>
  </si>
  <si>
    <t xml:space="preserve">DE.CM; PR.PS</t>
  </si>
  <si>
    <t xml:space="preserve">CIS 8; CIS 16</t>
  </si>
  <si>
    <t xml:space="preserve">CC7.2; PI1.4</t>
  </si>
  <si>
    <t xml:space="preserve">05 Inference-time (input) attacks</t>
  </si>
  <si>
    <t xml:space="preserve">OECD AI Principles: Principle 1.5; EU Ethics Guidelines: Transparency, Accountability; IEEE 7000-series: IEEE 7001-2021; Council of Europe AI Convention: Art. 9</t>
  </si>
  <si>
    <t xml:space="preserve">GCC: U11, S6, S7; EU: E1c, E7; UK: UK10; Singapore: SG5, SG7, MAS 5.23</t>
  </si>
  <si>
    <t xml:space="preserve">Wiki example ratings: likelihood Medium, impact Medium, residual Medium, priority 26.</t>
  </si>
  <si>
    <t xml:space="preserve">AI-R27</t>
  </si>
  <si>
    <t xml:space="preserve">Intellectual Property and Copyright Infringement</t>
  </si>
  <si>
    <t xml:space="preserve">Staff may submit third-party copyrighted or licensed material to AI tools, and AI output or training data may infringe the rights of others or carry licence obligations into products and code. Required controls include a usage policy, review of vendor terms for output ownership and indemnity, provenance records for training data and scanning of released output where policy requires.</t>
  </si>
  <si>
    <t xml:space="preserve">D4</t>
  </si>
  <si>
    <t xml:space="preserve">AI-CTRL-002, AI-CTRL-003, AI-CTRL-012, AI-CTRL-013, AI-CTRL-046</t>
  </si>
  <si>
    <t xml:space="preserve">AI-CTRL-002, AI-CTRL-012, AI-CTRL-013</t>
  </si>
  <si>
    <t xml:space="preserve">IP policy; vendor terms review; provenance; output scanning</t>
  </si>
  <si>
    <t xml:space="preserve">Policy; vendor terms review; training data provenance; scan results</t>
  </si>
  <si>
    <t xml:space="preserve">A.2.2; A.2.4; A.3.2; A.5.2; A.5.3; A.5.4; A.7.5; A.9.2; A.10.3</t>
  </si>
  <si>
    <t xml:space="preserve">A.5.1; A.5.2; A.5.4; A.5.10; A.5.12; A.5.14; A.5.20; A.5.31; A.5.32; A.5.34; A.8.10; A.8.11; A.8.12</t>
  </si>
  <si>
    <t xml:space="preserve">GOVERN 1.1; GOVERN 1.2; GOVERN 1.4; GOVERN 2.1; GOVERN 2.2; MANAGE 4.1; MAP 4.1; MAP 5.1; MEASURE 2.10</t>
  </si>
  <si>
    <t xml:space="preserve">AIR-RC-023</t>
  </si>
  <si>
    <t xml:space="preserve">DE.CM; GV.OC; GV.PO; GV.RR; PR.DS</t>
  </si>
  <si>
    <t xml:space="preserve">C1.1; CC1.3; CC2.2; CC5.3; CC6.7; P1.1; P3.1; P4.1; P4.2; P5.1</t>
  </si>
  <si>
    <t xml:space="preserve">Intellectual Property</t>
  </si>
  <si>
    <t xml:space="preserve">03 Sourcing and provenance; 03 Training-data rights and IP; 08 IP and liability</t>
  </si>
  <si>
    <t xml:space="preserve">Wiki example ratings: likelihood Medium, impact High, residual High, priority 27.</t>
  </si>
  <si>
    <t xml:space="preserve">AI-R28</t>
  </si>
  <si>
    <t xml:space="preserve">Regulatory Non-Compliance from Unsupervised AI Decisions</t>
  </si>
  <si>
    <t xml:space="preserve">A regulated process may use AI without the supervision, records or accountability the regulator expects of a human performing the same step. Required controls include an obligation register, impact assessment, decision records, human oversight appropriate to the tier and a named accountable owner.</t>
  </si>
  <si>
    <t xml:space="preserve">B2; C1; C4</t>
  </si>
  <si>
    <t xml:space="preserve">AI-CTRL-012, AI-CTRL-013, AI-CTRL-037, AI-CTRL-038, AI-CTRL-042, AI-CTRL-045</t>
  </si>
  <si>
    <t xml:space="preserve">AI-CTRL-012, AI-CTRL-013</t>
  </si>
  <si>
    <t xml:space="preserve">Obligation register; impact assessment; decision records; oversight</t>
  </si>
  <si>
    <t xml:space="preserve">Obligation register; supervision records; impact assessments</t>
  </si>
  <si>
    <t xml:space="preserve">A.2.2; A.2.4; A.3.2; A.5.2; A.5.3; A.5.4; A.5.5; A.9.2; A.9.3; Clause 6.1.2; Clause 6.1.3; Clause 9.1; Clause 9.2; Clause 9.3; Clause 10.2</t>
  </si>
  <si>
    <t xml:space="preserve">A.5.1; A.5.2; A.5.4; A.5.8; A.5.10; A.5.31; A.5.33; A.5.34; A.5.35; A.5.36; A.8.10; A.8.11; Clause 6.1.2; Clause 6.1.3; Clause 9.2</t>
  </si>
  <si>
    <t xml:space="preserve">GOVERN 1.1; GOVERN 1.2; GOVERN 1.3; GOVERN 1.4; GOVERN 1.5; GOVERN 2.1; GOVERN 2.2; GOVERN 3.2; MANAGE 1.2; MANAGE 1.4; MANAGE 4.2; MAP 1.1; MAP 1.5; MAP 3.5; MAP 5.1; MEASURE 1.2; MEASURE 1.3; MEASURE 2.10</t>
  </si>
  <si>
    <t xml:space="preserve">ASI09; LLM02:2025; LLM06:2025</t>
  </si>
  <si>
    <t xml:space="preserve">GV.OC; GV.OV; GV.PO; GV.RM; GV.RR; ID.IM; ID.RA; PR.DS</t>
  </si>
  <si>
    <t xml:space="preserve">CIS 3</t>
  </si>
  <si>
    <t xml:space="preserve">CC1.3; CC2.2; CC3.1; CC3.2; CC4.1; CC4.2; CC5.3; CC9.1; P1.1; P3.1; P4.1; P4.2; P5.1</t>
  </si>
  <si>
    <t xml:space="preserve">01 Roles and accountability; 03 Privacy and consent; 08 Regulatory compliance</t>
  </si>
  <si>
    <t xml:space="preserve">OECD AI Principles: Principle 1.2, Principle 1.3, Principle 1.5; EU Ethics Guidelines: Human agency and oversight, Privacy and data governance, Accountability; UNESCO Recommendation: Proportionality and do no harm, Right to privacy and data protection, Multi-stakeholder and adaptive governance ..., Responsibility and accountability, Human oversight and determination; IEEE 7000-series: IEEE 7000-2021, IEEE 7002-2022; Council of Europe AI Convention: Art. 7, Art. 8, Art. 9, Art. 11, 14, 15, Art. 16; G7 Hiroshima Code: Action 1, Action 5, Action 11</t>
  </si>
  <si>
    <t xml:space="preserve">GCC: U1, U3, U4, U5, U6, U7, U12, S1, S2, S3, S5, Q1, Q3, B1, B2, O1, O2; EU: E1a, E1b, E1c, E2, E3, E4, E8, E12, E17; UK: UK1, UK2, UK3, UK4, UK5, UK6, UK13; US: US5, US6, US8, US9, US12, US14, US15, US16, US17; Australia: AU1, AU2, AU3, AU3a, AU4, AU7; Brazil: BR1, BR2, BR3; Canada: CA2, CA3, CA4, CA5, CA6, CA7, CA8; China: CN1, CN2, CN5, CN7, CN9; India: IN1, IN2, IN3, IN4, IN5, IN6, IN7, IN11, IN13; Japan: JP1, JP2, JP3, JP4, JP6; Singapore: SG1, SG2, SG3, SG4, SG5, MAS 1.6, 2.1 to 2.2, MAS 2.3 to 2.5, MAS 3.1 to 3.4, MAS 3.5, MAS 1.5, 3.6, MAS 4.10 to 4.13, MAS 5.4, MAS 5.9, MAS 5.17, MAS 5.18 to 5.21, MAS 5.24; South: KR3, KR4, KR5, KR6, KR7</t>
  </si>
  <si>
    <t xml:space="preserve">Wiki example ratings: likelihood Medium, impact Critical, residual High, priority 28.</t>
  </si>
  <si>
    <t xml:space="preserve">AI-R29</t>
  </si>
  <si>
    <t xml:space="preserve">Unrealised AI Value and Misaligned AI Strategy</t>
  </si>
  <si>
    <t xml:space="preserve">02</t>
  </si>
  <si>
    <t xml:space="preserve">AI may be adopted because of hype rather than a stated problem, pilots may stall without ever showing value, returns may depend on redesigning work nobody planned to redesign, and the full cost of data, integration and people may not be counted. The opposite also applies: failing to weigh the competitive cost of not adopting AI is a risk too. Required controls include a business case with a success measure and a risk and benefit weighing for each use case, a stage gate that stops or scales a pilot on evidence, and a review of value delivered after go-live. Adapted from AI Risk Map domain 02 (Strategy and Value Realization).</t>
  </si>
  <si>
    <t xml:space="preserve">E1</t>
  </si>
  <si>
    <t xml:space="preserve">AI-CTRL-011, AI-CTRL-037</t>
  </si>
  <si>
    <t xml:space="preserve">AI-CTRL-011</t>
  </si>
  <si>
    <t xml:space="preserve">Business case and success measure; stage gates; value review</t>
  </si>
  <si>
    <t xml:space="preserve">Use-case business cases; stage-gate decisions; post-implementation value reviews</t>
  </si>
  <si>
    <t xml:space="preserve">A.4.2; A.5.2; A.9.4; Clause 6.1.2; Clause 6.1.3</t>
  </si>
  <si>
    <t xml:space="preserve">A.5.8; A.5.9; A.5.12; Clause 6.1.2; Clause 6.1.3</t>
  </si>
  <si>
    <t xml:space="preserve">GOVERN 1.3; GOVERN 1.6; GOVERN 1.7; MANAGE 1.2; MANAGE 1.4; MAP 1.1; MAP 1.5</t>
  </si>
  <si>
    <t xml:space="preserve">Not checked</t>
  </si>
  <si>
    <t xml:space="preserve">GV.RM; ID.AM; ID.RA</t>
  </si>
  <si>
    <t xml:space="preserve">CC3.1; CC3.2; CC9.1</t>
  </si>
  <si>
    <t xml:space="preserve">02 Competitive position; 02 AI strategy and roadmap; 02 Use-case selection and sourcing; 02 Value measurement / ROI</t>
  </si>
  <si>
    <t xml:space="preserve">Wiki example ratings: likelihood Medium, impact High, residual Medium, priority 29.</t>
  </si>
  <si>
    <t xml:space="preserve">AI-R30</t>
  </si>
  <si>
    <t xml:space="preserve">AI Cost Volatility and Stranded Investment</t>
  </si>
  <si>
    <t xml:space="preserve">11</t>
  </si>
  <si>
    <t xml:space="preserve">Providers can change token prices, tiers or context limits on their own terms, usage forecasts made in a pilot rarely hold at production scale, and money can be committed to a system that is scaled too early or kept going past failure. Insurance cover may also exclude AI losses or define a user as a human only. This differs from AI-R11, which is about abuse; this risk arises from normal use. Required controls include cost forecasts that are revisited as usage grows, contract terms on price changes, a decision point to stop funding, and a review of insurance wording for AI. Adapted from AI Risk Map domain 11 (Financial and Resource).</t>
  </si>
  <si>
    <t xml:space="preserve">E1; E2</t>
  </si>
  <si>
    <t xml:space="preserve">AI-CTRL-036, AI-CTRL-014, AI-CTRL-037</t>
  </si>
  <si>
    <t xml:space="preserve">AI-CTRL-036, AI-CTRL-014</t>
  </si>
  <si>
    <t xml:space="preserve">Cost forecasting and attribution; contract price terms; funding decision points</t>
  </si>
  <si>
    <t xml:space="preserve">Cost forecasts against actuals; contract price-change clauses; insurance wording review</t>
  </si>
  <si>
    <t xml:space="preserve">A.4.5; A.10.2; A.10.3; Clause 6.1.2; Clause 6.1.3</t>
  </si>
  <si>
    <t xml:space="preserve">A.5.19; A.5.20; A.5.21; A.5.22; A.5.23; A.8.6; A.8.16; Clause 6.1.2; Clause 6.1.3</t>
  </si>
  <si>
    <t xml:space="preserve">GOVERN 1.3; GOVERN 6.1; GOVERN 6.2; MANAGE 1.2; MANAGE 1.4; MANAGE 3.1; MANAGE 4.1; MAP 1.5; MEASURE 2.7</t>
  </si>
  <si>
    <t xml:space="preserve">LLM03:2025; LLM10:2025</t>
  </si>
  <si>
    <t xml:space="preserve">AML.T0010; AML.T0029; AML.T0034; AML.T0046; AML.T0109</t>
  </si>
  <si>
    <t xml:space="preserve">DE.CM; GV.RM; GV.SC; ID.RA; PR.IR</t>
  </si>
  <si>
    <t xml:space="preserve">CIS 15</t>
  </si>
  <si>
    <t xml:space="preserve">A1.1; CC3.1; CC3.2; CC9.1; CC9.2</t>
  </si>
  <si>
    <t xml:space="preserve">02 Value measurement / ROI; 11 Cost and compute economics; 11 Investment / procurement</t>
  </si>
  <si>
    <t xml:space="preserve">Wiki example ratings: likelihood Medium, impact High, residual Medium, priority 30.</t>
  </si>
  <si>
    <t xml:space="preserve">AI-R31</t>
  </si>
  <si>
    <t xml:space="preserve">Model Provider Concentration, Lock-in and Deprecation</t>
  </si>
  <si>
    <t xml:space="preserve">Many systems may depend on a few model providers, proprietary APIs and fine-tunes make switching costly, and fine-tuned models, embeddings and prompts often do not transfer between providers. A provider can retire a model or change its behaviour and force an unplanned migration. AI-R13 covers outages and AI-R16 covers version changes; this risk covers the dependence itself. Required controls include a record of which systems depend on which provider and model, exit provisions in contracts, a tested migration path for critical systems and tracking of provider deprecation notices. Adapted from AI Risk Map domain 09 (Third-Party and Model Supply Chain).</t>
  </si>
  <si>
    <t xml:space="preserve">E3</t>
  </si>
  <si>
    <t xml:space="preserve">AI-CTRL-014, AI-CTRL-031, AI-CTRL-040</t>
  </si>
  <si>
    <t xml:space="preserve">AI-CTRL-014</t>
  </si>
  <si>
    <t xml:space="preserve">Provider dependency record; exit provisions; migration planning; deprecation tracking</t>
  </si>
  <si>
    <t xml:space="preserve">Provider and model dependency map; exit plans; migration test; deprecation notice log</t>
  </si>
  <si>
    <t xml:space="preserve">A.4.2; A.4.5; A.6.2.6; A.7.5; A.10.2; A.10.3</t>
  </si>
  <si>
    <t xml:space="preserve">A.5.9; A.5.19; A.5.20; A.5.21; A.5.22; A.5.23; A.5.29; A.5.30; A.8.6; A.8.8; A.8.13; A.8.14; A.8.19; A.8.30</t>
  </si>
  <si>
    <t xml:space="preserve">GOVERN 6.1; GOVERN 6.2; MANAGE 2.3; MANAGE 3.1; MANAGE 3.2; MAP 4.1; MEASURE 2.7</t>
  </si>
  <si>
    <t xml:space="preserve">LLM03:2025</t>
  </si>
  <si>
    <t xml:space="preserve">GV.SC; ID.AM; ID.RA; PR.IR; RC.RP</t>
  </si>
  <si>
    <t xml:space="preserve">CIS 2; CIS 7; CIS 11; CIS 15; CIS 16</t>
  </si>
  <si>
    <t xml:space="preserve">A1.1; A1.2; A1.3; CC7.1; CC9.1; CC9.2</t>
  </si>
  <si>
    <t xml:space="preserve">07 Change and lifecycle management; 09 Foundation-model dependence; 09 Lock-in and portability; 11 Scaling and resource constraints</t>
  </si>
  <si>
    <t xml:space="preserve">Wiki example ratings: likelihood Medium, impact High, residual High, priority 31.</t>
  </si>
  <si>
    <t xml:space="preserve">AI-R32</t>
  </si>
  <si>
    <t xml:space="preserve">Model Monoculture and Correlated Failure</t>
  </si>
  <si>
    <t xml:space="preserve">When many systems, or a system and the controls that check it, use the same underlying model, one blind spot or bias is repeated everywhere at once and independent checks are not independent. Required controls include an inventory that records the base model behind each system, a deliberate choice of a different model or a non-AI method where a check must be independent, and evaluation that looks for errors shared across systems. Adapted from AI Risk Map domain 09 (Third-Party and Model Supply Chain).</t>
  </si>
  <si>
    <t xml:space="preserve">E4</t>
  </si>
  <si>
    <t xml:space="preserve">AI-CTRL-011, AI-CTRL-031, AI-CTRL-034</t>
  </si>
  <si>
    <t xml:space="preserve">Base-model inventory; independent checks on a different model or method; shared-error evaluation</t>
  </si>
  <si>
    <t xml:space="preserve">Inventory showing base model per system; design records for independent checks; evaluation results</t>
  </si>
  <si>
    <t xml:space="preserve">A.4.2; A.5.2; A.6.2.4; A.7.5; A.9.4; A.10.3</t>
  </si>
  <si>
    <t xml:space="preserve">A.5.8; A.5.9; A.5.12; A.5.21; A.8.8; A.8.19; A.8.29; A.8.30</t>
  </si>
  <si>
    <t xml:space="preserve">GOVERN 1.3; GOVERN 1.6; GOVERN 1.7; GOVERN 4.3; GOVERN 6.1; MANAGE 3.1; MANAGE 3.2; MAP 1.1; MAP 4.1; MEASURE 2.1; MEASURE 2.6; MEASURE 2.7</t>
  </si>
  <si>
    <t xml:space="preserve">AML.T0010; AML.T0109; AML.T0111; AML.T0115</t>
  </si>
  <si>
    <t xml:space="preserve">GV.RM; GV.SC; ID.AM; ID.IM; ID.RA</t>
  </si>
  <si>
    <t xml:space="preserve">CIS 1; CIS 2; CIS 7; CIS 15; CIS 16; CIS 18</t>
  </si>
  <si>
    <t xml:space="preserve">CC3.1; CC3.2; CC4.1; CC7.1; CC9.2</t>
  </si>
  <si>
    <t xml:space="preserve">06 Bias and fairness; 09 Foundation-model dependence</t>
  </si>
  <si>
    <t xml:space="preserve">Wiki example ratings: likelihood Medium, impact High, residual Medium, priority 32.</t>
  </si>
  <si>
    <t xml:space="preserve">AI-R33</t>
  </si>
  <si>
    <t xml:space="preserve">Workforce Deskilling and Loss of Institutional Knowledge</t>
  </si>
  <si>
    <t xml:space="preserve">Staff who hand work to AI can lose the expertise needed to check it, knowledge held in people's heads disappears as AI replaces processes, and the organization may be unable to operate when the AI is unavailable. Specialists who leave can take undocumented prompt and model knowledge with them. Required controls include keeping manual competence for critical processes and testing it, documented fallback procedures, and recording prompts, configurations and design decisions as part of the system. Adapted from AI Risk Map domain 10 (Workforce, Human and Societal).</t>
  </si>
  <si>
    <t xml:space="preserve">E5</t>
  </si>
  <si>
    <t xml:space="preserve">AI-CTRL-044, AI-CTRL-040, AI-CTRL-045</t>
  </si>
  <si>
    <t xml:space="preserve">Manual competence and fallback; documentation of prompts and configuration</t>
  </si>
  <si>
    <t xml:space="preserve">Competence records; fallback drill results; system documentation</t>
  </si>
  <si>
    <t xml:space="preserve">A.4.5; A.4.6; A.6.2.6; A.9.2; A.9.3; Clause 7.2; Clause 7.3</t>
  </si>
  <si>
    <t xml:space="preserve">A.5.29; A.5.30; A.6.3; A.8.6; A.8.13; A.8.14</t>
  </si>
  <si>
    <t xml:space="preserve">GOVERN 2.2; GOVERN 3.2; GOVERN 6.2; MANAGE 2.3; MAP 3.4; MAP 3.5; MEASURE 2.7</t>
  </si>
  <si>
    <t xml:space="preserve">GV.RR; PR.AT; PR.IR; RC.RP</t>
  </si>
  <si>
    <t xml:space="preserve">CIS 11; CIS 14</t>
  </si>
  <si>
    <t xml:space="preserve">A1.1; A1.2; A1.3; CC1.4; CC2.2; CC9.1</t>
  </si>
  <si>
    <t xml:space="preserve">10 Skills and talent; 10 Deskilling and loss of institutional knowledge</t>
  </si>
  <si>
    <t xml:space="preserve">Wiki example ratings: likelihood Medium, impact High, residual Medium, priority 33.</t>
  </si>
  <si>
    <t xml:space="preserve">AI-R34</t>
  </si>
  <si>
    <t xml:space="preserve">Workforce Change Failure and Skills Shortage</t>
  </si>
  <si>
    <t xml:space="preserve">Leaders may manage AI like a conventional IT rollout and underestimate how much it changes the work itself, staff may resist or quietly avoid AI because of fear of displacement or distrust of its output, and AI and AI-risk specialists are scarce. Required controls include a change plan for each significant deployment, consultation with affected staff, adoption and trust measures, and AI literacy and role-based training. Adapted from AI Risk Map domain 10 (Workforce, Human and Societal).</t>
  </si>
  <si>
    <t xml:space="preserve">AI-CTRL-044, AI-CTRL-012</t>
  </si>
  <si>
    <t xml:space="preserve">AI-CTRL-012</t>
  </si>
  <si>
    <t xml:space="preserve">Change planning; staff consultation; literacy and role-based training</t>
  </si>
  <si>
    <t xml:space="preserve">Change plans; consultation records; training completion; adoption measures</t>
  </si>
  <si>
    <t xml:space="preserve">A.2.2; A.2.4; A.3.2; A.4.6; Clause 7.2; Clause 7.3</t>
  </si>
  <si>
    <t xml:space="preserve">A.5.1; A.5.2; A.5.4; A.5.10; A.6.3</t>
  </si>
  <si>
    <t xml:space="preserve">GOVERN 1.2; GOVERN 1.4; GOVERN 2.1; GOVERN 2.2; MAP 3.4</t>
  </si>
  <si>
    <t xml:space="preserve">GV.PO; GV.RR; PR.AT</t>
  </si>
  <si>
    <t xml:space="preserve">10 Skills and talent; 10 Workforce disruption / change</t>
  </si>
  <si>
    <t xml:space="preserve">Wiki example ratings: likelihood Medium, impact Medium, residual Medium, priority 34.</t>
  </si>
  <si>
    <t xml:space="preserve">AI-R35</t>
  </si>
  <si>
    <t xml:space="preserve">Unmeasured Energy and Water Use of AI</t>
  </si>
  <si>
    <t xml:space="preserve">Training and inference use energy and, in many data centres, water for cooling, and these are rarely measured or weighed against the value of a use case. This can conflict with an organization's sustainability commitments and reporting. Required controls include an estimate of energy use per system from usage data and provider information, its inclusion in the use-case decision, and reporting where sustainability commitments require it. Adapted from AI Risk Map domain 11 (Financial and Resource).</t>
  </si>
  <si>
    <t xml:space="preserve">E2</t>
  </si>
  <si>
    <t xml:space="preserve">AI-CTRL-036</t>
  </si>
  <si>
    <t xml:space="preserve">Usage attribution as the basis for an energy estimate</t>
  </si>
  <si>
    <t xml:space="preserve">Energy estimates per system; sustainability reporting inputs</t>
  </si>
  <si>
    <t xml:space="preserve">A.4.5</t>
  </si>
  <si>
    <t xml:space="preserve">A.8.6; A.8.16</t>
  </si>
  <si>
    <t xml:space="preserve">MANAGE 4.1; MEASURE 2.7</t>
  </si>
  <si>
    <t xml:space="preserve">LLM10:2025</t>
  </si>
  <si>
    <t xml:space="preserve">AML.T0029; AML.T0034; AML.T0046</t>
  </si>
  <si>
    <t xml:space="preserve">DE.CM; PR.IR</t>
  </si>
  <si>
    <t xml:space="preserve">A1.1</t>
  </si>
  <si>
    <t xml:space="preserve">Environmental Impacts</t>
  </si>
  <si>
    <t xml:space="preserve">11 Cost and compute economics</t>
  </si>
  <si>
    <t xml:space="preserve">Wiki example ratings: likelihood High, impact Medium, residual Medium, priority 35.</t>
  </si>
  <si>
    <t xml:space="preserve">AI-R36</t>
  </si>
  <si>
    <t xml:space="preserve">AI Output Ownership and Model Licence Breach</t>
  </si>
  <si>
    <t xml:space="preserve">Who owns AI-generated content, and whether it can be protected by copyright at all, is unsettled in many jurisdictions. Open-weight models come with licences that may restrict commercial use, user numbers, fields of use or the training of other models, and those terms can be breached without anyone noticing. AI-R27 covers infringing the rights of others; this risk covers the organization's own rights and licence obligations. Required controls include a register of model licences and their conditions, review of output ownership in vendor terms, and legal advice before relying on ownership of AI-generated assets. Adapted from AI Risk Map domain 08 (Legal, Regulatory and Compliance).</t>
  </si>
  <si>
    <t xml:space="preserve">E6</t>
  </si>
  <si>
    <t xml:space="preserve">AI-CTRL-046, AI-CTRL-031, AI-CTRL-014</t>
  </si>
  <si>
    <t xml:space="preserve">Model licence register; output ownership terms; legal review</t>
  </si>
  <si>
    <t xml:space="preserve">Licence register; vendor terms review; legal advice records</t>
  </si>
  <si>
    <t xml:space="preserve">A.4.2; A.7.5; A.10.2; A.10.3</t>
  </si>
  <si>
    <t xml:space="preserve">A.5.9; A.5.19; A.5.20; A.5.21; A.5.22; A.5.23; A.5.31; A.5.32; A.8.8; A.8.19; A.8.30</t>
  </si>
  <si>
    <t xml:space="preserve">GOVERN 6.1; GOVERN 6.2; MANAGE 3.1; MANAGE 3.2; MAP 4.1</t>
  </si>
  <si>
    <t xml:space="preserve">GV.OC; GV.SC; ID.AM; ID.RA</t>
  </si>
  <si>
    <t xml:space="preserve">CC7.1; CC9.2</t>
  </si>
  <si>
    <t xml:space="preserve">03 Training-data rights and IP; 08 IP and liability; 08 Contractual and licensing</t>
  </si>
  <si>
    <t xml:space="preserve">Wiki example ratings: likelihood Medium, impact High, residual Medium, priority 36.</t>
  </si>
  <si>
    <t xml:space="preserve">AI-R37</t>
  </si>
  <si>
    <t xml:space="preserve">Provider Obligations Triggered by Modifying a Model</t>
  </si>
  <si>
    <t xml:space="preserve">Fine-tuning, rebranding or changing the intended purpose of a third-party model can turn a deployer into a provider under some laws, with heavier obligations. Under the EU AI Act this can happen through a substantial modification or a change of purpose to a high-risk use (see the EU AI Regulatory Hub). Required controls include a role classification for each AI system that is repeated when the model, its purpose or its branding changes, and legal review of the obligations that follow. Adapted from AI Risk Map domain 08 (Legal, Regulatory and Compliance).</t>
  </si>
  <si>
    <t xml:space="preserve">AI-CTRL-011, AI-CTRL-013, AI-CTRL-037</t>
  </si>
  <si>
    <t xml:space="preserve">AI-CTRL-011, AI-CTRL-013</t>
  </si>
  <si>
    <t xml:space="preserve">Role classification repeated on change; legal review of obligations</t>
  </si>
  <si>
    <t xml:space="preserve">Role classification records; change-trigger logs; legal review</t>
  </si>
  <si>
    <t xml:space="preserve">A.4.2; A.5.2; A.5.3; A.5.4; A.9.4; Clause 6.1.2; Clause 6.1.3</t>
  </si>
  <si>
    <t xml:space="preserve">A.5.8; A.5.9; A.5.12; A.5.31; A.5.34; A.8.10; A.8.11; Clause 6.1.2; Clause 6.1.3</t>
  </si>
  <si>
    <t xml:space="preserve">GOVERN 1.1; GOVERN 1.3; GOVERN 1.6; GOVERN 1.7; MANAGE 1.2; MANAGE 1.4; MAP 1.1; MAP 1.5; MAP 5.1; MEASURE 2.10</t>
  </si>
  <si>
    <t xml:space="preserve">GV.OC; GV.RM; ID.AM; ID.RA; PR.DS</t>
  </si>
  <si>
    <t xml:space="preserve">CIS 1; CIS 2; CIS 3</t>
  </si>
  <si>
    <t xml:space="preserve">CC3.1; CC3.2; CC9.1; P1.1; P3.1; P4.1; P4.2; P5.1</t>
  </si>
  <si>
    <t xml:space="preserve">08 Regulatory compliance</t>
  </si>
  <si>
    <t xml:space="preserve">Wiki example ratings: likelihood Medium, impact High, residual High, priority 37.</t>
  </si>
  <si>
    <t xml:space="preserve">AI-R38</t>
  </si>
  <si>
    <t xml:space="preserve">AI Records Not Preserved for Legal Hold and Discovery</t>
  </si>
  <si>
    <t xml:space="preserve">Prompts, outputs and agent traces can be relevant to litigation, regulatory inquiries or disputes, and may be subject to a legal hold. Short retention settings in AI tools and data spread across several stores can mean they are deleted or cannot be found. AI-R09 covers forensic visibility for security; this risk covers legal preservation. Required controls include a retention schedule that names AI records, a way to apply a legal hold to them, and a tested search across the stores that hold them. Adapted from AI Risk Map domain 03 (Data and Privacy).</t>
  </si>
  <si>
    <t xml:space="preserve">E7</t>
  </si>
  <si>
    <t xml:space="preserve">AI-CTRL-008, AI-CTRL-038, AI-CTRL-035</t>
  </si>
  <si>
    <t xml:space="preserve">Retention schedule for AI records; legal hold; search across stores</t>
  </si>
  <si>
    <t xml:space="preserve">Retention schedule; legal hold procedure; search test results</t>
  </si>
  <si>
    <t xml:space="preserve">A.3.3; A.6.2.6; A.6.2.8; A.8.3; A.8.4; Clause 9.1; Clause 9.2; Clause 9.3; Clause 10.2</t>
  </si>
  <si>
    <t xml:space="preserve">A.5.24; A.5.25; A.5.26; A.5.27; A.5.28; A.5.33; A.5.35; A.5.36; A.6.8; A.8.15; A.8.17; Clause 9.2</t>
  </si>
  <si>
    <t xml:space="preserve">GOVERN 1.5; GOVERN 4.3; GOVERN 6.2; MANAGE 2.3; MANAGE 4.1; MANAGE 4.2; MANAGE 4.3; MEASURE 1.2; MEASURE 1.3; MEASURE 2.4; MEASURE 2.8</t>
  </si>
  <si>
    <t xml:space="preserve">DE.AE; DE.CM; GV.OV; ID.IM; PR.PS; RC.RP; RS.AN; RS.CO; RS.MA; RS.MI</t>
  </si>
  <si>
    <t xml:space="preserve">CIS 8; CIS 17</t>
  </si>
  <si>
    <t xml:space="preserve">CC4.1; CC4.2; CC7.2; CC7.3; CC7.4; CC7.5</t>
  </si>
  <si>
    <t xml:space="preserve">03 Retention and disposal</t>
  </si>
  <si>
    <t xml:space="preserve">Wiki example ratings: likelihood Medium, impact High, residual High, priority 38.</t>
  </si>
  <si>
    <t xml:space="preserve">AI-R39</t>
  </si>
  <si>
    <t xml:space="preserve">Missing Independent Model Validation</t>
  </si>
  <si>
    <t xml:space="preserve">A model may be approved by the team that built or bought it, with no independent validation or effective challenge, and validation data may not represent real use, so weaknesses show only with live users. Model risk management guidance in banking, such as the US supervisory guidance SR 11-7, expects independent validation. Required controls include validation by people independent of the developer, test data that reflects intended use, and validation repeated when the model or its use changes. Adapted from AI Risk Map domain 04 (Model Development and Performance).</t>
  </si>
  <si>
    <t xml:space="preserve">E8</t>
  </si>
  <si>
    <t xml:space="preserve">AI-CTRL-033, AI-CTRL-034, AI-CTRL-038</t>
  </si>
  <si>
    <t xml:space="preserve">Independent validation; representative test data; revalidation on change</t>
  </si>
  <si>
    <t xml:space="preserve">Independent validation reports; test data rationale; revalidation records</t>
  </si>
  <si>
    <t xml:space="preserve">A.5.2; A.6.2.2; A.6.2.4; A.6.2.5; Clause 9.1; Clause 9.2; Clause 9.3; Clause 10.2</t>
  </si>
  <si>
    <t xml:space="preserve">A.5.8; A.5.33; A.5.35; A.5.36; A.8.8; A.8.25; A.8.27; A.8.29; A.8.32; Clause 9.2</t>
  </si>
  <si>
    <t xml:space="preserve">GOVERN 1.5; GOVERN 4.2; GOVERN 4.3; MANAGE 1.1; MANAGE 4.2; MEASURE 1.2; MEASURE 1.3; MEASURE 2.1; MEASURE 2.6; MEASURE 2.7</t>
  </si>
  <si>
    <t xml:space="preserve">GV.OV; ID.IM; ID.RA; PR.PS</t>
  </si>
  <si>
    <t xml:space="preserve">CIS 7; CIS 16; CIS 18</t>
  </si>
  <si>
    <t xml:space="preserve">CC3.4; CC4.1; CC4.2; CC7.1; CC8.1</t>
  </si>
  <si>
    <t xml:space="preserve">04 Accuracy and validation</t>
  </si>
  <si>
    <t xml:space="preserve">Wiki example ratings: likelihood Medium, impact High, residual High, priority 39.</t>
  </si>
  <si>
    <t xml:space="preserve">AI-R40</t>
  </si>
  <si>
    <t xml:space="preserve">AI Output Relied On in Financial Reporting Controls</t>
  </si>
  <si>
    <t xml:space="preserve">AI may prepare reconciliations, journal entries or other inputs to financial reporting without the scope of internal control testing being changed to cover it. If nobody records which artifacts AI produced, a flaw in the model cannot be traced to what it affected. Required controls include notifying internal control owners and auditors when AI enters a financial reporting process, recording which outputs AI produced, and testing the AI step as part of the control. Adapted from AI Risk Map domain 01 (AI Governance and Accountability).</t>
  </si>
  <si>
    <t xml:space="preserve">AI-CTRL-038, AI-CTRL-011, AI-CTRL-008</t>
  </si>
  <si>
    <t xml:space="preserve">AI-CTRL-011, AI-CTRL-008</t>
  </si>
  <si>
    <t xml:space="preserve">Control owner and auditor notification; record of AI-produced outputs; testing of the AI step</t>
  </si>
  <si>
    <t xml:space="preserve">Scope change records; output provenance records; control test results</t>
  </si>
  <si>
    <t xml:space="preserve">A.4.2; A.5.2; A.6.2.8; A.9.4; Clause 9.1; Clause 9.2; Clause 9.3; Clause 10.2</t>
  </si>
  <si>
    <t xml:space="preserve">A.5.8; A.5.9; A.5.12; A.5.28; A.5.33; A.5.35; A.5.36; A.8.15; A.8.17; Clause 9.2</t>
  </si>
  <si>
    <t xml:space="preserve">GOVERN 1.3; GOVERN 1.5; GOVERN 1.6; GOVERN 1.7; MANAGE 4.1; MANAGE 4.2; MAP 1.1; MEASURE 1.2; MEASURE 1.3; MEASURE 2.4; MEASURE 2.8</t>
  </si>
  <si>
    <t xml:space="preserve">DE.CM; GV.OV; GV.RM; ID.AM; ID.IM; ID.RA; PR.PS</t>
  </si>
  <si>
    <t xml:space="preserve">CIS 1; CIS 2; CIS 8</t>
  </si>
  <si>
    <t xml:space="preserve">CC3.1; CC3.2; CC4.1; CC4.2; CC7.2</t>
  </si>
  <si>
    <t xml:space="preserve">01 Audit and assurance</t>
  </si>
  <si>
    <t xml:space="preserve">Wiki example ratings: likelihood Medium, impact High, residual High, priority 40.</t>
  </si>
  <si>
    <t xml:space="preserve">AI-R41</t>
  </si>
  <si>
    <t xml:space="preserve">AI-Washing and Unverified AI Capability Claims</t>
  </si>
  <si>
    <t xml:space="preserve">An organization may overstate what its AI does to customers, investors or regulators, and may buy products whose "AI-powered" claims it cannot verify. Both can lead to regulatory action, disputes and lost trust. Required controls include review of external AI claims against evidence before publication, and testing of vendor capability claims during evaluation. Adapted from AI Risk Map domain 10 (Workforce, Human and Societal).</t>
  </si>
  <si>
    <t xml:space="preserve">E9</t>
  </si>
  <si>
    <t xml:space="preserve">AI-CTRL-012, AI-CTRL-014, AI-CTRL-039</t>
  </si>
  <si>
    <t xml:space="preserve">AI-CTRL-012, AI-CTRL-014</t>
  </si>
  <si>
    <t xml:space="preserve">Review of external AI claims; testing of vendor claims</t>
  </si>
  <si>
    <t xml:space="preserve">Claims review records; vendor evaluation test results</t>
  </si>
  <si>
    <t xml:space="preserve">A.2.2; A.2.4; A.3.2; A.6.2.4; A.8.2; A.10.2; A.10.3</t>
  </si>
  <si>
    <t xml:space="preserve">A.5.1; A.5.2; A.5.4; A.5.10; A.5.19; A.5.20; A.5.21; A.5.22; A.5.23</t>
  </si>
  <si>
    <t xml:space="preserve">GOVERN 1.2; GOVERN 1.4; GOVERN 2.1; GOVERN 2.2; GOVERN 6.1; GOVERN 6.2; MANAGE 3.1; MAP 2.2; MEASURE 2.5; MEASURE 2.6</t>
  </si>
  <si>
    <t xml:space="preserve">LLM03:2025; LLM09:2025</t>
  </si>
  <si>
    <t xml:space="preserve">AML.T0010; AML.T0048; AML.T0060; AML.T0062; AML.T0109</t>
  </si>
  <si>
    <t xml:space="preserve">GV.PO; GV.RR; GV.SC</t>
  </si>
  <si>
    <t xml:space="preserve">CC1.3; CC2.2; CC5.3; CC9.2; PI1.3; PI1.4</t>
  </si>
  <si>
    <t xml:space="preserve">09 Vendor due diligence; 10 Societal and reputational</t>
  </si>
  <si>
    <t xml:space="preserve">Wiki example ratings: likelihood Medium, impact High, residual Medium, priority 41.</t>
  </si>
  <si>
    <t xml:space="preserve">AI-R42</t>
  </si>
  <si>
    <t xml:space="preserve">Anthropomorphism and Emotional Dependence</t>
  </si>
  <si>
    <t xml:space="preserve">People can attribute human qualities to conversational AI and come to depend on it emotionally, which raises the risk of manipulation and of harm to vulnerable users, including minors. This goes beyond the automation bias covered by AI-R19. Required controls include design review of personas and conversational style, clear disclosure that the user is talking to AI, safeguards and escalation for vulnerable users, and monitoring for patterns of dependence. Adapted from AI Risk Map domain 06 (Safety, Ethics and Responsible AI).</t>
  </si>
  <si>
    <t xml:space="preserve">E10</t>
  </si>
  <si>
    <t xml:space="preserve">AI-CTRL-045, AI-CTRL-039, AI-CTRL-012</t>
  </si>
  <si>
    <t xml:space="preserve">Persona and disclosure design; vulnerable-user safeguards; dependence monitoring</t>
  </si>
  <si>
    <t xml:space="preserve">Design review records; disclosure text; safeguard tests; monitoring reports</t>
  </si>
  <si>
    <t xml:space="preserve">A.2.2; A.2.4; A.3.2; A.6.2.4; A.8.2; A.9.2; A.9.3</t>
  </si>
  <si>
    <t xml:space="preserve">A.5.1; A.5.2; A.5.4; A.5.10</t>
  </si>
  <si>
    <t xml:space="preserve">GOVERN 1.2; GOVERN 1.4; GOVERN 2.1; GOVERN 2.2; GOVERN 3.2; MAP 2.2; MAP 3.5; MEASURE 2.5; MEASURE 2.6</t>
  </si>
  <si>
    <t xml:space="preserve">GV.PO; GV.RR</t>
  </si>
  <si>
    <t xml:space="preserve">CC1.3; CC2.2; CC5.3; PI1.3; PI1.4</t>
  </si>
  <si>
    <t xml:space="preserve">06 Transparency, disclosure and provenance; 06 Human agency and over-reliance</t>
  </si>
  <si>
    <t xml:space="preserve">Wiki example ratings: likelihood Medium, impact High, residual Medium, priority 42.</t>
  </si>
  <si>
    <t xml:space="preserve">AI-R43</t>
  </si>
  <si>
    <t xml:space="preserve">Hallucinated Package Dependencies</t>
  </si>
  <si>
    <t xml:space="preserve">AI coding assistants and agents can suggest or install packages that do not exist. An attacker who registers those names in a public package registry gets their code installed. AI-R12 covers invented packages as an output reliability problem; this risk covers the attack. Required controls include installing only from an approved registry or proxy, checking that a suggested package exists and is established before use, and dependency scanning in the release gate. Adapted from AI Risk Map domain 05 (Security and Adversarial Threats).</t>
  </si>
  <si>
    <t xml:space="preserve">E11</t>
  </si>
  <si>
    <t xml:space="preserve">AI-CTRL-031, AI-CTRL-004, AI-CTRL-033</t>
  </si>
  <si>
    <t xml:space="preserve">Approved registry or proxy; package existence checks; dependency scanning</t>
  </si>
  <si>
    <t xml:space="preserve">Registry configuration; blocked install logs; release gate scan results</t>
  </si>
  <si>
    <t xml:space="preserve">A.4.2; A.4.4; A.5.2; A.6.2.2; A.6.2.4; A.6.2.5; A.7.5; A.9.2; A.10.3</t>
  </si>
  <si>
    <t xml:space="preserve">A.5.8; A.5.9; A.5.21; A.8.4; A.8.8; A.8.12; A.8.19; A.8.25; A.8.27; A.8.28; A.8.29; A.8.30; A.8.32</t>
  </si>
  <si>
    <t xml:space="preserve">GOVERN 4.2; GOVERN 6.1; MANAGE 1.1; MANAGE 3.1; MANAGE 3.2; MANAGE 4.1; MAP 4.1; MEASURE 2.7; MEASURE 2.10</t>
  </si>
  <si>
    <t xml:space="preserve">AML.T0010; AML.T0055; AML.T0057; AML.T0109; AML.T0111; AML.T0115</t>
  </si>
  <si>
    <t xml:space="preserve">GV.SC; ID.AM; ID.RA; PR.DS; PR.PS</t>
  </si>
  <si>
    <t xml:space="preserve">CIS 2; CIS 3; CIS 7; CIS 15; CIS 16</t>
  </si>
  <si>
    <t xml:space="preserve">CC3.4; CC6.7; CC7.1; CC8.1; CC9.2</t>
  </si>
  <si>
    <t xml:space="preserve">05 Supply-chain and artifact integrity</t>
  </si>
  <si>
    <t xml:space="preserve">Wiki example ratings: likelihood Medium, impact High, residual High, priority 43.</t>
  </si>
  <si>
    <t xml:space="preserve">AI-R44</t>
  </si>
  <si>
    <t xml:space="preserve">Safety Training Removed from Self-Hosted Models</t>
  </si>
  <si>
    <t xml:space="preserve">Open-weight models can be fine-tuned or modified so that their safety training is weakened or removed, and modified versions are published under names that hide their lineage. A team that self-hosts such a model may not know its refusals no longer work. Required controls include verifying where model weights came from, safety and refusal evaluation before deployment and after any fine-tuning, and recording the model's lineage in the AI-BOM. Adapted from AI Risk Map domain 09 (Third-Party and Model Supply Chain).</t>
  </si>
  <si>
    <t xml:space="preserve">AI-CTRL-031, AI-CTRL-034, AI-CTRL-033</t>
  </si>
  <si>
    <t xml:space="preserve">Weight provenance; safety evaluation before deployment and after fine-tuning; lineage in the AI-BOM</t>
  </si>
  <si>
    <t xml:space="preserve">Provenance records; refusal and safety evaluation results; AI-BOM entries</t>
  </si>
  <si>
    <t xml:space="preserve">A.4.2; A.5.2; A.6.2.2; A.6.2.4; A.6.2.5; A.7.5; A.10.3</t>
  </si>
  <si>
    <t xml:space="preserve">A.5.8; A.5.9; A.5.21; A.8.8; A.8.19; A.8.25; A.8.27; A.8.29; A.8.30; A.8.32</t>
  </si>
  <si>
    <t xml:space="preserve">GOVERN 4.2; GOVERN 4.3; GOVERN 6.1; MANAGE 1.1; MANAGE 3.1; MANAGE 3.2; MAP 4.1; MEASURE 2.1; MEASURE 2.6; MEASURE 2.7</t>
  </si>
  <si>
    <t xml:space="preserve">GV.SC; ID.AM; ID.IM; ID.RA; PR.PS</t>
  </si>
  <si>
    <t xml:space="preserve">CIS 2; CIS 7; CIS 15; CIS 16; CIS 18</t>
  </si>
  <si>
    <t xml:space="preserve">CC3.4; CC4.1; CC7.1; CC8.1; CC9.2</t>
  </si>
  <si>
    <t xml:space="preserve">09 Open-source component risk</t>
  </si>
  <si>
    <t xml:space="preserve">Wiki example ratings: likelihood Medium, impact High, residual Medium, priority 44.</t>
  </si>
  <si>
    <t xml:space="preserve">AI-R45</t>
  </si>
  <si>
    <t xml:space="preserve">Agent Activity Indistinguishable from Attack</t>
  </si>
  <si>
    <t xml:space="preserve">Approved agents that read widely, call many tools and act quickly can look the same in logs as an attacker using agentic tooling, so detections either drown in false alarms or are tuned until they miss real attacks. Required controls include a distinct identity for each agent in telemetry, a record of who authorised each agent's task, and detection rules that use that context. Adapted from AI Risk Map domain 07 (Operations and Resilience).</t>
  </si>
  <si>
    <t xml:space="preserve">E12</t>
  </si>
  <si>
    <t xml:space="preserve">AI-CTRL-015, AI-CTRL-008, AI-CTRL-009</t>
  </si>
  <si>
    <t xml:space="preserve">AI-CTRL-015, AI-CTRL-008</t>
  </si>
  <si>
    <t xml:space="preserve">Distinct agent identity in telemetry; task authorisation records; context-aware detection</t>
  </si>
  <si>
    <t xml:space="preserve">Agent identity in logs; authorisation records; detection rule tests</t>
  </si>
  <si>
    <t xml:space="preserve">A.6.2.6; A.6.2.8</t>
  </si>
  <si>
    <t xml:space="preserve">A.5.16; A.5.17; A.5.25; A.5.28; A.5.33; A.8.5; A.8.15; A.8.16; A.8.17</t>
  </si>
  <si>
    <t xml:space="preserve">MANAGE 4.1; MEASURE 2.4; MEASURE 2.7; MEASURE 2.8; MEASURE 3.1</t>
  </si>
  <si>
    <t xml:space="preserve">ASI03; ASI07; LLM06:2025</t>
  </si>
  <si>
    <t xml:space="preserve">AML.T0012; AML.T0073; AML.T0091</t>
  </si>
  <si>
    <t xml:space="preserve">DE.AE; DE.CM; PR.AA; PR.PS</t>
  </si>
  <si>
    <t xml:space="preserve">CIS 5; CIS 6; CIS 8; CIS 13</t>
  </si>
  <si>
    <t xml:space="preserve">CC6.1; CC6.2; CC7.2; CC7.3</t>
  </si>
  <si>
    <t xml:space="preserve">07 Monitoring and observability</t>
  </si>
  <si>
    <t xml:space="preserve">Wiki example ratings: likelihood Medium, impact High, residual High, priority 45.</t>
  </si>
  <si>
    <t xml:space="preserve">AI-R46</t>
  </si>
  <si>
    <t xml:space="preserve">Insider Use of Agents to Exceed Own Access</t>
  </si>
  <si>
    <t xml:space="preserve">An employee can ask an agent that holds broader permissions to read or do things the employee could not do directly. This turns the agent into a way around access controls. Required controls include agents acting with the requesting user's permissions, not a broader service identity, checks on the user's entitlement at each action, and logging that names both the user and the agent. Adapted from AI Risk Map domain 05 (Security and Adversarial Threats).</t>
  </si>
  <si>
    <t xml:space="preserve">AI-CTRL-015, AI-CTRL-016, AI-CTRL-006</t>
  </si>
  <si>
    <t xml:space="preserve">Agent acts with the requesting user's permissions; entitlement checks per action; dual-identity logging</t>
  </si>
  <si>
    <t xml:space="preserve">Delegation design; entitlement check tests; logs naming user and agent</t>
  </si>
  <si>
    <t xml:space="preserve">A.4.2; A.6.2.6</t>
  </si>
  <si>
    <t xml:space="preserve">A.5.15; A.5.16; A.5.17; A.5.18; A.8.2; A.8.3; A.8.5; A.8.15; A.8.16</t>
  </si>
  <si>
    <t xml:space="preserve">GOVERN 1.6; MANAGE 1.3; MEASURE 2.4; MEASURE 2.7; MEASURE 2.8</t>
  </si>
  <si>
    <t xml:space="preserve">ASI03; ASI07; ASI10; LLM06:2025</t>
  </si>
  <si>
    <t xml:space="preserve">AML.T0012; AML.T0055; AML.T0073; AML.T0081; AML.T0083; AML.T0091; AML.T0098</t>
  </si>
  <si>
    <t xml:space="preserve">DE.CM; PR.AA</t>
  </si>
  <si>
    <t xml:space="preserve">CIS 5; CIS 6; CIS 8</t>
  </si>
  <si>
    <t xml:space="preserve">CC6.1; CC6.2; CC6.3; CC7.2</t>
  </si>
  <si>
    <t xml:space="preserve">05 AI access and identity</t>
  </si>
  <si>
    <t xml:space="preserve">MCP07:2025</t>
  </si>
  <si>
    <t xml:space="preserve">Wiki example ratings: likelihood Medium, impact High, residual High, priority 46.</t>
  </si>
  <si>
    <t xml:space="preserve">How to fill the AI Risk Register</t>
  </si>
  <si>
    <t xml:space="preserve">One line per register column, in order.</t>
  </si>
  <si>
    <t xml:space="preserve">Column</t>
  </si>
  <si>
    <t xml:space="preserve">Section</t>
  </si>
  <si>
    <t xml:space="preserve">Header</t>
  </si>
  <si>
    <t xml:space="preserve">Type</t>
  </si>
  <si>
    <t xml:space="preserve">What to enter / how it works</t>
  </si>
  <si>
    <t xml:space="preserve">A</t>
  </si>
  <si>
    <t xml:space="preserve">From wiki (editable)</t>
  </si>
  <si>
    <t xml:space="preserve">Unique ID. Keep AI-Rxx for library risks; use your own scheme (for example ORG-AI-001) for new rows.</t>
  </si>
  <si>
    <t xml:space="preserve">B</t>
  </si>
  <si>
    <t xml:space="preserve">Short name of the risk.</t>
  </si>
  <si>
    <t xml:space="preserve">C</t>
  </si>
  <si>
    <t xml:space="preserve">Enter / choose</t>
  </si>
  <si>
    <t xml:space="preserve">Owner domain 01 to 12 (see Lists). Pre-filled from the wiki.</t>
  </si>
  <si>
    <t xml:space="preserve">D</t>
  </si>
  <si>
    <t xml:space="preserve">Calculated</t>
  </si>
  <si>
    <t xml:space="preserve">Calculated from the domain code.</t>
  </si>
  <si>
    <t xml:space="preserve">E</t>
  </si>
  <si>
    <t xml:space="preserve">The wiki's likely owner for that domain. A suggestion only.</t>
  </si>
  <si>
    <t xml:space="preserve">F</t>
  </si>
  <si>
    <t xml:space="preserve">Only when two domains share the risk. Name one accountable owner anyway.</t>
  </si>
  <si>
    <t xml:space="preserve">G</t>
  </si>
  <si>
    <t xml:space="preserve">The AI system or use case assessed. Copy the workbook per use case, or keep one enterprise-wide register.</t>
  </si>
  <si>
    <t xml:space="preserve">H</t>
  </si>
  <si>
    <t xml:space="preserve">How the AI reaches the organization (choose from the list).</t>
  </si>
  <si>
    <t xml:space="preserve">I</t>
  </si>
  <si>
    <t xml:space="preserve">The AI asset most exposed (replaces the source template's asset categories).</t>
  </si>
  <si>
    <t xml:space="preserve">J</t>
  </si>
  <si>
    <t xml:space="preserve">The wiki's description of the risk factor.</t>
  </si>
  <si>
    <t xml:space="preserve">K</t>
  </si>
  <si>
    <t xml:space="preserve">Write the scenario: what could happen, to which asset or people, through which path, with what consequence.</t>
  </si>
  <si>
    <t xml:space="preserve">L</t>
  </si>
  <si>
    <t xml:space="preserve">Main kind of impact. "Financial" and "Rights, safety or wellbeing of people" are workbook additions to the wiki list.</t>
  </si>
  <si>
    <t xml:space="preserve">M</t>
  </si>
  <si>
    <t xml:space="preserve">Triage questions that switch this risk on.</t>
  </si>
  <si>
    <t xml:space="preserve">N</t>
  </si>
  <si>
    <t xml:space="preserve">Calculated from the Triage sheet: Applies, Not triggered or Not triaged.</t>
  </si>
  <si>
    <t xml:space="preserve">O</t>
  </si>
  <si>
    <t xml:space="preserve">Controls actually in place today, with AI-CTRL IDs where possible.</t>
  </si>
  <si>
    <t xml:space="preserve">P</t>
  </si>
  <si>
    <t xml:space="preserve">How well existing controls cover the risk (levels defined in Settings).</t>
  </si>
  <si>
    <t xml:space="preserve">Q</t>
  </si>
  <si>
    <t xml:space="preserve">Likelihood 1-4 with existing controls (Settings). Pre-filled with the wiki example: re-score.</t>
  </si>
  <si>
    <t xml:space="preserve">R</t>
  </si>
  <si>
    <t xml:space="preserve">Impact 1-4 (Settings). Pre-filled with the wiki example: re-score.</t>
  </si>
  <si>
    <t xml:space="preserve">S</t>
  </si>
  <si>
    <t xml:space="preserve">Likelihood x impact.</t>
  </si>
  <si>
    <t xml:space="preserve">T</t>
  </si>
  <si>
    <t xml:space="preserve">Rating from the Settings bands.</t>
  </si>
  <si>
    <t xml:space="preserve">U</t>
  </si>
  <si>
    <t xml:space="preserve">Record which approach was used, as the wiki methodology asks.</t>
  </si>
  <si>
    <t xml:space="preserve">V</t>
  </si>
  <si>
    <t xml:space="preserve">Only when quantified: estimated annual loss in your currency. Do not present it as more precise than its inputs.</t>
  </si>
  <si>
    <t xml:space="preserve">W</t>
  </si>
  <si>
    <t xml:space="preserve">Mitigate, Avoid, Transfer or Accept (wiki treatment options).</t>
  </si>
  <si>
    <t xml:space="preserve">X</t>
  </si>
  <si>
    <t xml:space="preserve">What will be done, by when, and why this option.</t>
  </si>
  <si>
    <t xml:space="preserve">Y</t>
  </si>
  <si>
    <t xml:space="preserve">Wiki controls mapped to this risk.</t>
  </si>
  <si>
    <t xml:space="preserve">Z</t>
  </si>
  <si>
    <t xml:space="preserve">Mapped controls in the wiki's Baseline tier (do these first).</t>
  </si>
  <si>
    <t xml:space="preserve">AA</t>
  </si>
  <si>
    <t xml:space="preserve">The wiki's summary of the control measures.</t>
  </si>
  <si>
    <t xml:space="preserve">AB</t>
  </si>
  <si>
    <t xml:space="preserve">Evidence an auditor should see.</t>
  </si>
  <si>
    <t xml:space="preserve">AC</t>
  </si>
  <si>
    <t xml:space="preserve">ISO/IEC 42001 Annex A controls cited by the mapped wiki controls.</t>
  </si>
  <si>
    <t xml:space="preserve">AD</t>
  </si>
  <si>
    <t xml:space="preserve">ISO/IEC 27001:2022 Annex A controls cited by the mapped wiki controls.</t>
  </si>
  <si>
    <t xml:space="preserve">AE</t>
  </si>
  <si>
    <t xml:space="preserve">NIST AI RMF subcategories cited by the mapped wiki controls.</t>
  </si>
  <si>
    <t xml:space="preserve">AF</t>
  </si>
  <si>
    <t xml:space="preserve">OWASP LLM 2025 and Agentic items cited by the mapped wiki controls.</t>
  </si>
  <si>
    <t xml:space="preserve">AG</t>
  </si>
  <si>
    <t xml:space="preserve">MITRE ATLAS techniques cited by the mapped wiki controls.</t>
  </si>
  <si>
    <t xml:space="preserve">AH</t>
  </si>
  <si>
    <t xml:space="preserve">FINOS AI Governance Framework risk cross-reference from the wiki mapping.</t>
  </si>
  <si>
    <t xml:space="preserve">AI</t>
  </si>
  <si>
    <t xml:space="preserve">NIST CSF categories cited by the mapped wiki controls.</t>
  </si>
  <si>
    <t xml:space="preserve">AJ</t>
  </si>
  <si>
    <t xml:space="preserve">CIS Controls cited by the mapped wiki controls.</t>
  </si>
  <si>
    <t xml:space="preserve">AK</t>
  </si>
  <si>
    <t xml:space="preserve">SOC 2 criteria cited by the mapped wiki controls.</t>
  </si>
  <si>
    <t xml:space="preserve">AL</t>
  </si>
  <si>
    <t xml:space="preserve">NIST AI 600-1 risks the wiki maps directly to this risk.</t>
  </si>
  <si>
    <t xml:space="preserve">AM</t>
  </si>
  <si>
    <t xml:space="preserve">AI Risk Map categories the wiki maps directly to this risk.</t>
  </si>
  <si>
    <t xml:space="preserve">AN</t>
  </si>
  <si>
    <t xml:space="preserve">OWASP MCP Top 10 items the wiki maps directly to this risk.</t>
  </si>
  <si>
    <t xml:space="preserve">AO</t>
  </si>
  <si>
    <t xml:space="preserve">OECD, EU Ethics Guidelines, UNESCO, IEEE 7000-series, Council of Europe Convention and G7 Code items linked via the mapped controls.</t>
  </si>
  <si>
    <t xml:space="preserve">AP</t>
  </si>
  <si>
    <t xml:space="preserve">Regional regulatory crosswalk IDs linked via the mapped controls (see the Regulatory Crosswalk sheet for the instrument and its verification tag).</t>
  </si>
  <si>
    <t xml:space="preserve">AQ</t>
  </si>
  <si>
    <t xml:space="preserve">Total framework items linked across all crosswalks (see the Framework Matrix sheet).</t>
  </si>
  <si>
    <t xml:space="preserve">AR</t>
  </si>
  <si>
    <t xml:space="preserve">Number of wiki test cases under the mapped controls.</t>
  </si>
  <si>
    <t xml:space="preserve">AS</t>
  </si>
  <si>
    <t xml:space="preserve">Expected likelihood after treatment.</t>
  </si>
  <si>
    <t xml:space="preserve">AT</t>
  </si>
  <si>
    <t xml:space="preserve">Expected impact after treatment.</t>
  </si>
  <si>
    <t xml:space="preserve">AU</t>
  </si>
  <si>
    <t xml:space="preserve">Target likelihood x target impact.</t>
  </si>
  <si>
    <t xml:space="preserve">AV</t>
  </si>
  <si>
    <t xml:space="preserve">Target rating.</t>
  </si>
  <si>
    <t xml:space="preserve">AW</t>
  </si>
  <si>
    <t xml:space="preserve">Target rating if set, otherwise current rating.</t>
  </si>
  <si>
    <t xml:space="preserve">AX</t>
  </si>
  <si>
    <t xml:space="preserve">Yes if the residual rating is at or below the appetite in Settings.</t>
  </si>
  <si>
    <t xml:space="preserve">AY</t>
  </si>
  <si>
    <t xml:space="preserve">Who may accept the residual rating (Settings).</t>
  </si>
  <si>
    <t xml:space="preserve">AZ</t>
  </si>
  <si>
    <t xml:space="preserve">The person or role accountable for the risk (list allows your own entries).</t>
  </si>
  <si>
    <t xml:space="preserve">BA</t>
  </si>
  <si>
    <t xml:space="preserve">Who implements the treatment.</t>
  </si>
  <si>
    <t xml:space="preserve">BB</t>
  </si>
  <si>
    <t xml:space="preserve">Date the risk was identified.</t>
  </si>
  <si>
    <t xml:space="preserve">BC</t>
  </si>
  <si>
    <t xml:space="preserve">Date identified + days allowed for the current rating (Settings).</t>
  </si>
  <si>
    <t xml:space="preserve">BD</t>
  </si>
  <si>
    <t xml:space="preserve">Planned date. If later than the deadline, get an acceptance with an expiry date.</t>
  </si>
  <si>
    <t xml:space="preserve">BE</t>
  </si>
  <si>
    <t xml:space="preserve">Open, In progress, Mitigated - verifying, Transferred, Accepted or Closed.</t>
  </si>
  <si>
    <t xml:space="preserve">BF</t>
  </si>
  <si>
    <t xml:space="preserve">Calculated: Deadline exceeded, Deadline approaching, On track, No action, or Set date identified.</t>
  </si>
  <si>
    <t xml:space="preserve">BG</t>
  </si>
  <si>
    <t xml:space="preserve">Expiry of a risk acceptance or exception (required for Accept).</t>
  </si>
  <si>
    <t xml:space="preserve">BH</t>
  </si>
  <si>
    <t xml:space="preserve">Date of the last review.</t>
  </si>
  <si>
    <t xml:space="preserve">BI</t>
  </si>
  <si>
    <t xml:space="preserve">Last review + review interval for the residual rating (Settings).</t>
  </si>
  <si>
    <t xml:space="preserve">BJ</t>
  </si>
  <si>
    <t xml:space="preserve">Yes when current or target rating reaches the escalation level in Settings.</t>
  </si>
  <si>
    <t xml:space="preserve">BK</t>
  </si>
  <si>
    <t xml:space="preserve">Who was consulted and what changed as a result.</t>
  </si>
  <si>
    <t xml:space="preserve">BL</t>
  </si>
  <si>
    <t xml:space="preserve">Calculated list of missing or inconsistent fields; "OK" when complete.</t>
  </si>
  <si>
    <t xml:space="preserve">BM</t>
  </si>
  <si>
    <t xml:space="preserve">Anything else. Pre-filled with the wiki's example ratings for comparison.</t>
  </si>
  <si>
    <t xml:space="preserve">Worked example (illustrative only, not a real assessment)</t>
  </si>
  <si>
    <t xml:space="preserve">Customer support assistant answering from public help-centre articles (RAG)</t>
  </si>
  <si>
    <t xml:space="preserve">Custom AI applications (incl. RAG)</t>
  </si>
  <si>
    <t xml:space="preserve">Custom AI application</t>
  </si>
  <si>
    <t xml:space="preserve">Risk Scenario</t>
  </si>
  <si>
    <t xml:space="preserve">An attacker plants instructions in a support ticket the assistant reads; the assistant reveals other customers' order details from its retrieval results.</t>
  </si>
  <si>
    <t xml:space="preserve">Confidentiality</t>
  </si>
  <si>
    <t xml:space="preserve">Input filter (AI-CTRL-005), retrieval limited to public articles (AI-CTRL-018). No adversarial testing yet.</t>
  </si>
  <si>
    <t xml:space="preserve">Weak</t>
  </si>
  <si>
    <t xml:space="preserve">Current Likelihood / Impact</t>
  </si>
  <si>
    <t xml:space="preserve">3 / 3, giving score 9, rating High (default bands)</t>
  </si>
  <si>
    <t xml:space="preserve">Treatment Plan</t>
  </si>
  <si>
    <t xml:space="preserve">Add output inspection (AI-CTRL-020) and adversarial testing (AI-CTRL-034) before go-live; remove ticket history from the retrieval scope.</t>
  </si>
  <si>
    <t xml:space="preserve">Target Likelihood / Impact</t>
  </si>
  <si>
    <t xml:space="preserve">2 / 2, giving score 4, rating Medium: within appetite</t>
  </si>
  <si>
    <t xml:space="preserve">Risk Owner</t>
  </si>
  <si>
    <t xml:space="preserve">AI Product Owner</t>
  </si>
  <si>
    <t xml:space="preserve">01-Oct-2026, giving a High deadline of 30-Dec-2026 (90 days)</t>
  </si>
  <si>
    <t xml:space="preserve">AI use-case triage: which register risks apply</t>
  </si>
  <si>
    <t xml:space="preserve">Answer every question Yes or No for the use case as it will run in production. The register's "Triage Result" column then shows which risks apply. Source: AI Use-Case Risk Triage (wiki).</t>
  </si>
  <si>
    <t xml:space="preserve">Use case / AI system:</t>
  </si>
  <si>
    <t xml:space="preserve">#</t>
  </si>
  <si>
    <t xml:space="preserve">Question</t>
  </si>
  <si>
    <t xml:space="preserve">If Yes, apply risks</t>
  </si>
  <si>
    <t xml:space="preserve">Answer (Yes / No)</t>
  </si>
  <si>
    <t xml:space="preserve">A1</t>
  </si>
  <si>
    <t xml:space="preserve">A. Autonomy and actions</t>
  </si>
  <si>
    <t xml:space="preserve">Can the AI call tools, APIs or systems, or change data?</t>
  </si>
  <si>
    <t xml:space="preserve">AI-R07, AI-R24, AI-R22</t>
  </si>
  <si>
    <t xml:space="preserve">A2</t>
  </si>
  <si>
    <t xml:space="preserve">Can it take actions without a human approving each one?</t>
  </si>
  <si>
    <t xml:space="preserve">AI-R07, AI-R19, AI-R18</t>
  </si>
  <si>
    <t xml:space="preserve">Does it keep persistent memory, notes or state across sessions?</t>
  </si>
  <si>
    <t xml:space="preserve">Does it interact with other agents, or use skills, plugins or MCP servers?</t>
  </si>
  <si>
    <t xml:space="preserve">AI-R23, AI-R25</t>
  </si>
  <si>
    <t xml:space="preserve">Can it reach files, a shell, a browser session or code repositories?</t>
  </si>
  <si>
    <t xml:space="preserve">AI-R22, AI-R04</t>
  </si>
  <si>
    <t xml:space="preserve">A6</t>
  </si>
  <si>
    <t xml:space="preserve">In a single session, does it read untrusted content, reach private data, and have a way to send data out (email, web requests, posting, rendering remote links or images)? See the lethal trifecta.</t>
  </si>
  <si>
    <t xml:space="preserve">AI-R05, AI-R06, AI-R24</t>
  </si>
  <si>
    <t xml:space="preserve">B1</t>
  </si>
  <si>
    <t xml:space="preserve">B. Data and hosting</t>
  </si>
  <si>
    <t xml:space="preserve">Will it process confidential, restricted or regulated data?</t>
  </si>
  <si>
    <t xml:space="preserve">AI-R01, AI-R03, AI-R06</t>
  </si>
  <si>
    <t xml:space="preserve">B2</t>
  </si>
  <si>
    <t xml:space="preserve">Will it process personal data?</t>
  </si>
  <si>
    <t xml:space="preserve">AI-R03, AI-R28</t>
  </si>
  <si>
    <t xml:space="preserve">B3</t>
  </si>
  <si>
    <t xml:space="preserve">Is the model or service hosted by a third party?</t>
  </si>
  <si>
    <t xml:space="preserve">AI-R10, AI-R16, AI-R13</t>
  </si>
  <si>
    <t xml:space="preserve">B4</t>
  </si>
  <si>
    <t xml:space="preserve">Could data be processed or stored outside the approved jurisdiction?</t>
  </si>
  <si>
    <t xml:space="preserve">B5</t>
  </si>
  <si>
    <t xml:space="preserve">Does it retrieve from internal knowledge sources or a vector store?</t>
  </si>
  <si>
    <t xml:space="preserve">AI-R05, AI-R06, AI-R17</t>
  </si>
  <si>
    <t xml:space="preserve">Will it be fine-tuned or trained on enterprise data?</t>
  </si>
  <si>
    <t xml:space="preserve">AI-R08, AI-R17</t>
  </si>
  <si>
    <t xml:space="preserve">C. Effect on people and the business</t>
  </si>
  <si>
    <t xml:space="preserve">Will its output inform or make decisions about individuals (eligibility, pricing, hiring, access, service level)?</t>
  </si>
  <si>
    <t xml:space="preserve">AI-R14, AI-R15, AI-R19, AI-R28</t>
  </si>
  <si>
    <t xml:space="preserve">C2</t>
  </si>
  <si>
    <t xml:space="preserve">Is it customer-facing or public-facing?</t>
  </si>
  <si>
    <t xml:space="preserve">AI-R20, AI-R05, AI-R12</t>
  </si>
  <si>
    <t xml:space="preserve">C3</t>
  </si>
  <si>
    <t xml:space="preserve">Does it operate in, or affect, critical infrastructure or safety-relevant processes?</t>
  </si>
  <si>
    <t xml:space="preserve">AI-R01, AI-R13, AI-R12</t>
  </si>
  <si>
    <t xml:space="preserve">C4</t>
  </si>
  <si>
    <t xml:space="preserve">Is the process regulated, so the AI step must meet the same supervisory standard as a human one?</t>
  </si>
  <si>
    <t xml:space="preserve">AI-R28, AI-R15</t>
  </si>
  <si>
    <t xml:space="preserve">C5</t>
  </si>
  <si>
    <t xml:space="preserve">Will people act on its output without independent checking?</t>
  </si>
  <si>
    <t xml:space="preserve">AI-R12, AI-R19</t>
  </si>
  <si>
    <t xml:space="preserve">D1</t>
  </si>
  <si>
    <t xml:space="preserve">D. Model and operations</t>
  </si>
  <si>
    <t xml:space="preserve">Does the provider control updates to the underlying model (aliases, silent upgrades)?</t>
  </si>
  <si>
    <t xml:space="preserve">Could usage or cost grow quickly without a human noticing (automated traffic, loops)?</t>
  </si>
  <si>
    <t xml:space="preserve">Will it show or log reasoning steps, intermediate tool output or system instructions?</t>
  </si>
  <si>
    <t xml:space="preserve">Will it generate content or code that is published, shipped or sent externally?</t>
  </si>
  <si>
    <t xml:space="preserve">AI-R27, AI-R20</t>
  </si>
  <si>
    <t xml:space="preserve">D5</t>
  </si>
  <si>
    <t xml:space="preserve">Is the business process dependent on it being available?</t>
  </si>
  <si>
    <t xml:space="preserve">Does it lack a registered purpose, or could it be reused for a purpose other than the approved one?</t>
  </si>
  <si>
    <t xml:space="preserve">AI-R18, AI-R02</t>
  </si>
  <si>
    <t xml:space="preserve">Might its outputs or actions later need to be investigated or evidenced (an incident, a dispute, an audit)?</t>
  </si>
  <si>
    <t xml:space="preserve">AI-R09, AI-R15</t>
  </si>
  <si>
    <t xml:space="preserve">E. Business, people, legal and supply chain</t>
  </si>
  <si>
    <t xml:space="preserve">Is the use case being funded or scaled at significant cost, or without a stated problem and success measure?</t>
  </si>
  <si>
    <t xml:space="preserve">AI-R29, AI-R30</t>
  </si>
  <si>
    <t xml:space="preserve">Does the cost depend on a provider's pricing, or on usage that is hard to forecast?</t>
  </si>
  <si>
    <t xml:space="preserve">AI-R30, AI-R35</t>
  </si>
  <si>
    <t xml:space="preserve">Does it depend on one model provider, a proprietary API or fine-tuning that would not transfer to another provider?</t>
  </si>
  <si>
    <t xml:space="preserve">Does it share a base model with other systems, or with the controls that check its output?</t>
  </si>
  <si>
    <t xml:space="preserve">Will it take over work that people do today, or change their roles?</t>
  </si>
  <si>
    <t xml:space="preserve">AI-R33, AI-R34</t>
  </si>
  <si>
    <t xml:space="preserve">Will you fine-tune, rebrand or change the purpose of a third-party model, or self-host an open-weight model?</t>
  </si>
  <si>
    <t xml:space="preserve">AI-R36, AI-R37, AI-R44</t>
  </si>
  <si>
    <t xml:space="preserve">Could its prompts, outputs or traces be needed in litigation, a regulatory inquiry or a dispute?</t>
  </si>
  <si>
    <t xml:space="preserve">Is it a model used in decisions that model risk management or financial reporting controls cover?</t>
  </si>
  <si>
    <t xml:space="preserve">AI-R39, AI-R40</t>
  </si>
  <si>
    <t xml:space="preserve">Will the organization make external claims about its AI capability, or rely on a vendor's claim?</t>
  </si>
  <si>
    <t xml:space="preserve">Is it conversational, with a persona, or open to the public or to vulnerable users?</t>
  </si>
  <si>
    <t xml:space="preserve">Will it write code or install software dependencies?</t>
  </si>
  <si>
    <t xml:space="preserve">Can it act on behalf of users, with permissions broader than some of those users hold, or is its activity watched by security monitoring?</t>
  </si>
  <si>
    <t xml:space="preserve">AI-R45, AI-R46</t>
  </si>
  <si>
    <t xml:space="preserve">Full impact assessment needed?</t>
  </si>
  <si>
    <t xml:space="preserve">Rule from the wiki: any Yes to C1, C3 or C4, or Yes to both B2 and C2. These are the wiki's thresholds; ISO/IEC 42005:2025 clause 5.7 asks each organization to set its own.</t>
  </si>
  <si>
    <t xml:space="preserve">Questions answered</t>
  </si>
  <si>
    <t xml:space="preserve">Risks that apply</t>
  </si>
  <si>
    <t xml:space="preserve">AI risk assessment and treatment methodology</t>
  </si>
  <si>
    <t xml:space="preserve">Summarised from the wiki pages AI Risk Methodology and AI Risk Treatment Plan. The numeric scales are in Settings.</t>
  </si>
  <si>
    <t xml:space="preserve">Risk formula</t>
  </si>
  <si>
    <t xml:space="preserve">Score</t>
  </si>
  <si>
    <t xml:space="preserve">Likelihood (1-4) x Impact (1-4), giving 1 to 16.</t>
  </si>
  <si>
    <t xml:space="preserve">Looked up from the bands in Settings (Low, Medium, High, Critical, matching the wiki Risk Scale).</t>
  </si>
  <si>
    <t xml:space="preserve">Current vs target</t>
  </si>
  <si>
    <t xml:space="preserve">Current = with existing controls. Target = expected after the planned treatment. The residual rating used for appetite is the target if set, otherwise the current rating.</t>
  </si>
  <si>
    <t xml:space="preserve">Why not CIA</t>
  </si>
  <si>
    <t xml:space="preserve">The source template valued assets by confidentiality, integrity and availability. Many AI risks (cost, workforce, bias, strategy, legal) are not CIA risks, so impact is scored directly and the impact type is recorded separately.</t>
  </si>
  <si>
    <t xml:space="preserve">Rating factors (wiki)</t>
  </si>
  <si>
    <t xml:space="preserve">Factor</t>
  </si>
  <si>
    <t xml:space="preserve">Definition</t>
  </si>
  <si>
    <t xml:space="preserve">Likelihood</t>
  </si>
  <si>
    <t xml:space="preserve">Probability of the risk occurring based on exposure, adoption, control maturity and user behavior.</t>
  </si>
  <si>
    <t xml:space="preserve">Impact</t>
  </si>
  <si>
    <t xml:space="preserve">Consequence to confidentiality, integrity, availability, compliance, operational continuity, reputation or critical infrastructure.</t>
  </si>
  <si>
    <t xml:space="preserve">Current ability of existing controls to prevent, detect, respond or provide evidence.</t>
  </si>
  <si>
    <t xml:space="preserve">Residual Risk</t>
  </si>
  <si>
    <t xml:space="preserve">Remaining risk after considering current control coverage.</t>
  </si>
  <si>
    <t xml:space="preserve">Additional Control Requirement</t>
  </si>
  <si>
    <t xml:space="preserve">Whether AI-specific controls, governance, monitoring or enforcement are required.</t>
  </si>
  <si>
    <t xml:space="preserve">Risk scale (wiki)</t>
  </si>
  <si>
    <t xml:space="preserve">Limited likelihood or business impact; existing controls generally sufficient.</t>
  </si>
  <si>
    <t xml:space="preserve">Possible risk affecting sensitive information, compliance or business processes; monitoring or governance may be required.</t>
  </si>
  <si>
    <t xml:space="preserve">Likely or significant impact; additional controls, monitoring or enforcement required.</t>
  </si>
  <si>
    <t xml:space="preserve">May affect critical infrastructure, restricted data, regulatory obligations or operational continuity; strong preventive and detective controls required.</t>
  </si>
  <si>
    <t xml:space="preserve">Before rating (wiki)</t>
  </si>
  <si>
    <t xml:space="preserve">Risk factor vs scenario</t>
  </si>
  <si>
    <t xml:space="preserve">Each library entry is a risk factor. Before rating, turn it into a scenario for the system: what could happen, to which asset or people, through which path, with what consequence. Write it in "Risk Scenario".</t>
  </si>
  <si>
    <t xml:space="preserve">Order is not likelihood</t>
  </si>
  <si>
    <t xml:space="preserve">The position of a risk in the list says nothing about how likely or severe it is.</t>
  </si>
  <si>
    <t xml:space="preserve">Lists seed the assessment</t>
  </si>
  <si>
    <t xml:space="preserve">Use the library and triage to prompt threat modelling, alongside a model of the specific system.</t>
  </si>
  <si>
    <t xml:space="preserve">Scope</t>
  </si>
  <si>
    <t xml:space="preserve">Risks from the organization's own adoption of AI. Attacks others carry out with AI belong on the threat register.</t>
  </si>
  <si>
    <t xml:space="preserve">Owner domain</t>
  </si>
  <si>
    <t xml:space="preserve">Record the domain that owns the risk; if two own it, record the second domain and name one accountable owner.</t>
  </si>
  <si>
    <t xml:space="preserve">When to quantify</t>
  </si>
  <si>
    <t xml:space="preserve">Use FAIR-style quantification where loss data or credible estimates exist (data leakage, cost abuse, disruption, fines). Use a narrative with indicators for risks such as loss of expertise or trust. Record the approach used.</t>
  </si>
  <si>
    <t xml:space="preserve">Credit</t>
  </si>
  <si>
    <t xml:space="preserve">These usage ideas are adapted by the wiki from the AI Risk Map v1.3 by Evan Wheeler, RiskFramework.org, CC BY-SA 4.0.</t>
  </si>
  <si>
    <t xml:space="preserve">Treatment options (wiki)</t>
  </si>
  <si>
    <t xml:space="preserve">Option</t>
  </si>
  <si>
    <t xml:space="preserve">When to use</t>
  </si>
  <si>
    <t xml:space="preserve">Required evidence</t>
  </si>
  <si>
    <t xml:space="preserve">Control can reduce likelihood or impact</t>
  </si>
  <si>
    <t xml:space="preserve">Control configuration, test results, logs</t>
  </si>
  <si>
    <t xml:space="preserve">Risk exceeds tolerance or controls unavailable</t>
  </si>
  <si>
    <t xml:space="preserve">Rejection decision, architectural notes</t>
  </si>
  <si>
    <t xml:space="preserve">Third party assumes contractual responsibility</t>
  </si>
  <si>
    <t xml:space="preserve">Contract terms, SLA, audit rights</t>
  </si>
  <si>
    <t xml:space="preserve">Residual risk is within tolerance</t>
  </si>
  <si>
    <t xml:space="preserve">Risk acceptance record, owner approval, review date</t>
  </si>
  <si>
    <t xml:space="preserve">Exceptions (wiki)</t>
  </si>
  <si>
    <t xml:space="preserve">Every exception records</t>
  </si>
  <si>
    <t xml:space="preserve">Business justification, affected AI platform, data classification, compensating controls, approval owner, expiry date and review cadence.</t>
  </si>
  <si>
    <t xml:space="preserve">Treatment phases (wiki)</t>
  </si>
  <si>
    <t xml:space="preserve">Phase</t>
  </si>
  <si>
    <t xml:space="preserve">Key activities</t>
  </si>
  <si>
    <t xml:space="preserve">Outcome</t>
  </si>
  <si>
    <t xml:space="preserve">Phase 1: Visibility and Discovery</t>
  </si>
  <si>
    <t xml:space="preserve">Discover AI tools, users, endpoints, IDE plugins, SaaS AI, AI APIs and custom apps</t>
  </si>
  <si>
    <t xml:space="preserve">AI inventory and usage baseline</t>
  </si>
  <si>
    <t xml:space="preserve">Phase 2: Data Protection and Enforcement</t>
  </si>
  <si>
    <t xml:space="preserve">Classification-aware prompt and upload controls; detect source code and credentials</t>
  </si>
  <si>
    <t xml:space="preserve">Data leakage risk reduction</t>
  </si>
  <si>
    <t xml:space="preserve">Phase 3: Runtime Protection</t>
  </si>
  <si>
    <t xml:space="preserve">Test prompt injection, RAG retrieval, output governance, AI API security</t>
  </si>
  <si>
    <t xml:space="preserve">Production-ready AI application controls</t>
  </si>
  <si>
    <t xml:space="preserve">Phase 4: Agentic AI Governance</t>
  </si>
  <si>
    <t xml:space="preserve">Agent identity, tool/API permissions, approval workflows, action logs</t>
  </si>
  <si>
    <t xml:space="preserve">Controlled agentic AI adoption</t>
  </si>
  <si>
    <t xml:space="preserve">Phase 5: Continuous Governance</t>
  </si>
  <si>
    <t xml:space="preserve">Periodic review, dashboard reporting, exception tracking, audit evidence</t>
  </si>
  <si>
    <t xml:space="preserve">Sustainable AI governance maturity</t>
  </si>
  <si>
    <t xml:space="preserve">Review triggers (wiki): re-assess when any of these happen</t>
  </si>
  <si>
    <t xml:space="preserve">New AI vendor onboarding.</t>
  </si>
  <si>
    <t xml:space="preserve">New AI integration with enterprise data.</t>
  </si>
  <si>
    <t xml:space="preserve">AI coding assistant adoption.</t>
  </si>
  <si>
    <t xml:space="preserve">New RAG or custom AI application.</t>
  </si>
  <si>
    <t xml:space="preserve">Agentic AI workflow or tool-calling capability.</t>
  </si>
  <si>
    <t xml:space="preserve">Regulatory, audit or third-party risk review.</t>
  </si>
  <si>
    <t xml:space="preserve">A change to the system's purpose, users, deployment region or languages, or its data sources (also review its impact assessment, AI-CTRL-042).</t>
  </si>
  <si>
    <t xml:space="preserve">A material incident, or monitoring that shows the system operating outside its validated boundaries.</t>
  </si>
  <si>
    <t xml:space="preserve">A provider notice of a price change, licence change or model retirement.</t>
  </si>
  <si>
    <t xml:space="preserve">Controls that have not been re-verified since the system last changed.</t>
  </si>
  <si>
    <t xml:space="preserve">Communication and consultation (wiki)</t>
  </si>
  <si>
    <t xml:space="preserve">Consult</t>
  </si>
  <si>
    <t xml:space="preserve">Business owner, data owner, security architecture, privacy, legal, operating teams and, for systems that affect people, representatives of those affected. Record who and what changed in "Consulted".</t>
  </si>
  <si>
    <t xml:space="preserve">Report</t>
  </si>
  <si>
    <t xml:space="preserve">Outcome to the risk owner; High and Critical risks also to the AI Governance Committee.</t>
  </si>
  <si>
    <t xml:space="preserve">Alignment with ISO/IEC 23894 (wiki)</t>
  </si>
  <si>
    <t xml:space="preserve">ISO/IEC 23894 clause</t>
  </si>
  <si>
    <t xml:space="preserve">Where it is done</t>
  </si>
  <si>
    <t xml:space="preserve">6.2 Communication and consultation</t>
  </si>
  <si>
    <t xml:space="preserve">Communication and Consultation, above</t>
  </si>
  <si>
    <t xml:space="preserve">6.3 Scope, context and criteria</t>
  </si>
  <si>
    <t xml:space="preserve">Risk Appetite and Criteria, and Risk Scale, above; AI Use-Case Risk Triage</t>
  </si>
  <si>
    <t xml:space="preserve">6.4.2 Risk identification</t>
  </si>
  <si>
    <t xml:space="preserve">AI Use-Case Risk Triage; Enterprise AI Risk Register</t>
  </si>
  <si>
    <t xml:space="preserve">6.4.3 Risk analysis and 6.4.4 Risk evaluation</t>
  </si>
  <si>
    <t xml:space="preserve">Rating Factors and Risk Scale, above</t>
  </si>
  <si>
    <t xml:space="preserve">6.5 Risk treatment</t>
  </si>
  <si>
    <t xml:space="preserve">AI Risk Treatment Plan; AI Risk to Control Mapping</t>
  </si>
  <si>
    <t xml:space="preserve">6.6 Monitoring and review</t>
  </si>
  <si>
    <t xml:space="preserve">Review Triggers, above; AI Risk Review Template</t>
  </si>
  <si>
    <t xml:space="preserve">6.7 Recording and reporting</t>
  </si>
  <si>
    <t xml:space="preserve">Required Fields for New AI Risk Entry, above; Risk, Control and Test Traceability</t>
  </si>
  <si>
    <t xml:space="preserve">Settings: scales, rating bands and risk criteria</t>
  </si>
  <si>
    <t xml:space="preserve">Orange cells are workbook defaults, not wiki or standard values. The governing body should approve them as the risk criteria (AI Risk Methodology, Risk Appetite and Criteria).</t>
  </si>
  <si>
    <t xml:space="preserve">Likelihood scale</t>
  </si>
  <si>
    <t xml:space="preserve">Level</t>
  </si>
  <si>
    <t xml:space="preserve">Definition (workbook default)</t>
  </si>
  <si>
    <t xml:space="preserve">Unlikely in the next three years, or needs unusual conditions or a skilled, motivated attacker; strong controls in place.</t>
  </si>
  <si>
    <t xml:space="preserve">Could happen within one to three years; the exposure exists and controls are partial.</t>
  </si>
  <si>
    <t xml:space="preserve">Likely within a year; the AI use is widespread, the path is known or the controls are weak.</t>
  </si>
  <si>
    <t xml:space="preserve">Very High</t>
  </si>
  <si>
    <t xml:space="preserve">Expected within months, or already happening (for example, observed in monitoring or incidents).</t>
  </si>
  <si>
    <t xml:space="preserve">Impact scale</t>
  </si>
  <si>
    <t xml:space="preserve">Definition (wiki Risk Scale wording, applied to impact)</t>
  </si>
  <si>
    <t xml:space="preserve">Rating bands and actions (score = likelihood x impact, 1 to 16)</t>
  </si>
  <si>
    <t xml:space="preserve">Min score</t>
  </si>
  <si>
    <t xml:space="preserve">Max score</t>
  </si>
  <si>
    <t xml:space="preserve">Rank</t>
  </si>
  <si>
    <t xml:space="preserve">Mitigation deadline (days)</t>
  </si>
  <si>
    <t xml:space="preserve">Review interval (months)</t>
  </si>
  <si>
    <t xml:space="preserve">Who may accept residual risk</t>
  </si>
  <si>
    <t xml:space="preserve">Max acceptance period (months)</t>
  </si>
  <si>
    <t xml:space="preserve">Action required</t>
  </si>
  <si>
    <t xml:space="preserve">Risk owner</t>
  </si>
  <si>
    <t xml:space="preserve">Manage through routine processes; review annually.</t>
  </si>
  <si>
    <t xml:space="preserve">Risk owner, with GRC / Compliance agreement</t>
  </si>
  <si>
    <t xml:space="preserve">Reduce where practical; monitor; report in the regular risk report.</t>
  </si>
  <si>
    <t xml:space="preserve">AI Governance Committee</t>
  </si>
  <si>
    <t xml:space="preserve">Additional controls, monitoring or enforcement required; report to the AI Governance Committee.</t>
  </si>
  <si>
    <t xml:space="preserve">Governing body or accountable executive, on the AI Governance Committee's recommendation</t>
  </si>
  <si>
    <t xml:space="preserve">Strong preventive and detective controls required before or immediately after go-live; report to the AI Governance Committee and the governing body.</t>
  </si>
  <si>
    <t xml:space="preserve">Note: scores 5, 7, 10, 11, 13, 14 and 15 cannot occur with a 4 x 4 scale. Each band starts at "Min score" and runs to the next band's minimum, so there is no gap. Keep the minimums in ascending order.</t>
  </si>
  <si>
    <t xml:space="preserve">Risk criteria</t>
  </si>
  <si>
    <t xml:space="preserve">Highest residual rating acceptable within appetite</t>
  </si>
  <si>
    <t xml:space="preserve">Above this, a residual risk is outside appetite and needs acceptance by the authority above, with an expiry date.</t>
  </si>
  <si>
    <t xml:space="preserve">Rating at or above which the risk is reported to the AI Governance Committee</t>
  </si>
  <si>
    <t xml:space="preserve">Wiki: report the outcome to the AI Governance Committee for High and Critical risks (AI Risk Methodology, Communication and Consultation).</t>
  </si>
  <si>
    <t xml:space="preserve">"Deadline approaching" warning window (days)</t>
  </si>
  <si>
    <t xml:space="preserve">Days before the mitigation deadline when the alert changes from "On track" to "Deadline approaching".</t>
  </si>
  <si>
    <t xml:space="preserve">Existing control coverage levels (workbook default)</t>
  </si>
  <si>
    <t xml:space="preserve">Meaning</t>
  </si>
  <si>
    <t xml:space="preserve">No control addresses this risk, or it is planned only.</t>
  </si>
  <si>
    <t xml:space="preserve">A control exists but covers only part of the path, or has not been tested.</t>
  </si>
  <si>
    <t xml:space="preserve">Partial</t>
  </si>
  <si>
    <t xml:space="preserve">Controls cover the main path and have been tested, but there are known gaps or no evidence of operation over time.</t>
  </si>
  <si>
    <t xml:space="preserve">Effective</t>
  </si>
  <si>
    <t xml:space="preserve">Controls cover the path, are tested, and current evidence shows they operate (see AI-CTRL-038).</t>
  </si>
  <si>
    <t xml:space="preserve">AI Risk Library (reference copy of the wiki register)</t>
  </si>
  <si>
    <t xml:space="preserve">Source: Enterprise AI Risk Register and AI Risk Map Crosswalk, AI Security Wiki, as of 25 October 2026. Do not edit; use the register sheet.</t>
  </si>
  <si>
    <t xml:space="preserve">Risk Area</t>
  </si>
  <si>
    <t xml:space="preserve">Narrative</t>
  </si>
  <si>
    <t xml:space="preserve">Wiki Example Likelihood</t>
  </si>
  <si>
    <t xml:space="preserve">Wiki Example Impact</t>
  </si>
  <si>
    <t xml:space="preserve">Wiki Example Residual</t>
  </si>
  <si>
    <t xml:space="preserve">Wiki Example Priority</t>
  </si>
  <si>
    <t xml:space="preserve">AI Risk Map categories (match)</t>
  </si>
  <si>
    <t xml:space="preserve">NIST AI 600-1 risks (match)</t>
  </si>
  <si>
    <t xml:space="preserve">OWASP MCP Top 10 (match)</t>
  </si>
  <si>
    <t xml:space="preserve">Controls</t>
  </si>
  <si>
    <t xml:space="preserve">01 Governance and oversight (Partial); 01 Policy and standards (Partial); 07 MLOps and deployment (Partial)</t>
  </si>
  <si>
    <t xml:space="preserve">MCP09:2025 Shadow MCP Servers (Partial)</t>
  </si>
  <si>
    <t xml:space="preserve">03 Privacy and consent (Partial)</t>
  </si>
  <si>
    <t xml:space="preserve">Data Privacy (Direct)</t>
  </si>
  <si>
    <t xml:space="preserve">Medium-High</t>
  </si>
  <si>
    <t xml:space="preserve">05 Data and pipeline attacks (Direct); 05 Inference-time (input) attacks (Direct)</t>
  </si>
  <si>
    <t xml:space="preserve">Information Security (Partial)</t>
  </si>
  <si>
    <t xml:space="preserve">MCP06:2025 Prompt Injection via Contextual Payloads (Direct)</t>
  </si>
  <si>
    <t xml:space="preserve">03 Privacy and consent (Partial); 05 Output and integration security (Direct); 05 AI access and identity (Direct)</t>
  </si>
  <si>
    <t xml:space="preserve">MCP10:2025 Context Injection &amp; Over-Sharing (Partial)</t>
  </si>
  <si>
    <t xml:space="preserve">05 Output and integration security (Direct); 12 Autonomy, alignment and oversight (Direct); 12 Tool access and authorization (Direct); 12 Action integrity and traceability (Partial)</t>
  </si>
  <si>
    <t xml:space="preserve">MCP02:2025 Privilege Escalation via Scope Creep (Direct); MCP07:2025 Insufficient Authentication &amp; Authorization (Direct)</t>
  </si>
  <si>
    <t xml:space="preserve">03 Sourcing and provenance (Partial); 04 Design and training (Partial); 05 Data and pipeline attacks (Direct); 05 Model attacks (Partial); 05 Supply-chain and artifact integrity (Direct); 09 Open-source component risk (Partial)</t>
  </si>
  <si>
    <t xml:space="preserve">Information Security (Partial); Value Chain and Component Integration (Direct)</t>
  </si>
  <si>
    <t xml:space="preserve">MCP04:2025 Software Supply Chain Attacks &amp; Dependency Tampering (Direct)</t>
  </si>
  <si>
    <t xml:space="preserve">01 Audit and assurance (Partial); 04 Reproducibility and documentation (Partial); 07 Monitoring and observability (Direct); 07 Incident management (Partial); 12 Action integrity and traceability (Partial)</t>
  </si>
  <si>
    <t xml:space="preserve">MCP08:2025 Lack of Audit and Telemetry (Direct)</t>
  </si>
  <si>
    <t xml:space="preserve">03 Privacy and consent (Partial); 08 Contractual and licensing (Partial); 08 Cross-border (Direct); 09 Vendor due diligence (Partial)</t>
  </si>
  <si>
    <t xml:space="preserve">07 Availability and scalability (Direct); 11 Cost and compute economics (Direct)</t>
  </si>
  <si>
    <t xml:space="preserve">04 Accuracy and validation (Direct); 06 Harmful / inaccurate output (Direct); 06 Misuse and dual-use (Partial)</t>
  </si>
  <si>
    <t xml:space="preserve">CBRN Information or Capabilities (Partial); Confabulation (Direct); Dangerous, Violent, or Hateful Content (Partial); Information Integrity (Partial); Obscene, Degrading, and/or Abusive Content (Partial)</t>
  </si>
  <si>
    <t xml:space="preserve">07 Availability and scalability (Direct); 11 Scaling and resource constraints (Partial)</t>
  </si>
  <si>
    <t xml:space="preserve">06 Bias and fairness (Direct)</t>
  </si>
  <si>
    <t xml:space="preserve">Harmful Bias or Homogenization (Partial)</t>
  </si>
  <si>
    <t xml:space="preserve">04 Explainability (Direct); 04 Reproducibility and documentation (Partial)</t>
  </si>
  <si>
    <t xml:space="preserve">04 Robustness and drift (Direct); 06 Transparency, disclosure and provenance (Partial); 07 MLOps and deployment (Partial); 07 Change and lifecycle management (Direct)</t>
  </si>
  <si>
    <t xml:space="preserve">03 Quality and labeling (Direct); 04 Robustness and drift (Direct)</t>
  </si>
  <si>
    <t xml:space="preserve">01 Governance and oversight (Partial); 02 Use-case selection and sourcing (Partial)</t>
  </si>
  <si>
    <t xml:space="preserve">06 Human agency and over-reliance (Direct); 12 Autonomy, alignment and oversight (Direct)</t>
  </si>
  <si>
    <t xml:space="preserve">Human-AI Configuration (Partial)</t>
  </si>
  <si>
    <t xml:space="preserve">06 Harmful / inaccurate output (Direct); 10 Societal and reputational (Partial)</t>
  </si>
  <si>
    <t xml:space="preserve">Dangerous, Violent, or Hateful Content (Partial); Information Integrity (Partial)</t>
  </si>
  <si>
    <t xml:space="preserve">03 Retention and disposal (Partial); 12 Memory and context integrity (Direct)</t>
  </si>
  <si>
    <t xml:space="preserve">05 AI access and identity (Direct); 12 Tool access and authorization (Direct)</t>
  </si>
  <si>
    <t xml:space="preserve">MCP01:2025 Token Mismanagement &amp; Secret Exposure (Direct)</t>
  </si>
  <si>
    <t xml:space="preserve">05 Supply-chain and artifact integrity (Direct); 12 Tool access and authorization (Direct)</t>
  </si>
  <si>
    <t xml:space="preserve">Value Chain and Component Integration (Direct)</t>
  </si>
  <si>
    <t xml:space="preserve">MCP02:2025 Privilege Escalation via Scope Creep (Direct); MCP03:2025 Tool Poisoning (Direct); MCP04:2025 Software Supply Chain Attacks &amp; Dependency Tampering (Direct); MCP05:2025 Command Injection &amp; Execution (Direct); MCP09:2025 Shadow MCP Servers (Partial)</t>
  </si>
  <si>
    <t xml:space="preserve">05 Output and integration security (Direct)</t>
  </si>
  <si>
    <t xml:space="preserve">MCP03:2025 Tool Poisoning (Direct); MCP05:2025 Command Injection &amp; Execution (Direct); MCP06:2025 Prompt Injection via Contextual Payloads (Direct)</t>
  </si>
  <si>
    <t xml:space="preserve">12 Multi-agent orchestration (Direct)</t>
  </si>
  <si>
    <t xml:space="preserve">05 Inference-time (input) attacks (Direct)</t>
  </si>
  <si>
    <t xml:space="preserve">03 Sourcing and provenance (Partial); 03 Training-data rights and IP (Direct); 08 IP and liability (Partial)</t>
  </si>
  <si>
    <t xml:space="preserve">Intellectual Property (Direct)</t>
  </si>
  <si>
    <t xml:space="preserve">01 Roles and accountability (Partial); 03 Privacy and consent (Partial); 08 Regulatory compliance (Direct)</t>
  </si>
  <si>
    <t xml:space="preserve">02 Competitive position (Partial); 02 AI strategy and roadmap (Direct); 02 Use-case selection and sourcing (Partial); 02 Value measurement / ROI (Direct)</t>
  </si>
  <si>
    <t xml:space="preserve">02 Value measurement / ROI (Direct); 11 Cost and compute economics (Direct); 11 Investment / procurement (Direct)</t>
  </si>
  <si>
    <t xml:space="preserve">07 Change and lifecycle management (Direct); 09 Foundation-model dependence (Direct); 09 Lock-in and portability (Direct); 11 Scaling and resource constraints (Partial)</t>
  </si>
  <si>
    <t xml:space="preserve">06 Bias and fairness (Direct); 09 Foundation-model dependence (Direct)</t>
  </si>
  <si>
    <t xml:space="preserve">10 Skills and talent (Direct); 10 Deskilling and loss of institutional knowledge (Direct)</t>
  </si>
  <si>
    <t xml:space="preserve">10 Skills and talent (Direct); 10 Workforce disruption / change (Direct)</t>
  </si>
  <si>
    <t xml:space="preserve">11 Cost and compute economics (Direct)</t>
  </si>
  <si>
    <t xml:space="preserve">Environmental Impacts (Partial)</t>
  </si>
  <si>
    <t xml:space="preserve">03 Training-data rights and IP (Direct); 08 IP and liability (Partial); 08 Contractual and licensing (Partial)</t>
  </si>
  <si>
    <t xml:space="preserve">08 Regulatory compliance (Direct)</t>
  </si>
  <si>
    <t xml:space="preserve">03 Retention and disposal (Partial)</t>
  </si>
  <si>
    <t xml:space="preserve">04 Accuracy and validation (Direct)</t>
  </si>
  <si>
    <t xml:space="preserve">01 Audit and assurance (Partial)</t>
  </si>
  <si>
    <t xml:space="preserve">09 Vendor due diligence (Partial); 10 Societal and reputational (Partial)</t>
  </si>
  <si>
    <t xml:space="preserve">06 Transparency, disclosure and provenance (Partial); 06 Human agency and over-reliance (Direct)</t>
  </si>
  <si>
    <t xml:space="preserve">05 Supply-chain and artifact integrity (Direct)</t>
  </si>
  <si>
    <t xml:space="preserve">09 Open-source component risk (Partial)</t>
  </si>
  <si>
    <t xml:space="preserve">07 Monitoring and observability (Direct)</t>
  </si>
  <si>
    <t xml:space="preserve">05 AI access and identity (Direct)</t>
  </si>
  <si>
    <t xml:space="preserve">MCP07:2025 Insufficient Authentication &amp; Authorization (Direct)</t>
  </si>
  <si>
    <t xml:space="preserve">AI Security Control Library (AI-CTRL-001 to AI-CTRL-046)</t>
  </si>
  <si>
    <t xml:space="preserve">Source: AI Security Control Objectives Library and Control Tiers, AI Security Wiki, as of 25 October 2026.</t>
  </si>
  <si>
    <t xml:space="preserve">Control ID</t>
  </si>
  <si>
    <t xml:space="preserve">Control Name</t>
  </si>
  <si>
    <t xml:space="preserve">Family</t>
  </si>
  <si>
    <t xml:space="preserve">Tier</t>
  </si>
  <si>
    <t xml:space="preserve">Applies To</t>
  </si>
  <si>
    <t xml:space="preserve">Control Objective</t>
  </si>
  <si>
    <t xml:space="preserve">Implementation Expectation</t>
  </si>
  <si>
    <t xml:space="preserve">Audit Test Procedure</t>
  </si>
  <si>
    <t xml:space="preserve">Control Owner</t>
  </si>
  <si>
    <t xml:space="preserve">Review Frequency</t>
  </si>
  <si>
    <t xml:space="preserve">Risk Mapping</t>
  </si>
  <si>
    <t xml:space="preserve">OWASP</t>
  </si>
  <si>
    <t xml:space="preserve">MITRE ATLAS Mitigations</t>
  </si>
  <si>
    <t xml:space="preserve">ISO/IEC 42001</t>
  </si>
  <si>
    <t xml:space="preserve">ISO/IEC 27001</t>
  </si>
  <si>
    <t xml:space="preserve">Test Cases</t>
  </si>
  <si>
    <t xml:space="preserve">AI-CTRL-001</t>
  </si>
  <si>
    <t xml:space="preserve">AI Discovery</t>
  </si>
  <si>
    <t xml:space="preserve">Discovery and Workforce AI Use</t>
  </si>
  <si>
    <t xml:space="preserve">Baseline</t>
  </si>
  <si>
    <t xml:space="preserve">Browser AI / IDE AI / AI APIs / Custom AI Applications / Agents</t>
  </si>
  <si>
    <t xml:space="preserve">Identify approved/unapproved AI platforms across browsers, endpoints, IDEs, SaaS, APIs and custom apps.</t>
  </si>
  <si>
    <t xml:space="preserve">Discover AI services, extensions, plugins, embedded SaaS AI features and API usage continuously. Classify each as approved, tolerated or unapproved, and attribute use to a user, device and application.</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</si>
  <si>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</si>
  <si>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</si>
  <si>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Security Engineering</t>
  </si>
  <si>
    <t xml:space="preserve">Quarterly</t>
  </si>
  <si>
    <t xml:space="preserve">LLM03:2025 Supply Chain</t>
  </si>
  <si>
    <t xml:space="preserve">None published in MITRE ATLAS techniques. The wiki's own identifier applies: AI-CTRL-001.</t>
  </si>
  <si>
    <t xml:space="preserve">None published in MITRE ATLAS mitigations. The wiki's own identifier applies: AI-CTRL-001.</t>
  </si>
  <si>
    <t xml:space="preserve">GOVERN 1.6; GOVERN 6.1</t>
  </si>
  <si>
    <t xml:space="preserve">A.4.2 Resource documentation</t>
  </si>
  <si>
    <t xml:space="preserve">A.5.9 Inventory of information and other associated assets; A.8.16 Monitoring activities; A.8.23 Web filtering</t>
  </si>
  <si>
    <t xml:space="preserve">ID.AM Asset Management; DE.CM Continuous Monitoring</t>
  </si>
  <si>
    <t xml:space="preserve">CIS 1 Inventory and Control of Enterprise Assets; CIS 2 Inventory and Control of Software Assets; CIS 9 Email and Web Browser Protections</t>
  </si>
  <si>
    <t xml:space="preserve">CC6.8 Unauthorized or malicious software; CC7.2 Monitoring for anomalies</t>
  </si>
  <si>
    <t xml:space="preserve">AI-CTRL-002</t>
  </si>
  <si>
    <t xml:space="preserve">Prompt Inspection</t>
  </si>
  <si>
    <t xml:space="preserve">Browser AI / IDE AI / AI APIs / Custom AI Applications</t>
  </si>
  <si>
    <t xml:space="preserve">Detect sensitive, restricted or risky content submitted to AI platforms.</t>
  </si>
  <si>
    <t xml:space="preserve">Inspect prompts in line or at the endpoint for classified data, personal data, credentials and source code. Apply the data classification scheme already in use, and record the policy outcome for every detection.</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</si>
  <si>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</si>
  <si>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</si>
  <si>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 Security Team</t>
  </si>
  <si>
    <t xml:space="preserve">AI-R01, AI-R03, AI-R27</t>
  </si>
  <si>
    <t xml:space="preserve">LLM02:2025 Sensitive Information Disclosure</t>
  </si>
  <si>
    <t xml:space="preserve">AML.T0057 LLM Data Leakage</t>
  </si>
  <si>
    <t xml:space="preserve">AML.M0020 Generative AI Guardrails</t>
  </si>
  <si>
    <t xml:space="preserve">MEASURE 2.10; MANAGE 4.1</t>
  </si>
  <si>
    <t xml:space="preserve">A.9.2 Processes for responsible use of AI systems</t>
  </si>
  <si>
    <t xml:space="preserve">A.5.12 Classification of information; A.8.11 Data masking; A.8.12 Data leakage prevention</t>
  </si>
  <si>
    <t xml:space="preserve">PR.DS Data Security; DE.CM Continuous Monitoring</t>
  </si>
  <si>
    <t xml:space="preserve">CIS 3 Data Protection</t>
  </si>
  <si>
    <t xml:space="preserve">CC6.7 Transmission, movement and removal of information; C1.1 Identification of confidential information</t>
  </si>
  <si>
    <t xml:space="preserve">AI-CTRL-003</t>
  </si>
  <si>
    <t xml:space="preserve">File Upload Protection</t>
  </si>
  <si>
    <t xml:space="preserve">Advanced</t>
  </si>
  <si>
    <t xml:space="preserve">Browser AI / AI APIs / Custom AI Applications</t>
  </si>
  <si>
    <t xml:space="preserve">Prevent uploads of confidential or restricted files to unauthorized AI services.</t>
  </si>
  <si>
    <t xml:space="preserve">Inspect files sent to AI services, including nested archives, images and documents with embedded content. Block or warn according to classification and the approval status of the destination.</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</si>
  <si>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</si>
  <si>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</si>
  <si>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DLP Team</t>
  </si>
  <si>
    <t xml:space="preserve">A.5.10 Acceptable use of information and other associated assets; A.5.14 Information transfer; A.8.12 Data leakage prevention</t>
  </si>
  <si>
    <t xml:space="preserve">PR.DS Data Security</t>
  </si>
  <si>
    <t xml:space="preserve">CIS 3 Data Protection; CIS 9 Email and Web Browser Protections</t>
  </si>
  <si>
    <t xml:space="preserve">IDE AI Governance</t>
  </si>
  <si>
    <t xml:space="preserve">IDE AI</t>
  </si>
  <si>
    <t xml:space="preserve">Monitor and control AI coding assistants, source code sharing and secret leakage.</t>
  </si>
  <si>
    <t xml:space="preserve">Inventory AI coding assistants and extensions. Detect proprietary source code and secrets in assistant traffic, restrict assistants on restricted repositories, and attribute activity to developer, device and IDE.</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</si>
  <si>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</si>
  <si>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</si>
  <si>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DevSecOps</t>
  </si>
  <si>
    <t xml:space="preserve">AI-R04, AI-R22</t>
  </si>
  <si>
    <t xml:space="preserve">LLM02:2025 Sensitive Information Disclosure; LLM03:2025 Supply Chain</t>
  </si>
  <si>
    <t xml:space="preserve">AML.T0057 LLM Data Leakage; AML.T0055 Unsecured Credentials</t>
  </si>
  <si>
    <t xml:space="preserve">None published in MITRE ATLAS mitigations. The wiki's own identifier applies: AI-CTRL-004.</t>
  </si>
  <si>
    <t xml:space="preserve">GOVERN 6.1; MEASURE 2.10; MANAGE 4.1</t>
  </si>
  <si>
    <t xml:space="preserve">A.9.2 Processes for responsible use of AI systems; A.4.4 Tooling resources</t>
  </si>
  <si>
    <t xml:space="preserve">A.8.4 Access to source code; A.8.12 Data leakage prevention; A.8.28 Secure coding</t>
  </si>
  <si>
    <t xml:space="preserve">PR.DS Data Security; PR.PS Platform Security</t>
  </si>
  <si>
    <t xml:space="preserve">CIS 3 Data Protection; CIS 16 Application Software Security</t>
  </si>
  <si>
    <t xml:space="preserve">CC6.7 Transmission, movement and removal of information; CC8.1 Change management</t>
  </si>
  <si>
    <t xml:space="preserve">AI-CTRL-005</t>
  </si>
  <si>
    <t xml:space="preserve">Runtime AI Security</t>
  </si>
  <si>
    <t xml:space="preserve">Application Runtime</t>
  </si>
  <si>
    <t xml:space="preserve">Custom AI Applications / AI APIs</t>
  </si>
  <si>
    <t xml:space="preserve">Protect custom AI applications from prompt injection, misuse and output leakage.</t>
  </si>
  <si>
    <t xml:space="preserve">Inspect inputs and retrieved content for direct and indirect prompt injection and jailbreaks. Treat retrieved text as untrusted data. Protect the system prompt, and keep high-privilege tools out of sessions that read untrusted content.</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</si>
  <si>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</si>
  <si>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</si>
  <si>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AppSec</t>
  </si>
  <si>
    <t xml:space="preserve">Before each release and quarterly</t>
  </si>
  <si>
    <t xml:space="preserve">LLM01:2025 Prompt Injection; LLM07:2025 System Prompt Leakage; ASI01 Agent Goal Hijack</t>
  </si>
  <si>
    <t xml:space="preserve">AML.T0051 LLM Prompt Injection; AML.T0054 LLM Jailbreak; AML.T0056 Extract LLM System Prompt; AML.T0068 LLM Prompt Obfuscation; AML.T0093 Prompt Infiltration via Public-Facing Application</t>
  </si>
  <si>
    <t xml:space="preserve">AML.M0020 Generative AI Guardrails; AML.M0021 Generative AI Guidelines; AML.M0033 Input and Output Validation for AI Agent Components</t>
  </si>
  <si>
    <t xml:space="preserve">MEASURE 2.7; MANAGE 1.3</t>
  </si>
  <si>
    <t xml:space="preserve">A.6.2.4 AI system verification and validation; A.6.2.6 AI system operation and monitoring</t>
  </si>
  <si>
    <t xml:space="preserve">A.8.16 Monitoring activities; A.8.26 Application security requirements; A.8.27 Secure system architecture and engineering principles</t>
  </si>
  <si>
    <t xml:space="preserve">PR.PS Platform Security; PR.DS Data Security; DE.CM Continuous Monitoring</t>
  </si>
  <si>
    <t xml:space="preserve">CIS 13 Network Monitoring and Defense; CIS 16 Application Software Security</t>
  </si>
  <si>
    <t xml:space="preserve">CC6.6 Protection against threats from outside the boundary; CC7.2 Monitoring for anomalies</t>
  </si>
  <si>
    <t xml:space="preserve">AI-CTRL-006</t>
  </si>
  <si>
    <t xml:space="preserve">Agent Governance</t>
  </si>
  <si>
    <t xml:space="preserve">Agents and Tools</t>
  </si>
  <si>
    <t xml:space="preserve">Agents</t>
  </si>
  <si>
    <t xml:space="preserve">Monitor AI agents, tool calls, API access and autonomous actions.</t>
  </si>
  <si>
    <t xml:space="preserve">Keep a registry of every agent with its owner, purpose, model, tools, data scope and approval status. Monitor decisions, tool calls and delegation chains, and detect unregistered agents. Keep a map of which agents may call or delegate to which, and alert on links outside it.</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</si>
  <si>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</si>
  <si>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</si>
  <si>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 Platform Team</t>
  </si>
  <si>
    <t xml:space="preserve">AI-R07, AI-R25</t>
  </si>
  <si>
    <t xml:space="preserve">LLM06:2025 Excessive Agency; ASI10 Rogue Agents; ASI07 Insecure Inter-Agent Communication</t>
  </si>
  <si>
    <t xml:space="preserve">AML.T0081 Modify AI Agent Configuration</t>
  </si>
  <si>
    <t xml:space="preserve">AML.M0038 AI Agent Scope Drift Detection; AML.M0024 AI Telemetry Logging</t>
  </si>
  <si>
    <t xml:space="preserve">GOVERN 1.6; MEASURE 2.4</t>
  </si>
  <si>
    <t xml:space="preserve">A.4.2 Resource documentation; A.6.2.6 AI system operation and monitoring</t>
  </si>
  <si>
    <t xml:space="preserve">A.5.15 Access control; A.8.15 Logging; A.8.16 Monitoring activities</t>
  </si>
  <si>
    <t xml:space="preserve">PR.AA Identity Management, Authentication, and Access Control; DE.CM Continuous Monitoring</t>
  </si>
  <si>
    <t xml:space="preserve">CIS 6 Access Control Management; CIS 8 Audit Log Management</t>
  </si>
  <si>
    <t xml:space="preserve">CC6.1 Logical access security; CC7.2 Monitoring for anomalies</t>
  </si>
  <si>
    <t xml:space="preserve">AI-CTRL-007</t>
  </si>
  <si>
    <t xml:space="preserve">Data Sovereignty</t>
  </si>
  <si>
    <t xml:space="preserve">Governance and Compliance</t>
  </si>
  <si>
    <t xml:space="preserve">Browser AI / IDE AI / AI APIs / Custom AI Applications / Agents / Vendors</t>
  </si>
  <si>
    <t xml:space="preserve">Ensure prompts, logs and uploads are processed and retained in approved locations.</t>
  </si>
  <si>
    <t xml:space="preserve">Confirm where prompts, uploads, outputs, metadata and logs are processed and stored, including the control plane and support access. Configure retention and training exclusion, and record any cross-border transfer.</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</si>
  <si>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</si>
  <si>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</si>
  <si>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GRC / Legal</t>
  </si>
  <si>
    <t xml:space="preserve">Annually and on vendor change</t>
  </si>
  <si>
    <t xml:space="preserve">None published in the OWASP Top 10 lists. The wiki's own identifier applies: AI-CTRL-007.</t>
  </si>
  <si>
    <t xml:space="preserve">None published in MITRE ATLAS techniques. The wiki's own identifier applies: AI-CTRL-007.</t>
  </si>
  <si>
    <t xml:space="preserve">None published in MITRE ATLAS mitigations. The wiki's own identifier applies: AI-CTRL-007.</t>
  </si>
  <si>
    <t xml:space="preserve">GOVERN 1.1; GOVERN 6.1; MAP 4.1</t>
  </si>
  <si>
    <t xml:space="preserve">A.10.3 Suppliers; A.4.5 System and computing resources</t>
  </si>
  <si>
    <t xml:space="preserve">A.5.14 Information transfer; A.5.23 Information security for use of cloud services; A.5.31 Legal, statutory, regulatory and contractual requirements; A.5.33 Protection of records; A.8.10 Information deletion</t>
  </si>
  <si>
    <t xml:space="preserve">GV.OC Organizational Context; GV.SC Cybersecurity Supply Chain Risk Management; PR.DS Data Security</t>
  </si>
  <si>
    <t xml:space="preserve">CIS 3 Data Protection; CIS 15 Service Provider Management</t>
  </si>
  <si>
    <t xml:space="preserve">C1.1 Identification of confidential information; C1.2 Disposal of confidential information; CC9.2 Vendor and business partner risk; P4.2 Retention</t>
  </si>
  <si>
    <t xml:space="preserve">Auditability</t>
  </si>
  <si>
    <t xml:space="preserve">Detection and Response</t>
  </si>
  <si>
    <t xml:space="preserve">Maintain logs for prompts, responses, files, users, devices, applications and actions.</t>
  </si>
  <si>
    <t xml:space="preserve">Log prompts, responses, uploads, retrieved sources, model calls, tool calls and policy decisions according to policy. Records must be timestamped, attributable, exportable and retained for the approved period.</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</si>
  <si>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</si>
  <si>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</si>
  <si>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Semi-annually</t>
  </si>
  <si>
    <t xml:space="preserve">AI-R09, AI-R15, AI-R26</t>
  </si>
  <si>
    <t xml:space="preserve">None published in the OWASP Top 10 lists. The wiki's own identifier applies: AI-CTRL-008.</t>
  </si>
  <si>
    <t xml:space="preserve">None published in MITRE ATLAS techniques. The wiki's own identifier applies: AI-CTRL-008.</t>
  </si>
  <si>
    <t xml:space="preserve">AML.M0024 AI Telemetry Logging</t>
  </si>
  <si>
    <t xml:space="preserve">MEASURE 2.4; MEASURE 2.8; MANAGE 4.1</t>
  </si>
  <si>
    <t xml:space="preserve">A.6.2.8 AI system recording of event logs</t>
  </si>
  <si>
    <t xml:space="preserve">A.5.28 Collection of evidence; A.5.33 Protection of records; A.8.15 Logging; A.8.17 Clock synchronization</t>
  </si>
  <si>
    <t xml:space="preserve">PR.PS Platform Security; DE.CM Continuous Monitoring</t>
  </si>
  <si>
    <t xml:space="preserve">CIS 8 Audit Log Management</t>
  </si>
  <si>
    <t xml:space="preserve">CC7.2 Monitoring for anomalies</t>
  </si>
  <si>
    <t xml:space="preserve">AI-CTRL-009</t>
  </si>
  <si>
    <t xml:space="preserve">SOC Integration</t>
  </si>
  <si>
    <t xml:space="preserve">Forward AI security events and logs to monitoring and response platforms.</t>
  </si>
  <si>
    <t xml:space="preserve">Forward AI security events to the SIEM with a documented schema. Build detections and runbooks for AI-specific events, and correlate them with identity, endpoint and network telemetry.</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</si>
  <si>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</si>
  <si>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</si>
  <si>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SOC</t>
  </si>
  <si>
    <t xml:space="preserve">None published in the OWASP Top 10 lists. The wiki's own identifier applies: AI-CTRL-009.</t>
  </si>
  <si>
    <t xml:space="preserve">None published in MITRE ATLAS techniques. The wiki's own identifier applies: AI-CTRL-009.</t>
  </si>
  <si>
    <t xml:space="preserve">MEASURE 2.4; MEASURE 3.1; MANAGE 4.1</t>
  </si>
  <si>
    <t xml:space="preserve">A.6.2.6 AI system operation and monitoring; A.6.2.8 AI system recording of event logs</t>
  </si>
  <si>
    <t xml:space="preserve">A.5.25 Assessment and decision on information security events; A.8.15 Logging; A.8.16 Monitoring activities</t>
  </si>
  <si>
    <t xml:space="preserve">DE.CM Continuous Monitoring; DE.AE Adverse Event Analysis</t>
  </si>
  <si>
    <t xml:space="preserve">CIS 8 Audit Log Management; CIS 13 Network Monitoring and Defense</t>
  </si>
  <si>
    <t xml:space="preserve">CC7.2 Monitoring for anomalies; CC7.3 Evaluation of security events</t>
  </si>
  <si>
    <t xml:space="preserve">AI-CTRL-010</t>
  </si>
  <si>
    <t xml:space="preserve">Policy Enforcement</t>
  </si>
  <si>
    <t xml:space="preserve">Support monitor, warn, redact, block and allow policies based on risk and classification.</t>
  </si>
  <si>
    <t xml:space="preserve">Apply graduated actions by user group, destination, data classification and risk. Coach users at the point of use, resist simple bypass, and manage exceptions with an owner and expiry date.</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</si>
  <si>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</si>
  <si>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</si>
  <si>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AI-R01, AI-R02, AI-R03</t>
  </si>
  <si>
    <t xml:space="preserve">GOVERN 1.4; MANAGE 1.3</t>
  </si>
  <si>
    <t xml:space="preserve">A.9.2 Processes for responsible use of AI systems; A.2.2 AI policy</t>
  </si>
  <si>
    <t xml:space="preserve">A.5.10 Acceptable use of information and other associated assets; A.5.12 Classification of information; A.8.12 Data leakage prevention; A.8.23 Web filtering</t>
  </si>
  <si>
    <t xml:space="preserve">GV.PO Policy; PR.DS Data Security</t>
  </si>
  <si>
    <t xml:space="preserve">CC5.3 Policies and procedures; CC6.7 Transmission, movement and removal of information</t>
  </si>
  <si>
    <t xml:space="preserve">AI Use-Case Registry and Risk Tiering</t>
  </si>
  <si>
    <t xml:space="preserve">Record every AI use case with a business owner and a risk tier that decides which controls apply.</t>
  </si>
  <si>
    <t xml:space="preserve">Require intake and approval before deployment. Record owner, purpose, data, model, users and autonomy for each use case. Assign a risk tier using published criteria, and re-tier when the use case changes. Define what counts as AI use, include third-party and embedded AI, and restrict AI that is not in the registry: block it or treat it as shadow AI to be approved or removed.</t>
  </si>
  <si>
    <t xml:space="preserve">Use-case registry; intake and approval records; tiering criteria; re-tiering history; rule that restricts unlisted AI and records of its enforcement.</t>
  </si>
  <si>
    <t xml:space="preserve">Sample use cases in production and confirm each has a registry entry, an owner and a tier consistent with the criteria. Sample registry entries and confirm they match what is deployed.</t>
  </si>
  <si>
    <t xml:space="preserve">AI Governance Lead</t>
  </si>
  <si>
    <t xml:space="preserve">AI-R02, AI-R18</t>
  </si>
  <si>
    <t xml:space="preserve">None published in the OWASP Top 10 lists. The wiki's own identifier applies: AI-CTRL-011.</t>
  </si>
  <si>
    <t xml:space="preserve">None published in MITRE ATLAS techniques. The wiki's own identifier applies: AI-CTRL-011.</t>
  </si>
  <si>
    <t xml:space="preserve">None published in MITRE ATLAS mitigations. The wiki's own identifier applies: AI-CTRL-011.</t>
  </si>
  <si>
    <t xml:space="preserve">GOVERN 1.6; GOVERN 1.3; GOVERN 1.7; MAP 1.1</t>
  </si>
  <si>
    <t xml:space="preserve">A.4.2 Resource documentation; A.5.2 AI system impact assessment process; A.9.4 Intended use of the AI system</t>
  </si>
  <si>
    <t xml:space="preserve">A.5.8 Information security in project management; A.5.9 Inventory of information and other associated assets; A.5.12 Classification of information</t>
  </si>
  <si>
    <t xml:space="preserve">GV.RM Risk Management Strategy; ID.AM Asset Management; ID.RA Risk Assessment</t>
  </si>
  <si>
    <t xml:space="preserve">CIS 1 Inventory and Control of Enterprise Assets; CIS 2 Inventory and Control of Software Assets</t>
  </si>
  <si>
    <t xml:space="preserve">CC3.1 Objectives for risk assessment; CC3.2 Risk identification and analysis</t>
  </si>
  <si>
    <t xml:space="preserve">AI Policy, Roles and Acceptable Use</t>
  </si>
  <si>
    <t xml:space="preserve">Set and communicate the rules and responsibilities for using and building AI, and map each rule to a control.</t>
  </si>
  <si>
    <t xml:space="preserve">Publish an AI policy and acceptable-use standard with scope, owner and review date. Have the board, or the body that holds that authority, approve an AI strategy that states the organization's approach to AI and its AI risk appetite, and review it at least annually. Define roles and decision rights across the three lines, and record governance decisions. Map each policy statement to a control in this library. Train users and reinforce the rules at the point of use.</t>
  </si>
  <si>
    <t xml:space="preserve">Approved policy; board-approved AI strategy and risk appetite with its review record;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</si>
  <si>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</si>
  <si>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GRC</t>
  </si>
  <si>
    <t xml:space="preserve">Annually</t>
  </si>
  <si>
    <t xml:space="preserve">AI-R02, AI-R03, AI-R18, AI-R19, AI-R27, AI-R28</t>
  </si>
  <si>
    <t xml:space="preserve">None published in the OWASP Top 10 lists. The wiki's own identifier applies: AI-CTRL-012.</t>
  </si>
  <si>
    <t xml:space="preserve">None published in MITRE ATLAS techniques. The wiki's own identifier applies: AI-CTRL-012.</t>
  </si>
  <si>
    <t xml:space="preserve">AML.M0018 User Training</t>
  </si>
  <si>
    <t xml:space="preserve">GOVERN 1.2; GOVERN 1.4; GOVERN 2.1; GOVERN 2.2</t>
  </si>
  <si>
    <t xml:space="preserve">A.2.2 AI policy; A.2.4 Review of the AI policy; A.3.2 AI roles and responsibilities</t>
  </si>
  <si>
    <t xml:space="preserve">A.5.1 Policies for information security; A.5.2 Information security roles and responsibilities; A.5.4 Management responsibilities; A.5.10 Acceptable use of information and other associated assets</t>
  </si>
  <si>
    <t xml:space="preserve">GV.PO Policy; GV.RR Roles, Responsibilities, and Authorities</t>
  </si>
  <si>
    <t xml:space="preserve">None published in the CIS Controls. The wiki's own identifier applies: AI-CTRL-012.</t>
  </si>
  <si>
    <t xml:space="preserve">CC1.3 Structures, reporting lines and responsibilities; CC2.2 Internal communication; CC5.3 Policies and procedures</t>
  </si>
  <si>
    <t xml:space="preserve">AI-CTRL-013</t>
  </si>
  <si>
    <t xml:space="preserve">Privacy and Regulatory Compliance</t>
  </si>
  <si>
    <t xml:space="preserve">Browser AI / AI APIs / Custom AI Applications / Agents / Vendors</t>
  </si>
  <si>
    <t xml:space="preserve">Meet privacy and regulatory obligations for personal data handled by AI systems.</t>
  </si>
  <si>
    <t xml:space="preserve">Complete a privacy impact assessment for AI systems that process personal data. Define lawful basis, minimization, retention and data subject request handling, including data held in prompts, logs, indexes and memory.</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</si>
  <si>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</si>
  <si>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</si>
  <si>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Privacy Office / Legal</t>
  </si>
  <si>
    <t xml:space="preserve">Annually and on material change</t>
  </si>
  <si>
    <t xml:space="preserve">AI-R03, AI-R10, AI-R27, AI-R28</t>
  </si>
  <si>
    <t xml:space="preserve">None published in MITRE ATLAS mitigations. The wiki's own identifier applies: AI-CTRL-013.</t>
  </si>
  <si>
    <t xml:space="preserve">GOVERN 1.1; MAP 5.1; MEASURE 2.10</t>
  </si>
  <si>
    <t xml:space="preserve">A.5.2 AI system impact assessment process; A.5.3 Documentation of AI system impact assessments; A.5.4 Assessing AI system impact on individuals or groups of individuals</t>
  </si>
  <si>
    <t xml:space="preserve">A.5.31 Legal, statutory, regulatory and contractual requirements; A.5.34 Privacy and protection of PII; A.8.10 Information deletion; A.8.11 Data masking</t>
  </si>
  <si>
    <t xml:space="preserve">GV.OC Organizational Context; PR.DS Data Security</t>
  </si>
  <si>
    <t xml:space="preserve">P1.1 Notice; P3.1 Collection; P4.1 Use; P4.2 Retention; P5.1 Access by data subjects</t>
  </si>
  <si>
    <t xml:space="preserve">Third-Party and Vendor AI Assurance</t>
  </si>
  <si>
    <t xml:space="preserve">Vendors / AI APIs / Browser AI</t>
  </si>
  <si>
    <t xml:space="preserve">Assess AI vendors and embedded AI features before use, and reassess when they change.</t>
  </si>
  <si>
    <t xml:space="preserve">Evaluate vendors against the vendor evaluation framework. Cover training use of customer data, retention, sub-processors, model changes and incident notification in contracts; by default the contract should bar the provider from using personal or confidential data to train or improve its models unless the organization has authorised it. Include audit rights, a right to have the service suspended, and exit and concentration risk where few providers can replace it. Re-evaluate when a vendor changes model or terms.</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</si>
  <si>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</si>
  <si>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</si>
  <si>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Procurement / GRC</t>
  </si>
  <si>
    <t xml:space="preserve">AI-R08, AI-R10, AI-R16</t>
  </si>
  <si>
    <t xml:space="preserve">AML.T0010 AI Supply Chain Compromise; AML.T0109 AI Supply Chain Rug Pull</t>
  </si>
  <si>
    <t xml:space="preserve">None published in MITRE ATLAS mitigations. The wiki's own identifier applies: AI-CTRL-014.</t>
  </si>
  <si>
    <t xml:space="preserve">GOVERN 6.1; GOVERN 6.2; MANAGE 3.1</t>
  </si>
  <si>
    <t xml:space="preserve">A.10.2 Allocating responsibilities; A.10.3 Suppliers</t>
  </si>
  <si>
    <t xml:space="preserve">A.5.19 Information security in supplier relationships; A.5.20 Addressing information security within supplier agreements; A.5.21 Managing information security in the ICT supply chain; A.5.22 Monitoring, review and change management of supplier services; A.5.23 Information security for use of cloud services</t>
  </si>
  <si>
    <t xml:space="preserve">GV.SC Cybersecurity Supply Chain Risk Management</t>
  </si>
  <si>
    <t xml:space="preserve">CIS 15 Service Provider Management</t>
  </si>
  <si>
    <t xml:space="preserve">CC9.2 Vendor and business partner risk</t>
  </si>
  <si>
    <t xml:space="preserve">AI-CTRL-015</t>
  </si>
  <si>
    <t xml:space="preserve">Human and Agent Identity</t>
  </si>
  <si>
    <t xml:space="preserve">Identity and Access</t>
  </si>
  <si>
    <t xml:space="preserve">AI APIs / Custom AI Applications / Agents</t>
  </si>
  <si>
    <t xml:space="preserve">Give every user, application and agent that uses AI a unique, attributable identity.</t>
  </si>
  <si>
    <t xml:space="preserve">Issue a unique identity to each agent and AI workload, with a named human sponsor. Do not share keys between workloads. Recertify identities on a schedule and remove them when the sponsor leaves or the use case ends. Authenticate agents to each other and sign the messages they exchange, so that one agent cannot pass as another. Give training jobs, pipelines and model-serving processes their own workload identities.</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</si>
  <si>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</si>
  <si>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</si>
  <si>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IAM Team</t>
  </si>
  <si>
    <t xml:space="preserve">AI-R07, AI-R22, AI-R25</t>
  </si>
  <si>
    <t xml:space="preserve">LLM06:2025 Excessive Agency; ASI03 Identity &amp; Privilege Abuse; ASI07 Insecure Inter-Agent Communication</t>
  </si>
  <si>
    <t xml:space="preserve">AML.T0012 Valid Accounts; AML.T0073 Impersonation; AML.T0091 Use Alternate Authentication Material</t>
  </si>
  <si>
    <t xml:space="preserve">AML.M0019 Control Access to AI Models and Data in Production</t>
  </si>
  <si>
    <t xml:space="preserve">MEASURE 2.7; MEASURE 2.8</t>
  </si>
  <si>
    <t xml:space="preserve">None published in ISO/IEC 42001. The wiki's own identifier applies: AI-CTRL-015.</t>
  </si>
  <si>
    <t xml:space="preserve">A.5.16 Identity management; A.5.17 Authentication information; A.8.5 Secure authentication</t>
  </si>
  <si>
    <t xml:space="preserve">PR.AA Identity Management, Authentication, and Access Control</t>
  </si>
  <si>
    <t xml:space="preserve">CIS 5 Account Management; CIS 6 Access Control Management</t>
  </si>
  <si>
    <t xml:space="preserve">CC6.1 Logical access security; CC6.2 Registration and removal of access</t>
  </si>
  <si>
    <t xml:space="preserve">AI-CTRL-016</t>
  </si>
  <si>
    <t xml:space="preserve">Least Privilege and Scoped Credentials</t>
  </si>
  <si>
    <t xml:space="preserve">Limit what each AI workload and agent can reach to the minimum its task needs.</t>
  </si>
  <si>
    <t xml:space="preserve">Use short-lived credentials scoped per tool and resource. Act with the end user's rights where a user is present, not with a broad service account. Detect and correct permission drift. Keep secrets out of locations an agent can read, such as environment variables, configuration files and shell history; issue short-lived tokens scoped to one task at the moment of the call; and plant canary credentials to detect an agent searching for credentials it was never given. Apply the same limits to training jobs, pipelines and model-serving identities: scope them to the datasets and models the task names, and revoke them when the job ends.</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</si>
  <si>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</si>
  <si>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</si>
  <si>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AI-R06, AI-R07, AI-R08, AI-R22</t>
  </si>
  <si>
    <t xml:space="preserve">LLM06:2025 Excessive Agency; ASI03 Identity &amp; Privilege Abuse</t>
  </si>
  <si>
    <t xml:space="preserve">AML.T0012 Valid Accounts; AML.T0055 Unsecured Credentials; AML.T0083 Credentials from AI Agent Configuration; AML.T0098 AI Agent Tool Credential Harvesting</t>
  </si>
  <si>
    <t xml:space="preserve">AML.M0026 Privileged AI Agent Permissions Configuration; AML.M0027 Single-User AI Agent Permissions Configuration; AML.M0028 AI Agent Tools Permissions Configuration</t>
  </si>
  <si>
    <t xml:space="preserve">None published in ISO/IEC 42001. The wiki's own identifier applies: AI-CTRL-016.</t>
  </si>
  <si>
    <t xml:space="preserve">A.5.15 Access control; A.5.18 Access rights; A.8.2 Privileged access rights; A.8.3 Information access restriction</t>
  </si>
  <si>
    <t xml:space="preserve">CC6.1 Logical access security; CC6.3 Role-based access and least privilege</t>
  </si>
  <si>
    <t xml:space="preserve">Data Protection in AI Pipelines</t>
  </si>
  <si>
    <t xml:space="preserve">Data and Retrieval</t>
  </si>
  <si>
    <t xml:space="preserve">Apply classification, minimization and isolation to data that AI systems ingest, process and produce.</t>
  </si>
  <si>
    <t xml:space="preserve">Carry data classification into AI pipelines. Minimize or mask sensitive fields before they reach a model. Keep tenants separate in indexes, caches, memory and logs, and record data lineage.</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</si>
  <si>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</si>
  <si>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</si>
  <si>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Data Owner / Security Engineering</t>
  </si>
  <si>
    <t xml:space="preserve">AI-R01, AI-R03, AI-R06, AI-R17</t>
  </si>
  <si>
    <t xml:space="preserve">AML.T0057 LLM Data Leakage; AML.T0085 Data from AI Services; AML.T0025 Exfiltration via Cyber Means</t>
  </si>
  <si>
    <t xml:space="preserve">AML.M0012 Encrypt Sensitive Information; AML.M0005 Control Access to AI Models and Data at Rest</t>
  </si>
  <si>
    <t xml:space="preserve">MEASURE 2.10; MEASURE 2.7</t>
  </si>
  <si>
    <t xml:space="preserve">A.4.3 Data resources; A.7.6 Data preparation</t>
  </si>
  <si>
    <t xml:space="preserve">A.5.12 Classification of information; A.5.13 Labelling of information; A.8.10 Information deletion; A.8.11 Data masking; A.8.12 Data leakage prevention; A.8.24 Use of cryptography; A.8.33 Test information</t>
  </si>
  <si>
    <t xml:space="preserve">ID.AM Asset Management; PR.DS Data Security</t>
  </si>
  <si>
    <t xml:space="preserve">CC6.1 Logical access security; CC6.7 Transmission, movement and removal of information; C1.1 Identification of confidential information; C1.2 Disposal of confidential information</t>
  </si>
  <si>
    <t xml:space="preserve">AI-CTRL-018</t>
  </si>
  <si>
    <t xml:space="preserve">Retrieval Access Control</t>
  </si>
  <si>
    <t xml:space="preserve">Custom AI Applications / Agents</t>
  </si>
  <si>
    <t xml:space="preserve">Return only content the requesting user is entitled to see.</t>
  </si>
  <si>
    <t xml:space="preserve">Enforce document-level permissions at query time using the end user's identity. Propagate permission changes to the index promptly. Do not rely on the model to withhold content. Return citations that users can check.</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</si>
  <si>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</si>
  <si>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</si>
  <si>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Application Owner</t>
  </si>
  <si>
    <t xml:space="preserve">LLM08:2025 Vector and Embedding Weaknesses; LLM02:2025 Sensitive Information Disclosure</t>
  </si>
  <si>
    <t xml:space="preserve">AML.T0057 LLM Data Leakage; AML.T0085 Data from AI Services; AML.T0064 Gather RAG-Indexed Targets; AML.T0082 RAG Credential Harvesting</t>
  </si>
  <si>
    <t xml:space="preserve">AML.M0027 Single-User AI Agent Permissions Configuration; AML.M0019 Control Access to AI Models and Data in Production</t>
  </si>
  <si>
    <t xml:space="preserve">None published in ISO/IEC 42001. The wiki's own identifier applies: AI-CTRL-018.</t>
  </si>
  <si>
    <t xml:space="preserve">A.5.15 Access control; A.8.3 Information access restriction</t>
  </si>
  <si>
    <t xml:space="preserve">PR.AA Identity Management, Authentication, and Access Control; PR.DS Data Security</t>
  </si>
  <si>
    <t xml:space="preserve">CIS 3 Data Protection; CIS 6 Access Control Management</t>
  </si>
  <si>
    <t xml:space="preserve">AI-CTRL-019</t>
  </si>
  <si>
    <t xml:space="preserve">Knowledge Base Integrity</t>
  </si>
  <si>
    <t xml:space="preserve">Stop untrusted or poisoned content from entering the corpus that AI systems retrieve from.</t>
  </si>
  <si>
    <t xml:space="preserve">Control who and what can write to the corpus. Record the source of every indexed item. Scan ingested content for embedded instructions, and keep the ability to find and remove items by source. Record an owner and a freshness limit for each source, and monitor retrieval quality for drift so that superseded or degraded content is found and removed. Measure the corpus against data quality thresholds for currentness, credibility of source and duplication, so that stale or low-quality content is treated as a defect and not only tampering.</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</si>
  <si>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</si>
  <si>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</si>
  <si>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AI-R05, AI-R08, AI-R17</t>
  </si>
  <si>
    <t xml:space="preserve">LLM04:2025 Data and Model Poisoning; LLM08:2025 Vector and Embedding Weaknesses</t>
  </si>
  <si>
    <t xml:space="preserve">AML.T0070 RAG Poisoning; AML.T0071 False RAG Entry Injection; AML.T0066 Retrieval Content Crafting</t>
  </si>
  <si>
    <t xml:space="preserve">AML.M0025 Maintain AI Dataset Provenance</t>
  </si>
  <si>
    <t xml:space="preserve">MEASURE 2.7; MAP 2.3</t>
  </si>
  <si>
    <t xml:space="preserve">A.7.3 Acquisition of data; A.7.4 Quality of data for AI systems; A.7.5 Data provenance</t>
  </si>
  <si>
    <t xml:space="preserve">A.8.32 Change management</t>
  </si>
  <si>
    <t xml:space="preserve">None published in the CIS Controls. The wiki's own identifier applies: AI-CTRL-019.</t>
  </si>
  <si>
    <t xml:space="preserve">PI1.2 Inputs; CC8.1 Change management</t>
  </si>
  <si>
    <t xml:space="preserve">AI-CTRL-020</t>
  </si>
  <si>
    <t xml:space="preserve">Output Handling</t>
  </si>
  <si>
    <t xml:space="preserve">Custom AI Applications / AI APIs / Agents</t>
  </si>
  <si>
    <t xml:space="preserve">Treat model output as untrusted input to whatever consumes it.</t>
  </si>
  <si>
    <t xml:space="preserve">Validate and encode output before it is rendered, executed or passed to another system. Restrict what output can trigger, such as links, images and calls. Inspect responses for sensitive data. Treat reasoning traces, intermediate tool output and system instructions as sensitive content. Decide whether each is shown to users or written to logs, apply the same classification as the final output, and test for leakage.</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</si>
  <si>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</si>
  <si>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</si>
  <si>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AI-R05, AI-R06, AI-R24, AI-R26</t>
  </si>
  <si>
    <t xml:space="preserve">LLM05:2025 Improper Output Handling; LLM02:2025 Sensitive Information Disclosure</t>
  </si>
  <si>
    <t xml:space="preserve">AML.T0077 LLM Response Rendering; AML.T0067 LLM Trusted Output Components Manipulation; AML.T0057 LLM Data Leakage</t>
  </si>
  <si>
    <t xml:space="preserve">AML.M0033 Input and Output Validation for AI Agent Components; AML.M0020 Generative AI Guardrails</t>
  </si>
  <si>
    <t xml:space="preserve">MEASURE 2.7; MEASURE 2.10</t>
  </si>
  <si>
    <t xml:space="preserve">A.8.26 Application security requirements; A.8.28 Secure coding</t>
  </si>
  <si>
    <t xml:space="preserve">PR.PS Platform Security</t>
  </si>
  <si>
    <t xml:space="preserve">CIS 16 Application Software Security</t>
  </si>
  <si>
    <t xml:space="preserve">PI1.4 Outputs</t>
  </si>
  <si>
    <t xml:space="preserve">AI-CTRL-021</t>
  </si>
  <si>
    <t xml:space="preserve">Multimodal and Voice Input Security</t>
  </si>
  <si>
    <t xml:space="preserve">Browser AI / Custom AI Applications / Agents</t>
  </si>
  <si>
    <t xml:space="preserve">Apply the same inspection and policy to images, documents, audio and video as to text.</t>
  </si>
  <si>
    <t xml:space="preserve">Inspect non-text inputs for sensitive content and hidden instructions. Do not treat voice as proof of identity for sensitive actions. Govern recordings and transcripts under the retention policy.</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</si>
  <si>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</si>
  <si>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</si>
  <si>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AI-R03, AI-R05</t>
  </si>
  <si>
    <t xml:space="preserve">LLM01:2025 Prompt Injection; LLM02:2025 Sensitive Information Disclosure</t>
  </si>
  <si>
    <t xml:space="preserve">AML.T0129 Triggers in Multimodal Inputs; AML.T0051 LLM Prompt Injection; AML.T0088 Generate Deepfakes</t>
  </si>
  <si>
    <t xml:space="preserve">AML.M0034 Deepfake Detection; AML.M0020 Generative AI Guardrails</t>
  </si>
  <si>
    <t xml:space="preserve">A.6.2.4 AI system verification and validation</t>
  </si>
  <si>
    <t xml:space="preserve">A.8.7 Protection against malware; A.8.12 Data leakage prevention; A.8.26 Application security requirements</t>
  </si>
  <si>
    <t xml:space="preserve">CIS 3 Data Protection; CIS 10 Malware Defenses</t>
  </si>
  <si>
    <t xml:space="preserve">CC6.7 Transmission, movement and removal of information; CC6.8 Unauthorized or malicious software</t>
  </si>
  <si>
    <t xml:space="preserve">AI-CTRL-022</t>
  </si>
  <si>
    <t xml:space="preserve">Deterministic Action Authorization</t>
  </si>
  <si>
    <t xml:space="preserve">Agents / Custom AI Applications</t>
  </si>
  <si>
    <t xml:space="preserve">Enforce authority to act, access data or spend money outside the model.</t>
  </si>
  <si>
    <t xml:space="preserve">Place a policy enforcement point between the model and every tool. It authorizes each call with deterministic rules using the real parameters, the acting identity and the end user's rights. Model output is advice, never authority.</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</si>
  <si>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</si>
  <si>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</si>
  <si>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Security Architecture</t>
  </si>
  <si>
    <t xml:space="preserve">AI-R07, AI-R24</t>
  </si>
  <si>
    <t xml:space="preserve">LLM06:2025 Excessive Agency; ASI02 Tool Misuse &amp; Exploitation</t>
  </si>
  <si>
    <t xml:space="preserve">AML.T0053 AI Agent Tool Invocation; AML.T0086 Exfiltration via AI Agent Tool Invocation; AML.T0101 Data Destruction via AI Agent Tool Invocation</t>
  </si>
  <si>
    <t xml:space="preserve">AML.M0028 AI Agent Tools Permissions Configuration; AML.M0030 Restrict AI Agent Tool Invocation on Untrusted Data; AML.M0033 Input and Output Validation for AI Agent Components</t>
  </si>
  <si>
    <t xml:space="preserve">A.6.2.2 AI system requirements and specification</t>
  </si>
  <si>
    <t xml:space="preserve">A.5.3 Segregation of duties; A.5.15 Access control; A.8.3 Information access restriction</t>
  </si>
  <si>
    <t xml:space="preserve">CIS 6 Access Control Management</t>
  </si>
  <si>
    <t xml:space="preserve">AI-CTRL-023</t>
  </si>
  <si>
    <t xml:space="preserve">Human Approval for Sensitive Actions</t>
  </si>
  <si>
    <t xml:space="preserve">Require a person to approve irreversible or high-impact actions before they run.</t>
  </si>
  <si>
    <t xml:space="preserve">Define which actions need approval. Show the approver the real parameters and the consequence, not a model-written summary. Record the decision, and guard against approval fatigue by keeping the set of gated actions small.</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</si>
  <si>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</si>
  <si>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</si>
  <si>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AI-R07, AI-R19</t>
  </si>
  <si>
    <t xml:space="preserve">LLM06:2025 Excessive Agency; ASI09 Human-Agent Trust Exploitation</t>
  </si>
  <si>
    <t xml:space="preserve">AML.T0053 AI Agent Tool Invocation; AML.T0101 Data Destruction via AI Agent Tool Invocation</t>
  </si>
  <si>
    <t xml:space="preserve">AML.M0029 Human In-the-Loop for AI Agent Actions</t>
  </si>
  <si>
    <t xml:space="preserve">MAP 3.5; GOVERN 3.2</t>
  </si>
  <si>
    <t xml:space="preserve">A.9.2 Processes for responsible use of AI systems; A.9.3 Objectives for responsible use of AI system</t>
  </si>
  <si>
    <t xml:space="preserve">A.5.3 Segregation of duties</t>
  </si>
  <si>
    <t xml:space="preserve">None published in the CIS Controls. The wiki's own identifier applies: AI-CTRL-023.</t>
  </si>
  <si>
    <t xml:space="preserve">None published in the SOC 2 criteria. The wiki's own identifier applies: AI-CTRL-023.</t>
  </si>
  <si>
    <t xml:space="preserve">Tool and MCP Server Governance</t>
  </si>
  <si>
    <t xml:space="preserve">Agents / IDE AI</t>
  </si>
  <si>
    <t xml:space="preserve">Allow agents to use only vetted tools and tool servers, and detect when they change.</t>
  </si>
  <si>
    <t xml:space="preserve">Keep an allow-list of tools, plugins and MCP servers with an owner for each. Validate tool schemas, pin versions, and re-approve when a tool definition changes after approval. The same governance applies to agent skills and plugins: approve them from an allowlist after review, pin the version, check integrity on load and keep a procedure to remove one quickly.</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</si>
  <si>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</si>
  <si>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</si>
  <si>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AI-R07, AI-R08, AI-R23, AI-R24</t>
  </si>
  <si>
    <t xml:space="preserve">LLM03:2025 Supply Chain; ASI04 Agentic Supply Chain Vulnerabilities; ASI02 Tool Misuse &amp; Exploitation</t>
  </si>
  <si>
    <t xml:space="preserve">AML.T0110 AI Agent Tool Poisoning; AML.T0109 AI Supply Chain Rug Pull; AML.T0099 AI Agent Tool Data Poisoning; AML.T0010 AI Supply Chain Compromise</t>
  </si>
  <si>
    <t xml:space="preserve">AML.M0028 AI Agent Tools Permissions Configuration; AML.M0014 Verify AI Artifacts</t>
  </si>
  <si>
    <t xml:space="preserve">GOVERN 6.1; MAP 4.1; MAP 4.2; MANAGE 3.1</t>
  </si>
  <si>
    <t xml:space="preserve">A.10.3 Suppliers; A.4.4 Tooling resources</t>
  </si>
  <si>
    <t xml:space="preserve">A.5.19 Information security in supplier relationships; A.5.21 Managing information security in the ICT supply chain; A.8.9 Configuration management; A.8.19 Installation of software on operational systems; A.8.32 Change management</t>
  </si>
  <si>
    <t xml:space="preserve">GV.SC Cybersecurity Supply Chain Risk Management; PR.PS Platform Security</t>
  </si>
  <si>
    <t xml:space="preserve">CIS 2 Inventory and Control of Software Assets; CIS 15 Service Provider Management; CIS 16 Application Software Security</t>
  </si>
  <si>
    <t xml:space="preserve">CC6.8 Unauthorized or malicious software; CC8.1 Change management; CC9.2 Vendor and business partner risk</t>
  </si>
  <si>
    <t xml:space="preserve">AI-CTRL-025</t>
  </si>
  <si>
    <t xml:space="preserve">AI Containment and Kill Switch</t>
  </si>
  <si>
    <t xml:space="preserve">Agents / Custom AI Applications / AI APIs / Vendors</t>
  </si>
  <si>
    <t xml:space="preserve">Stop an agent or suspend a high-risk AI model, revoke its access and limit the damage within minutes, with a tested fallback.</t>
  </si>
  <si>
    <t xml:space="preserve">Provide a tested way to stop a single agent and to revoke credentials for all agents. Set limits on steps, time and spend per task. Know which actions can be rolled back and how. For every AI use case rated high risk or material, including models that are not agents (for example credit, fraud or pricing models) and third-party AI, name who may suspend it, set the triggers (risk tolerance breached, incident, regulator request), route decisions to a fallback or manual process while it is off, require re-approval before restart, and test activation at least once a year. Where a vendor runs the model, secure the right to have it suspended in the contract.</t>
  </si>
  <si>
    <t xml:space="preserve">Kill switch procedure; register of kill switches for high-risk use cases with owners, triggers and fallbacks; test records with timings; task limits configuration.</t>
  </si>
  <si>
    <t xml:space="preserve">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</si>
  <si>
    <t xml:space="preserve">AI Platform Team / SOC</t>
  </si>
  <si>
    <t xml:space="preserve">AI-R07, AI-R11, AI-R21, AI-R25</t>
  </si>
  <si>
    <t xml:space="preserve">LLM06:2025 Excessive Agency; ASI08 Cascading Failures; ASI10 Rogue Agents</t>
  </si>
  <si>
    <t xml:space="preserve">AML.T0053 AI Agent Tool Invocation; AML.T0034 Cost Harvesting</t>
  </si>
  <si>
    <t xml:space="preserve">AML.M0037 AI Agent Authority Expansion Controls; AML.M0036 Limit AI Workload Resource Consumption</t>
  </si>
  <si>
    <t xml:space="preserve">MANAGE 2.4; MANAGE 2.3</t>
  </si>
  <si>
    <t xml:space="preserve">A.6.2.6 AI system operation and monitoring</t>
  </si>
  <si>
    <t xml:space="preserve">A.5.18 Access rights; A.5.26 Response to information security incidents</t>
  </si>
  <si>
    <t xml:space="preserve">RS.MA Incident Management; RS.MI Incident Mitigation</t>
  </si>
  <si>
    <t xml:space="preserve">CIS 6 Access Control Management; CIS 17 Incident Response Management</t>
  </si>
  <si>
    <t xml:space="preserve">CC6.2 Registration and removal of access; CC7.4 Incident response</t>
  </si>
  <si>
    <t xml:space="preserve">AI-CTRL-026</t>
  </si>
  <si>
    <t xml:space="preserve">Agent Memory and Context Integrity</t>
  </si>
  <si>
    <t xml:space="preserve">Prevent poisoned or cross-user content from persisting in agent memory and context.</t>
  </si>
  <si>
    <t xml:space="preserve">Separate memory by user and tenant. Record the source of each memory item, apply expiry, and provide a way to inspect and purge memory. Do not let untrusted content write to long-term memory unchecked. Keep an inventory of memory stores with a named owner for each. Write down what each assistant may and may not remember, and enforce it when memory is written. Let users see, correct and delete what is remembered about them, and include memory in data subject access and erasure requests.</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</si>
  <si>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</si>
  <si>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</si>
  <si>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AI-R05, AI-R07, AI-R21</t>
  </si>
  <si>
    <t xml:space="preserve">LLM04:2025 Data and Model Poisoning; LLM01:2025 Prompt Injection; ASI06 Memory &amp; Context Poisoning</t>
  </si>
  <si>
    <t xml:space="preserve">AML.T0080 AI Agent Context Poisoning; AML.T0092 Manipulate User LLM Chat History; AML.T0094 Delay Execution of LLM Instructions</t>
  </si>
  <si>
    <t xml:space="preserve">AML.M0031 Memory Hardening</t>
  </si>
  <si>
    <t xml:space="preserve">A.8.3 Information access restriction</t>
  </si>
  <si>
    <t xml:space="preserve">CC6.1 Logical access security; PI1.5 Stored items</t>
  </si>
  <si>
    <t xml:space="preserve">AI-CTRL-027</t>
  </si>
  <si>
    <t xml:space="preserve">Agent Execution Isolation</t>
  </si>
  <si>
    <t xml:space="preserve">Run agent-generated code and browser or computer-use sessions in isolation.</t>
  </si>
  <si>
    <t xml:space="preserve">Execute generated code in a sandbox with no network, filesystem or secrets access by default. Run browser and computer-use agents in a separate profile or container with their own credentials and sessions.</t>
  </si>
  <si>
    <t xml:space="preserve">Sandbox configuration; egress rules; isolation test results.</t>
  </si>
  <si>
    <t xml:space="preserve">Have a test agent run code that tries to reach the network, read secrets and write outside its workspace. Confirm each attempt fails and is logged.</t>
  </si>
  <si>
    <t xml:space="preserve">Platform Engineering</t>
  </si>
  <si>
    <t xml:space="preserve">AI-R07, AI-R21, AI-R22, AI-R25</t>
  </si>
  <si>
    <t xml:space="preserve">LLM06:2025 Excessive Agency; ASI05 Unexpected Code Execution (RCE)</t>
  </si>
  <si>
    <t xml:space="preserve">AML.T0050 Command and Scripting Interpreter; AML.T0105 Escape to Host; AML.T0102 Generate Malicious Commands</t>
  </si>
  <si>
    <t xml:space="preserve">AML.M0032 Segmentation of AI Agent Components; AML.M0011 Restrict Library Loading</t>
  </si>
  <si>
    <t xml:space="preserve">A.4.5 System and computing resources; A.6.2.5 AI system deployment</t>
  </si>
  <si>
    <t xml:space="preserve">A.8.22 Segregation of networks; A.8.27 Secure system architecture and engineering principles; A.8.31 Separation of development, test and production environments</t>
  </si>
  <si>
    <t xml:space="preserve">PR.PS Platform Security; PR.IR Technology Infrastructure Resilience</t>
  </si>
  <si>
    <t xml:space="preserve">CIS 4 Secure Configuration of Enterprise Assets and Software; CIS 12 Network Infrastructure Management; CIS 16 Application Software Security</t>
  </si>
  <si>
    <t xml:space="preserve">CC6.6 Protection against threats from outside the boundary; CC6.8 Unauthorized or malicious software</t>
  </si>
  <si>
    <t xml:space="preserve">AI-CTRL-028</t>
  </si>
  <si>
    <t xml:space="preserve">Model Protection</t>
  </si>
  <si>
    <t xml:space="preserve">Model, Training and Pipeline</t>
  </si>
  <si>
    <t xml:space="preserve">Protect models from theft, extraction and adversarial inputs.</t>
  </si>
  <si>
    <t xml:space="preserve">Restrict access to model weights and encrypt them at rest. Limit and monitor inference queries for extraction patterns. Scan models before use, and test robustness for models that make security or safety decisions.</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</si>
  <si>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</si>
  <si>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</si>
  <si>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ML Engineering</t>
  </si>
  <si>
    <t xml:space="preserve">LLM10:2025 Unbounded Consumption; LLM02:2025 Sensitive Information Disclosure</t>
  </si>
  <si>
    <t xml:space="preserve">AML.T0024 Exfiltration via AI Inference API; AML.T0043 Craft Adversarial Data; AML.T0015 Evade AI Model; AML.T0044 Full AI Model Access; AML.T0018 Manipulate AI Model</t>
  </si>
  <si>
    <t xml:space="preserve">AML.M0004 Limit AI Service Query Volume and Rate; AML.M0005 Control Access to AI Models and Data at Rest; AML.M0003 Predictive AI Model Hardening; AML.M0015 Predictive AI Adversarial Input Detection; AML.M0008 Validate AI Model</t>
  </si>
  <si>
    <t xml:space="preserve">MEASURE 2.7; MEASURE 2.5</t>
  </si>
  <si>
    <t xml:space="preserve">A.5.15 Access control; A.8.3 Information access restriction; A.8.12 Data leakage prevention; A.8.24 Use of cryptography</t>
  </si>
  <si>
    <t xml:space="preserve">CC6.1 Logical access security; CC6.7 Transmission, movement and removal of information; C1.1 Identification of confidential information</t>
  </si>
  <si>
    <t xml:space="preserve">AI-CTRL-029</t>
  </si>
  <si>
    <t xml:space="preserve">Training and Fine-Tuning Data Integrity</t>
  </si>
  <si>
    <t xml:space="preserve">Custom AI Applications</t>
  </si>
  <si>
    <t xml:space="preserve">Know where training data came from and detect tampering before it shapes a model.</t>
  </si>
  <si>
    <t xml:space="preserve">Record provenance for every dataset. Verify integrity before each training or fine-tuning run. Screen data for sensitive content and poisoning, and keep the ability to trace a model back to its data. Define a data quality profile for each dataset: choose the quality characteristics that matter for the task (for example completeness, accuracy, balance and representativeness, as named in ISO/IEC 5259-2), set a measured threshold for each, and have the data owner approve them. Check the thresholds before each run, and treat labelling quality as part of the profile when data is labelled.</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</si>
  <si>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</si>
  <si>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</si>
  <si>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ML Engineering / Data Owner</t>
  </si>
  <si>
    <t xml:space="preserve">Before each training run</t>
  </si>
  <si>
    <t xml:space="preserve">LLM04:2025 Data and Model Poisoning</t>
  </si>
  <si>
    <t xml:space="preserve">AML.T0020 Training Data Poisoning; AML.T0059 Erode Dataset Integrity</t>
  </si>
  <si>
    <t xml:space="preserve">AML.M0007 Sanitize Training Data; AML.M0025 Maintain AI Dataset Provenance</t>
  </si>
  <si>
    <t xml:space="preserve">MAP 2.3; MAP 4.1; MEASURE 2.7; MEASURE 2.10</t>
  </si>
  <si>
    <t xml:space="preserve">A.7.2 Data for development and enhancement of AI system; A.7.3 Acquisition of data; A.7.4 Quality of data for AI systems; A.7.5 Data provenance</t>
  </si>
  <si>
    <t xml:space="preserve">A.5.9 Inventory of information and other associated assets; A.5.21 Managing information security in the ICT supply chain; A.8.33 Test information</t>
  </si>
  <si>
    <t xml:space="preserve">GV.SC Cybersecurity Supply Chain Risk Management; ID.AM Asset Management; PR.DS Data Security</t>
  </si>
  <si>
    <t xml:space="preserve">PI1.2 Inputs</t>
  </si>
  <si>
    <t xml:space="preserve">AI-CTRL-030</t>
  </si>
  <si>
    <t xml:space="preserve">ML Pipeline and Model Registry Security</t>
  </si>
  <si>
    <t xml:space="preserve">Protect the pipeline that builds, stores and releases models and prompts.</t>
  </si>
  <si>
    <t xml:space="preserve">Sign model artifacts and verify signatures at deployment. Restrict who can write to the registry. Gate releases on security tests, and version models, prompts and configuration together.</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</si>
  <si>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</si>
  <si>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</si>
  <si>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MLOps / DevSecOps</t>
  </si>
  <si>
    <t xml:space="preserve">LLM03:2025 Supply Chain; LLM04:2025 Data and Model Poisoning</t>
  </si>
  <si>
    <t xml:space="preserve">AML.T0010 AI Supply Chain Compromise; AML.T0018 Manipulate AI Model; AML.T0119 Exploit Automated Artifact Processing Pipeline</t>
  </si>
  <si>
    <t xml:space="preserve">AML.M0013 Code Signing; AML.M0014 Verify AI Artifacts</t>
  </si>
  <si>
    <t xml:space="preserve">MEASURE 2.7; MAP 4.2</t>
  </si>
  <si>
    <t xml:space="preserve">A.6.2.5 AI system deployment; A.6.2.3 Documentation of AI system design and development</t>
  </si>
  <si>
    <t xml:space="preserve">A.8.4 Access to source code; A.8.9 Configuration management; A.8.25 Secure development life cycle; A.8.29 Security testing in development and acceptance; A.8.31 Separation of development, test and production environments; A.8.32 Change management</t>
  </si>
  <si>
    <t xml:space="preserve">PR.AA Identity Management, Authentication, and Access Control; PR.PS Platform Security</t>
  </si>
  <si>
    <t xml:space="preserve">CIS 4 Secure Configuration of Enterprise Assets and Software; CIS 16 Application Software Security</t>
  </si>
  <si>
    <t xml:space="preserve">CC6.1 Logical access security; CC8.1 Change management</t>
  </si>
  <si>
    <t xml:space="preserve">AI-CTRL-031</t>
  </si>
  <si>
    <t xml:space="preserve">AI Supply Chain and AI-BOM</t>
  </si>
  <si>
    <t xml:space="preserve">Supply Chain, Infrastructure and Resilience</t>
  </si>
  <si>
    <t xml:space="preserve">Custom AI Applications / Agents / IDE AI / Vendors</t>
  </si>
  <si>
    <t xml:space="preserve">Know exactly which models, datasets, packages and prompts run in each environment.</t>
  </si>
  <si>
    <t xml:space="preserve">Maintain an AI bill of materials per system. Take models and packages only from approved sources, verify provenance, and scan them. Re-run security tests when any component changes, including a provider-side model update. Pin model versions rather than using floating aliases such as "latest", and track provider deprecation and change notices so that a model change is a reviewed change.</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</si>
  <si>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</si>
  <si>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</si>
  <si>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AI-R08, AI-R16, AI-R23</t>
  </si>
  <si>
    <t xml:space="preserve">AML.T0010 AI Supply Chain Compromise; AML.T0109 AI Supply Chain Rug Pull; AML.T0115 Publish Poisoned AI Artifacts; AML.T0111 AI Supply Chain Reputation Inflation</t>
  </si>
  <si>
    <t xml:space="preserve">AML.M0023 AI Bill of Materials; AML.M0014 Verify AI Artifacts; AML.M0016 Vulnerability Scanning</t>
  </si>
  <si>
    <t xml:space="preserve">GOVERN 6.1; MAP 4.1; MANAGE 3.1; MANAGE 3.2</t>
  </si>
  <si>
    <t xml:space="preserve">A.10.3 Suppliers; A.4.2 Resource documentation; A.7.5 Data provenance</t>
  </si>
  <si>
    <t xml:space="preserve">A.5.9 Inventory of information and other associated assets; A.5.21 Managing information security in the ICT supply chain; A.8.8 Management of technical vulnerabilities; A.8.19 Installation of software on operational systems; A.8.30 Outsourced development</t>
  </si>
  <si>
    <t xml:space="preserve">GV.SC Cybersecurity Supply Chain Risk Management; ID.AM Asset Management; ID.RA Risk Assessment</t>
  </si>
  <si>
    <t xml:space="preserve">CIS 2 Inventory and Control of Software Assets; CIS 7 Continuous Vulnerability Management; CIS 15 Service Provider Management; CIS 16 Application Software Security</t>
  </si>
  <si>
    <t xml:space="preserve">CC7.1 Detection of configuration changes and vulnerabilities; CC9.2 Vendor and business partner risk</t>
  </si>
  <si>
    <t xml:space="preserve">AI-CTRL-032</t>
  </si>
  <si>
    <t xml:space="preserve">AI Infrastructure Hardening</t>
  </si>
  <si>
    <t xml:space="preserve">Harden and segment the infrastructure that trains and serves models.</t>
  </si>
  <si>
    <t xml:space="preserve">Separate experimentation, training, evaluation and production. Isolate model runtimes at the network level and allow only required egress. Manage secrets centrally, and isolate tenants on shared GPUs.</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</si>
  <si>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</si>
  <si>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</si>
  <si>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AI-R08, AI-R10</t>
  </si>
  <si>
    <t xml:space="preserve">AML.T0049 Exploit Public-Facing Application; AML.T0132 Misconfigured or Publicly Exposed AI Services; AML.T0055 Unsecured Credentials; AML.T0025 Exfiltration via Cyber Means</t>
  </si>
  <si>
    <t xml:space="preserve">AML.M0005 Control Access to AI Models and Data at Rest; AML.M0012 Encrypt Sensitive Information; AML.M0016 Vulnerability Scanning; AML.M0019 Control Access to AI Models and Data in Production</t>
  </si>
  <si>
    <t xml:space="preserve">A.4.5 System and computing resources</t>
  </si>
  <si>
    <t xml:space="preserve">A.5.23 Information security for use of cloud services; A.8.8 Management of technical vulnerabilities; A.8.9 Configuration management; A.8.20 Networks security; A.8.22 Segregation of networks; A.8.24 Use of cryptography</t>
  </si>
  <si>
    <t xml:space="preserve">PR.DS Data Security; PR.PS Platform Security; PR.IR Technology Infrastructure Resilience</t>
  </si>
  <si>
    <t xml:space="preserve">CIS 4 Secure Configuration of Enterprise Assets and Software; CIS 7 Continuous Vulnerability Management; CIS 12 Network Infrastructure Management; CIS 13 Network Monitoring and Defense</t>
  </si>
  <si>
    <t xml:space="preserve">CC6.1 Logical access security; CC6.6 Protection against threats from outside the boundary; CC7.1 Detection of configuration changes and vulnerabilities</t>
  </si>
  <si>
    <t xml:space="preserve">AI Security Review and Release Gate</t>
  </si>
  <si>
    <t xml:space="preserve">Assurance and Testing</t>
  </si>
  <si>
    <t xml:space="preserve">Custom AI Applications / Agents / Vendors</t>
  </si>
  <si>
    <t xml:space="preserve">Review every AI system against its threats before production and after material change.</t>
  </si>
  <si>
    <t xml:space="preserve">Threat model each system: assets, trust boundaries, worst-case output and maximum damage. Select controls from this library by risk tier. Record open risks and exceptions, and require sign-off before release.</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</si>
  <si>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</si>
  <si>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</si>
  <si>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Before each release and annually</t>
  </si>
  <si>
    <t xml:space="preserve">AI-R05, AI-R07, AI-R08, AI-R14, AI-R16</t>
  </si>
  <si>
    <t xml:space="preserve">None published in the OWASP Top 10 lists. The wiki's own identifier applies: AI-CTRL-033.</t>
  </si>
  <si>
    <t xml:space="preserve">None published in MITRE ATLAS techniques. The wiki's own identifier applies: AI-CTRL-033.</t>
  </si>
  <si>
    <t xml:space="preserve">None published in MITRE ATLAS mitigations. The wiki's own identifier applies: AI-CTRL-033.</t>
  </si>
  <si>
    <t xml:space="preserve">MANAGE 1.1; GOVERN 4.2; MEASURE 2.7</t>
  </si>
  <si>
    <t xml:space="preserve">A.5.2 AI system impact assessment process; A.6.2.2 AI system requirements and specification; A.6.2.4 AI system verification and validation; A.6.2.5 AI system deployment</t>
  </si>
  <si>
    <t xml:space="preserve">A.5.8 Information security in project management; A.8.25 Secure development life cycle; A.8.27 Secure system architecture and engineering principles; A.8.29 Security testing in development and acceptance; A.8.32 Change management</t>
  </si>
  <si>
    <t xml:space="preserve">ID.RA Risk Assessment; PR.PS Platform Security</t>
  </si>
  <si>
    <t xml:space="preserve">CC3.4 Assessment of change; CC8.1 Change management</t>
  </si>
  <si>
    <t xml:space="preserve">AI-CTRL-034</t>
  </si>
  <si>
    <t xml:space="preserve">Adversarial Testing and Continuous Evaluation</t>
  </si>
  <si>
    <t xml:space="preserve">Test AI systems against attacks before release and continuously afterwards.</t>
  </si>
  <si>
    <t xml:space="preserve">Red team each system against defined threat cases before release. Run a regression suite in the pipeline and whenever the model, prompt, tools or data change. The risk owner sets the acceptable attack success rate in writing. Re-run the regression suite whenever the model version, prompt, retrieval source or guardrail changes, including changes made by the provider, and set a tolerance for run-to-run output variation.</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</si>
  <si>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</si>
  <si>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</si>
  <si>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 Red Team / AppSec</t>
  </si>
  <si>
    <t xml:space="preserve">Before each release and continuously</t>
  </si>
  <si>
    <t xml:space="preserve">AI-R05, AI-R07, AI-R16, AI-R17, AI-R20</t>
  </si>
  <si>
    <t xml:space="preserve">LLM01:2025 Prompt Injection; LLM02:2025 Sensitive Information Disclosure; LLM03:2025 Supply Chain; LLM04:2025 Data and Model Poisoning; LLM05:2025 Improper Output Handling; LLM06:2025 Excessive Agency; LLM07:2025 System Prompt Leakage; LLM08:2025 Vector and Embedding Weaknesses; LLM09:2025 Misinformation; LLM10:2025 Unbounded Consumption</t>
  </si>
  <si>
    <t xml:space="preserve">None published in MITRE ATLAS techniques. The wiki's own identifier applies: AI-CTRL-034.</t>
  </si>
  <si>
    <t xml:space="preserve">AML.M0035 AI Red Team</t>
  </si>
  <si>
    <t xml:space="preserve">MEASURE 2.7; MEASURE 2.6; MEASURE 2.1; GOVERN 4.3</t>
  </si>
  <si>
    <t xml:space="preserve">A.8.8 Management of technical vulnerabilities; A.8.29 Security testing in development and acceptance</t>
  </si>
  <si>
    <t xml:space="preserve">ID.RA Risk Assessment; ID.IM Improvement</t>
  </si>
  <si>
    <t xml:space="preserve">CIS 7 Continuous Vulnerability Management; CIS 18 Penetration Testing</t>
  </si>
  <si>
    <t xml:space="preserve">CC4.1 Ongoing and separate evaluations; CC7.1 Detection of configuration changes and vulnerabilities</t>
  </si>
  <si>
    <t xml:space="preserve">AI Incident Response and Forensics</t>
  </si>
  <si>
    <t xml:space="preserve">Detect, contain, investigate and recover from AI security incidents.</t>
  </si>
  <si>
    <t xml:space="preserve">Maintain AI-specific playbooks and an incident taxonomy. Preserve state needed for investigation: prompts, context, index snapshots, memory and model version. Define containment options and how to work with the model provider.</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</si>
  <si>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</si>
  <si>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</si>
  <si>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SOC / Incident Response</t>
  </si>
  <si>
    <t xml:space="preserve">Annually and after each incident</t>
  </si>
  <si>
    <t xml:space="preserve">AI-R09, AI-R20</t>
  </si>
  <si>
    <t xml:space="preserve">None published in the OWASP Top 10 lists. The wiki's own identifier applies: AI-CTRL-035.</t>
  </si>
  <si>
    <t xml:space="preserve">None published in MITRE ATLAS techniques. The wiki's own identifier applies: AI-CTRL-035.</t>
  </si>
  <si>
    <t xml:space="preserve">MANAGE 4.3; MANAGE 2.3; GOVERN 4.3; GOVERN 6.2</t>
  </si>
  <si>
    <t xml:space="preserve">A.8.4 Communication of incidents; A.8.3 External reporting; A.3.3 Reporting of concerns; A.6.2.6 AI system operation and monitoring</t>
  </si>
  <si>
    <t xml:space="preserve">A.5.24 Information security incident management planning and preparation; A.5.25 Assessment and decision on information security events; A.5.26 Response to information security incidents; A.5.27 Learning from information security incidents; A.5.28 Collection of evidence; A.6.8 Information security event reporting</t>
  </si>
  <si>
    <t xml:space="preserve">DE.AE Adverse Event Analysis; RS.MA Incident Management; RS.AN Incident Analysis; RS.CO Incident Response Reporting and Communication; RS.MI Incident Mitigation; RC.RP Incident Recovery Plan Execution</t>
  </si>
  <si>
    <t xml:space="preserve">CIS 17 Incident Response Management</t>
  </si>
  <si>
    <t xml:space="preserve">CC7.3 Evaluation of security events; CC7.4 Incident response; CC7.5 Recovery from incidents</t>
  </si>
  <si>
    <t xml:space="preserve">AI Cost and Abuse Controls</t>
  </si>
  <si>
    <t xml:space="preserve">Cost and Abuse</t>
  </si>
  <si>
    <t xml:space="preserve">Attribute AI spend and stop abuse that exhausts budget or capacity.</t>
  </si>
  <si>
    <t xml:space="preserve">Attribute usage to team, application, user and key. Set budgets, rate limits and quotas with enforcement. Detect spend anomalies and leaked keys, and limit loops and retries in agents.</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</si>
  <si>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</si>
  <si>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</si>
  <si>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FinOps / AI Platform Team</t>
  </si>
  <si>
    <t xml:space="preserve">LLM10:2025 Unbounded Consumption</t>
  </si>
  <si>
    <t xml:space="preserve">AML.T0034 Cost Harvesting; AML.T0029 Denial of AI Service; AML.T0046 Spamming AI System with Chaff Data</t>
  </si>
  <si>
    <t xml:space="preserve">AML.M0004 Limit AI Service Query Volume and Rate; AML.M0036 Limit AI Workload Resource Consumption</t>
  </si>
  <si>
    <t xml:space="preserve">MEASURE 2.7; MANAGE 4.1</t>
  </si>
  <si>
    <t xml:space="preserve">A.8.6 Capacity management; A.8.16 Monitoring activities</t>
  </si>
  <si>
    <t xml:space="preserve">PR.IR Technology Infrastructure Resilience; DE.CM Continuous Monitoring</t>
  </si>
  <si>
    <t xml:space="preserve">None published in the CIS Controls. The wiki's own identifier applies: AI-CTRL-036.</t>
  </si>
  <si>
    <t xml:space="preserve">A1.1 Capacity</t>
  </si>
  <si>
    <t xml:space="preserve">AI-CTRL-037</t>
  </si>
  <si>
    <t xml:space="preserve">AI Risk Assessment and Exception Management</t>
  </si>
  <si>
    <t xml:space="preserve">Assess, treat and accept AI risks consistently, and keep every exception owned and time-bound.</t>
  </si>
  <si>
    <t xml:space="preserve">Keep an AI risk register with an owner and a score for every risk. Use one scoring method so that different assessors reach the same result. Accept residual risk only at the right authority level. Give every exception an owner, a compensating control and an expiry date that the technical control enforces.</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</si>
  <si>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</si>
  <si>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</si>
  <si>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Cyber Risk / GRC</t>
  </si>
  <si>
    <t xml:space="preserve">AI-R02, AI-R18, AI-R28</t>
  </si>
  <si>
    <t xml:space="preserve">None published in the OWASP Top 10 lists. The wiki's own identifier applies: AI-CTRL-037.</t>
  </si>
  <si>
    <t xml:space="preserve">None published in MITRE ATLAS techniques. The wiki's own identifier applies: AI-CTRL-037.</t>
  </si>
  <si>
    <t xml:space="preserve">None published in MITRE ATLAS mitigations. The wiki's own identifier applies: AI-CTRL-037.</t>
  </si>
  <si>
    <t xml:space="preserve">GOVERN 1.3; MAP 1.5; MANAGE 1.2; MANAGE 1.4</t>
  </si>
  <si>
    <t xml:space="preserve">Clause 6.1.2 AI risk assessment; Clause 6.1.3 AI risk treatment</t>
  </si>
  <si>
    <t xml:space="preserve">Clause 6.1.2 Information security risk assessment; Clause 6.1.3 Information security risk treatment</t>
  </si>
  <si>
    <t xml:space="preserve">GV.RM Risk Management Strategy; ID.RA Risk Assessment</t>
  </si>
  <si>
    <t xml:space="preserve">None published in the CIS Controls. The wiki's own identifier applies: AI-CTRL-037.</t>
  </si>
  <si>
    <t xml:space="preserve">CC3.1 Objectives for risk assessment; CC3.2 Risk identification and analysis; CC9.1 Risk mitigation for business disruption</t>
  </si>
  <si>
    <t xml:space="preserve">AI-CTRL-038</t>
  </si>
  <si>
    <t xml:space="preserve">Control Assurance and Audit Evidence</t>
  </si>
  <si>
    <t xml:space="preserve">Show, with current evidence, that each AI control is operating and that findings are closed.</t>
  </si>
  <si>
    <t xml:space="preserve">Measure control effectiveness on a schedule. Collect evidence automatically where possible and record its age. Have control owners attest periodically. Track findings to verified closure, and protect governance records from silent change.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</si>
  <si>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</si>
  <si>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</si>
  <si>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GRC / Internal Audit</t>
  </si>
  <si>
    <t xml:space="preserve">AI-R09, AI-R15, AI-R28</t>
  </si>
  <si>
    <t xml:space="preserve">None published in the OWASP Top 10 lists. The wiki's own identifier applies: AI-CTRL-038.</t>
  </si>
  <si>
    <t xml:space="preserve">None published in MITRE ATLAS techniques. The wiki's own identifier applies: AI-CTRL-038.</t>
  </si>
  <si>
    <t xml:space="preserve">None published in MITRE ATLAS mitigations. The wiki's own identifier applies: AI-CTRL-038.</t>
  </si>
  <si>
    <t xml:space="preserve">GOVERN 1.5; MEASURE 1.2; MEASURE 1.3; MANAGE 4.2</t>
  </si>
  <si>
    <t xml:space="preserve">Clause 9.1 Monitoring, measurement, analysis and evaluation; Clause 9.2 Internal audit; Clause 9.3 Management review; Clause 10.2 Nonconformity and corrective action</t>
  </si>
  <si>
    <t xml:space="preserve">A.5.33 Protection of records; A.5.35 Independent review of information security; A.5.36 Compliance with policies, rules and standards for information security; Clause 9.2 Internal audit</t>
  </si>
  <si>
    <t xml:space="preserve">GV.OV Oversight; ID.IM Improvement</t>
  </si>
  <si>
    <t xml:space="preserve">None published in the CIS Controls. The wiki's own identifier applies: AI-CTRL-038.</t>
  </si>
  <si>
    <t xml:space="preserve">CC4.1 Ongoing and separate evaluations; CC4.2 Communication of deficiencies</t>
  </si>
  <si>
    <t xml:space="preserve">AI-CTRL-039</t>
  </si>
  <si>
    <t xml:space="preserve">Output Reliability and Content Safety</t>
  </si>
  <si>
    <t xml:space="preserve">Custom AI Applications / AI APIs / IDE AI</t>
  </si>
  <si>
    <t xml:space="preserve">Keep AI output grounded, within its approved scope and free of harmful content.</t>
  </si>
  <si>
    <t xml:space="preserve">Ground answers in approved sources and verify citations. Restrict assistants to their approved topics. Filter harmful and policy-violating output. Detect fabricated packages, links and references before users act on them, and measure factual accuracy against a baseline.</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</si>
  <si>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</si>
  <si>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</si>
  <si>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Application Owner / AppSec</t>
  </si>
  <si>
    <t xml:space="preserve">AI-R12, AI-R14, AI-R20</t>
  </si>
  <si>
    <t xml:space="preserve">LLM09:2025 Misinformation</t>
  </si>
  <si>
    <t xml:space="preserve">AML.T0062 Discover LLM Hallucinations; AML.T0060 Publish Hallucinated Entities; AML.T0048 External Harms</t>
  </si>
  <si>
    <t xml:space="preserve">AML.M0020 Generative AI Guardrails; AML.M0022 Generative AI Model Alignment</t>
  </si>
  <si>
    <t xml:space="preserve">MEASURE 2.5; MEASURE 2.6; MAP 2.2</t>
  </si>
  <si>
    <t xml:space="preserve">A.6.2.4 AI system verification and validation; A.8.2 System documentation and information for users</t>
  </si>
  <si>
    <t xml:space="preserve">None published in ISO/IEC 27001 Annex A. The wiki's own identifier applies: AI-CTRL-039.</t>
  </si>
  <si>
    <t xml:space="preserve">None published in the NIST CSF categories. The wiki's own identifier applies: AI-CTRL-039.</t>
  </si>
  <si>
    <t xml:space="preserve">None published in the CIS Controls. The wiki's own identifier applies: AI-CTRL-039.</t>
  </si>
  <si>
    <t xml:space="preserve">PI1.3 Processing; PI1.4 Outputs</t>
  </si>
  <si>
    <t xml:space="preserve">AI Service Resilience and Fail-Safe Operation</t>
  </si>
  <si>
    <t xml:space="preserve">AI APIs / Custom AI Applications / Agents / Vendors</t>
  </si>
  <si>
    <t xml:space="preserve">Keep AI services and their security controls available, and make them fail safely.</t>
  </si>
  <si>
    <t xml:space="preserve">Decide for each control whether it fails open or closed, and test it. Measure the latency and quality cost of controls so that teams do not remove them. Provide failover that keeps guardrails, residency and logging intact. Keep tested fallback paths for AI-dependent processes, tested backups and an exit plan for each provider. Detect silent failure of controls.</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</si>
  <si>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</si>
  <si>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</si>
  <si>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Platform Engineering / Application Owner</t>
  </si>
  <si>
    <t xml:space="preserve">AI-R13, AI-R16</t>
  </si>
  <si>
    <t xml:space="preserve">None published in the OWASP Top 10 lists. The wiki's own identifier applies: AI-CTRL-040.</t>
  </si>
  <si>
    <t xml:space="preserve">AML.T0029 Denial of AI Service</t>
  </si>
  <si>
    <t xml:space="preserve">AML.M0036 Limit AI Workload Resource Consumption</t>
  </si>
  <si>
    <t xml:space="preserve">MEASURE 2.7; GOVERN 6.2; MANAGE 2.3</t>
  </si>
  <si>
    <t xml:space="preserve">A.6.2.6 AI system operation and monitoring; A.4.5 System and computing resources</t>
  </si>
  <si>
    <t xml:space="preserve">A.5.29 Information security during disruption; A.5.30 ICT readiness for business continuity; A.8.6 Capacity management; A.8.13 Information backup; A.8.14 Redundancy of information processing facilities</t>
  </si>
  <si>
    <t xml:space="preserve">PR.IR Technology Infrastructure Resilience; RC.RP Incident Recovery Plan Execution</t>
  </si>
  <si>
    <t xml:space="preserve">CIS 11 Data Recovery</t>
  </si>
  <si>
    <t xml:space="preserve">A1.1 Capacity; A1.2 Backup and recovery infrastructure; A1.3 Recovery plan testing; CC9.1 Risk mitigation for business disruption</t>
  </si>
  <si>
    <t xml:space="preserve">AI-CTRL-041</t>
  </si>
  <si>
    <t xml:space="preserve">Fairness, Bias Testing and Explainability</t>
  </si>
  <si>
    <t xml:space="preserve">Test AI systems that make or support high-impact decisions for unfair bias, and keep explanations that a person can understand and a reviewer can challenge.</t>
  </si>
  <si>
    <t xml:space="preserve">Define which decisions are high-impact. Identify the relevant groups with legal input. Test for bias before release, at least annually and on material model change, and record the method, data, thresholds, results and approvals. Where sensitive data is needed for testing, record why it is necessary and the safeguards. Tell customers before an AI-powered service is provided that AI is used and what its main risks and limits are, in plain language. Give an explanation for each high-impact decision and a route to human review. Block or condition release when a threshold fails. 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</si>
  <si>
    <t xml:space="preserve">Bias test plan and results; customer AI-use notices;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</si>
  <si>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</si>
  <si>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 Governance Lead / Model Risk</t>
  </si>
  <si>
    <t xml:space="preserve">Annually and on material model change</t>
  </si>
  <si>
    <t xml:space="preserve">AI-R12, AI-R14, AI-R15</t>
  </si>
  <si>
    <t xml:space="preserve">None published in the OWASP Top 10 lists. The wiki's own identifier applies: AI-CTRL-041.</t>
  </si>
  <si>
    <t xml:space="preserve">None published in MITRE ATLAS techniques. The wiki's own identifier applies: AI-CTRL-041.</t>
  </si>
  <si>
    <t xml:space="preserve">None published in MITRE ATLAS mitigations. The wiki's own identifier applies: AI-CTRL-041.</t>
  </si>
  <si>
    <t xml:space="preserve">MEASURE 2.11; MEASURE 2.9; MAP 5.1</t>
  </si>
  <si>
    <t xml:space="preserve">A.5.4 Assessing AI system impact on individuals or groups of individuals; A.6.2.4 AI system verification and validation; A.8.2 System documentation and information for users</t>
  </si>
  <si>
    <t xml:space="preserve">None published in ISO/IEC 27001 Annex A. The wiki's own identifier applies: AI-CTRL-041.</t>
  </si>
  <si>
    <t xml:space="preserve">None published in the NIST CSF categories. The wiki's own identifier applies: AI-CTRL-041.</t>
  </si>
  <si>
    <t xml:space="preserve">None published in the CIS Controls. The wiki's own identifier applies: AI-CTRL-041.</t>
  </si>
  <si>
    <t xml:space="preserve">None published in the SOC 2 criteria. The wiki's own identifier applies: AI-CTRL-041.</t>
  </si>
  <si>
    <t xml:space="preserve">AI-CTRL-042</t>
  </si>
  <si>
    <t xml:space="preserve">Fundamental Rights and Data Protection Impact Assessment</t>
  </si>
  <si>
    <t xml:space="preserve">Assess the impact on people's rights before deploying AI that is high-risk or that puts personal data at risk, and keep the assessment current.</t>
  </si>
  <si>
    <t xml:space="preserve">Run a combined data protection and fundamental rights impact assessment before go-live for in-scope systems. Record purpose, data, groups affected, risks, oversight, mitigation, consultation and decision. Include intended and reasonably foreseeable unintended uses and misuse, the deployment regions and languages, the data and its quality, and benefits as well as harms, as listed in ISO/IEC 42005:2025 clause 6. Record the data protection officer's advice and how it was handled. Reassess on material change and at least annually.</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</si>
  <si>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</si>
  <si>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</si>
  <si>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Data Protection Officer / AI Governance Lead</t>
  </si>
  <si>
    <t xml:space="preserve">Before deployment, annually and on material change</t>
  </si>
  <si>
    <t xml:space="preserve">AI-R10, AI-R12, AI-R28</t>
  </si>
  <si>
    <t xml:space="preserve">None published in the OWASP Top 10 lists. The wiki's own identifier applies: AI-CTRL-042.</t>
  </si>
  <si>
    <t xml:space="preserve">None published in MITRE ATLAS techniques. The wiki's own identifier applies: AI-CTRL-042.</t>
  </si>
  <si>
    <t xml:space="preserve">None published in MITRE ATLAS mitigations. The wiki's own identifier applies: AI-CTRL-042.</t>
  </si>
  <si>
    <t xml:space="preserve">MAP 5.1; MAP 1.1; GOVERN 1.1</t>
  </si>
  <si>
    <t xml:space="preserve">A.5.2 AI system impact assessment process; A.5.3 Documentation of AI system impact assessments; A.5.4 Assessing AI system impact on individuals or groups of individuals; A.5.5 Assessing societal impacts of AI systems</t>
  </si>
  <si>
    <t xml:space="preserve">A.5.8 Information security in project management; A.5.31 Legal, statutory, regulatory and contractual requirements; A.5.34 Privacy and protection of PII</t>
  </si>
  <si>
    <t xml:space="preserve">GV.OC Organizational Context; ID.RA Risk Assessment</t>
  </si>
  <si>
    <t xml:space="preserve">None published in the CIS Controls. The wiki's own identifier applies: AI-CTRL-042.</t>
  </si>
  <si>
    <t xml:space="preserve">CC3.2 Risk identification and analysis</t>
  </si>
  <si>
    <t xml:space="preserve">AI-CTRL-043</t>
  </si>
  <si>
    <t xml:space="preserve">Regulator and Authority Engagement</t>
  </si>
  <si>
    <t xml:space="preserve">Know which authorities oversee each AI system, meet the registration, filing and notification duties they set, and keep a record of every contact.</t>
  </si>
  <si>
    <t xml:space="preserve">Keep a register of the authorities and ethics bodies relevant to each AI system and jurisdiction, with the duties each one sets and an owner for each duty. Track filings, registrations and local representative appointments to their due dates. Log every contact and its outcome. Watch for new guidance and pending rules, and review the register on a schedule.</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</si>
  <si>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</si>
  <si>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</si>
  <si>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Legal / Compliance</t>
  </si>
  <si>
    <t xml:space="preserve">AI-R09, AI-R10</t>
  </si>
  <si>
    <t xml:space="preserve">None published in the OWASP Top 10 lists. The wiki's own identifier applies: AI-CTRL-043.</t>
  </si>
  <si>
    <t xml:space="preserve">None published in MITRE ATLAS techniques. The wiki's own identifier applies: AI-CTRL-043.</t>
  </si>
  <si>
    <t xml:space="preserve">None published in MITRE ATLAS mitigations. The wiki's own identifier applies: AI-CTRL-043.</t>
  </si>
  <si>
    <t xml:space="preserve">GOVERN 1.1; GOVERN 5.1</t>
  </si>
  <si>
    <t xml:space="preserve">Clause 4.2 Understanding the needs and expectations of interested parties; A.8.3 External reporting; A.8.5 Information for interested parties</t>
  </si>
  <si>
    <t xml:space="preserve">A.5.5 Contact with authorities; A.5.31 Legal, statutory, regulatory and contractual requirements</t>
  </si>
  <si>
    <t xml:space="preserve">GV.OC Organizational Context; RS.CO Incident Response Reporting and Communication</t>
  </si>
  <si>
    <t xml:space="preserve">CC2.3 External communication</t>
  </si>
  <si>
    <t xml:space="preserve">AI-CTRL-044</t>
  </si>
  <si>
    <t xml:space="preserve">AI Literacy and Role-Based Competence</t>
  </si>
  <si>
    <t xml:space="preserve">Give everyone who builds, operates, oversees or uses AI the knowledge their role needs, and keep the records that show it.</t>
  </si>
  <si>
    <t xml:space="preserve">Define the knowledge each role group needs, from board members to human reviewers and contractors. Deliver role-based training on a schedule and when a role or a system changes. Record completion and results. Check that the training works, for example through scenario tests and reviewer override rates.</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</si>
  <si>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</si>
  <si>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</si>
  <si>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 Governance Lead / HR</t>
  </si>
  <si>
    <t xml:space="preserve">Annually and on role change</t>
  </si>
  <si>
    <t xml:space="preserve">AI-R02, AI-R19</t>
  </si>
  <si>
    <t xml:space="preserve">None published in the OWASP Top 10 lists. The wiki's own identifier applies: AI-CTRL-044.</t>
  </si>
  <si>
    <t xml:space="preserve">None published in MITRE ATLAS techniques. The wiki's own identifier applies: AI-CTRL-044.</t>
  </si>
  <si>
    <t xml:space="preserve">None published in MITRE ATLAS mitigations. The wiki's own identifier applies: AI-CTRL-044.</t>
  </si>
  <si>
    <t xml:space="preserve">GOVERN 2.2; MAP 3.4</t>
  </si>
  <si>
    <t xml:space="preserve">Clause 7.2 Competence; Clause 7.3 Awareness; A.4.6 Human resources</t>
  </si>
  <si>
    <t xml:space="preserve">A.6.3 Information security awareness, education and training</t>
  </si>
  <si>
    <t xml:space="preserve">PR.AT Awareness and Training</t>
  </si>
  <si>
    <t xml:space="preserve">CIS 14 Security Awareness and Skills Training</t>
  </si>
  <si>
    <t xml:space="preserve">CC1.4 Competence; CC2.2 Internal communication</t>
  </si>
  <si>
    <t xml:space="preserve">AI-CTRL-045</t>
  </si>
  <si>
    <t xml:space="preserve">Human Oversight Design and Effectiveness</t>
  </si>
  <si>
    <t xml:space="preserve">Design human review so the people named as overseers can understand, challenge, override and stop an AI system, and show with measures that they do.</t>
  </si>
  <si>
    <t xml:space="preserve">Set, by risk tier, where a person must review, approve or be able to intervene: before the output is used, while the system runs, and after the fact by sampling. Give each overseer the evidence behind the output (sources, confidence, alternatives) and not only the result, the authority and time to override, and training that matches the role (AI-CTRL-044). Keep the volume per reviewer low enough to be reviewed, and give overseers a way to stop or roll back the system (AI-CTRL-025). Measure effectiveness: override and escalation rates, time per review, results of independent re-review of a sample, and detection of seeded errors. Reassess the design when the measures show rubber-stamping. This control covers oversight of AI-assisted decisions in general; AI-CTRL-023 gates specific irreversible agent actions.</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</si>
  <si>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</si>
  <si>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</si>
  <si>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 Governance Lead / Application Owner</t>
  </si>
  <si>
    <t xml:space="preserve">Semi-annually and on material change</t>
  </si>
  <si>
    <t xml:space="preserve">AI-R07, AI-R12, AI-R14, AI-R18, AI-R19, AI-R28</t>
  </si>
  <si>
    <t xml:space="preserve">None published in MITRE ATLAS techniques. The wiki's own identifier applies: AI-CTRL-045.</t>
  </si>
  <si>
    <t xml:space="preserve">None published in ISO/IEC 27001 Annex A. The wiki's own identifier applies: AI-CTRL-045.</t>
  </si>
  <si>
    <t xml:space="preserve">GV.RR Roles, Responsibilities, and Authorities</t>
  </si>
  <si>
    <t xml:space="preserve">None published in the CIS Controls. The wiki's own identifier applies: AI-CTRL-045.</t>
  </si>
  <si>
    <t xml:space="preserve">None published in the SOC 2 criteria. The wiki's own identifier applies: AI-CTRL-045.</t>
  </si>
  <si>
    <t xml:space="preserve">AI-CTRL-046</t>
  </si>
  <si>
    <t xml:space="preserve">Intellectual Property and Copyright Governance</t>
  </si>
  <si>
    <t xml:space="preserve">Browser AI / IDE AI / AI APIs / Custom AI Applications / Vendors</t>
  </si>
  <si>
    <t xml:space="preserve">Control the intellectual property and copyright exposure of AI inputs, outputs and training data.</t>
  </si>
  <si>
    <t xml:space="preserve">Set a policy on what third-party copyrighted or licensed material staff may submit to AI tools, and on how AI output may be used in products, code and publications. Review vendor terms for ownership of output, indemnity for infringement claims and use of inputs for training. Record the source and licence of training and fine-tuning data (AI-CTRL-029). Where policy requires, scan AI-generated code and content for licence and similarity matches before release. Record exceptions with an owner and an expiry date.</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</si>
  <si>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</si>
  <si>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</si>
  <si>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Annually and when vendor terms change</t>
  </si>
  <si>
    <t xml:space="preserve">None published in the OWASP Top 10 lists. The wiki's own identifier applies: AI-CTRL-046.</t>
  </si>
  <si>
    <t xml:space="preserve">None published in MITRE ATLAS techniques. The wiki's own identifier applies: AI-CTRL-046.</t>
  </si>
  <si>
    <t xml:space="preserve">None published in MITRE ATLAS mitigations. The wiki's own identifier applies: AI-CTRL-046.</t>
  </si>
  <si>
    <t xml:space="preserve">MAP 4.1</t>
  </si>
  <si>
    <t xml:space="preserve">A.7.5 Data provenance; A.10.3 Suppliers</t>
  </si>
  <si>
    <t xml:space="preserve">A.5.20 Addressing information security within supplier agreements; A.5.31 Legal, statutory, regulatory and contractual requirements; A.5.32 Intellectual property rights</t>
  </si>
  <si>
    <t xml:space="preserve">GV.OC Organizational Context</t>
  </si>
  <si>
    <t xml:space="preserve">None published in the CIS Controls. The wiki's own identifier applies: AI-CTRL-046.</t>
  </si>
  <si>
    <t xml:space="preserve">None published in the SOC 2 criteria. The wiki's own identifier applies: AI-CTRL-046.</t>
  </si>
  <si>
    <t xml:space="preserve">Framework matrix: each register risk against every framework in the wiki</t>
  </si>
  <si>
    <t xml:space="preserve">Cells list the framework items linked to the risk. Row 4 says how: "direct" where the wiki crosswalk names risks, "via controls" where it names controls (then the risks those controls treat).</t>
  </si>
  <si>
    <t xml:space="preserve">Category</t>
  </si>
  <si>
    <t xml:space="preserve">Risk frameworks</t>
  </si>
  <si>
    <t xml:space="preserve">AI security</t>
  </si>
  <si>
    <t xml:space="preserve">ISO/IEC standards</t>
  </si>
  <si>
    <t xml:space="preserve">Security baselines</t>
  </si>
  <si>
    <t xml:space="preserve">Ethics and principles</t>
  </si>
  <si>
    <t xml:space="preserve">International instruments</t>
  </si>
  <si>
    <t xml:space="preserve">Privacy and regulation</t>
  </si>
  <si>
    <t xml:space="preserve">Basis</t>
  </si>
  <si>
    <t xml:space="preserve">direct</t>
  </si>
  <si>
    <t xml:space="preserve">via controls</t>
  </si>
  <si>
    <t xml:space="preserve">FINOS AIGF risks</t>
  </si>
  <si>
    <t xml:space="preserve">FINOS AIGF mitigations</t>
  </si>
  <si>
    <t xml:space="preserve">NIST AI RMF 1.0</t>
  </si>
  <si>
    <t xml:space="preserve">NIST AI 600-1 GenAI Profile</t>
  </si>
  <si>
    <t xml:space="preserve">AI BCF</t>
  </si>
  <si>
    <t xml:space="preserve">OWASP LLM Top 10 (2025)</t>
  </si>
  <si>
    <t xml:space="preserve">OWASP Agentic Top 10</t>
  </si>
  <si>
    <t xml:space="preserve">MITRE ATLAS techniques</t>
  </si>
  <si>
    <t xml:space="preserve">MITRE ATLAS mitigations</t>
  </si>
  <si>
    <t xml:space="preserve">NIST AI 100-2 (adversarial ML)</t>
  </si>
  <si>
    <t xml:space="preserve">ISO/IEC 42001 clauses</t>
  </si>
  <si>
    <t xml:space="preserve">ISO/IEC 27001 clauses</t>
  </si>
  <si>
    <t xml:space="preserve">ISO/IEC 23894</t>
  </si>
  <si>
    <t xml:space="preserve">ISO/IEC 42005</t>
  </si>
  <si>
    <t xml:space="preserve">ISO/IEC 42006</t>
  </si>
  <si>
    <t xml:space="preserve">ISO/IEC 38507</t>
  </si>
  <si>
    <t xml:space="preserve">ISO/IEC TR 24028</t>
  </si>
  <si>
    <t xml:space="preserve">ISO/IEC 5338</t>
  </si>
  <si>
    <t xml:space="preserve">ISO/IEC 23053</t>
  </si>
  <si>
    <t xml:space="preserve">ISO/IEC 22989</t>
  </si>
  <si>
    <t xml:space="preserve">ISO/IEC 5259</t>
  </si>
  <si>
    <t xml:space="preserve">NIST SSDF and SP 800-218A</t>
  </si>
  <si>
    <t xml:space="preserve">OECD AI Principles</t>
  </si>
  <si>
    <t xml:space="preserve">EU Ethics Guidelines</t>
  </si>
  <si>
    <t xml:space="preserve">UNESCO Recommendation</t>
  </si>
  <si>
    <t xml:space="preserve">IEEE 7000-series</t>
  </si>
  <si>
    <t xml:space="preserve">Council of Europe AI Convention</t>
  </si>
  <si>
    <t xml:space="preserve">G7 Hiroshima Code</t>
  </si>
  <si>
    <t xml:space="preserve">Privacy laws (8 laws)</t>
  </si>
  <si>
    <t xml:space="preserve">GCC regulation</t>
  </si>
  <si>
    <t xml:space="preserve">EU regulation</t>
  </si>
  <si>
    <t xml:space="preserve">UK regulation</t>
  </si>
  <si>
    <t xml:space="preserve">US regulation</t>
  </si>
  <si>
    <t xml:space="preserve">Australia regulation</t>
  </si>
  <si>
    <t xml:space="preserve">Brazil regulation</t>
  </si>
  <si>
    <t xml:space="preserve">Canada regulation</t>
  </si>
  <si>
    <t xml:space="preserve">China regulation</t>
  </si>
  <si>
    <t xml:space="preserve">India regulation</t>
  </si>
  <si>
    <t xml:space="preserve">Japan regulation</t>
  </si>
  <si>
    <t xml:space="preserve">Singapore regulation (incl. MAS)</t>
  </si>
  <si>
    <t xml:space="preserve">South Korea regulation</t>
  </si>
  <si>
    <t xml:space="preserve">Hong Kong regulation (incl. HKMA)</t>
  </si>
  <si>
    <t xml:space="preserve">AIR-DET-001; AIR-PREV-006; AIR-PREV-014</t>
  </si>
  <si>
    <t xml:space="preserve">-</t>
  </si>
  <si>
    <t xml:space="preserve">GOVERN 1.4; MEASURE 2.7; MEASURE 2.10; MANAGE 1.3; MANAGE 4.1</t>
  </si>
  <si>
    <t xml:space="preserve">AML.M0005; AML.M0012; AML.M0020</t>
  </si>
  <si>
    <t xml:space="preserve">NISTAML.018; NISTAML.032; NISTAML.033; NISTAML.034; NISTAML.036; NISTAML.037; NISTAML.038</t>
  </si>
  <si>
    <t xml:space="preserve">Governance of data use</t>
  </si>
  <si>
    <t xml:space="preserve">AI-specific privacy threats</t>
  </si>
  <si>
    <t xml:space="preserve">AI data engineering process</t>
  </si>
  <si>
    <t xml:space="preserve">8.2, 8.3</t>
  </si>
  <si>
    <t xml:space="preserve">5259-1, 5.3</t>
  </si>
  <si>
    <t xml:space="preserve">GV.PO; ID.AM; PR.DS; DE.CM</t>
  </si>
  <si>
    <t xml:space="preserve">CC5.3; CC6.1; CC6.7; C1.1; C1.2</t>
  </si>
  <si>
    <t xml:space="preserve">Privacy and data governance</t>
  </si>
  <si>
    <t xml:space="preserve">Right to privacy and data protection</t>
  </si>
  <si>
    <t xml:space="preserve">IEEE 7002-2022</t>
  </si>
  <si>
    <t xml:space="preserve">Art. 11</t>
  </si>
  <si>
    <t xml:space="preserve">Retention and deletion</t>
  </si>
  <si>
    <t xml:space="preserve">U1; S1; S3; Q1</t>
  </si>
  <si>
    <t xml:space="preserve">UK2</t>
  </si>
  <si>
    <t xml:space="preserve">US17</t>
  </si>
  <si>
    <t xml:space="preserve">BR2</t>
  </si>
  <si>
    <t xml:space="preserve">IN1</t>
  </si>
  <si>
    <t xml:space="preserve">SG4; SG5; MAS 2.3 to 2.5; MAS 5.4</t>
  </si>
  <si>
    <t xml:space="preserve">HK7; Risk management frameworks: data within appro</t>
  </si>
  <si>
    <t xml:space="preserve">GOVERN 1.2; GOVERN 1.3; GOVERN 1.4; GOVERN 1.6; GOVERN 1.7; GOVERN 2.1; GOVERN 2.2; GOVERN 6.1; MAP 1.1; MAP 1.5; MAP 3.4; MANAGE 1.2; MANAGE 1.3; MANAGE 1.4</t>
  </si>
  <si>
    <t xml:space="preserve">GV.1; GV.2; GV.3; GV.4; RG.1; RG.2</t>
  </si>
  <si>
    <t xml:space="preserve">AML.M0018; AML.M0020</t>
  </si>
  <si>
    <t xml:space="preserve">A.2.2; A.2.4; A.3.2; A.4.2; A.4.6; A.5.2; A.9.2; A.9.4</t>
  </si>
  <si>
    <t xml:space="preserve">Clause 6.1.2; Clause 6.1.3; Clause 7.2; Clause 7.3</t>
  </si>
  <si>
    <t xml:space="preserve">A.5.1; A.5.2; A.5.4; A.5.8; A.5.9; A.5.10; A.5.12; A.6.3; A.8.12; A.8.16; A.8.23</t>
  </si>
  <si>
    <t xml:space="preserve">Clause 6.1.2; Clause 6.1.3</t>
  </si>
  <si>
    <t xml:space="preserve">5.2 to 5.4</t>
  </si>
  <si>
    <t xml:space="preserve">AI system information, including intended and</t>
  </si>
  <si>
    <t xml:space="preserve">Scope of certification; 9.1.4 and Annex A</t>
  </si>
  <si>
    <t xml:space="preserve">Governance oversight of AI; Culture and values; Risk (appetite, management, objectives, sourc</t>
  </si>
  <si>
    <t xml:space="preserve">6.3.4, 6.3.5; Disposal process</t>
  </si>
  <si>
    <t xml:space="preserve">GV.RM; GV.RR; GV.PO; ID.AM; ID.RA; PR.AT; PR.DS; DE.CM</t>
  </si>
  <si>
    <t xml:space="preserve">PO.1; PO.2; PW.1; RV.2</t>
  </si>
  <si>
    <t xml:space="preserve">Principle 1.1; Principle 1.5</t>
  </si>
  <si>
    <t xml:space="preserve">Accountability</t>
  </si>
  <si>
    <t xml:space="preserve">Proportionality and do no harm; Multi-stakeholder and adaptive governance ...; Responsibility and accountability; Awareness and literacy</t>
  </si>
  <si>
    <t xml:space="preserve">Art. 9; Art. 16; Art. 20</t>
  </si>
  <si>
    <t xml:space="preserve">Action 1; Action 5</t>
  </si>
  <si>
    <t xml:space="preserve">U3; U4; U6; U9; U12; S2; S3; S5; Q3; Q4; B2; O1</t>
  </si>
  <si>
    <t xml:space="preserve">E1a; E1b; E1c; E8; E12; E14; E17</t>
  </si>
  <si>
    <t xml:space="preserve">UK1; UK5; UK6; UK11; UK13</t>
  </si>
  <si>
    <t xml:space="preserve">US5; US6; US8; US9; US12; US14; US15; US16</t>
  </si>
  <si>
    <t xml:space="preserve">AU1; AU4; AU7</t>
  </si>
  <si>
    <t xml:space="preserve">BR1; BR3</t>
  </si>
  <si>
    <t xml:space="preserve">CA4; CA5; CA6; CA8</t>
  </si>
  <si>
    <t xml:space="preserve">CN1; CN2; CN5</t>
  </si>
  <si>
    <t xml:space="preserve">IN4; IN5; IN6; IN7; IN8; IN13</t>
  </si>
  <si>
    <t xml:space="preserve">JP1; JP2; JP3; JP6</t>
  </si>
  <si>
    <t xml:space="preserve">SG1; SG2; SG5; MAS 1.6, 2.1 to 2.2; MAS 2.3 to 2.5; MAS 3.1 to 3.4; MAS 3.5; MAS 1.5, 3.6; MAS 4.2 to 4.4; MAS 4.5 to 4.9; MAS 4.10 to 4.13; MAS 5.26; MAS 6.1 to 6.2</t>
  </si>
  <si>
    <t xml:space="preserve">KR3; KR4; KR5; KR6</t>
  </si>
  <si>
    <t xml:space="preserve">HK1; HK2; HK5; HK6; Board and senior management accountability: t; Use-case owners and human oversight: a named ; Inventory: an up-to-date inventory of approve; Risk-commensurate management: materiality and; Resources and expertise: adequate resources a</t>
  </si>
  <si>
    <t xml:space="preserve">AIR-DET-001; AIR-PREV-006; AIR-PREV-007; AIR-PREV-014</t>
  </si>
  <si>
    <t xml:space="preserve">GOVERN 1.1; GOVERN 1.2; GOVERN 1.4; GOVERN 2.1; GOVERN 2.2; MAP 5.1; MEASURE 2.7; MEASURE 2.10; MANAGE 1.3; MANAGE 4.1</t>
  </si>
  <si>
    <t xml:space="preserve">GV.1; GV.2; CM.1; RG.5</t>
  </si>
  <si>
    <t xml:space="preserve">AML.M0005; AML.M0012; AML.M0018; AML.M0020; AML.M0034</t>
  </si>
  <si>
    <t xml:space="preserve">NISTAML.018; NISTAML.022; NISTAML.032; NISTAML.033; NISTAML.034; NISTAML.036; NISTAML.037; NISTAML.038</t>
  </si>
  <si>
    <t xml:space="preserve">Governance of data use; Compliance</t>
  </si>
  <si>
    <t xml:space="preserve">GV.OC; GV.RR; GV.PO; ID.AM; PR.DS; DE.CM</t>
  </si>
  <si>
    <t xml:space="preserve">CC1.3; CC2.2; CC5.3; CC6.1; CC6.7; CC6.8; C1.1; C1.2; P1.1; P3.1; P4.1; P4.2; P5.1</t>
  </si>
  <si>
    <t xml:space="preserve">PO.1; PO.2</t>
  </si>
  <si>
    <t xml:space="preserve">Principle 1.2; Principle 1.3; Principle 1.5</t>
  </si>
  <si>
    <t xml:space="preserve">Privacy and data governance; Accountability</t>
  </si>
  <si>
    <t xml:space="preserve">Right to privacy and data protection; Multi-stakeholder and adaptive governance ...; Responsibility and accountability</t>
  </si>
  <si>
    <t xml:space="preserve">Art. 9; Art. 11</t>
  </si>
  <si>
    <t xml:space="preserve">Action 5; Action 11</t>
  </si>
  <si>
    <t xml:space="preserve">Automated decisions about individuals; Retention and deletion; Requests from individuals</t>
  </si>
  <si>
    <t xml:space="preserve">U1; U3; U4; U5; U6; U7; U12; S1; S2; S3; Q1; Q3; B1; B2; O2</t>
  </si>
  <si>
    <t xml:space="preserve">E1a; E1b; E1c; E2; E3; E4; E12; E17</t>
  </si>
  <si>
    <t xml:space="preserve">UK1; UK2; UK3; UK4; UK5; UK13</t>
  </si>
  <si>
    <t xml:space="preserve">US5; US8; US9; US12; US14; US15; US17</t>
  </si>
  <si>
    <t xml:space="preserve">AU1; AU2; AU3; AU3a; AU4; AU7</t>
  </si>
  <si>
    <t xml:space="preserve">BR2; BR3</t>
  </si>
  <si>
    <t xml:space="preserve">CA2; CA3; CA5; CA7; CA8</t>
  </si>
  <si>
    <t xml:space="preserve">CN1; CN2; CN5; CN7; CN9</t>
  </si>
  <si>
    <t xml:space="preserve">IN1; IN2; IN3; IN4; IN11; IN13</t>
  </si>
  <si>
    <t xml:space="preserve">JP1; JP2; JP3; JP4</t>
  </si>
  <si>
    <t xml:space="preserve">SG1; SG4; SG5; MAS 2.3 to 2.5; MAS 3.1 to 3.4; MAS 3.5; MAS 1.5, 3.6; MAS 5.4</t>
  </si>
  <si>
    <t xml:space="preserve">KR5; KR6; KR7</t>
  </si>
  <si>
    <t xml:space="preserve">HK1; HK2; HK5; HK6; HK7; Board and senior management accountability: t; Risk management frameworks: data within appro; Ethical use and fair treatment: no unfair bia</t>
  </si>
  <si>
    <t xml:space="preserve">PO.3; PW.5</t>
  </si>
  <si>
    <t xml:space="preserve">AIR-DET-011; AIR-DET-015; AIR-PREV-002; AIR-PREV-003; AIR-PREV-005; AIR-PREV-006; AIR-PREV-010; AIR-PREV-017; AIR-PREV-019</t>
  </si>
  <si>
    <t xml:space="preserve">GOVERN 4.2; GOVERN 4.3; MAP 2.3; MEASURE 2.1; MEASURE 2.6; MEASURE 2.7; MEASURE 2.10; MANAGE 1.1; MANAGE 1.3</t>
  </si>
  <si>
    <t xml:space="preserve">TR.1</t>
  </si>
  <si>
    <t xml:space="preserve">ASI01; ASI06</t>
  </si>
  <si>
    <t xml:space="preserve">AML.M0020; AML.M0021; AML.M0025; AML.M0031; AML.M0033; AML.M0034; AML.M0035</t>
  </si>
  <si>
    <t xml:space="preserve">NISTAML.012; NISTAML.013; NISTAML.015; NISTAML.018; NISTAML.021; NISTAML.022; NISTAML.023; NISTAML.024; NISTAML.025; NISTAML.027; NISTAML.032; NISTAML.033; NISTAML.035; NISTAML.036; NISTAML.038; 3.5 Security of agents; 3.6 Benchmarks for AML vulnerabilities</t>
  </si>
  <si>
    <t xml:space="preserve">AI-specific security threats (data poisoning,; Testing and evaluation</t>
  </si>
  <si>
    <t xml:space="preserve">Knowledge acquisition process; 6.4.11, 6.4.13; Continuous validation process</t>
  </si>
  <si>
    <t xml:space="preserve">8.4, 8.5; 8.6, 8.7</t>
  </si>
  <si>
    <t xml:space="preserve">Trustworthiness (robustness, reliability, res</t>
  </si>
  <si>
    <t xml:space="preserve">5259-2, 6</t>
  </si>
  <si>
    <t xml:space="preserve">ID.RA; ID.IM; PR.DS; PR.PS; DE.CM</t>
  </si>
  <si>
    <t xml:space="preserve">PO.1; PO.4; PW.1; PW.2; PW.3; PW.5; PW.7; PW.8; PW.9; RV.1</t>
  </si>
  <si>
    <t xml:space="preserve">Principle 1.4</t>
  </si>
  <si>
    <t xml:space="preserve">Technical robustness and safety</t>
  </si>
  <si>
    <t xml:space="preserve">Safety and security</t>
  </si>
  <si>
    <t xml:space="preserve">IEEE 7000-2021</t>
  </si>
  <si>
    <t xml:space="preserve">Art. 12</t>
  </si>
  <si>
    <t xml:space="preserve">Action 1; Action 2</t>
  </si>
  <si>
    <t xml:space="preserve">U2; U11; S6; S7; Q4</t>
  </si>
  <si>
    <t xml:space="preserve">E1c; E5; E7; E17</t>
  </si>
  <si>
    <t xml:space="preserve">UK10</t>
  </si>
  <si>
    <t xml:space="preserve">US3</t>
  </si>
  <si>
    <t xml:space="preserve">AU8</t>
  </si>
  <si>
    <t xml:space="preserve">CN7</t>
  </si>
  <si>
    <t xml:space="preserve">IN8; IN10; IN11</t>
  </si>
  <si>
    <t xml:space="preserve">SG2; SG5; SG7; SG8; MAS 5.12 to 5.13; MAS 5.14 to 5.15; MAS 5.16; MAS 5.18 to 5.21; MAS 5.22; MAS 5.24; MAS 5.25</t>
  </si>
  <si>
    <t xml:space="preserve">KR4</t>
  </si>
  <si>
    <t xml:space="preserve">HK5; Risk-commensurate management: materiality and; Risk management frameworks: data within appro; Accountability for outputs: controls against </t>
  </si>
  <si>
    <t xml:space="preserve">AIR-DET-001; AIR-DET-016; AIR-PREV-003; AIR-PREV-006; AIR-PREV-012; AIR-PREV-014; AIR-PREV-017; AIR-PREV-018; AIR-PREV-019; AIR-PREV-023</t>
  </si>
  <si>
    <t xml:space="preserve">MEASURE 2.7; MEASURE 2.10; MANAGE 1.3</t>
  </si>
  <si>
    <t xml:space="preserve">AC.1; AC.2; AC.4</t>
  </si>
  <si>
    <t xml:space="preserve">LLM01:2025; LLM02:2025; LLM05:2025; LLM06:2025; LLM07:2025; LLM08:2025</t>
  </si>
  <si>
    <t xml:space="preserve">ASI01; ASI03</t>
  </si>
  <si>
    <t xml:space="preserve">AML.M0005; AML.M0012; AML.M0019; AML.M0020; AML.M0021; AML.M0026; AML.M0027; AML.M0028; AML.M0033</t>
  </si>
  <si>
    <t xml:space="preserve">NISTAML.015; NISTAML.018; NISTAML.022; NISTAML.025; NISTAML.032; NISTAML.033; NISTAML.034; NISTAML.035; NISTAML.036; NISTAML.037; NISTAML.038; NISTAML.039</t>
  </si>
  <si>
    <t xml:space="preserve">8.2, 8.3; 8.6, 8.7</t>
  </si>
  <si>
    <t xml:space="preserve">ID.AM; PR.AA; PR.DS; PR.PS; DE.CM</t>
  </si>
  <si>
    <t xml:space="preserve">CC6.1; CC6.3; CC6.6; CC6.7; CC7.2; C1.1; C1.2; PI1.4</t>
  </si>
  <si>
    <t xml:space="preserve">PO.5; PW.5; PW.9</t>
  </si>
  <si>
    <t xml:space="preserve">Technical robustness and safety; Privacy and data governance</t>
  </si>
  <si>
    <t xml:space="preserve">Safety and security; Right to privacy and data protection</t>
  </si>
  <si>
    <t xml:space="preserve">U1; U2; U11; S1; S6; S7; Q1</t>
  </si>
  <si>
    <t xml:space="preserve">E2; E5; E7; E17</t>
  </si>
  <si>
    <t xml:space="preserve">UK2; UK10</t>
  </si>
  <si>
    <t xml:space="preserve">US3; US17</t>
  </si>
  <si>
    <t xml:space="preserve">IN1; IN8; IN10; IN11</t>
  </si>
  <si>
    <t xml:space="preserve">SG2; SG4; SG5; SG7; SG8; MAS 5.4; MAS 5.16</t>
  </si>
  <si>
    <t xml:space="preserve">HK5; HK7; Risk management frameworks: data within appro; Accountability for outputs: controls against </t>
  </si>
  <si>
    <t xml:space="preserve">AIR-DET-011; AIR-DET-015; AIR-PREV-005; AIR-PREV-010; AIR-PREV-012; AIR-PREV-018; AIR-PREV-019; AIR-PREV-020; AIR-PREV-022; AIR-PREV-023; AIR-PREV-024; AIR-PREV-025</t>
  </si>
  <si>
    <t xml:space="preserve">GOVERN 1.6; GOVERN 3.2; GOVERN 4.2; GOVERN 4.3; GOVERN 6.1; MAP 3.5; MAP 4.1; MAP 4.2; MEASURE 2.1; MEASURE 2.4; MEASURE 2.6; MEASURE 2.7; MEASURE 2.8; MEASURE 2.10; MANAGE 1.1; MANAGE 1.3; MANAGE 2.3; MANAGE 2.4; MANAGE 3.1</t>
  </si>
  <si>
    <t xml:space="preserve">CM.3; RG.2; RG.4; AC.1; AC.2; AC.3; AC.4; TR.1; TR.2</t>
  </si>
  <si>
    <t xml:space="preserve">ASI02; ASI03; ASI04; ASI05; ASI06; ASI07; ASI08; ASI09; ASI10</t>
  </si>
  <si>
    <t xml:space="preserve">AML.M0011; AML.M0014; AML.M0019; AML.M0024; AML.M0026; AML.M0027; AML.M0028; AML.M0029; AML.M0030; AML.M0031; AML.M0032; AML.M0033; AML.M0035; AML.M0036; AML.M0037; AML.M0038</t>
  </si>
  <si>
    <t xml:space="preserve">NISTAML.012; NISTAML.013; NISTAML.015; NISTAML.018; NISTAML.021; NISTAML.022; NISTAML.023; NISTAML.024; NISTAML.025; NISTAML.027; NISTAML.032; NISTAML.033; NISTAML.039; 3.5 Security of agents; 3.6 Benchmarks for AML vulnerabilities</t>
  </si>
  <si>
    <t xml:space="preserve">Governance of decision-making</t>
  </si>
  <si>
    <t xml:space="preserve">AI-specific security threats (data poisoning,; Controllability, including human-in-the-loop ; Testing and evaluation</t>
  </si>
  <si>
    <t xml:space="preserve">6.4.11, 6.4.13; Continuous validation process</t>
  </si>
  <si>
    <t xml:space="preserve">8.4, 8.5</t>
  </si>
  <si>
    <t xml:space="preserve">GV.RR; GV.SC; ID.RA; ID.IM; PR.AA; PR.DS; PR.PS; PR.IR; DE.CM; RS.MA; RS.MI</t>
  </si>
  <si>
    <t xml:space="preserve">PO.1; PO.4; PO.5; PW.1; PW.2; PW.7; PW.8; RV.1</t>
  </si>
  <si>
    <t xml:space="preserve">Principle 1.2; Principle 1.4</t>
  </si>
  <si>
    <t xml:space="preserve">Human agency and oversight; Technical robustness and safety</t>
  </si>
  <si>
    <t xml:space="preserve">Safety and security; Human oversight and determination</t>
  </si>
  <si>
    <t xml:space="preserve">Art. 7; Art. 8; Art. 12; 14, 15</t>
  </si>
  <si>
    <t xml:space="preserve">Automated decisions about individuals</t>
  </si>
  <si>
    <t xml:space="preserve">U3; U6; U9; Q4; B4</t>
  </si>
  <si>
    <t xml:space="preserve">E1c</t>
  </si>
  <si>
    <t xml:space="preserve">UK3; UK5</t>
  </si>
  <si>
    <t xml:space="preserve">US8; US10</t>
  </si>
  <si>
    <t xml:space="preserve">AU4</t>
  </si>
  <si>
    <t xml:space="preserve">CA3</t>
  </si>
  <si>
    <t xml:space="preserve">CN6</t>
  </si>
  <si>
    <t xml:space="preserve">IN5; IN6; IN13</t>
  </si>
  <si>
    <t xml:space="preserve">SG2; SG5; SG7; MAS 4.5 to 4.9; MAS 5.3; MAS 5.9; MAS 5.12 to 5.13; MAS 5.14 to 5.15; MAS 5.16; MAS 5.18 to 5.21; MAS 5.22; MAS 5.24; MAS 5.25</t>
  </si>
  <si>
    <t xml:space="preserve">KR3</t>
  </si>
  <si>
    <t xml:space="preserve">HK1; HK3; HK5; HK6; HK9; Use-case owners and human oversight: a named ; Risk-commensurate management: materiality and; Accountability for outputs: controls against </t>
  </si>
  <si>
    <t xml:space="preserve">AIR-PREV-002; AIR-PREV-005; AIR-PREV-006; AIR-PREV-007; AIR-PREV-010; AIR-PREV-012; AIR-PREV-014; AIR-PREV-018; AIR-PREV-019; AIR-PREV-020; AIR-PREV-023; AIR-PREV-025</t>
  </si>
  <si>
    <t xml:space="preserve">GOVERN 4.2; GOVERN 6.1; GOVERN 6.2; MAP 2.3; MAP 4.1; MAP 4.2; MEASURE 2.5; MEASURE 2.7; MEASURE 2.10; MANAGE 1.1; MANAGE 1.3; MANAGE 3.1; MANAGE 3.2</t>
  </si>
  <si>
    <t xml:space="preserve">RG.1; RG.5; AC.1; AC.2; AC.4</t>
  </si>
  <si>
    <t xml:space="preserve">LLM02:2025; LLM03:2025; LLM04:2025; LLM06:2025; LLM08:2025; LLM10:2025</t>
  </si>
  <si>
    <t xml:space="preserve">ASI02; ASI03; ASI04</t>
  </si>
  <si>
    <t xml:space="preserve">AML.M0003; AML.M0004; AML.M0005; AML.M0007; AML.M0008; AML.M0012; AML.M0013; AML.M0014; AML.M0015; AML.M0016; AML.M0019; AML.M0023; AML.M0025; AML.M0026; AML.M0027; AML.M0028</t>
  </si>
  <si>
    <t xml:space="preserve">NISTAML.011; NISTAML.012; NISTAML.013; NISTAML.015; NISTAML.021; NISTAML.023; NISTAML.024; NISTAML.026; NISTAML.031; NISTAML.032; NISTAML.033; NISTAML.034; NISTAML.037; NISTAML.038; NISTAML.039; NISTAML.051; 3.5 Security of agents</t>
  </si>
  <si>
    <t xml:space="preserve">Data information and quality</t>
  </si>
  <si>
    <t xml:space="preserve">9.1.4 and Annex A</t>
  </si>
  <si>
    <t xml:space="preserve">6.1.1, 6.1.2; 6.3.4, 6.3.5; Knowledge acquisition process; AI data engineering process; 6.4.11, 6.4.13; Disposal process</t>
  </si>
  <si>
    <t xml:space="preserve">8.2, 8.3; 8.4, 8.5; 8.6, 8.7</t>
  </si>
  <si>
    <t xml:space="preserve">5259-1, 5.3; 5259-2, 6; 5259-3, 9; 5259-4, 8</t>
  </si>
  <si>
    <t xml:space="preserve">GV.SC; ID.AM; ID.RA; PR.AA; PR.DS; PR.PS; PR.IR</t>
  </si>
  <si>
    <t xml:space="preserve">CC3.4; CC6.1; CC6.3; CC6.6; CC6.7; CC6.8; CC7.1; CC8.1; CC9.2; C1.1; PI1.2</t>
  </si>
  <si>
    <t xml:space="preserve">PO.1; PO.3; PO.4; PO.5; PS.1; PS.2; PS.3; PW.1; PW.2; PW.3; PW.4; PW.6; PW.7; PW.9</t>
  </si>
  <si>
    <t xml:space="preserve">Action 1; Action 6; Action 11</t>
  </si>
  <si>
    <t xml:space="preserve">Vendors that process the data</t>
  </si>
  <si>
    <t xml:space="preserve">U2; U9; U11; S6; S7; S9; Q4</t>
  </si>
  <si>
    <t xml:space="preserve">E1e; E6; E9; E11; E13; E15</t>
  </si>
  <si>
    <t xml:space="preserve">UK8</t>
  </si>
  <si>
    <t xml:space="preserve">US6; US14; US15; US16; US17</t>
  </si>
  <si>
    <t xml:space="preserve">BR4</t>
  </si>
  <si>
    <t xml:space="preserve">IN5; IN7; IN13</t>
  </si>
  <si>
    <t xml:space="preserve">JP5; JP6</t>
  </si>
  <si>
    <t xml:space="preserve">SG5; MAS 5.4; MAS 5.10 to 5.11; MAS 5.12 to 5.13; MAS 5.16; MAS 5.17; MAS 5.18 to 5.21; MAS 5.22; MAS 5.25; MAS 5.26; MAS 6.3</t>
  </si>
  <si>
    <t xml:space="preserve">HK1; HK5; Risk-commensurate management: materiality and; Risk management frameworks: data within appro</t>
  </si>
  <si>
    <t xml:space="preserve">AIR-DET-004; AIR-DET-021</t>
  </si>
  <si>
    <t xml:space="preserve">GOVERN 1.1; GOVERN 1.5; GOVERN 4.3; GOVERN 5.1; GOVERN 6.2; MEASURE 1.2; MEASURE 1.3; MEASURE 2.4; MEASURE 2.8; MEASURE 3.1; MANAGE 2.3; MANAGE 4.1; MANAGE 4.2; MANAGE 4.3</t>
  </si>
  <si>
    <t xml:space="preserve">CM.1; CM.3; TR.1; TR.3</t>
  </si>
  <si>
    <t xml:space="preserve">AML.M0024</t>
  </si>
  <si>
    <t xml:space="preserve">A.3.3; A.6.2.6; A.6.2.8; A.8.3; A.8.4; A.8.5</t>
  </si>
  <si>
    <t xml:space="preserve">Clause 4.2; Clause 9.1; Clause 9.2; Clause 9.3; Clause 10.2</t>
  </si>
  <si>
    <t xml:space="preserve">A.5.5; A.5.24; A.5.25; A.5.26; A.5.27; A.5.28; A.5.31; A.5.33; A.5.35; A.5.36; A.6.8; A.8.15; A.8.16; A.8.17</t>
  </si>
  <si>
    <t xml:space="preserve">Clause 9.2</t>
  </si>
  <si>
    <t xml:space="preserve">Access to the documentation of the organizati; Maintaining certification</t>
  </si>
  <si>
    <t xml:space="preserve">Compliance</t>
  </si>
  <si>
    <t xml:space="preserve">6.4.15, 6.4.16</t>
  </si>
  <si>
    <t xml:space="preserve">GV.OC; GV.OV; ID.IM; PR.PS; DE.CM; DE.AE; RS.MA; RS.AN; RS.CO; RS.MI; RC.RP</t>
  </si>
  <si>
    <t xml:space="preserve">PO.5; PS.3; RV.1; RV.2; RV.3</t>
  </si>
  <si>
    <t xml:space="preserve">Principle 1.5</t>
  </si>
  <si>
    <t xml:space="preserve">Transparency; Accountability</t>
  </si>
  <si>
    <t xml:space="preserve">Multi-stakeholder and adaptive governance ...; Responsibility and accountability</t>
  </si>
  <si>
    <t xml:space="preserve">IEEE 7001-2021</t>
  </si>
  <si>
    <t xml:space="preserve">Art. 9; Art. 26</t>
  </si>
  <si>
    <t xml:space="preserve">Action 2; Action 4</t>
  </si>
  <si>
    <t xml:space="preserve">Breach notification</t>
  </si>
  <si>
    <t xml:space="preserve">U1; U2; U5; U11; U12; S6; S7; O1</t>
  </si>
  <si>
    <t xml:space="preserve">E1c; E2; E5; E6; E7</t>
  </si>
  <si>
    <t xml:space="preserve">UK2; UK6; UK10</t>
  </si>
  <si>
    <t xml:space="preserve">US6; US14; US15; US17</t>
  </si>
  <si>
    <t xml:space="preserve">AU3; AU3a; AU8</t>
  </si>
  <si>
    <t xml:space="preserve">CA2; CA6</t>
  </si>
  <si>
    <t xml:space="preserve">IN1; IN2; IN3; IN6; IN7; IN10</t>
  </si>
  <si>
    <t xml:space="preserve">JP4</t>
  </si>
  <si>
    <t xml:space="preserve">SG3; SG5; SG7; SG8; MAS 3.5; MAS 5.17; MAS 5.18 to 5.21; MAS 5.23; MAS 5.24</t>
  </si>
  <si>
    <t xml:space="preserve">KR7</t>
  </si>
  <si>
    <t xml:space="preserve">Risk-commensurate management: materiality and</t>
  </si>
  <si>
    <t xml:space="preserve">AIR-PREV-007; AIR-PREV-014</t>
  </si>
  <si>
    <t xml:space="preserve">GOVERN 1.1; GOVERN 5.1; GOVERN 6.1; GOVERN 6.2; MAP 1.1; MAP 4.1; MAP 4.2; MAP 5.1; MEASURE 2.7; MEASURE 2.10; MANAGE 3.1</t>
  </si>
  <si>
    <t xml:space="preserve">CM.1; CM.4; RG.1; RG.5</t>
  </si>
  <si>
    <t xml:space="preserve">AML.M0005; AML.M0012; AML.M0016; AML.M0019</t>
  </si>
  <si>
    <t xml:space="preserve">A.4.5; A.5.2; A.5.3; A.5.4; A.5.5; A.8.3; A.8.5; A.10.2; A.10.3</t>
  </si>
  <si>
    <t xml:space="preserve">Clause 4.2</t>
  </si>
  <si>
    <t xml:space="preserve">5.4, 5.12; Approval process; AI system information, including intended and; Data information and quality; Deployment environment (geography, languages,; Relevant interested parties; Actual and reasonably foreseeable impacts, in; Measures to address harms and benefits</t>
  </si>
  <si>
    <t xml:space="preserve">AI-specific security threats (data poisoning,; AI-specific privacy threats</t>
  </si>
  <si>
    <t xml:space="preserve">6.1.1, 6.1.2</t>
  </si>
  <si>
    <t xml:space="preserve">5259-3, 9</t>
  </si>
  <si>
    <t xml:space="preserve">GV.OC; GV.SC; ID.RA; PR.DS; PR.PS; PR.IR; RS.CO</t>
  </si>
  <si>
    <t xml:space="preserve">CC2.3; CC3.2; CC6.1; CC6.6; CC7.1; CC9.2; C1.1; C1.2; P1.1; P3.1; P4.1; P4.2; P5.1</t>
  </si>
  <si>
    <t xml:space="preserve">PW.4; PW.9</t>
  </si>
  <si>
    <t xml:space="preserve">Principle 1.2; Principle 1.3</t>
  </si>
  <si>
    <t xml:space="preserve">Proportionality and do no harm; Right to privacy and data protection; Multi-stakeholder and adaptive governance ...</t>
  </si>
  <si>
    <t xml:space="preserve">IEEE 7000-2021; IEEE 7002-2022</t>
  </si>
  <si>
    <t xml:space="preserve">Art. 7; Art. 11; Art. 16; Art. 26</t>
  </si>
  <si>
    <t xml:space="preserve">Action 4; Action 6; Action 11</t>
  </si>
  <si>
    <t xml:space="preserve">Automated decisions about individuals; Impact assessment before risky processing; Breach notification; Transfers outside the jurisdiction; Retention and deletion; Requests from individuals; Vendors that process the data</t>
  </si>
  <si>
    <t xml:space="preserve">U1; U5; U6; U7; U9; U11; S1; S6; S7; S10; Q1; B1; O2</t>
  </si>
  <si>
    <t xml:space="preserve">E1c; E1e; E2; E3; E4; E6; E9; E13; E15; E17</t>
  </si>
  <si>
    <t xml:space="preserve">UK2; UK3; UK4; UK13</t>
  </si>
  <si>
    <t xml:space="preserve">US5; US8; US9; US15; US16; US17</t>
  </si>
  <si>
    <t xml:space="preserve">AU2; AU3; AU3a; AU8</t>
  </si>
  <si>
    <t xml:space="preserve">BR2; BR3; BR4</t>
  </si>
  <si>
    <t xml:space="preserve">CA2; CA3; CA7</t>
  </si>
  <si>
    <t xml:space="preserve">CN1; CN2; CN7; CN9</t>
  </si>
  <si>
    <t xml:space="preserve">IN1; IN2; IN3; IN5; IN7; IN11; IN13</t>
  </si>
  <si>
    <t xml:space="preserve">JP4; JP6</t>
  </si>
  <si>
    <t xml:space="preserve">SG4; SG5; MAS 5.4; MAS 5.10 to 5.11; MAS 5.16; MAS 5.22; MAS 6.3</t>
  </si>
  <si>
    <t xml:space="preserve">HK1; HK5; HK6; HK7; Risk management frameworks: data within appro; Ethical use and fair treatment: no unfair bia</t>
  </si>
  <si>
    <t xml:space="preserve">AIR-DET-009; AIR-PREV-008</t>
  </si>
  <si>
    <t xml:space="preserve">MEASURE 2.7; MANAGE 2.3; MANAGE 2.4; MANAGE 4.1</t>
  </si>
  <si>
    <t xml:space="preserve">RG.4</t>
  </si>
  <si>
    <t xml:space="preserve">LLM06:2025; LLM10:2025</t>
  </si>
  <si>
    <t xml:space="preserve">ASI08; ASI10</t>
  </si>
  <si>
    <t xml:space="preserve">AML.M0004; AML.M0036; AML.M0037</t>
  </si>
  <si>
    <t xml:space="preserve">NISTAML.014; NISTAML.025; NISTAML.031; 3.5 Security of agents</t>
  </si>
  <si>
    <t xml:space="preserve">Controllability, including human-in-the-loop </t>
  </si>
  <si>
    <t xml:space="preserve">PR.IR; DE.CM; RS.MA; RS.MI</t>
  </si>
  <si>
    <t xml:space="preserve">CC6.2; CC7.4; A1.1</t>
  </si>
  <si>
    <t xml:space="preserve">Human agency and oversight</t>
  </si>
  <si>
    <t xml:space="preserve">Action 2</t>
  </si>
  <si>
    <t xml:space="preserve">U9</t>
  </si>
  <si>
    <t xml:space="preserve">IN6; IN13</t>
  </si>
  <si>
    <t xml:space="preserve">SG2; SG5; SG7; MAS 5.3</t>
  </si>
  <si>
    <t xml:space="preserve">HK1; HK9; Risk-commensurate management: materiality and</t>
  </si>
  <si>
    <t xml:space="preserve">AIR-DET-011; AIR-DET-013; AIR-DET-015; AIR-DET-021; AIR-PREV-024</t>
  </si>
  <si>
    <t xml:space="preserve">CM.3; CM.4; TR.2; TR.3</t>
  </si>
  <si>
    <t xml:space="preserve">LLM06:2025; LLM09:2025</t>
  </si>
  <si>
    <t xml:space="preserve">ASI09</t>
  </si>
  <si>
    <t xml:space="preserve">AML.M0020; AML.M0022; AML.M0029</t>
  </si>
  <si>
    <t xml:space="preserve">NISTAML.027</t>
  </si>
  <si>
    <t xml:space="preserve">8.4 to 8.6; 9.2, 9.3; Controllability, including human-in-the-loop </t>
  </si>
  <si>
    <t xml:space="preserve">Human agency and oversight; Transparency; Diversity, non-discrimination and fairness</t>
  </si>
  <si>
    <t xml:space="preserve">Proportionality and do no harm; Transparency and explainability; Human oversight and determination; Fairness and non-discrimination</t>
  </si>
  <si>
    <t xml:space="preserve">IEEE 7000-2021; IEEE 7001-2021; IEEE 7002-2022; IEEE 7003-2024</t>
  </si>
  <si>
    <t xml:space="preserve">Art. 7; Art. 8; Art. 10; Art. 12; 14, 15; Art. 16</t>
  </si>
  <si>
    <t xml:space="preserve">Action 3; Action 7</t>
  </si>
  <si>
    <t xml:space="preserve">Automated decisions about individuals; Impact assessment before risky processing</t>
  </si>
  <si>
    <t xml:space="preserve">U3; U4; U6; U9; S2; Q3; Q4</t>
  </si>
  <si>
    <t xml:space="preserve">E1c; E1d; E10; E16</t>
  </si>
  <si>
    <t xml:space="preserve">UK1; UK3; UK4; UK7; UK11; UK12; UK13</t>
  </si>
  <si>
    <t xml:space="preserve">US5; US7; US8; US10; US11; US12; US14; US15; US16</t>
  </si>
  <si>
    <t xml:space="preserve">AU2; AU6; AU6a</t>
  </si>
  <si>
    <t xml:space="preserve">BR1; BR4</t>
  </si>
  <si>
    <t xml:space="preserve">CA3; CA4; CA5; CA7</t>
  </si>
  <si>
    <t xml:space="preserve">CN1; CN2; CN3; CN4; CN5; CN6</t>
  </si>
  <si>
    <t xml:space="preserve">IN4; IN5; IN6; IN9; IN13</t>
  </si>
  <si>
    <t xml:space="preserve">JP3</t>
  </si>
  <si>
    <t xml:space="preserve">SG1; SG3; SG5; SG6; MAS 5.5 to 5.6; MAS 5.7 to 5.8; MAS 5.9; MAS 5.14 to 5.15</t>
  </si>
  <si>
    <t xml:space="preserve">KR2; KR3</t>
  </si>
  <si>
    <t xml:space="preserve">HK1; HK3; HK4; HK6; Use-case owners and human oversight: a named ; Accountability for outputs: controls against ; Explainability and transparency: document exp; Ethical use and fair treatment: no unfair bia</t>
  </si>
  <si>
    <t xml:space="preserve">AIR-PREV-008</t>
  </si>
  <si>
    <t xml:space="preserve">GOVERN 6.2; MEASURE 2.7; MANAGE 2.3</t>
  </si>
  <si>
    <t xml:space="preserve">AML.M0036</t>
  </si>
  <si>
    <t xml:space="preserve">NISTAML.014</t>
  </si>
  <si>
    <t xml:space="preserve">CC9.1; A1.1; A1.2; A1.3</t>
  </si>
  <si>
    <t xml:space="preserve">SG5; MAS 5.3; MAS 5.10 to 5.11; MAS 6.3</t>
  </si>
  <si>
    <t xml:space="preserve">AIR-DET-011; AIR-DET-013; AIR-DET-015; AIR-DET-021; AIR-PREV-005; AIR-PREV-024</t>
  </si>
  <si>
    <t xml:space="preserve">GOVERN 3.2; GOVERN 4.2; MAP 2.2; MAP 3.5; MAP 5.1; MEASURE 2.5; MEASURE 2.6; MEASURE 2.7; MEASURE 2.9; MEASURE 2.11; MANAGE 1.1</t>
  </si>
  <si>
    <t xml:space="preserve">CM.3; TR.2; TR.3</t>
  </si>
  <si>
    <t xml:space="preserve">Relevant interested parties</t>
  </si>
  <si>
    <t xml:space="preserve">8.4 to 8.6; 9.2, 9.3; Controllability, including human-in-the-loop ; Testing and evaluation</t>
  </si>
  <si>
    <t xml:space="preserve">6.4.11, 6.4.13</t>
  </si>
  <si>
    <t xml:space="preserve">PO.1; PO.4; PW.1; PW.2; PW.7</t>
  </si>
  <si>
    <t xml:space="preserve">Transparency and explainability; Human oversight and determination; Fairness and non-discrimination</t>
  </si>
  <si>
    <t xml:space="preserve">IEEE 7000-2021; IEEE 7001-2021; IEEE 7003-2024</t>
  </si>
  <si>
    <t xml:space="preserve">Art. 7; Art. 8; Art. 10; Art. 12; 14, 15</t>
  </si>
  <si>
    <t xml:space="preserve">Action 1; Action 3; Action 7</t>
  </si>
  <si>
    <t xml:space="preserve">SG1; SG3; SG5; SG6; MAS 5.5 to 5.6; MAS 5.7 to 5.8; MAS 5.9; MAS 5.12 to 5.13; MAS 5.14 to 5.15; MAS 5.18 to 5.21; MAS 5.22; MAS 5.25</t>
  </si>
  <si>
    <t xml:space="preserve">HK1; HK3; HK4; HK6; Use-case owners and human oversight: a named ; Risk-commensurate management: materiality and; Accountability for outputs: controls against ; Explainability and transparency: document exp; Ethical use and fair treatment: no unfair bia</t>
  </si>
  <si>
    <t xml:space="preserve">GOVERN 1.5; MAP 5.1; MEASURE 1.2; MEASURE 1.3; MEASURE 2.4; MEASURE 2.8; MEASURE 2.9; MEASURE 2.11; MANAGE 4.1; MANAGE 4.2</t>
  </si>
  <si>
    <t xml:space="preserve">CM.3; TR.1; TR.3</t>
  </si>
  <si>
    <t xml:space="preserve">A.5.4; A.6.2.4; A.6.2.8; A.8.2</t>
  </si>
  <si>
    <t xml:space="preserve">Clause 9.1; Clause 9.2; Clause 9.3; Clause 10.2</t>
  </si>
  <si>
    <t xml:space="preserve">A.5.28; A.5.33; A.5.35; A.5.36; A.8.15; A.8.17</t>
  </si>
  <si>
    <t xml:space="preserve">8.4 to 8.6; 9.2, 9.3</t>
  </si>
  <si>
    <t xml:space="preserve">GV.OV; ID.IM; PR.PS; DE.CM</t>
  </si>
  <si>
    <t xml:space="preserve">PS.3</t>
  </si>
  <si>
    <t xml:space="preserve">Transparency; Diversity, non-discrimination and fairness; Accountability</t>
  </si>
  <si>
    <t xml:space="preserve">Responsibility and accountability; Transparency and explainability; Fairness and non-discrimination</t>
  </si>
  <si>
    <t xml:space="preserve">IEEE 7001-2021; IEEE 7003-2024</t>
  </si>
  <si>
    <t xml:space="preserve">Art. 9; Art. 10</t>
  </si>
  <si>
    <t xml:space="preserve">U4; U5; U6; U9; U11; U12; S2; S6; S7; Q3; Q4; O1</t>
  </si>
  <si>
    <t xml:space="preserve">E1c; E7</t>
  </si>
  <si>
    <t xml:space="preserve">UK1; UK3; UK4; UK6; UK10; UK12; UK13</t>
  </si>
  <si>
    <t xml:space="preserve">US5; US6; US8; US10; US11; US12; US14; US15; US16</t>
  </si>
  <si>
    <t xml:space="preserve">BR1</t>
  </si>
  <si>
    <t xml:space="preserve">CA3; CA6</t>
  </si>
  <si>
    <t xml:space="preserve">CN5</t>
  </si>
  <si>
    <t xml:space="preserve">IN4; IN5; IN6; IN7</t>
  </si>
  <si>
    <t xml:space="preserve">SG3; SG5; SG6; SG7; MAS 5.5 to 5.6; MAS 5.7 to 5.8; MAS 5.14 to 5.15; MAS 5.17; MAS 5.18 to 5.21; MAS 5.23; MAS 5.24</t>
  </si>
  <si>
    <t xml:space="preserve">HK1; HK3; HK4; Risk-commensurate management: materiality and; Explainability and transparency: document exp; Ethical use and fair treatment: no unfair bia</t>
  </si>
  <si>
    <t xml:space="preserve">AIR-DET-011; AIR-DET-015; AIR-PREV-005; AIR-PREV-007; AIR-PREV-008; AIR-PREV-010; AIR-PREV-025</t>
  </si>
  <si>
    <t xml:space="preserve">GOVERN 4.2; GOVERN 4.3; GOVERN 6.1; GOVERN 6.2; MAP 4.1; MEASURE 2.1; MEASURE 2.6; MEASURE 2.7; MANAGE 1.1; MANAGE 2.3; MANAGE 3.1; MANAGE 3.2</t>
  </si>
  <si>
    <t xml:space="preserve">RG.1; RG.5; TR.1</t>
  </si>
  <si>
    <t xml:space="preserve">AML.M0014; AML.M0016; AML.M0023; AML.M0035; AML.M0036</t>
  </si>
  <si>
    <t xml:space="preserve">NISTAML.011; NISTAML.012; NISTAML.013; NISTAML.014; NISTAML.018; NISTAML.021; NISTAML.022; NISTAML.023; NISTAML.024; NISTAML.025; NISTAML.026; NISTAML.027; NISTAML.032; NISTAML.033; NISTAML.051; 3.6 Benchmarks for AML vulnerabilities</t>
  </si>
  <si>
    <t xml:space="preserve">6.1.1, 6.1.2; 6.3.4, 6.3.5; 6.4.11, 6.4.13; Continuous validation process; 6.4.15, 6.4.16</t>
  </si>
  <si>
    <t xml:space="preserve">GV.SC; ID.AM; ID.RA; ID.IM; PR.PS; PR.IR; RC.RP</t>
  </si>
  <si>
    <t xml:space="preserve">CC3.4; CC4.1; CC7.1; CC8.1; CC9.1; CC9.2; A1.1; A1.2; A1.3</t>
  </si>
  <si>
    <t xml:space="preserve">PO.1; PO.4; PS.2; PS.3; PW.1; PW.2; PW.4; PW.7; PW.8; RV.1</t>
  </si>
  <si>
    <t xml:space="preserve">U9; Q4</t>
  </si>
  <si>
    <t xml:space="preserve">E1c; E1e; E6; E9; E13; E15</t>
  </si>
  <si>
    <t xml:space="preserve">US15; US16; US17</t>
  </si>
  <si>
    <t xml:space="preserve">JP6</t>
  </si>
  <si>
    <t xml:space="preserve">SG5; MAS 5.3; MAS 5.10 to 5.11; MAS 5.12 to 5.13; MAS 5.14 to 5.15; MAS 5.18 to 5.21; MAS 5.22; MAS 5.24; MAS 5.25; MAS 6.3</t>
  </si>
  <si>
    <t xml:space="preserve">AIR-DET-001; AIR-DET-011; AIR-DET-015; AIR-PREV-002; AIR-PREV-005; AIR-PREV-006; AIR-PREV-010; AIR-PREV-014</t>
  </si>
  <si>
    <t xml:space="preserve">AML.M0005; AML.M0012; AML.M0025; AML.M0035</t>
  </si>
  <si>
    <t xml:space="preserve">NISTAML.012; NISTAML.013; NISTAML.015; NISTAML.018; NISTAML.021; NISTAML.022; NISTAML.023; NISTAML.024; NISTAML.025; NISTAML.027; NISTAML.032; NISTAML.033; NISTAML.034; NISTAML.036; NISTAML.037; NISTAML.038; 3.6 Benchmarks for AML vulnerabilities</t>
  </si>
  <si>
    <t xml:space="preserve">AI-specific security threats (data poisoning,; AI-specific privacy threats; Testing and evaluation</t>
  </si>
  <si>
    <t xml:space="preserve">Knowledge acquisition process; AI data engineering process; 6.4.11, 6.4.13; Continuous validation process</t>
  </si>
  <si>
    <t xml:space="preserve">8.2, 8.3; 8.4, 8.5</t>
  </si>
  <si>
    <t xml:space="preserve">5259-1, 5.3; 5259-2, 6</t>
  </si>
  <si>
    <t xml:space="preserve">ID.AM; ID.RA; ID.IM; PR.DS</t>
  </si>
  <si>
    <t xml:space="preserve">CC4.1; CC6.1; CC6.7; CC7.1; CC8.1; C1.1; C1.2; PI1.2</t>
  </si>
  <si>
    <t xml:space="preserve">PO.4; PW.3; PW.8; RV.1</t>
  </si>
  <si>
    <t xml:space="preserve">Art. 11; Art. 12</t>
  </si>
  <si>
    <t xml:space="preserve">U1; S1; Q1</t>
  </si>
  <si>
    <t xml:space="preserve">E1c; E2</t>
  </si>
  <si>
    <t xml:space="preserve">SG4; SG5; MAS 5.4; MAS 5.14 to 5.15; MAS 5.22; MAS 5.24</t>
  </si>
  <si>
    <t xml:space="preserve">HK5; HK7; Risk-commensurate management: materiality and; Risk management frameworks: data within appro</t>
  </si>
  <si>
    <t xml:space="preserve">AIR-OP-014; AIR-OP-018</t>
  </si>
  <si>
    <t xml:space="preserve">AIR-DET-011; AIR-PREV-024</t>
  </si>
  <si>
    <t xml:space="preserve">GOVERN 1.2; GOVERN 1.3; GOVERN 1.4; GOVERN 1.6; GOVERN 1.7; GOVERN 2.1; GOVERN 2.2; GOVERN 3.2; MAP 1.1; MAP 1.5; MAP 3.5; MANAGE 1.2; MANAGE 1.4</t>
  </si>
  <si>
    <t xml:space="preserve">GV.1; GV.2; GV.4; CM.3; RG.1; RG.2; TR.2</t>
  </si>
  <si>
    <t xml:space="preserve">LLM06:2025</t>
  </si>
  <si>
    <t xml:space="preserve">AML.M0018; AML.M0029</t>
  </si>
  <si>
    <t xml:space="preserve">A.2.2; A.2.4; A.3.2; A.4.2; A.5.2; A.9.2; A.9.3; A.9.4</t>
  </si>
  <si>
    <t xml:space="preserve">A.5.1; A.5.2; A.5.4; A.5.8; A.5.9; A.5.10; A.5.12</t>
  </si>
  <si>
    <t xml:space="preserve">Governance oversight of AI; Governance of decision-making; Risk (appetite, management, objectives, sourc</t>
  </si>
  <si>
    <t xml:space="preserve">GV.RM; GV.RR; GV.PO; ID.AM; ID.RA</t>
  </si>
  <si>
    <t xml:space="preserve">Principle 1.1; Principle 1.2; Principle 1.5</t>
  </si>
  <si>
    <t xml:space="preserve">Human agency and oversight; Accountability</t>
  </si>
  <si>
    <t xml:space="preserve">Proportionality and do no harm; Multi-stakeholder and adaptive governance ...; Responsibility and accountability; Human oversight and determination</t>
  </si>
  <si>
    <t xml:space="preserve">Art. 7; Art. 8; Art. 9; 14, 15; Art. 16</t>
  </si>
  <si>
    <t xml:space="preserve">SG1; SG2; SG5; MAS 1.6, 2.1 to 2.2; MAS 2.3 to 2.5; MAS 3.1 to 3.4; MAS 3.5; MAS 1.5, 3.6; MAS 4.2 to 4.4; MAS 4.5 to 4.9; MAS 4.10 to 4.13; MAS 5.9; MAS 5.26</t>
  </si>
  <si>
    <t xml:space="preserve">HK1; HK2; HK3; HK5; HK6; Board and senior management accountability: t; Use-case owners and human oversight: a named ; Inventory: an up-to-date inventory of approve; Risk-commensurate management: materiality and</t>
  </si>
  <si>
    <t xml:space="preserve">GV.1; GV.2; GV.3; CM.3; TR.2</t>
  </si>
  <si>
    <t xml:space="preserve">NISTAML.027; 3.5 Security of agents</t>
  </si>
  <si>
    <t xml:space="preserve">A.2.2; A.2.4; A.3.2; A.4.6; A.9.2; A.9.3</t>
  </si>
  <si>
    <t xml:space="preserve">Clause 7.2; Clause 7.3</t>
  </si>
  <si>
    <t xml:space="preserve">Governance of decision-making; Culture and values</t>
  </si>
  <si>
    <t xml:space="preserve">GV.RR; GV.PO; PR.AA; PR.AT</t>
  </si>
  <si>
    <t xml:space="preserve">Principle 1.2; Principle 1.5</t>
  </si>
  <si>
    <t xml:space="preserve">Multi-stakeholder and adaptive governance ...; Responsibility and accountability; Human oversight and determination; Awareness and literacy</t>
  </si>
  <si>
    <t xml:space="preserve">Art. 7; Art. 8; Art. 9; 14, 15; Art. 20</t>
  </si>
  <si>
    <t xml:space="preserve">Action 5</t>
  </si>
  <si>
    <t xml:space="preserve">U3; U4; U6; U9; U12; S2; S3; Q3; Q4; B2; B4</t>
  </si>
  <si>
    <t xml:space="preserve">E1a; E1b; E1c; E12; E17</t>
  </si>
  <si>
    <t xml:space="preserve">UK1; UK3; UK5; UK13</t>
  </si>
  <si>
    <t xml:space="preserve">US8; US9; US10; US12; US14; US15</t>
  </si>
  <si>
    <t xml:space="preserve">BR3</t>
  </si>
  <si>
    <t xml:space="preserve">CA3; CA5; CA8</t>
  </si>
  <si>
    <t xml:space="preserve">CN1; CN5; CN6</t>
  </si>
  <si>
    <t xml:space="preserve">IN4; IN5; IN6; IN13</t>
  </si>
  <si>
    <t xml:space="preserve">JP1; JP2; JP3</t>
  </si>
  <si>
    <t xml:space="preserve">SG1; SG2; SG5; MAS 2.3 to 2.5; MAS 3.1 to 3.4; MAS 3.5; MAS 1.5, 3.6; MAS 5.9; MAS 6.1 to 6.2</t>
  </si>
  <si>
    <t xml:space="preserve">KR3; KR5; KR6</t>
  </si>
  <si>
    <t xml:space="preserve">HK1; HK2; HK3; HK5; HK6; Board and senior management accountability: t; Use-case owners and human oversight: a named ; Resources and expertise: adequate resources a; Accountability for outputs: controls against </t>
  </si>
  <si>
    <t xml:space="preserve">AIR-DET-011; AIR-DET-013; AIR-DET-015; AIR-PREV-005; AIR-PREV-010</t>
  </si>
  <si>
    <t xml:space="preserve">GOVERN 4.3; GOVERN 6.2; MAP 2.2; MEASURE 2.1; MEASURE 2.5; MEASURE 2.6; MEASURE 2.7; MANAGE 2.3; MANAGE 4.3</t>
  </si>
  <si>
    <t xml:space="preserve">TR.1; TR.3</t>
  </si>
  <si>
    <t xml:space="preserve">AML.M0020; AML.M0022; AML.M0024; AML.M0035</t>
  </si>
  <si>
    <t xml:space="preserve">NISTAML.012; NISTAML.013; NISTAML.018; NISTAML.021; NISTAML.022; NISTAML.023; NISTAML.024; NISTAML.025; NISTAML.027; NISTAML.032; NISTAML.033; 3.6 Benchmarks for AML vulnerabilities</t>
  </si>
  <si>
    <t xml:space="preserve">AI-specific security threats (data poisoning,; 8.4 to 8.6; 9.2, 9.3; Testing and evaluation</t>
  </si>
  <si>
    <t xml:space="preserve">ID.RA; ID.IM; DE.AE; RS.MA; RS.AN; RS.CO; RS.MI; RC.RP</t>
  </si>
  <si>
    <t xml:space="preserve">PO.4; PW.8; RV.1; RV.2; RV.3</t>
  </si>
  <si>
    <t xml:space="preserve">Principle 1.3; Principle 1.4</t>
  </si>
  <si>
    <t xml:space="preserve">Technical robustness and safety; Transparency</t>
  </si>
  <si>
    <t xml:space="preserve">Safety and security; Transparency and explainability</t>
  </si>
  <si>
    <t xml:space="preserve">Art. 8; Art. 12</t>
  </si>
  <si>
    <t xml:space="preserve">Action 1; Action 2; Action 3; Action 4; Action 7</t>
  </si>
  <si>
    <t xml:space="preserve">U1; U2; U3; U4; S2; Q3</t>
  </si>
  <si>
    <t xml:space="preserve">E1c; E1d; E2; E5; E6; E10; E16</t>
  </si>
  <si>
    <t xml:space="preserve">UK1; UK2; UK7; UK11</t>
  </si>
  <si>
    <t xml:space="preserve">US7; US11; US14; US17</t>
  </si>
  <si>
    <t xml:space="preserve">AU2; AU3; AU3a; AU6; AU6a; AU8</t>
  </si>
  <si>
    <t xml:space="preserve">BR2; BR4</t>
  </si>
  <si>
    <t xml:space="preserve">CA2; CA4; CA5; CA7</t>
  </si>
  <si>
    <t xml:space="preserve">CN1; CN2; CN3; CN4; CN6; CN7</t>
  </si>
  <si>
    <t xml:space="preserve">IN1; IN2; IN3; IN4; IN9; IN10</t>
  </si>
  <si>
    <t xml:space="preserve">JP3; JP4</t>
  </si>
  <si>
    <t xml:space="preserve">SG1; SG3; SG5; SG8; MAS 3.5; MAS 5.5 to 5.6; MAS 5.14 to 5.15; MAS 5.22; MAS 5.23; MAS 5.24</t>
  </si>
  <si>
    <t xml:space="preserve">KR2; KR7</t>
  </si>
  <si>
    <t xml:space="preserve">HK5; Risk-commensurate management: materiality and; Accountability for outputs: controls against </t>
  </si>
  <si>
    <t xml:space="preserve">AIR-PREV-022</t>
  </si>
  <si>
    <t xml:space="preserve">MEASURE 2.7; MEASURE 2.10; MANAGE 1.3; MANAGE 2.3; MANAGE 2.4</t>
  </si>
  <si>
    <t xml:space="preserve">LLM01:2025; LLM04:2025; LLM06:2025</t>
  </si>
  <si>
    <t xml:space="preserve">ASI05; ASI06; ASI08; ASI10</t>
  </si>
  <si>
    <t xml:space="preserve">AML.M0011; AML.M0031; AML.M0032; AML.M0036; AML.M0037</t>
  </si>
  <si>
    <t xml:space="preserve">NISTAML.015; NISTAML.039; 3.5 Security of agents</t>
  </si>
  <si>
    <t xml:space="preserve">PR.DS; PR.PS; PR.IR; RS.MA; RS.MI</t>
  </si>
  <si>
    <t xml:space="preserve">PO.5</t>
  </si>
  <si>
    <t xml:space="preserve">AIR-PREV-012; AIR-PREV-018; AIR-PREV-022; AIR-PREV-023</t>
  </si>
  <si>
    <t xml:space="preserve">GOVERN 6.1; MEASURE 2.7; MEASURE 2.8; MEASURE 2.10; MANAGE 1.3; MANAGE 4.1</t>
  </si>
  <si>
    <t xml:space="preserve">LLM02:2025; LLM03:2025; LLM06:2025</t>
  </si>
  <si>
    <t xml:space="preserve">ASI03; ASI05; ASI07</t>
  </si>
  <si>
    <t xml:space="preserve">AML.M0011; AML.M0019; AML.M0026; AML.M0027; AML.M0028; AML.M0032</t>
  </si>
  <si>
    <t xml:space="preserve">NISTAML.039; 3.5 Security of agents</t>
  </si>
  <si>
    <t xml:space="preserve">PR.AA; PR.DS; PR.PS; PR.IR</t>
  </si>
  <si>
    <t xml:space="preserve">PO.3; PO.5; PW.5</t>
  </si>
  <si>
    <t xml:space="preserve">SG5; MAS 5.16</t>
  </si>
  <si>
    <t xml:space="preserve">AIR-SEC-026; AIR-SEC-030</t>
  </si>
  <si>
    <t xml:space="preserve">AIR-PREV-010; AIR-PREV-019; AIR-PREV-020; AIR-PREV-025</t>
  </si>
  <si>
    <t xml:space="preserve">GOVERN 6.1; MAP 4.1; MAP 4.2; MANAGE 3.1; MANAGE 3.2</t>
  </si>
  <si>
    <t xml:space="preserve">RG.1</t>
  </si>
  <si>
    <t xml:space="preserve">ASI02; ASI04</t>
  </si>
  <si>
    <t xml:space="preserve">AML.M0014; AML.M0016; AML.M0023; AML.M0028</t>
  </si>
  <si>
    <t xml:space="preserve">NISTAML.011; NISTAML.021; NISTAML.023; NISTAML.026; NISTAML.039; NISTAML.051; 3.5 Security of agents</t>
  </si>
  <si>
    <t xml:space="preserve">6.3.4, 6.3.5</t>
  </si>
  <si>
    <t xml:space="preserve">PS.2; PS.3; PW.4; PW.7</t>
  </si>
  <si>
    <t xml:space="preserve">SG5; MAS 5.10 to 5.11; MAS 5.16</t>
  </si>
  <si>
    <t xml:space="preserve">Risk management frameworks: data within appro</t>
  </si>
  <si>
    <t xml:space="preserve">AIR-PREV-003; AIR-PREV-017; AIR-PREV-018; AIR-PREV-019; AIR-PREV-020; AIR-PREV-025</t>
  </si>
  <si>
    <t xml:space="preserve">GOVERN 6.1; MAP 4.1; MAP 4.2; MEASURE 2.7; MEASURE 2.10; MANAGE 1.3; MANAGE 3.1</t>
  </si>
  <si>
    <t xml:space="preserve">LLM01:2025; LLM02:2025; LLM03:2025; LLM05:2025; LLM06:2025; LLM07:2025</t>
  </si>
  <si>
    <t xml:space="preserve">ASI01; ASI02; ASI04</t>
  </si>
  <si>
    <t xml:space="preserve">AML.M0014; AML.M0020; AML.M0021; AML.M0028; AML.M0030; AML.M0033</t>
  </si>
  <si>
    <t xml:space="preserve">NISTAML.015; NISTAML.018; NISTAML.022; NISTAML.025; NISTAML.035; NISTAML.036; NISTAML.038; NISTAML.039; 3.5 Security of agents</t>
  </si>
  <si>
    <t xml:space="preserve">8.6, 8.7</t>
  </si>
  <si>
    <t xml:space="preserve">GV.SC; PR.AA; PR.DS; PR.PS; DE.CM</t>
  </si>
  <si>
    <t xml:space="preserve">PW.5; PW.9</t>
  </si>
  <si>
    <t xml:space="preserve">U2; U11; S6; S7</t>
  </si>
  <si>
    <t xml:space="preserve">E5; E7; E17</t>
  </si>
  <si>
    <t xml:space="preserve">SG2; SG5; SG7; SG8; MAS 5.16</t>
  </si>
  <si>
    <t xml:space="preserve">HK5; Risk management frameworks: data within appro; Accountability for outputs: controls against </t>
  </si>
  <si>
    <t xml:space="preserve">AIR-PREV-022; AIR-PREV-023</t>
  </si>
  <si>
    <t xml:space="preserve">GOVERN 1.6; MEASURE 2.4; MEASURE 2.7; MEASURE 2.8; MANAGE 1.3; MANAGE 2.3; MANAGE 2.4</t>
  </si>
  <si>
    <t xml:space="preserve">RG.2; RG.4; AC.2; AC.3; AC.4</t>
  </si>
  <si>
    <t xml:space="preserve">ASI03; ASI05; ASI07; ASI08; ASI10</t>
  </si>
  <si>
    <t xml:space="preserve">AML.M0011; AML.M0019; AML.M0024; AML.M0032; AML.M0036; AML.M0037; AML.M0038</t>
  </si>
  <si>
    <t xml:space="preserve">PR.AA; PR.PS; PR.IR; DE.CM; RS.MA; RS.MI</t>
  </si>
  <si>
    <t xml:space="preserve">SG2; SG5; SG7; MAS 4.5 to 4.9; MAS 5.3</t>
  </si>
  <si>
    <t xml:space="preserve">AIR-DET-004; AIR-DET-021; AIR-PREV-003; AIR-PREV-019</t>
  </si>
  <si>
    <t xml:space="preserve">MEASURE 2.4; MEASURE 2.7; MEASURE 2.8; MEASURE 2.10; MANAGE 4.1</t>
  </si>
  <si>
    <t xml:space="preserve">CM.3; TR.3</t>
  </si>
  <si>
    <t xml:space="preserve">AML.M0020; AML.M0024; AML.M0033</t>
  </si>
  <si>
    <t xml:space="preserve">NISTAML.035; NISTAML.036; NISTAML.038</t>
  </si>
  <si>
    <t xml:space="preserve">PR.PS; DE.CM</t>
  </si>
  <si>
    <t xml:space="preserve">PS.3; PW.5</t>
  </si>
  <si>
    <t xml:space="preserve">Art. 9</t>
  </si>
  <si>
    <t xml:space="preserve">U11; S6; S7</t>
  </si>
  <si>
    <t xml:space="preserve">SG5; SG7; MAS 5.23</t>
  </si>
  <si>
    <t xml:space="preserve">Risk-commensurate management: materiality and; Accountability for outputs: controls against </t>
  </si>
  <si>
    <t xml:space="preserve">AIR-DET-001; AIR-PREV-007</t>
  </si>
  <si>
    <t xml:space="preserve">GOVERN 1.1; GOVERN 1.2; GOVERN 1.4; GOVERN 2.1; GOVERN 2.2; MAP 4.1; MAP 5.1; MEASURE 2.10; MANAGE 4.1</t>
  </si>
  <si>
    <t xml:space="preserve">NISTAML.018</t>
  </si>
  <si>
    <t xml:space="preserve">GV.OC; GV.RR; GV.PO; PR.DS; DE.CM</t>
  </si>
  <si>
    <t xml:space="preserve">CC1.3; CC2.2; CC5.3; CC6.7; C1.1; P1.1; P3.1; P4.1; P4.2; P5.1</t>
  </si>
  <si>
    <t xml:space="preserve">Automated decisions about individuals; Requests from individuals</t>
  </si>
  <si>
    <t xml:space="preserve">AIR-DET-011; AIR-DET-021; AIR-PREV-007; AIR-PREV-024</t>
  </si>
  <si>
    <t xml:space="preserve">GOVERN 1.1; GOVERN 1.2; GOVERN 1.3; GOVERN 1.4; GOVERN 1.5; GOVERN 2.1; GOVERN 2.2; GOVERN 3.2; MAP 1.1; MAP 1.5; MAP 3.5; MAP 5.1; MEASURE 1.2; MEASURE 1.3; MEASURE 2.10; MANAGE 1.2; MANAGE 1.4; MANAGE 4.2</t>
  </si>
  <si>
    <t xml:space="preserve">GV.1; GV.2; GV.4; CM.1; CM.3; CM.4; RG.5; TR.1; TR.2</t>
  </si>
  <si>
    <t xml:space="preserve">LLM02:2025; LLM06:2025</t>
  </si>
  <si>
    <t xml:space="preserve">A.2.2; A.2.4; A.3.2; A.5.2; A.5.3; A.5.4; A.5.5; A.9.2; A.9.3</t>
  </si>
  <si>
    <t xml:space="preserve">Clause 6.1.2; Clause 6.1.3; Clause 9.1; Clause 9.2; Clause 9.3; Clause 10.2</t>
  </si>
  <si>
    <t xml:space="preserve">A.5.1; A.5.2; A.5.4; A.5.8; A.5.10; A.5.31; A.5.33; A.5.34; A.5.35; A.5.36; A.8.10; A.8.11</t>
  </si>
  <si>
    <t xml:space="preserve">Clause 6.1.2; Clause 6.1.3; Clause 9.2</t>
  </si>
  <si>
    <t xml:space="preserve">Governance of decision-making; Governance of data use; Compliance; Risk (appetite, management, objectives, sourc</t>
  </si>
  <si>
    <t xml:space="preserve">AI-specific privacy threats; Controllability, including human-in-the-loop </t>
  </si>
  <si>
    <t xml:space="preserve">GV.OC; GV.RM; GV.RR; GV.PO; GV.OV; ID.RA; ID.IM; PR.DS</t>
  </si>
  <si>
    <t xml:space="preserve">Human agency and oversight; Privacy and data governance; Accountability</t>
  </si>
  <si>
    <t xml:space="preserve">Proportionality and do no harm; Right to privacy and data protection; Multi-stakeholder and adaptive governance ...; Responsibility and accountability; Human oversight and determination</t>
  </si>
  <si>
    <t xml:space="preserve">Art. 7; Art. 8; Art. 9; Art. 11; 14, 15; Art. 16</t>
  </si>
  <si>
    <t xml:space="preserve">Action 1; Action 5; Action 11</t>
  </si>
  <si>
    <t xml:space="preserve">Automated decisions about individuals; Impact assessment before risky processing; Requests from individuals</t>
  </si>
  <si>
    <t xml:space="preserve">U1; U3; U4; U5; U6; U7; U12; S1; S2; S3; S5; Q1; Q3; B1; B2; O1; O2</t>
  </si>
  <si>
    <t xml:space="preserve">E1a; E1b; E1c; E2; E3; E4; E8; E12; E17</t>
  </si>
  <si>
    <t xml:space="preserve">UK1; UK2; UK3; UK4; UK5; UK6; UK13</t>
  </si>
  <si>
    <t xml:space="preserve">US5; US6; US8; US9; US12; US14; US15; US16; US17</t>
  </si>
  <si>
    <t xml:space="preserve">BR1; BR2; BR3</t>
  </si>
  <si>
    <t xml:space="preserve">CA2; CA3; CA4; CA5; CA6; CA7; CA8</t>
  </si>
  <si>
    <t xml:space="preserve">IN1; IN2; IN3; IN4; IN5; IN6; IN7; IN11; IN13</t>
  </si>
  <si>
    <t xml:space="preserve">JP1; JP2; JP3; JP4; JP6</t>
  </si>
  <si>
    <t xml:space="preserve">SG1; SG2; SG3; SG4; SG5; MAS 1.6, 2.1 to 2.2; MAS 2.3 to 2.5; MAS 3.1 to 3.4; MAS 3.5; MAS 1.5, 3.6; MAS 4.10 to 4.13; MAS 5.4; MAS 5.9; MAS 5.17; MAS 5.18 to 5.21; MAS 5.24</t>
  </si>
  <si>
    <t xml:space="preserve">KR3; KR4; KR5; KR6; KR7</t>
  </si>
  <si>
    <t xml:space="preserve">HK1; HK2; HK3; HK5; HK6; HK7; Board and senior management accountability: t; Use-case owners and human oversight: a named ; Risk-commensurate management: materiality and; Risk management frameworks: data within appro; Ethical use and fair treatment: no unfair bia</t>
  </si>
  <si>
    <t xml:space="preserve">Items linked (count)</t>
  </si>
  <si>
    <t xml:space="preserve">Read as: number of register risks with at least one link to that framework.</t>
  </si>
  <si>
    <t xml:space="preserve">Framework crosswalk: every wiki crosswalk item linked to wiki controls and register risks</t>
  </si>
  <si>
    <t xml:space="preserve">Source: the 19 pages under Framework Crosswalks in the AI Security Wiki. Item names are short titles; read each framework for its text. Filter on Framework.</t>
  </si>
  <si>
    <t xml:space="preserve">Framework</t>
  </si>
  <si>
    <t xml:space="preserve">Section (wiki table)</t>
  </si>
  <si>
    <t xml:space="preserve">Item</t>
  </si>
  <si>
    <t xml:space="preserve">Name / description</t>
  </si>
  <si>
    <t xml:space="preserve">Wiki controls</t>
  </si>
  <si>
    <t xml:space="preserve">Register risks</t>
  </si>
  <si>
    <t xml:space="preserve">How risks were linked</t>
  </si>
  <si>
    <t xml:space="preserve">Match (wiki)</t>
  </si>
  <si>
    <t xml:space="preserve">Other details (wiki)</t>
  </si>
  <si>
    <t xml:space="preserve">Source page</t>
  </si>
  <si>
    <t xml:space="preserve">FINOS risks to wiki risks</t>
  </si>
  <si>
    <t xml:space="preserve">Hallucination and Inaccurate Outputs</t>
  </si>
  <si>
    <t xml:space="preserve">Wiki maps risks directly</t>
  </si>
  <si>
    <t xml:space="preserve">Direct</t>
  </si>
  <si>
    <t xml:space="preserve">FINOS status: Approved; Wiki risks: AI-R12; EU AI Act (per FINOS): Art. 15, Art. 13, Art. 9</t>
  </si>
  <si>
    <t xml:space="preserve">https://nachi065.github.io/AI-Security-Wiki/23_Framework_Crosswalks/01_FINOS_AIGF_Crosswalk.html</t>
  </si>
  <si>
    <t xml:space="preserve">AIR-OP-005</t>
  </si>
  <si>
    <t xml:space="preserve">Foundation Model Versioning</t>
  </si>
  <si>
    <t xml:space="preserve">FINOS status: Approved; Wiki risks: AI-R16; EU AI Act (per FINOS): Art. 9, Art. 15, Art. 53</t>
  </si>
  <si>
    <t xml:space="preserve">AIR-OP-006</t>
  </si>
  <si>
    <t xml:space="preserve">Non-Deterministic Behaviour</t>
  </si>
  <si>
    <t xml:space="preserve">FINOS status: Approved; Wiki risks: AI-R16; EU AI Act (per FINOS): Art. 9, Art. 15, Art. 14</t>
  </si>
  <si>
    <t xml:space="preserve">Availability of Foundational Model</t>
  </si>
  <si>
    <t xml:space="preserve">FINOS status: Approved; Wiki risks: AI-R13; EU AI Act (per FINOS): Art. 15, Art. 26, Art. 53</t>
  </si>
  <si>
    <t xml:space="preserve">AIR-OP-014</t>
  </si>
  <si>
    <t xml:space="preserve">Inadequate System Alignment</t>
  </si>
  <si>
    <t xml:space="preserve">FINOS status: Approved; Wiki risks: AI-R18; EU AI Act (per FINOS): Art. 5, Art. 9, Art. 14</t>
  </si>
  <si>
    <t xml:space="preserve">Bias and Discrimination</t>
  </si>
  <si>
    <t xml:space="preserve">FINOS status: Approved; Wiki risks: AI-R14; EU AI Act (per FINOS): Art. 5, Art. 9, Art. 10, Art. 14, Art. 27</t>
  </si>
  <si>
    <t xml:space="preserve">Lack of Explainability</t>
  </si>
  <si>
    <t xml:space="preserve">FINOS status: Approved; Wiki risks: AI-R15; EU AI Act (per FINOS): Art. 13, Art. 14, Art. 50, Art. 86</t>
  </si>
  <si>
    <t xml:space="preserve">AIR-OP-018</t>
  </si>
  <si>
    <t xml:space="preserve">Model Overreach / Expanded Use</t>
  </si>
  <si>
    <t xml:space="preserve">FINOS status: Approved; Wiki risks: AI-R18; EU AI Act (per FINOS): Art. 6, Art. 14, Art. 26</t>
  </si>
  <si>
    <t xml:space="preserve">Data Quality and Drift</t>
  </si>
  <si>
    <t xml:space="preserve">FINOS status: Approved; Wiki risks: AI-R17; EU AI Act (per FINOS): Art. 10, Art. 9, Art. 15</t>
  </si>
  <si>
    <t xml:space="preserve">Reputational Risk</t>
  </si>
  <si>
    <t xml:space="preserve">FINOS status: Approved; Wiki risks: AI-R20; EU AI Act (per FINOS): Art. 5, Art. 9, Art. 14</t>
  </si>
  <si>
    <t xml:space="preserve">Multi-Agent Trust Boundary Violations</t>
  </si>
  <si>
    <t xml:space="preserve">FINOS status: Approved; Wiki risks: AI-R25; EU AI Act (per FINOS): None listed</t>
  </si>
  <si>
    <t xml:space="preserve">Information Leaked To Hosted Model</t>
  </si>
  <si>
    <t xml:space="preserve">AI-R01, AI-R03, AI-R04, AI-R10</t>
  </si>
  <si>
    <t xml:space="preserve">FINOS status: Approved; Wiki risks: AI-R01, AI-R03, AI-R04, AI-R10; EU AI Act (per FINOS): Art. 10, Art. 13, Art. 53</t>
  </si>
  <si>
    <t xml:space="preserve">Regulatory Compliance and Oversight</t>
  </si>
  <si>
    <t xml:space="preserve">AI-R19, AI-R28</t>
  </si>
  <si>
    <t xml:space="preserve">Direct for AI-R28; Partial for AI-R19</t>
  </si>
  <si>
    <t xml:space="preserve">FINOS status: Approved; Wiki risks: AI-R28, AI-R19; EU AI Act (per FINOS): Art. 8, Art. 10, Art. 16, Art. 21, Art. 27</t>
  </si>
  <si>
    <t xml:space="preserve">Intellectual Property (IP) and Copyright</t>
  </si>
  <si>
    <t xml:space="preserve">FINOS status: Approved; Wiki risks: AI-R27; EU AI Act (per FINOS): Art. 10, Art. 11, Art. 53</t>
  </si>
  <si>
    <t xml:space="preserve">Information Leaked to Vector Store</t>
  </si>
  <si>
    <t xml:space="preserve">FINOS status: Approved; Wiki risks: AI-R06; EU AI Act (per FINOS): Art. 10, Art. 15, Art. 16</t>
  </si>
  <si>
    <t xml:space="preserve">AIR-SEC-008</t>
  </si>
  <si>
    <t xml:space="preserve">Tampering With the Foundational Model</t>
  </si>
  <si>
    <t xml:space="preserve">FINOS status: Approved; Wiki risks: AI-R08; EU AI Act (per FINOS): Art. 15, Art. 16, Art. 53</t>
  </si>
  <si>
    <t xml:space="preserve">AIR-SEC-009</t>
  </si>
  <si>
    <t xml:space="preserve">Data Poisoning</t>
  </si>
  <si>
    <t xml:space="preserve">FINOS status: Approved; Wiki risks: AI-R08; EU AI Act (per FINOS): Art. 10, Art. 15, Art. 53</t>
  </si>
  <si>
    <t xml:space="preserve">Prompt Injection</t>
  </si>
  <si>
    <t xml:space="preserve">FINOS status: Approved; Wiki risks: AI-R05; EU AI Act (per FINOS): Art. 5, Art. 15, Art. 14</t>
  </si>
  <si>
    <t xml:space="preserve">Agent Action Authorization Bypass</t>
  </si>
  <si>
    <t xml:space="preserve">FINOS status: Approved; Wiki risks: AI-R07; EU AI Act (per FINOS): None listed</t>
  </si>
  <si>
    <t xml:space="preserve">FINOS status: Approved; Wiki risks: AI-R24; EU AI Act (per FINOS): None listed</t>
  </si>
  <si>
    <t xml:space="preserve">AIR-SEC-026</t>
  </si>
  <si>
    <t xml:space="preserve">MCP Server Supply Chain Compromise</t>
  </si>
  <si>
    <t xml:space="preserve">AI-R08, AI-R23</t>
  </si>
  <si>
    <t xml:space="preserve">FINOS status: Approved; Wiki risks: AI-R23, AI-R08; EU AI Act (per FINOS): None listed</t>
  </si>
  <si>
    <t xml:space="preserve">Agent State Persistence Poisoning</t>
  </si>
  <si>
    <t xml:space="preserve">FINOS status: Approved; Wiki risks: AI-R21; EU AI Act (per FINOS): None listed</t>
  </si>
  <si>
    <t xml:space="preserve">FINOS status: Approved; Wiki risks: AI-R22; EU AI Act (per FINOS): None listed</t>
  </si>
  <si>
    <t xml:space="preserve">AIR-SEC-030</t>
  </si>
  <si>
    <t xml:space="preserve">Skill/Plugin Supply Chain Compromise</t>
  </si>
  <si>
    <t xml:space="preserve">FINOS status: Draft; Wiki risks: AI-R23; EU AI Act (per FINOS): None listed</t>
  </si>
  <si>
    <t xml:space="preserve">FINOS mitigations to wiki controls</t>
  </si>
  <si>
    <t xml:space="preserve">AIR-DET-001</t>
  </si>
  <si>
    <t xml:space="preserve">AI Data Leakage Prevention and Detection</t>
  </si>
  <si>
    <t xml:space="preserve">AI-CTRL-002, AI-CTRL-003, AI-CTRL-017</t>
  </si>
  <si>
    <t xml:space="preserve">AI-R01, AI-R03, AI-R06, AI-R17, AI-R27</t>
  </si>
  <si>
    <t xml:space="preserve">Derived via mapped controls</t>
  </si>
  <si>
    <t xml:space="preserve">FINOS status: Approved; EU AI Act (per FINOS): None listed; ISO/IEC 42001 Annex A (per FINOS): A.7.2, A.6.2.6, A.5.2</t>
  </si>
  <si>
    <t xml:space="preserve">AIR-DET-004</t>
  </si>
  <si>
    <t xml:space="preserve">AI System Observability</t>
  </si>
  <si>
    <t xml:space="preserve">AI-CTRL-008, AI-CTRL-009</t>
  </si>
  <si>
    <t xml:space="preserve">FINOS status: Approved; EU AI Act (per FINOS): None listed; ISO/IEC 42001 Annex A (per FINOS): A.6.2.6, A.6.2.8</t>
  </si>
  <si>
    <t xml:space="preserve">AIR-DET-009</t>
  </si>
  <si>
    <t xml:space="preserve">AI System Alerting and Denial of Wallet (DoW) / Spend Monitoring</t>
  </si>
  <si>
    <t xml:space="preserve">FINOS status: Approved; EU AI Act (per FINOS): None listed; ISO/IEC 42001 Annex A (per FINOS): A.6.2.6, A.4.2</t>
  </si>
  <si>
    <t xml:space="preserve">AIR-DET-011</t>
  </si>
  <si>
    <t xml:space="preserve">Human Feedback Loop for AI Systems</t>
  </si>
  <si>
    <t xml:space="preserve">AI-CTRL-034, AI-CTRL-045</t>
  </si>
  <si>
    <t xml:space="preserve">AI-R05, AI-R07, AI-R12, AI-R14, AI-R16, AI-R17, AI-R18, AI-R19, AI-R20, AI-R28</t>
  </si>
  <si>
    <t xml:space="preserve">FINOS status: Approved; EU AI Act (per FINOS): Art. 14, Art. 72; ISO/IEC 42001 Annex A (per FINOS): A.6.2.6, A.8.2, A.8.3, A.3.3</t>
  </si>
  <si>
    <t xml:space="preserve">AIR-DET-013</t>
  </si>
  <si>
    <t xml:space="preserve">Providing Citations and Source Traceability for AI-Generated Information</t>
  </si>
  <si>
    <t xml:space="preserve">FINOS status: Approved; EU AI Act (per FINOS): Art. 13, Art. 86; ISO/IEC 42001 Annex A (per FINOS): A.8.2, A.6.1.2, A.6.2.7</t>
  </si>
  <si>
    <t xml:space="preserve">AIR-DET-015</t>
  </si>
  <si>
    <t xml:space="preserve">Using Large Language Models for Automated Evaluation (LLM-as-a-Judge)</t>
  </si>
  <si>
    <t xml:space="preserve">AI-CTRL-034, AI-CTRL-039</t>
  </si>
  <si>
    <t xml:space="preserve">AI-R05, AI-R07, AI-R12, AI-R14, AI-R16, AI-R17, AI-R20</t>
  </si>
  <si>
    <t xml:space="preserve">FINOS status: Approved; EU AI Act (per FINOS): None listed; ISO/IEC 42001 Annex A (per FINOS): A.6.2.4, A.6.2.6</t>
  </si>
  <si>
    <t xml:space="preserve">AIR-DET-016</t>
  </si>
  <si>
    <t xml:space="preserve">Preserving Source Data Access Controls in AI Systems</t>
  </si>
  <si>
    <t xml:space="preserve">FINOS status: Approved; EU AI Act (per FINOS): None listed; ISO/IEC 42001 Annex A (per FINOS): A.7.2, A.7.3, A.9.2</t>
  </si>
  <si>
    <t xml:space="preserve">AIR-DET-021</t>
  </si>
  <si>
    <t xml:space="preserve">Agent Decision Audit and Explainability</t>
  </si>
  <si>
    <t xml:space="preserve">AI-R09, AI-R12, AI-R14, AI-R15, AI-R26, AI-R28</t>
  </si>
  <si>
    <t xml:space="preserve">FINOS status: Approved; EU AI Act (per FINOS): Art. 12, Art. 26, Art. 72, Art. 13, Art. 86; ISO/IEC 42001 Annex A (per FINOS): A.8.3, A.6.2.6</t>
  </si>
  <si>
    <t xml:space="preserve">AIR-PREV-002</t>
  </si>
  <si>
    <t xml:space="preserve">Data Filtering From External Knowledge Bases</t>
  </si>
  <si>
    <t xml:space="preserve">FINOS status: Approved; EU AI Act (per FINOS): None listed; ISO/IEC 42001 Annex A (per FINOS): A.7.2, A.7.3, A.7.4, A.7.6</t>
  </si>
  <si>
    <t xml:space="preserve">AIR-PREV-003</t>
  </si>
  <si>
    <t xml:space="preserve">User/App/Model Firewalling/Filtering</t>
  </si>
  <si>
    <t xml:space="preserve">AI-CTRL-005, AI-CTRL-020</t>
  </si>
  <si>
    <t xml:space="preserve">FINOS status: Approved; EU AI Act (per FINOS): None listed; ISO/IEC 42001 Annex A (per FINOS): A.6.1.3, A.6.2.2, A.9.2</t>
  </si>
  <si>
    <t xml:space="preserve">AIR-PREV-005</t>
  </si>
  <si>
    <t xml:space="preserve">System Acceptance Testing</t>
  </si>
  <si>
    <t xml:space="preserve">AI-CTRL-033, AI-CTRL-034</t>
  </si>
  <si>
    <t xml:space="preserve">AI-R05, AI-R07, AI-R08, AI-R14, AI-R16, AI-R17, AI-R20</t>
  </si>
  <si>
    <t xml:space="preserve">FINOS status: Approved; EU AI Act (per FINOS): Art. 9, Art. 15; ISO/IEC 42001 Annex A (per FINOS): A.6.2.4, A.6.2.5</t>
  </si>
  <si>
    <t xml:space="preserve">AIR-PREV-006</t>
  </si>
  <si>
    <t xml:space="preserve">Data Quality &amp; Classification/Sensitivity</t>
  </si>
  <si>
    <t xml:space="preserve">AI-CTRL-017, AI-CTRL-019</t>
  </si>
  <si>
    <t xml:space="preserve">AI-R01, AI-R03, AI-R05, AI-R06, AI-R08, AI-R17</t>
  </si>
  <si>
    <t xml:space="preserve">FINOS status: Approved; EU AI Act (per FINOS): Art. 10; ISO/IEC 42001 Annex A (per FINOS): A.7.4, A.7.2, A.4.3</t>
  </si>
  <si>
    <t xml:space="preserve">AIR-PREV-007</t>
  </si>
  <si>
    <t xml:space="preserve">Legal and Contractual Frameworks for AI Systems</t>
  </si>
  <si>
    <t xml:space="preserve">AI-CTRL-013, AI-CTRL-014, AI-CTRL-046</t>
  </si>
  <si>
    <t xml:space="preserve">AI-R03, AI-R08, AI-R10, AI-R16, AI-R27, AI-R28</t>
  </si>
  <si>
    <t xml:space="preserve">FINOS status: Approved; EU AI Act (per FINOS): None listed; ISO/IEC 42001 Annex A (per FINOS): A.2.3, A.10.2, A.10.3, A.8.5</t>
  </si>
  <si>
    <t xml:space="preserve">Quality of Service (QoS) and DDoS Prevention for AI Systems</t>
  </si>
  <si>
    <t xml:space="preserve">AI-CTRL-036, AI-CTRL-040</t>
  </si>
  <si>
    <t xml:space="preserve">AI-R11, AI-R13, AI-R16</t>
  </si>
  <si>
    <t xml:space="preserve">FINOS status: Approved; EU AI Act (per FINOS): None listed; ISO/IEC 42001 Annex A (per FINOS): A.6.2.6, A.4.5</t>
  </si>
  <si>
    <t xml:space="preserve">AIR-PREV-010</t>
  </si>
  <si>
    <t xml:space="preserve">AI Model Version Pinning</t>
  </si>
  <si>
    <t xml:space="preserve">AI-CTRL-031, AI-CTRL-034</t>
  </si>
  <si>
    <t xml:space="preserve">AI-R05, AI-R07, AI-R08, AI-R16, AI-R17, AI-R20, AI-R23</t>
  </si>
  <si>
    <t xml:space="preserve">FINOS status: Approved; EU AI Act (per FINOS): None listed; ISO/IEC 42001 Annex A (per FINOS): A.6.2.3, A.6.2.5, A.6.2.6, A.4.4</t>
  </si>
  <si>
    <t xml:space="preserve">AIR-PREV-012</t>
  </si>
  <si>
    <t xml:space="preserve">Role-Based Access Control for AI Data</t>
  </si>
  <si>
    <t xml:space="preserve">AI-CTRL-016, AI-CTRL-018</t>
  </si>
  <si>
    <t xml:space="preserve">FINOS status: Approved; EU AI Act (per FINOS): None listed; ISO/IEC 42001 Annex A (per FINOS): A.3.2, A.7.2</t>
  </si>
  <si>
    <t xml:space="preserve">AIR-PREV-014</t>
  </si>
  <si>
    <t xml:space="preserve">Encryption of AI Data at Rest</t>
  </si>
  <si>
    <t xml:space="preserve">AI-CTRL-017, AI-CTRL-032</t>
  </si>
  <si>
    <t xml:space="preserve">AI-R01, AI-R03, AI-R06, AI-R08, AI-R10, AI-R17</t>
  </si>
  <si>
    <t xml:space="preserve">FINOS status: Approved; EU AI Act (per FINOS): None listed; ISO/IEC 42001 Annex A (per FINOS): A.7.2</t>
  </si>
  <si>
    <t xml:space="preserve">AIR-PREV-017</t>
  </si>
  <si>
    <t xml:space="preserve">AI Firewall Implementation and Management</t>
  </si>
  <si>
    <t xml:space="preserve">AIR-PREV-018</t>
  </si>
  <si>
    <t xml:space="preserve">Agent Authority Least Privilege Framework</t>
  </si>
  <si>
    <t xml:space="preserve">AI-CTRL-016, AI-CTRL-022</t>
  </si>
  <si>
    <t xml:space="preserve">AI-R06, AI-R07, AI-R08, AI-R22, AI-R24</t>
  </si>
  <si>
    <t xml:space="preserve">FINOS status: Approved; EU AI Act (per FINOS): None listed; ISO/IEC 42001 Annex A (per FINOS): None listed</t>
  </si>
  <si>
    <t xml:space="preserve">AIR-PREV-019</t>
  </si>
  <si>
    <t xml:space="preserve">Tool Chain Validation and Sanitization</t>
  </si>
  <si>
    <t xml:space="preserve">AI-CTRL-020, AI-CTRL-022, AI-CTRL-024</t>
  </si>
  <si>
    <t xml:space="preserve">AI-R05, AI-R06, AI-R07, AI-R08, AI-R23, AI-R24, AI-R26</t>
  </si>
  <si>
    <t xml:space="preserve">AIR-PREV-020</t>
  </si>
  <si>
    <t xml:space="preserve">MCP Server Security Governance</t>
  </si>
  <si>
    <t xml:space="preserve">Multi-Agent Isolation and Segmentation</t>
  </si>
  <si>
    <t xml:space="preserve">AI-CTRL-006, AI-CTRL-027</t>
  </si>
  <si>
    <t xml:space="preserve">AIR-PREV-023</t>
  </si>
  <si>
    <t xml:space="preserve">Agentic System Credential Protection Framework</t>
  </si>
  <si>
    <t xml:space="preserve">AI-CTRL-015, AI-CTRL-016</t>
  </si>
  <si>
    <t xml:space="preserve">AI-R06, AI-R07, AI-R08, AI-R22, AI-R25</t>
  </si>
  <si>
    <t xml:space="preserve">AIR-PREV-024</t>
  </si>
  <si>
    <t xml:space="preserve">Human-in-the-Loop Action Approval Gate</t>
  </si>
  <si>
    <t xml:space="preserve">AI-CTRL-023, AI-CTRL-045</t>
  </si>
  <si>
    <t xml:space="preserve">FINOS status: Draft; EU AI Act (per FINOS): Art. 14; ISO/IEC 42001 Annex A (per FINOS): A.6.2.6, A.9.2</t>
  </si>
  <si>
    <t xml:space="preserve">AIR-PREV-025</t>
  </si>
  <si>
    <t xml:space="preserve">Skill/Plugin Integrity and Governance</t>
  </si>
  <si>
    <t xml:space="preserve">AI-R07, AI-R08, AI-R16, AI-R23, AI-R24</t>
  </si>
  <si>
    <t xml:space="preserve">FINOS status: Draft; EU AI Act (per FINOS): None listed; ISO/IEC 42001 Annex A (per FINOS): None listed</t>
  </si>
  <si>
    <t xml:space="preserve">AI BCF to wiki</t>
  </si>
  <si>
    <t xml:space="preserve">GV.1</t>
  </si>
  <si>
    <t xml:space="preserve">Govern</t>
  </si>
  <si>
    <t xml:space="preserve">Type: Baseline; Label (wiki paraphrase): AI position documented</t>
  </si>
  <si>
    <t xml:space="preserve">https://nachi065.github.io/AI-Security-Wiki/23_Framework_Crosswalks/02_AI_BCF_Crosswalk.html</t>
  </si>
  <si>
    <t xml:space="preserve">GV.2</t>
  </si>
  <si>
    <t xml:space="preserve">Type: Baseline; Label (wiki paraphrase): AI roles and responsibilities assigned</t>
  </si>
  <si>
    <t xml:space="preserve">GV.3</t>
  </si>
  <si>
    <t xml:space="preserve">Type: Baseline; Label (wiki paraphrase): Training on AI use, with records</t>
  </si>
  <si>
    <t xml:space="preserve">GV.4</t>
  </si>
  <si>
    <t xml:space="preserve">Type: Baseline; Label (wiki paraphrase): AI risks registered and reviewed</t>
  </si>
  <si>
    <t xml:space="preserve">CM.1</t>
  </si>
  <si>
    <t xml:space="preserve">Comply</t>
  </si>
  <si>
    <t xml:space="preserve">AI-CTRL-013, AI-CTRL-043</t>
  </si>
  <si>
    <t xml:space="preserve">AI-R03, AI-R09, AI-R10, AI-R27, AI-R28</t>
  </si>
  <si>
    <t xml:space="preserve">Type: Baseline; Label (wiki paraphrase): Legal and regulatory requirements known and managed</t>
  </si>
  <si>
    <t xml:space="preserve">CM.2</t>
  </si>
  <si>
    <t xml:space="preserve">Gap</t>
  </si>
  <si>
    <t xml:space="preserve">Type: Baseline; Label (wiki paraphrase): AI content and interactions marked as AI; Wiki control objectives and pages: No control objective. Templates only: GCC T06 Bilingual AI Use Notice, EU T06 Transparency Notice</t>
  </si>
  <si>
    <t xml:space="preserve">CM.3</t>
  </si>
  <si>
    <t xml:space="preserve">AI-CTRL-008, AI-CTRL-041, AI-CTRL-045</t>
  </si>
  <si>
    <t xml:space="preserve">AI-R07, AI-R09, AI-R12, AI-R14, AI-R15, AI-R18, AI-R19, AI-R26, AI-R28</t>
  </si>
  <si>
    <t xml:space="preserve">Type: Trigger; Label (wiki paraphrase): High-risk use logged, overseen and disclosed</t>
  </si>
  <si>
    <t xml:space="preserve">CM.4</t>
  </si>
  <si>
    <t xml:space="preserve">Type: Trigger; Label (wiki paraphrase): Fundamental rights impact assessment before high-risk use</t>
  </si>
  <si>
    <t xml:space="preserve">Register</t>
  </si>
  <si>
    <t xml:space="preserve">AI-CTRL-001, AI-CTRL-011, AI-CTRL-014, AI-CTRL-031</t>
  </si>
  <si>
    <t xml:space="preserve">AI-R02, AI-R08, AI-R10, AI-R16, AI-R18, AI-R23</t>
  </si>
  <si>
    <t xml:space="preserve">Type: Baseline; Label (wiki paraphrase): AI systems and providers registered and classified</t>
  </si>
  <si>
    <t xml:space="preserve">RG.2</t>
  </si>
  <si>
    <t xml:space="preserve">AI-CTRL-006, AI-CTRL-011</t>
  </si>
  <si>
    <t xml:space="preserve">AI-R02, AI-R07, AI-R18, AI-R25</t>
  </si>
  <si>
    <t xml:space="preserve">Type: Tier II; Label (wiki paraphrase): Purpose of each AI use registered</t>
  </si>
  <si>
    <t xml:space="preserve">RG.3</t>
  </si>
  <si>
    <t xml:space="preserve">Type: Tier II; Label (wiki paraphrase): Proportionality weighed against alternatives; Wiki control objectives and pages: No control objective</t>
  </si>
  <si>
    <t xml:space="preserve">Type: Baseline; Label (wiki paraphrase): Decommissioning and offboarding of AI systems</t>
  </si>
  <si>
    <t xml:space="preserve">RG.5</t>
  </si>
  <si>
    <t xml:space="preserve">AI-CTRL-007, AI-CTRL-013, AI-CTRL-014</t>
  </si>
  <si>
    <t xml:space="preserve">Type: Baseline; Label (wiki paraphrase): AI risks and training exposure in supplier privacy assessments</t>
  </si>
  <si>
    <t xml:space="preserve">AC.1</t>
  </si>
  <si>
    <t xml:space="preserve">Access</t>
  </si>
  <si>
    <t xml:space="preserve">Type: Baseline; Label (wiki paraphrase): Access review before AI inherits users' rights</t>
  </si>
  <si>
    <t xml:space="preserve">AC.2</t>
  </si>
  <si>
    <t xml:space="preserve">Type: Trigger; Label (wiki paraphrase): Named identity and documented scope for AI with its own credentials</t>
  </si>
  <si>
    <t xml:space="preserve">AC.3</t>
  </si>
  <si>
    <t xml:space="preserve">Type: Trigger; Label (wiki paraphrase): Named owner for each autonomous AI system</t>
  </si>
  <si>
    <t xml:space="preserve">AC.4</t>
  </si>
  <si>
    <t xml:space="preserve">Type: Tier II; Label (wiki paraphrase): AI access rights granted under the access control model</t>
  </si>
  <si>
    <t xml:space="preserve">Track</t>
  </si>
  <si>
    <t xml:space="preserve">AI-CTRL-034, AI-CTRL-038</t>
  </si>
  <si>
    <t xml:space="preserve">AI-R05, AI-R07, AI-R09, AI-R15, AI-R16, AI-R17, AI-R20, AI-R28</t>
  </si>
  <si>
    <t xml:space="preserve">Type: Tier II; Label (wiki paraphrase): Performance indicators for deployed AI</t>
  </si>
  <si>
    <t xml:space="preserve">TR.2</t>
  </si>
  <si>
    <t xml:space="preserve">Type: Tier II; Label (wiki paraphrase): Internal feedback on AI usage collected and reviewed</t>
  </si>
  <si>
    <t xml:space="preserve">TR.3</t>
  </si>
  <si>
    <t xml:space="preserve">AI-CTRL-008, AI-CTRL-035, AI-CTRL-039</t>
  </si>
  <si>
    <t xml:space="preserve">AI-R09, AI-R12, AI-R14, AI-R15, AI-R20, AI-R26</t>
  </si>
  <si>
    <t xml:space="preserve">Type: Tier II; Label (wiki paraphrase): Errors in AI output logged and communicated</t>
  </si>
  <si>
    <t xml:space="preserve">GOVERN 1.1</t>
  </si>
  <si>
    <t xml:space="preserve">AI-CTRL-007, AI-CTRL-013, AI-CTRL-042, AI-CTRL-043</t>
  </si>
  <si>
    <t xml:space="preserve">AI-R03, AI-R09, AI-R10, AI-R12, AI-R27, AI-R28</t>
  </si>
  <si>
    <t xml:space="preserve">Test cases under those controls: 59; Test cases that cite it: 26</t>
  </si>
  <si>
    <t xml:space="preserve">https://nachi065.github.io/AI-Security-Wiki/23_Framework_Crosswalks/03_NIST_AI_RMF_Crosswalk.html</t>
  </si>
  <si>
    <t xml:space="preserve">GOVERN 1.2</t>
  </si>
  <si>
    <t xml:space="preserve">Test cases under those controls: 8; Test cases that cite it: 0</t>
  </si>
  <si>
    <t xml:space="preserve">GOVERN 1.3</t>
  </si>
  <si>
    <t xml:space="preserve">Test cases under those controls: 29; Test cases that cite it: 2</t>
  </si>
  <si>
    <t xml:space="preserve">GOVERN 1.4</t>
  </si>
  <si>
    <t xml:space="preserve">AI-CTRL-010, AI-CTRL-012</t>
  </si>
  <si>
    <t xml:space="preserve">AI-R01, AI-R02, AI-R03, AI-R18, AI-R19, AI-R27, AI-R28</t>
  </si>
  <si>
    <t xml:space="preserve">Test cases under those controls: 34; Test cases that cite it: 69</t>
  </si>
  <si>
    <t xml:space="preserve">GOVERN 1.5</t>
  </si>
  <si>
    <t xml:space="preserve">Test cases under those controls: 17; Test cases that cite it: 3</t>
  </si>
  <si>
    <t xml:space="preserve">GOVERN 1.6</t>
  </si>
  <si>
    <t xml:space="preserve">AI-CTRL-001, AI-CTRL-006, AI-CTRL-011</t>
  </si>
  <si>
    <t xml:space="preserve">Test cases under those controls: 63; Test cases that cite it: 5</t>
  </si>
  <si>
    <t xml:space="preserve">GOVERN 1.7</t>
  </si>
  <si>
    <t xml:space="preserve">Test cases under those controls: 19; Test cases that cite it: 4</t>
  </si>
  <si>
    <t xml:space="preserve">GOVERN 2.1</t>
  </si>
  <si>
    <t xml:space="preserve">Test cases under those controls: 8; Test cases that cite it: 9</t>
  </si>
  <si>
    <t xml:space="preserve">GOVERN 2.2</t>
  </si>
  <si>
    <t xml:space="preserve">AI-CTRL-012, AI-CTRL-044</t>
  </si>
  <si>
    <t xml:space="preserve">Test cases under those controls: 10; Test cases that cite it: 0</t>
  </si>
  <si>
    <t xml:space="preserve">GOVERN 2.3</t>
  </si>
  <si>
    <t xml:space="preserve">Test cases under those controls: 0; Test cases that cite it: 0</t>
  </si>
  <si>
    <t xml:space="preserve">GOVERN 3.1</t>
  </si>
  <si>
    <t xml:space="preserve">GOVERN 3.2</t>
  </si>
  <si>
    <t xml:space="preserve">Test cases under those controls: 9; Test cases that cite it: 0</t>
  </si>
  <si>
    <t xml:space="preserve">GOVERN 4.1</t>
  </si>
  <si>
    <t xml:space="preserve">GOVERN 4.2</t>
  </si>
  <si>
    <t xml:space="preserve">Test cases under those controls: 7; Test cases that cite it: 0</t>
  </si>
  <si>
    <t xml:space="preserve">GOVERN 4.3</t>
  </si>
  <si>
    <t xml:space="preserve">AI-CTRL-034, AI-CTRL-035</t>
  </si>
  <si>
    <t xml:space="preserve">AI-R05, AI-R07, AI-R09, AI-R16, AI-R17, AI-R20</t>
  </si>
  <si>
    <t xml:space="preserve">Test cases under those controls: 76; Test cases that cite it: 4</t>
  </si>
  <si>
    <t xml:space="preserve">GOVERN 5.1</t>
  </si>
  <si>
    <t xml:space="preserve">Test cases under those controls: 4; Test cases that cite it: 0</t>
  </si>
  <si>
    <t xml:space="preserve">GOVERN 5.2</t>
  </si>
  <si>
    <t xml:space="preserve">GOVERN 6.1</t>
  </si>
  <si>
    <t xml:space="preserve">AI-CTRL-001, AI-CTRL-004, AI-CTRL-007, AI-CTRL-014, AI-CTRL-024, AI-CTRL-031</t>
  </si>
  <si>
    <t xml:space="preserve">AI-R02, AI-R04, AI-R07, AI-R08, AI-R10, AI-R16, AI-R22, AI-R23, AI-R24</t>
  </si>
  <si>
    <t xml:space="preserve">Test cases under those controls: 121; Test cases that cite it: 87</t>
  </si>
  <si>
    <t xml:space="preserve">GOVERN 6.2</t>
  </si>
  <si>
    <t xml:space="preserve">AI-CTRL-014, AI-CTRL-035, AI-CTRL-040</t>
  </si>
  <si>
    <t xml:space="preserve">AI-R08, AI-R09, AI-R10, AI-R13, AI-R16, AI-R20</t>
  </si>
  <si>
    <t xml:space="preserve">Test cases under those controls: 75; Test cases that cite it: 3</t>
  </si>
  <si>
    <t xml:space="preserve">Map</t>
  </si>
  <si>
    <t xml:space="preserve">MAP 1.1</t>
  </si>
  <si>
    <t xml:space="preserve">AI-CTRL-011, AI-CTRL-042</t>
  </si>
  <si>
    <t xml:space="preserve">AI-R02, AI-R10, AI-R12, AI-R18, AI-R28</t>
  </si>
  <si>
    <t xml:space="preserve">Test cases under those controls: 23; Test cases that cite it: 36</t>
  </si>
  <si>
    <t xml:space="preserve">MAP 1.2</t>
  </si>
  <si>
    <t xml:space="preserve">MAP 1.3</t>
  </si>
  <si>
    <t xml:space="preserve">MAP 1.4</t>
  </si>
  <si>
    <t xml:space="preserve">MAP 1.5</t>
  </si>
  <si>
    <t xml:space="preserve">MAP 1.6</t>
  </si>
  <si>
    <t xml:space="preserve">MAP 2.1</t>
  </si>
  <si>
    <t xml:space="preserve">MAP 2.2</t>
  </si>
  <si>
    <t xml:space="preserve">MAP 2.3</t>
  </si>
  <si>
    <t xml:space="preserve">AI-CTRL-019, AI-CTRL-029</t>
  </si>
  <si>
    <t xml:space="preserve">Test cases under those controls: 33; Test cases that cite it: 23</t>
  </si>
  <si>
    <t xml:space="preserve">MAP 3.1</t>
  </si>
  <si>
    <t xml:space="preserve">MAP 3.2</t>
  </si>
  <si>
    <t xml:space="preserve">MAP 3.3</t>
  </si>
  <si>
    <t xml:space="preserve">MAP 3.4</t>
  </si>
  <si>
    <t xml:space="preserve">Test cases under those controls: 3; Test cases that cite it: 0</t>
  </si>
  <si>
    <t xml:space="preserve">MAP 3.5</t>
  </si>
  <si>
    <t xml:space="preserve">AI-CTRL-007, AI-CTRL-024, AI-CTRL-029, AI-CTRL-031, AI-CTRL-046</t>
  </si>
  <si>
    <t xml:space="preserve">AI-R07, AI-R08, AI-R10, AI-R16, AI-R23, AI-R24, AI-R27</t>
  </si>
  <si>
    <t xml:space="preserve">Test cases under those controls: 74; Test cases that cite it: 31</t>
  </si>
  <si>
    <t xml:space="preserve">MAP 4.2</t>
  </si>
  <si>
    <t xml:space="preserve">AI-CTRL-024, AI-CTRL-030, AI-CTRL-032</t>
  </si>
  <si>
    <t xml:space="preserve">AI-R07, AI-R08, AI-R10, AI-R23, AI-R24</t>
  </si>
  <si>
    <t xml:space="preserve">Test cases under those controls: 59; Test cases that cite it: 0</t>
  </si>
  <si>
    <t xml:space="preserve">MAP 5.1</t>
  </si>
  <si>
    <t xml:space="preserve">AI-CTRL-013, AI-CTRL-041, AI-CTRL-042</t>
  </si>
  <si>
    <t xml:space="preserve">AI-R03, AI-R10, AI-R12, AI-R14, AI-R15, AI-R27, AI-R28</t>
  </si>
  <si>
    <t xml:space="preserve">Test cases under those controls: 48; Test cases that cite it: 0</t>
  </si>
  <si>
    <t xml:space="preserve">MAP 5.2</t>
  </si>
  <si>
    <t xml:space="preserve">Measure</t>
  </si>
  <si>
    <t xml:space="preserve">MEASURE 1.1</t>
  </si>
  <si>
    <t xml:space="preserve">MEASURE 1.2</t>
  </si>
  <si>
    <t xml:space="preserve">Test cases under those controls: 17; Test cases that cite it: 0</t>
  </si>
  <si>
    <t xml:space="preserve">MEASURE 1.3</t>
  </si>
  <si>
    <t xml:space="preserve">MEASURE 2.1</t>
  </si>
  <si>
    <t xml:space="preserve">Test cases under those controls: 37; Test cases that cite it: 0</t>
  </si>
  <si>
    <t xml:space="preserve">MEASURE 2.2</t>
  </si>
  <si>
    <t xml:space="preserve">MEASURE 2.3</t>
  </si>
  <si>
    <t xml:space="preserve">MEASURE 2.4</t>
  </si>
  <si>
    <t xml:space="preserve">AI-CTRL-006, AI-CTRL-008, AI-CTRL-009</t>
  </si>
  <si>
    <t xml:space="preserve">AI-R07, AI-R09, AI-R15, AI-R25, AI-R26</t>
  </si>
  <si>
    <t xml:space="preserve">Test cases under those controls: 56; Test cases that cite it: 53</t>
  </si>
  <si>
    <t xml:space="preserve">MEASURE 2.5</t>
  </si>
  <si>
    <t xml:space="preserve">AI-CTRL-028, AI-CTRL-039</t>
  </si>
  <si>
    <t xml:space="preserve">AI-R08, AI-R12, AI-R14, AI-R20</t>
  </si>
  <si>
    <t xml:space="preserve">Test cases under those controls: 29; Test cases that cite it: 10</t>
  </si>
  <si>
    <t xml:space="preserve">MEASURE 2.6</t>
  </si>
  <si>
    <t xml:space="preserve">Test cases under those controls: 46; Test cases that cite it: 27</t>
  </si>
  <si>
    <t xml:space="preserve">MEASURE 2.7</t>
  </si>
  <si>
    <t xml:space="preserve">AI-CTRL-005, AI-CTRL-015, AI-CTRL-016, AI-CTRL-017, AI-CTRL-018, AI-CTRL-019, AI-CTRL-020, AI-CTRL-021, AI-CTRL-022, AI-CTRL-026, AI-CTRL-027, AI-CTRL-028, AI-CTRL-029, AI-CTRL-030, AI-CTRL-032, AI-CTRL-033, AI-CTRL-034, AI-CTRL-036, AI-CTRL-040</t>
  </si>
  <si>
    <t xml:space="preserve">AI-R01, AI-R03, AI-R05, AI-R06, AI-R07, AI-R08, AI-R10, AI-R11, AI-R13, AI-R14, AI-R16, AI-R17, AI-R20, AI-R21, AI-R22, AI-R24, AI-R25, AI-R26</t>
  </si>
  <si>
    <t xml:space="preserve">Test cases under those controls: 392; Test cases that cite it: 228</t>
  </si>
  <si>
    <t xml:space="preserve">MEASURE 2.8</t>
  </si>
  <si>
    <t xml:space="preserve">AI-CTRL-008, AI-CTRL-015</t>
  </si>
  <si>
    <t xml:space="preserve">AI-R07, AI-R09, AI-R15, AI-R22, AI-R25, AI-R26</t>
  </si>
  <si>
    <t xml:space="preserve">Test cases under those controls: 63; Test cases that cite it: 1</t>
  </si>
  <si>
    <t xml:space="preserve">MEASURE 2.9</t>
  </si>
  <si>
    <t xml:space="preserve">MEASURE 2.10</t>
  </si>
  <si>
    <t xml:space="preserve">AI-CTRL-002, AI-CTRL-003, AI-CTRL-004, AI-CTRL-013, AI-CTRL-017, AI-CTRL-018, AI-CTRL-020, AI-CTRL-021, AI-CTRL-026, AI-CTRL-029</t>
  </si>
  <si>
    <t xml:space="preserve">AI-R01, AI-R03, AI-R04, AI-R05, AI-R06, AI-R07, AI-R08, AI-R10, AI-R17, AI-R21, AI-R22, AI-R24, AI-R26, AI-R27, AI-R28</t>
  </si>
  <si>
    <t xml:space="preserve">Test cases under those controls: 170; Test cases that cite it: 98</t>
  </si>
  <si>
    <t xml:space="preserve">MEASURE 2.11</t>
  </si>
  <si>
    <t xml:space="preserve">MEASURE 2.12</t>
  </si>
  <si>
    <t xml:space="preserve">MEASURE 2.13</t>
  </si>
  <si>
    <t xml:space="preserve">MEASURE 3.1</t>
  </si>
  <si>
    <t xml:space="preserve">Test cases under those controls: 22; Test cases that cite it: 0</t>
  </si>
  <si>
    <t xml:space="preserve">MEASURE 3.2</t>
  </si>
  <si>
    <t xml:space="preserve">MEASURE 3.3</t>
  </si>
  <si>
    <t xml:space="preserve">MEASURE 4.1</t>
  </si>
  <si>
    <t xml:space="preserve">MEASURE 4.2</t>
  </si>
  <si>
    <t xml:space="preserve">MEASURE 4.3</t>
  </si>
  <si>
    <t xml:space="preserve">Manage</t>
  </si>
  <si>
    <t xml:space="preserve">MANAGE 1.1</t>
  </si>
  <si>
    <t xml:space="preserve">MANAGE 1.2</t>
  </si>
  <si>
    <t xml:space="preserve">MANAGE 1.3</t>
  </si>
  <si>
    <t xml:space="preserve">AI-CTRL-005, AI-CTRL-010, AI-CTRL-016, AI-CTRL-022, AI-CTRL-027</t>
  </si>
  <si>
    <t xml:space="preserve">AI-R01, AI-R02, AI-R03, AI-R05, AI-R06, AI-R07, AI-R08, AI-R21, AI-R22, AI-R24, AI-R25</t>
  </si>
  <si>
    <t xml:space="preserve">Test cases under those controls: 149; Test cases that cite it: 4</t>
  </si>
  <si>
    <t xml:space="preserve">MANAGE 1.4</t>
  </si>
  <si>
    <t xml:space="preserve">MANAGE 2.1</t>
  </si>
  <si>
    <t xml:space="preserve">MANAGE 2.2</t>
  </si>
  <si>
    <t xml:space="preserve">MANAGE 2.3</t>
  </si>
  <si>
    <t xml:space="preserve">AI-CTRL-025, AI-CTRL-035, AI-CTRL-040</t>
  </si>
  <si>
    <t xml:space="preserve">AI-R07, AI-R09, AI-R11, AI-R13, AI-R16, AI-R20, AI-R21, AI-R25</t>
  </si>
  <si>
    <t xml:space="preserve">Test cases under those controls: 63; Test cases that cite it: 209</t>
  </si>
  <si>
    <t xml:space="preserve">MANAGE 2.4</t>
  </si>
  <si>
    <t xml:space="preserve">Test cases under those controls: 12; Test cases that cite it: 1</t>
  </si>
  <si>
    <t xml:space="preserve">MANAGE 3.1</t>
  </si>
  <si>
    <t xml:space="preserve">AI-CTRL-014, AI-CTRL-024, AI-CTRL-031</t>
  </si>
  <si>
    <t xml:space="preserve">AI-R07, AI-R08, AI-R10, AI-R16, AI-R23, AI-R24</t>
  </si>
  <si>
    <t xml:space="preserve">MANAGE 3.2</t>
  </si>
  <si>
    <t xml:space="preserve">Test cases under those controls: 24; Test cases that cite it: 0</t>
  </si>
  <si>
    <t xml:space="preserve">MANAGE 4.1</t>
  </si>
  <si>
    <t xml:space="preserve">AI-CTRL-002, AI-CTRL-003, AI-CTRL-004, AI-CTRL-008, AI-CTRL-009, AI-CTRL-036</t>
  </si>
  <si>
    <t xml:space="preserve">AI-R01, AI-R03, AI-R04, AI-R09, AI-R11, AI-R15, AI-R22, AI-R26, AI-R27</t>
  </si>
  <si>
    <t xml:space="preserve">Test cases under those controls: 111; Test cases that cite it: 186</t>
  </si>
  <si>
    <t xml:space="preserve">MANAGE 4.2</t>
  </si>
  <si>
    <t xml:space="preserve">MANAGE 4.3</t>
  </si>
  <si>
    <t xml:space="preserve">Test cases under those controls: 40; Test cases that cite it: 1</t>
  </si>
  <si>
    <t xml:space="preserve">AI 600-1 risks to wiki risks and controls</t>
  </si>
  <si>
    <t xml:space="preserve">CBRN Information or Capabilities</t>
  </si>
  <si>
    <t xml:space="preserve">Wiki risks: AI-R12; What the match covers: The wiki treats this as one kind of harmful output. It has no risk or test case specific to chemical, biological, radiological or nuclear content.</t>
  </si>
  <si>
    <t xml:space="preserve">https://nachi065.github.io/AI-Security-Wiki/23_Framework_Crosswalks/04_NIST_AI_600_1_GenAI_Profile_Crosswalk.html</t>
  </si>
  <si>
    <t xml:space="preserve">Confabulation</t>
  </si>
  <si>
    <t xml:space="preserve">AI-CTRL-039, AI-CTRL-045</t>
  </si>
  <si>
    <t xml:space="preserve">Wiki risks: AI-R12; What the match covers: Grounding, citation checks and factual accuracy measures, with human review of outputs.</t>
  </si>
  <si>
    <t xml:space="preserve">Dangerous, Violent, or Hateful Content</t>
  </si>
  <si>
    <t xml:space="preserve">AI-R12, AI-R20</t>
  </si>
  <si>
    <t xml:space="preserve">Wiki risks: AI-R12, AI-R20; What the match covers: Covered through harmful content filtering and adversarial testing. TC-L08-018 tests output filters for hate, violence and self-harm content among its categories.</t>
  </si>
  <si>
    <t xml:space="preserve">AI-CTRL-002, AI-CTRL-013, AI-CTRL-017, AI-CTRL-042</t>
  </si>
  <si>
    <t xml:space="preserve">AI-R03, AI-R06, AI-R10</t>
  </si>
  <si>
    <t xml:space="preserve">Wiki risks: AI-R03, AI-R06, AI-R10; What the match covers: Leakage through prompts and outputs, third-party processing and impact assessment.</t>
  </si>
  <si>
    <t xml:space="preserve">Wiki risks: AI-R35</t>
  </si>
  <si>
    <t xml:space="preserve">AI-CTRL-034, AI-CTRL-041</t>
  </si>
  <si>
    <t xml:space="preserve">AI-R14, AI-R32</t>
  </si>
  <si>
    <t xml:space="preserve">Wiki risks: AI-R14, AI-R32; What the match covers: Bias and performance gaps between groups are covered, and AI-R32 covers the same error repeated across the organization's own systems that share a model. Homogenization across society is not.</t>
  </si>
  <si>
    <t xml:space="preserve">AI-CTRL-023, AI-CTRL-044, AI-CTRL-045</t>
  </si>
  <si>
    <t xml:space="preserve">AI-R19, AI-R42</t>
  </si>
  <si>
    <t xml:space="preserve">Wiki risks: AI-R19, AI-R42; What the match covers: Over-reliance and automation bias are covered through oversight design and training, and AI-R42 covers anthropomorphism and emotional dependence.</t>
  </si>
  <si>
    <t xml:space="preserve">Information Integrity</t>
  </si>
  <si>
    <t xml:space="preserve">Wiki risks: AI-R12, AI-R20; What the match covers: The accuracy of an organization's own AI output is covered. Disinformation campaigns run by others with generative AI are outside the wiki's scope.</t>
  </si>
  <si>
    <t xml:space="preserve">AI-CTRL-005, AI-CTRL-028, AI-CTRL-032, AI-CTRL-034</t>
  </si>
  <si>
    <t xml:space="preserve">AI-R05, AI-R07, AI-R08, AI-R24</t>
  </si>
  <si>
    <t xml:space="preserve">Wiki risks: AI-R05, AI-R07, AI-R08, AI-R24; What the match covers: The attack surface of AI systems is the wiki's main subject. Attackers using generative AI to lower the cost of their own operations is discussed in AI for Security and AI-Enabled Threats and is not a register risk.</t>
  </si>
  <si>
    <t xml:space="preserve">AI-CTRL-012, AI-CTRL-046</t>
  </si>
  <si>
    <t xml:space="preserve">Wiki risks: AI-R27; What the match covers: Policy on inputs and outputs, vendor terms and training data provenance.</t>
  </si>
  <si>
    <t xml:space="preserve">Obscene, Degrading, and/or Abusive Content</t>
  </si>
  <si>
    <t xml:space="preserve">Wiki risks: AI-R12; What the match covers: Covered as harmful output. The wiki has no risk or test case specific to synthetic child sexual abuse material or non-consensual intimate images.</t>
  </si>
  <si>
    <t xml:space="preserve">Wiki risks: AI-R08, AI-R23; What the match covers: Vendor assurance, AI bill of materials, and governance of plugins and MCP servers.</t>
  </si>
  <si>
    <t xml:space="preserve">Annex A controls</t>
  </si>
  <si>
    <t xml:space="preserve">A.2.2</t>
  </si>
  <si>
    <t xml:space="preserve">AI policy</t>
  </si>
  <si>
    <t xml:space="preserve">Test cases under those controls: 34</t>
  </si>
  <si>
    <t xml:space="preserve">https://nachi065.github.io/AI-Security-Wiki/23_Framework_Crosswalks/05_ISO_IEC_42001_Crosswalk.html</t>
  </si>
  <si>
    <t xml:space="preserve">A.2.3</t>
  </si>
  <si>
    <t xml:space="preserve">Wiki controls: None; Test cases under those controls: 0</t>
  </si>
  <si>
    <t xml:space="preserve">A.2.4</t>
  </si>
  <si>
    <t xml:space="preserve">Review of the AI policy</t>
  </si>
  <si>
    <t xml:space="preserve">Test cases under those controls: 8</t>
  </si>
  <si>
    <t xml:space="preserve">A.3.2</t>
  </si>
  <si>
    <t xml:space="preserve">AI roles and responsibilities</t>
  </si>
  <si>
    <t xml:space="preserve">A.3.3</t>
  </si>
  <si>
    <t xml:space="preserve">Reporting of concerns</t>
  </si>
  <si>
    <t xml:space="preserve">Test cases under those controls: 40</t>
  </si>
  <si>
    <t xml:space="preserve">A.4.2</t>
  </si>
  <si>
    <t xml:space="preserve">Resource documentation</t>
  </si>
  <si>
    <t xml:space="preserve">AI-CTRL-001, AI-CTRL-006, AI-CTRL-011, AI-CTRL-031</t>
  </si>
  <si>
    <t xml:space="preserve">AI-R02, AI-R07, AI-R08, AI-R16, AI-R18, AI-R23, AI-R25</t>
  </si>
  <si>
    <t xml:space="preserve">Test cases under those controls: 86</t>
  </si>
  <si>
    <t xml:space="preserve">A.4.3</t>
  </si>
  <si>
    <t xml:space="preserve">Data resources</t>
  </si>
  <si>
    <t xml:space="preserve">Test cases under those controls: 36</t>
  </si>
  <si>
    <t xml:space="preserve">A.4.4</t>
  </si>
  <si>
    <t xml:space="preserve">Tooling resources</t>
  </si>
  <si>
    <t xml:space="preserve">AI-CTRL-004, AI-CTRL-024</t>
  </si>
  <si>
    <t xml:space="preserve">AI-R04, AI-R07, AI-R08, AI-R22, AI-R23, AI-R24</t>
  </si>
  <si>
    <t xml:space="preserve">Test cases under those controls: 32</t>
  </si>
  <si>
    <t xml:space="preserve">System and computing resources</t>
  </si>
  <si>
    <t xml:space="preserve">AI-CTRL-007, AI-CTRL-027, AI-CTRL-032, AI-CTRL-036, AI-CTRL-040</t>
  </si>
  <si>
    <t xml:space="preserve">AI-R07, AI-R08, AI-R10, AI-R11, AI-R13, AI-R16, AI-R21, AI-R22, AI-R25</t>
  </si>
  <si>
    <t xml:space="preserve">Test cases under those controls: 96</t>
  </si>
  <si>
    <t xml:space="preserve">A.4.6</t>
  </si>
  <si>
    <t xml:space="preserve">Human resources</t>
  </si>
  <si>
    <t xml:space="preserve">Test cases under those controls: 3</t>
  </si>
  <si>
    <t xml:space="preserve">A.5.2</t>
  </si>
  <si>
    <t xml:space="preserve">AI system impact assessment process</t>
  </si>
  <si>
    <t xml:space="preserve">AI-CTRL-011, AI-CTRL-013, AI-CTRL-033, AI-CTRL-042</t>
  </si>
  <si>
    <t xml:space="preserve">AI-R02, AI-R03, AI-R05, AI-R07, AI-R08, AI-R10, AI-R12, AI-R14, AI-R16, AI-R18, AI-R27, AI-R28</t>
  </si>
  <si>
    <t xml:space="preserve">Test cases under those controls: 67</t>
  </si>
  <si>
    <t xml:space="preserve">A.5.3</t>
  </si>
  <si>
    <t xml:space="preserve">Documentation of AI system impact assessments</t>
  </si>
  <si>
    <t xml:space="preserve">AI-CTRL-013, AI-CTRL-042</t>
  </si>
  <si>
    <t xml:space="preserve">AI-R03, AI-R10, AI-R12, AI-R27, AI-R28</t>
  </si>
  <si>
    <t xml:space="preserve">Test cases under those controls: 43</t>
  </si>
  <si>
    <t xml:space="preserve">A.5.4</t>
  </si>
  <si>
    <t xml:space="preserve">Assessing AI system impact on individuals or groups of individuals</t>
  </si>
  <si>
    <t xml:space="preserve">Test cases under those controls: 48</t>
  </si>
  <si>
    <t xml:space="preserve">A.5.5</t>
  </si>
  <si>
    <t xml:space="preserve">Assessing societal impacts of AI systems</t>
  </si>
  <si>
    <t xml:space="preserve">Test cases under those controls: 4</t>
  </si>
  <si>
    <t xml:space="preserve">A.6.1.2</t>
  </si>
  <si>
    <t xml:space="preserve">A.6.1.3</t>
  </si>
  <si>
    <t xml:space="preserve">A.6.2.2</t>
  </si>
  <si>
    <t xml:space="preserve">AI system requirements and specification</t>
  </si>
  <si>
    <t xml:space="preserve">AI-CTRL-022, AI-CTRL-033</t>
  </si>
  <si>
    <t xml:space="preserve">AI-R05, AI-R07, AI-R08, AI-R14, AI-R16, AI-R24</t>
  </si>
  <si>
    <t xml:space="preserve">Test cases under those controls: 25</t>
  </si>
  <si>
    <t xml:space="preserve">A.6.2.3</t>
  </si>
  <si>
    <t xml:space="preserve">Documentation of AI system design and development</t>
  </si>
  <si>
    <t xml:space="preserve">Test cases under those controls: 16</t>
  </si>
  <si>
    <t xml:space="preserve">A.6.2.4</t>
  </si>
  <si>
    <t xml:space="preserve">AI system verification and validation</t>
  </si>
  <si>
    <t xml:space="preserve">AI-CTRL-005, AI-CTRL-020, AI-CTRL-021, AI-CTRL-028, AI-CTRL-033, AI-CTRL-034, AI-CTRL-039, AI-CTRL-041</t>
  </si>
  <si>
    <t xml:space="preserve">AI-R03, AI-R05, AI-R06, AI-R07, AI-R08, AI-R12, AI-R14, AI-R15, AI-R16, AI-R17, AI-R20, AI-R24, AI-R26</t>
  </si>
  <si>
    <t xml:space="preserve">Test cases under those controls: 160</t>
  </si>
  <si>
    <t xml:space="preserve">A.6.2.5</t>
  </si>
  <si>
    <t xml:space="preserve">AI system deployment</t>
  </si>
  <si>
    <t xml:space="preserve">AI-CTRL-027, AI-CTRL-030, AI-CTRL-033</t>
  </si>
  <si>
    <t xml:space="preserve">AI-R05, AI-R07, AI-R08, AI-R14, AI-R16, AI-R21, AI-R22, AI-R25</t>
  </si>
  <si>
    <t xml:space="preserve">Test cases under those controls: 33</t>
  </si>
  <si>
    <t xml:space="preserve">A.6.2.6</t>
  </si>
  <si>
    <t xml:space="preserve">AI system operation and monitoring</t>
  </si>
  <si>
    <t xml:space="preserve">AI-CTRL-005, AI-CTRL-006, AI-CTRL-009, AI-CTRL-020, AI-CTRL-025, AI-CTRL-026, AI-CTRL-028, AI-CTRL-035, AI-CTRL-040</t>
  </si>
  <si>
    <t xml:space="preserve">AI-R05, AI-R06, AI-R07, AI-R08, AI-R09, AI-R11, AI-R13, AI-R16, AI-R20, AI-R21, AI-R24, AI-R25, AI-R26</t>
  </si>
  <si>
    <t xml:space="preserve">Test cases under those controls: 185</t>
  </si>
  <si>
    <t xml:space="preserve">A.6.2.7</t>
  </si>
  <si>
    <t xml:space="preserve">A.6.2.8</t>
  </si>
  <si>
    <t xml:space="preserve">AI system recording of event logs</t>
  </si>
  <si>
    <t xml:space="preserve">Test cases under those controls: 44</t>
  </si>
  <si>
    <t xml:space="preserve">A.7.2</t>
  </si>
  <si>
    <t xml:space="preserve">Data for development and enhancement of AI system</t>
  </si>
  <si>
    <t xml:space="preserve">Test cases under those controls: 18</t>
  </si>
  <si>
    <t xml:space="preserve">A.7.3</t>
  </si>
  <si>
    <t xml:space="preserve">Acquisition of data</t>
  </si>
  <si>
    <t xml:space="preserve">A.7.4</t>
  </si>
  <si>
    <t xml:space="preserve">Quality of data for AI systems</t>
  </si>
  <si>
    <t xml:space="preserve">A.7.5</t>
  </si>
  <si>
    <t xml:space="preserve">Data provenance</t>
  </si>
  <si>
    <t xml:space="preserve">AI-CTRL-019, AI-CTRL-029, AI-CTRL-031, AI-CTRL-046</t>
  </si>
  <si>
    <t xml:space="preserve">AI-R05, AI-R08, AI-R16, AI-R17, AI-R23, AI-R27</t>
  </si>
  <si>
    <t xml:space="preserve">Test cases under those controls: 59</t>
  </si>
  <si>
    <t xml:space="preserve">A.7.6</t>
  </si>
  <si>
    <t xml:space="preserve">Data preparation</t>
  </si>
  <si>
    <t xml:space="preserve">A.8.2</t>
  </si>
  <si>
    <t xml:space="preserve">System documentation and information for users</t>
  </si>
  <si>
    <t xml:space="preserve">AI-CTRL-039, AI-CTRL-041</t>
  </si>
  <si>
    <t xml:space="preserve">AI-R12, AI-R14, AI-R15, AI-R20</t>
  </si>
  <si>
    <t xml:space="preserve">Test cases under those controls: 15</t>
  </si>
  <si>
    <t xml:space="preserve">A.8.3</t>
  </si>
  <si>
    <t xml:space="preserve">External reporting</t>
  </si>
  <si>
    <t xml:space="preserve">AI-CTRL-035, AI-CTRL-043</t>
  </si>
  <si>
    <t xml:space="preserve">AI-R09, AI-R10, AI-R20</t>
  </si>
  <si>
    <t xml:space="preserve">Test cases under those controls: 42</t>
  </si>
  <si>
    <t xml:space="preserve">A.8.4</t>
  </si>
  <si>
    <t xml:space="preserve">Communication of incidents</t>
  </si>
  <si>
    <t xml:space="preserve">A.8.5</t>
  </si>
  <si>
    <t xml:space="preserve">Information for interested parties</t>
  </si>
  <si>
    <t xml:space="preserve">A.9.2</t>
  </si>
  <si>
    <t xml:space="preserve">Processes for responsible use of AI systems</t>
  </si>
  <si>
    <t xml:space="preserve">AI-CTRL-002, AI-CTRL-003, AI-CTRL-004, AI-CTRL-010, AI-CTRL-023, AI-CTRL-045</t>
  </si>
  <si>
    <t xml:space="preserve">AI-R01, AI-R02, AI-R03, AI-R04, AI-R07, AI-R12, AI-R14, AI-R18, AI-R19, AI-R22, AI-R27, AI-R28</t>
  </si>
  <si>
    <t xml:space="preserve">Test cases under those controls: 72</t>
  </si>
  <si>
    <t xml:space="preserve">A.9.3</t>
  </si>
  <si>
    <t xml:space="preserve">Objectives for responsible use of AI system</t>
  </si>
  <si>
    <t xml:space="preserve">Test cases under those controls: 9</t>
  </si>
  <si>
    <t xml:space="preserve">A.9.4</t>
  </si>
  <si>
    <t xml:space="preserve">Intended use of the AI system</t>
  </si>
  <si>
    <t xml:space="preserve">Test cases under those controls: 19</t>
  </si>
  <si>
    <t xml:space="preserve">A.10.2</t>
  </si>
  <si>
    <t xml:space="preserve">Allocating responsibilities</t>
  </si>
  <si>
    <t xml:space="preserve">A.10.3</t>
  </si>
  <si>
    <t xml:space="preserve">Suppliers</t>
  </si>
  <si>
    <t xml:space="preserve">AI-CTRL-007, AI-CTRL-014, AI-CTRL-024, AI-CTRL-031, AI-CTRL-046</t>
  </si>
  <si>
    <t xml:space="preserve">Test cases under those controls: 80</t>
  </si>
  <si>
    <t xml:space="preserve">A.10.4</t>
  </si>
  <si>
    <t xml:space="preserve">Management system clauses</t>
  </si>
  <si>
    <t xml:space="preserve">Understanding the needs and expectations of interested parties</t>
  </si>
  <si>
    <t xml:space="preserve">Clause 6.1.2</t>
  </si>
  <si>
    <t xml:space="preserve">AI risk assessment</t>
  </si>
  <si>
    <t xml:space="preserve">Test cases under those controls: 10</t>
  </si>
  <si>
    <t xml:space="preserve">Clause 6.1.3</t>
  </si>
  <si>
    <t xml:space="preserve">AI risk treatment</t>
  </si>
  <si>
    <t xml:space="preserve">Clause 7.2</t>
  </si>
  <si>
    <t xml:space="preserve">Competence</t>
  </si>
  <si>
    <t xml:space="preserve">Clause 7.3</t>
  </si>
  <si>
    <t xml:space="preserve">Awareness</t>
  </si>
  <si>
    <t xml:space="preserve">Clause 9.1</t>
  </si>
  <si>
    <t xml:space="preserve">Monitoring, measurement, analysis and evaluation</t>
  </si>
  <si>
    <t xml:space="preserve">Test cases under those controls: 17</t>
  </si>
  <si>
    <t xml:space="preserve">Internal audit</t>
  </si>
  <si>
    <t xml:space="preserve">Clause 9.3</t>
  </si>
  <si>
    <t xml:space="preserve">Management review</t>
  </si>
  <si>
    <t xml:space="preserve">Clause 10.2</t>
  </si>
  <si>
    <t xml:space="preserve">Nonconformity and corrective action</t>
  </si>
  <si>
    <t xml:space="preserve">Top 10 for LLM Applications 2025</t>
  </si>
  <si>
    <t xml:space="preserve">LLM01:2025</t>
  </si>
  <si>
    <t xml:space="preserve">AI-CTRL-005, AI-CTRL-021, AI-CTRL-026, AI-CTRL-034</t>
  </si>
  <si>
    <t xml:space="preserve">AI-R03, AI-R05, AI-R06, AI-R07, AI-R16, AI-R17, AI-R20, AI-R21, AI-R24</t>
  </si>
  <si>
    <t xml:space="preserve">Test cases under those controls: 118; Test cases that cite it: 66</t>
  </si>
  <si>
    <t xml:space="preserve">https://nachi065.github.io/AI-Security-Wiki/23_Framework_Crosswalks/06_OWASP_Top_10_Crosswalk.html</t>
  </si>
  <si>
    <t xml:space="preserve">Sensitive Information Disclosure</t>
  </si>
  <si>
    <t xml:space="preserve">AI-CTRL-002, AI-CTRL-003, AI-CTRL-004, AI-CTRL-010, AI-CTRL-013, AI-CTRL-017, AI-CTRL-018, AI-CTRL-020, AI-CTRL-021, AI-CTRL-028, AI-CTRL-034</t>
  </si>
  <si>
    <t xml:space="preserve">AI-R01, AI-R02, AI-R03, AI-R04, AI-R05, AI-R06, AI-R07, AI-R08, AI-R10, AI-R16, AI-R17, AI-R20, AI-R22, AI-R24, AI-R26, AI-R27, AI-R28</t>
  </si>
  <si>
    <t xml:space="preserve">Test cases under those controls: 228; Test cases that cite it: 94</t>
  </si>
  <si>
    <t xml:space="preserve">Supply Chain</t>
  </si>
  <si>
    <t xml:space="preserve">AI-CTRL-001, AI-CTRL-004, AI-CTRL-014, AI-CTRL-024, AI-CTRL-030, AI-CTRL-031, AI-CTRL-032, AI-CTRL-034</t>
  </si>
  <si>
    <t xml:space="preserve">AI-R02, AI-R04, AI-R05, AI-R07, AI-R08, AI-R10, AI-R16, AI-R17, AI-R20, AI-R22, AI-R23, AI-R24</t>
  </si>
  <si>
    <t xml:space="preserve">Test cases under those controls: 180; Test cases that cite it: 80</t>
  </si>
  <si>
    <t xml:space="preserve">LLM04:2025</t>
  </si>
  <si>
    <t xml:space="preserve">Data and Model Poisoning</t>
  </si>
  <si>
    <t xml:space="preserve">AI-CTRL-019, AI-CTRL-026, AI-CTRL-029, AI-CTRL-030, AI-CTRL-034</t>
  </si>
  <si>
    <t xml:space="preserve">AI-R05, AI-R07, AI-R08, AI-R16, AI-R17, AI-R20, AI-R21</t>
  </si>
  <si>
    <t xml:space="preserve">Test cases under those controls: 91; Test cases that cite it: 15</t>
  </si>
  <si>
    <t xml:space="preserve">LLM05:2025</t>
  </si>
  <si>
    <t xml:space="preserve">Improper Output Handling</t>
  </si>
  <si>
    <t xml:space="preserve">AI-CTRL-020, AI-CTRL-034</t>
  </si>
  <si>
    <t xml:space="preserve">AI-R05, AI-R06, AI-R07, AI-R16, AI-R17, AI-R20, AI-R24, AI-R26</t>
  </si>
  <si>
    <t xml:space="preserve">Test cases under those controls: 50; Test cases that cite it: 8</t>
  </si>
  <si>
    <t xml:space="preserve">Excessive Agency</t>
  </si>
  <si>
    <t xml:space="preserve">AI-CTRL-006, AI-CTRL-015, AI-CTRL-016, AI-CTRL-022, AI-CTRL-023, AI-CTRL-025, AI-CTRL-027, AI-CTRL-034, AI-CTRL-045</t>
  </si>
  <si>
    <t xml:space="preserve">AI-R05, AI-R06, AI-R07, AI-R08, AI-R11, AI-R12, AI-R14, AI-R16, AI-R17, AI-R18, AI-R19, AI-R20, AI-R21, AI-R22, AI-R24, AI-R25, AI-R28</t>
  </si>
  <si>
    <t xml:space="preserve">Test cases under those controls: 177; Test cases that cite it: 87</t>
  </si>
  <si>
    <t xml:space="preserve">LLM07:2025</t>
  </si>
  <si>
    <t xml:space="preserve">System Prompt Leakage</t>
  </si>
  <si>
    <t xml:space="preserve">AI-CTRL-005, AI-CTRL-034</t>
  </si>
  <si>
    <t xml:space="preserve">AI-R05, AI-R06, AI-R07, AI-R16, AI-R17, AI-R20, AI-R24</t>
  </si>
  <si>
    <t xml:space="preserve">Test cases under those controls: 88; Test cases that cite it: 3</t>
  </si>
  <si>
    <t xml:space="preserve">LLM08:2025</t>
  </si>
  <si>
    <t xml:space="preserve">Vector and Embedding Weaknesses</t>
  </si>
  <si>
    <t xml:space="preserve">AI-CTRL-018, AI-CTRL-019, AI-CTRL-034</t>
  </si>
  <si>
    <t xml:space="preserve">AI-R05, AI-R06, AI-R07, AI-R08, AI-R16, AI-R17, AI-R20</t>
  </si>
  <si>
    <t xml:space="preserve">Test cases under those controls: 61; Test cases that cite it: 6</t>
  </si>
  <si>
    <t xml:space="preserve">LLM09:2025</t>
  </si>
  <si>
    <t xml:space="preserve">Misinformation</t>
  </si>
  <si>
    <t xml:space="preserve">Test cases under those controls: 46; Test cases that cite it: 9</t>
  </si>
  <si>
    <t xml:space="preserve">Unbounded Consumption</t>
  </si>
  <si>
    <t xml:space="preserve">AI-CTRL-028, AI-CTRL-034, AI-CTRL-036</t>
  </si>
  <si>
    <t xml:space="preserve">AI-R05, AI-R07, AI-R08, AI-R11, AI-R16, AI-R17, AI-R20</t>
  </si>
  <si>
    <t xml:space="preserve">Test cases under those controls: 86; Test cases that cite it: 23</t>
  </si>
  <si>
    <t xml:space="preserve">Top 10 for Agentic Applications</t>
  </si>
  <si>
    <t xml:space="preserve">ASI01</t>
  </si>
  <si>
    <t xml:space="preserve">Agent Goal Hijack</t>
  </si>
  <si>
    <t xml:space="preserve">Test cases under those controls: 52; Test cases that cite it: 0</t>
  </si>
  <si>
    <t xml:space="preserve">ASI02</t>
  </si>
  <si>
    <t xml:space="preserve">Tool Misuse &amp; Exploitation</t>
  </si>
  <si>
    <t xml:space="preserve">AI-CTRL-022, AI-CTRL-024</t>
  </si>
  <si>
    <t xml:space="preserve">Test cases under those controls: 33; Test cases that cite it: 0</t>
  </si>
  <si>
    <t xml:space="preserve">ASI03</t>
  </si>
  <si>
    <t xml:space="preserve">Identity &amp; Privilege Abuse</t>
  </si>
  <si>
    <t xml:space="preserve">Test cases under those controls: 91; Test cases that cite it: 0</t>
  </si>
  <si>
    <t xml:space="preserve">ASI04</t>
  </si>
  <si>
    <t xml:space="preserve">Agentic Supply Chain Vulnerabilities</t>
  </si>
  <si>
    <t xml:space="preserve">Test cases under those controls: 16; Test cases that cite it: 0</t>
  </si>
  <si>
    <t xml:space="preserve">ASI05</t>
  </si>
  <si>
    <t xml:space="preserve">Unexpected Code Execution (RCE)</t>
  </si>
  <si>
    <t xml:space="preserve">Test cases under those controls: 11; Test cases that cite it: 0</t>
  </si>
  <si>
    <t xml:space="preserve">ASI06</t>
  </si>
  <si>
    <t xml:space="preserve">Memory &amp; Context Poisoning</t>
  </si>
  <si>
    <t xml:space="preserve">ASI07</t>
  </si>
  <si>
    <t xml:space="preserve">Insecure Inter-Agent Communication</t>
  </si>
  <si>
    <t xml:space="preserve">AI-CTRL-006, AI-CTRL-015</t>
  </si>
  <si>
    <t xml:space="preserve">Test cases under those controls: 56; Test cases that cite it: 13</t>
  </si>
  <si>
    <t xml:space="preserve">ASI08</t>
  </si>
  <si>
    <t xml:space="preserve">Cascading Failures</t>
  </si>
  <si>
    <t xml:space="preserve">Test cases under those controls: 12; Test cases that cite it: 0</t>
  </si>
  <si>
    <t xml:space="preserve">Human-Agent Trust Exploitation</t>
  </si>
  <si>
    <t xml:space="preserve">ASI10</t>
  </si>
  <si>
    <t xml:space="preserve">Rogue Agents</t>
  </si>
  <si>
    <t xml:space="preserve">AI-CTRL-006, AI-CTRL-025</t>
  </si>
  <si>
    <t xml:space="preserve">Test cases under those controls: 27; Test cases that cite it: 0</t>
  </si>
  <si>
    <t xml:space="preserve">Techniques</t>
  </si>
  <si>
    <t xml:space="preserve">AML.T0010</t>
  </si>
  <si>
    <t xml:space="preserve">AI Supply Chain Compromise</t>
  </si>
  <si>
    <t xml:space="preserve">AI-CTRL-014, AI-CTRL-024, AI-CTRL-030, AI-CTRL-031</t>
  </si>
  <si>
    <t xml:space="preserve">Test cases under those controls: 79; Test cases that cite it: 36</t>
  </si>
  <si>
    <t xml:space="preserve">https://nachi065.github.io/AI-Security-Wiki/23_Framework_Crosswalks/07_MITRE_ATLAS_Crosswalk.html</t>
  </si>
  <si>
    <t xml:space="preserve">AML.T0012</t>
  </si>
  <si>
    <t xml:space="preserve">Valid Accounts</t>
  </si>
  <si>
    <t xml:space="preserve">Test cases under those controls: 91; Test cases that cite it: 41</t>
  </si>
  <si>
    <t xml:space="preserve">AML.T0015</t>
  </si>
  <si>
    <t xml:space="preserve">Evade AI Model</t>
  </si>
  <si>
    <t xml:space="preserve">Test cases under those controls: 20; Test cases that cite it: 0</t>
  </si>
  <si>
    <t xml:space="preserve">AML.T0018</t>
  </si>
  <si>
    <t xml:space="preserve">Manipulate AI Model</t>
  </si>
  <si>
    <t xml:space="preserve">AI-CTRL-028, AI-CTRL-030</t>
  </si>
  <si>
    <t xml:space="preserve">Test cases under those controls: 35; Test cases that cite it: 0</t>
  </si>
  <si>
    <t xml:space="preserve">AML.T0020</t>
  </si>
  <si>
    <t xml:space="preserve">Training Data Poisoning</t>
  </si>
  <si>
    <t xml:space="preserve">Test cases under those controls: 18; Test cases that cite it: 15</t>
  </si>
  <si>
    <t xml:space="preserve">AML.T0024</t>
  </si>
  <si>
    <t xml:space="preserve">Exfiltration via AI Inference API</t>
  </si>
  <si>
    <t xml:space="preserve">Test cases under those controls: 20; Test cases that cite it: 7</t>
  </si>
  <si>
    <t xml:space="preserve">AML.T0025</t>
  </si>
  <si>
    <t xml:space="preserve">Exfiltration via Cyber Means</t>
  </si>
  <si>
    <t xml:space="preserve">Test cases under those controls: 61; Test cases that cite it: 4</t>
  </si>
  <si>
    <t xml:space="preserve">Denial of AI Service</t>
  </si>
  <si>
    <t xml:space="preserve">Test cases under those controls: 44; Test cases that cite it: 18</t>
  </si>
  <si>
    <t xml:space="preserve">AML.T0034</t>
  </si>
  <si>
    <t xml:space="preserve">Cost Harvesting</t>
  </si>
  <si>
    <t xml:space="preserve">Test cases under those controls: 40; Test cases that cite it: 18</t>
  </si>
  <si>
    <t xml:space="preserve">AML.T0043</t>
  </si>
  <si>
    <t xml:space="preserve">Craft Adversarial Data</t>
  </si>
  <si>
    <t xml:space="preserve">Test cases under those controls: 20; Test cases that cite it: 4</t>
  </si>
  <si>
    <t xml:space="preserve">AML.T0044</t>
  </si>
  <si>
    <t xml:space="preserve">Full AI Model Access</t>
  </si>
  <si>
    <t xml:space="preserve">Test cases under those controls: 20; Test cases that cite it: 2</t>
  </si>
  <si>
    <t xml:space="preserve">AML.T0046</t>
  </si>
  <si>
    <t xml:space="preserve">Spamming AI System with Chaff Data</t>
  </si>
  <si>
    <t xml:space="preserve">Test cases under those controls: 30; Test cases that cite it: 0</t>
  </si>
  <si>
    <t xml:space="preserve">AML.T0048</t>
  </si>
  <si>
    <t xml:space="preserve">External Harms</t>
  </si>
  <si>
    <t xml:space="preserve">AML.T0049</t>
  </si>
  <si>
    <t xml:space="preserve">Exploit Public-Facing Application</t>
  </si>
  <si>
    <t xml:space="preserve">Test cases under those controls: 27; Test cases that cite it: 12</t>
  </si>
  <si>
    <t xml:space="preserve">AML.T0050</t>
  </si>
  <si>
    <t xml:space="preserve">Command and Scripting Interpreter</t>
  </si>
  <si>
    <t xml:space="preserve">Test cases under those controls: 11; Test cases that cite it: 6</t>
  </si>
  <si>
    <t xml:space="preserve">AML.T0051</t>
  </si>
  <si>
    <t xml:space="preserve">LLM Prompt Injection</t>
  </si>
  <si>
    <t xml:space="preserve">AI-CTRL-005, AI-CTRL-021</t>
  </si>
  <si>
    <t xml:space="preserve">AI-R03, AI-R05, AI-R06, AI-R24</t>
  </si>
  <si>
    <t xml:space="preserve">Test cases under those controls: 74; Test cases that cite it: 37</t>
  </si>
  <si>
    <t xml:space="preserve">AML.T0053</t>
  </si>
  <si>
    <t xml:space="preserve">AI Agent Tool Invocation</t>
  </si>
  <si>
    <t xml:space="preserve">AI-CTRL-022, AI-CTRL-023, AI-CTRL-025</t>
  </si>
  <si>
    <t xml:space="preserve">AI-R07, AI-R11, AI-R19, AI-R21, AI-R24, AI-R25</t>
  </si>
  <si>
    <t xml:space="preserve">Test cases under those controls: 35; Test cases that cite it: 35</t>
  </si>
  <si>
    <t xml:space="preserve">AML.T0054</t>
  </si>
  <si>
    <t xml:space="preserve">LLM Jailbreak</t>
  </si>
  <si>
    <t xml:space="preserve">Test cases under those controls: 52; Test cases that cite it: 15</t>
  </si>
  <si>
    <t xml:space="preserve">AML.T0055</t>
  </si>
  <si>
    <t xml:space="preserve">Unsecured Credentials</t>
  </si>
  <si>
    <t xml:space="preserve">AI-CTRL-004, AI-CTRL-016, AI-CTRL-032</t>
  </si>
  <si>
    <t xml:space="preserve">AI-R04, AI-R06, AI-R07, AI-R08, AI-R10, AI-R22</t>
  </si>
  <si>
    <t xml:space="preserve">Test cases under those controls: 93; Test cases that cite it: 10</t>
  </si>
  <si>
    <t xml:space="preserve">AML.T0056</t>
  </si>
  <si>
    <t xml:space="preserve">Extract LLM System Prompt</t>
  </si>
  <si>
    <t xml:space="preserve">Test cases under those controls: 52; Test cases that cite it: 3</t>
  </si>
  <si>
    <t xml:space="preserve">LLM Data Leakage</t>
  </si>
  <si>
    <t xml:space="preserve">AI-CTRL-002, AI-CTRL-003, AI-CTRL-004, AI-CTRL-010, AI-CTRL-013, AI-CTRL-017, AI-CTRL-018, AI-CTRL-020</t>
  </si>
  <si>
    <t xml:space="preserve">AI-R01, AI-R02, AI-R03, AI-R04, AI-R05, AI-R06, AI-R10, AI-R17, AI-R22, AI-R24, AI-R26, AI-R27, AI-R28</t>
  </si>
  <si>
    <t xml:space="preserve">Test cases under those controls: 159; Test cases that cite it: 73</t>
  </si>
  <si>
    <t xml:space="preserve">AML.T0059</t>
  </si>
  <si>
    <t xml:space="preserve">Erode Dataset Integrity</t>
  </si>
  <si>
    <t xml:space="preserve">Test cases under those controls: 18; Test cases that cite it: 0</t>
  </si>
  <si>
    <t xml:space="preserve">AML.T0060</t>
  </si>
  <si>
    <t xml:space="preserve">Publish Hallucinated Entities</t>
  </si>
  <si>
    <t xml:space="preserve">AML.T0062</t>
  </si>
  <si>
    <t xml:space="preserve">Discover LLM Hallucinations</t>
  </si>
  <si>
    <t xml:space="preserve">AML.T0064</t>
  </si>
  <si>
    <t xml:space="preserve">Gather RAG-Indexed Targets</t>
  </si>
  <si>
    <t xml:space="preserve">AML.T0066</t>
  </si>
  <si>
    <t xml:space="preserve">Retrieval Content Crafting</t>
  </si>
  <si>
    <t xml:space="preserve">Test cases under those controls: 15; Test cases that cite it: 0</t>
  </si>
  <si>
    <t xml:space="preserve">AML.T0067</t>
  </si>
  <si>
    <t xml:space="preserve">LLM Trusted Output Components Manipulation</t>
  </si>
  <si>
    <t xml:space="preserve">Test cases under those controls: 13; Test cases that cite it: 0</t>
  </si>
  <si>
    <t xml:space="preserve">AML.T0068</t>
  </si>
  <si>
    <t xml:space="preserve">LLM Prompt Obfuscation</t>
  </si>
  <si>
    <t xml:space="preserve">AML.T0070</t>
  </si>
  <si>
    <t xml:space="preserve">RAG Poisoning</t>
  </si>
  <si>
    <t xml:space="preserve">AML.T0071</t>
  </si>
  <si>
    <t xml:space="preserve">False RAG Entry Injection</t>
  </si>
  <si>
    <t xml:space="preserve">AML.T0073</t>
  </si>
  <si>
    <t xml:space="preserve">Impersonation</t>
  </si>
  <si>
    <t xml:space="preserve">Test cases under those controls: 44; Test cases that cite it: 1</t>
  </si>
  <si>
    <t xml:space="preserve">AML.T0077</t>
  </si>
  <si>
    <t xml:space="preserve">LLM Response Rendering</t>
  </si>
  <si>
    <t xml:space="preserve">AML.T0080</t>
  </si>
  <si>
    <t xml:space="preserve">AI Agent Context Poisoning</t>
  </si>
  <si>
    <t xml:space="preserve">AML.T0081</t>
  </si>
  <si>
    <t xml:space="preserve">Modify AI Agent Configuration</t>
  </si>
  <si>
    <t xml:space="preserve">Test cases under those controls: 15; Test cases that cite it: 1</t>
  </si>
  <si>
    <t xml:space="preserve">AML.T0082</t>
  </si>
  <si>
    <t xml:space="preserve">RAG Credential Harvesting</t>
  </si>
  <si>
    <t xml:space="preserve">AML.T0083</t>
  </si>
  <si>
    <t xml:space="preserve">Credentials from AI Agent Configuration</t>
  </si>
  <si>
    <t xml:space="preserve">Test cases under those controls: 51; Test cases that cite it: 0</t>
  </si>
  <si>
    <t xml:space="preserve">AML.T0085</t>
  </si>
  <si>
    <t xml:space="preserve">Data from AI Services</t>
  </si>
  <si>
    <t xml:space="preserve">AI-CTRL-017, AI-CTRL-018</t>
  </si>
  <si>
    <t xml:space="preserve">Test cases under those controls: 45; Test cases that cite it: 0</t>
  </si>
  <si>
    <t xml:space="preserve">AML.T0086</t>
  </si>
  <si>
    <t xml:space="preserve">Exfiltration via AI Agent Tool Invocation</t>
  </si>
  <si>
    <t xml:space="preserve">AML.T0088</t>
  </si>
  <si>
    <t xml:space="preserve">Generate Deepfakes</t>
  </si>
  <si>
    <t xml:space="preserve">Test cases under those controls: 28; Test cases that cite it: 0</t>
  </si>
  <si>
    <t xml:space="preserve">AML.T0091</t>
  </si>
  <si>
    <t xml:space="preserve">Use Alternate Authentication Material</t>
  </si>
  <si>
    <t xml:space="preserve">Test cases under those controls: 44; Test cases that cite it: 0</t>
  </si>
  <si>
    <t xml:space="preserve">AML.T0092</t>
  </si>
  <si>
    <t xml:space="preserve">Manipulate User LLM Chat History</t>
  </si>
  <si>
    <t xml:space="preserve">AML.T0093</t>
  </si>
  <si>
    <t xml:space="preserve">Prompt Infiltration via Public-Facing Application</t>
  </si>
  <si>
    <t xml:space="preserve">AML.T0094</t>
  </si>
  <si>
    <t xml:space="preserve">Delay Execution of LLM Instructions</t>
  </si>
  <si>
    <t xml:space="preserve">AML.T0098</t>
  </si>
  <si>
    <t xml:space="preserve">AI Agent Tool Credential Harvesting</t>
  </si>
  <si>
    <t xml:space="preserve">AML.T0099</t>
  </si>
  <si>
    <t xml:space="preserve">AI Agent Tool Data Poisoning</t>
  </si>
  <si>
    <t xml:space="preserve">AML.T0101</t>
  </si>
  <si>
    <t xml:space="preserve">Data Destruction via AI Agent Tool Invocation</t>
  </si>
  <si>
    <t xml:space="preserve">AI-CTRL-022, AI-CTRL-023</t>
  </si>
  <si>
    <t xml:space="preserve">AI-R07, AI-R19, AI-R24</t>
  </si>
  <si>
    <t xml:space="preserve">AML.T0102</t>
  </si>
  <si>
    <t xml:space="preserve">Generate Malicious Commands</t>
  </si>
  <si>
    <t xml:space="preserve">AML.T0105</t>
  </si>
  <si>
    <t xml:space="preserve">Escape to Host</t>
  </si>
  <si>
    <t xml:space="preserve">AML.T0109</t>
  </si>
  <si>
    <t xml:space="preserve">AI Supply Chain Rug Pull</t>
  </si>
  <si>
    <t xml:space="preserve">Test cases under those controls: 63; Test cases that cite it: 0</t>
  </si>
  <si>
    <t xml:space="preserve">AML.T0110</t>
  </si>
  <si>
    <t xml:space="preserve">AI Agent Tool Poisoning</t>
  </si>
  <si>
    <t xml:space="preserve">AML.T0111</t>
  </si>
  <si>
    <t xml:space="preserve">AI Supply Chain Reputation Inflation</t>
  </si>
  <si>
    <t xml:space="preserve">AML.T0115</t>
  </si>
  <si>
    <t xml:space="preserve">Publish Poisoned AI Artifacts</t>
  </si>
  <si>
    <t xml:space="preserve">AML.T0119</t>
  </si>
  <si>
    <t xml:space="preserve">Exploit Automated Artifact Processing Pipeline</t>
  </si>
  <si>
    <t xml:space="preserve">AML.T0129</t>
  </si>
  <si>
    <t xml:space="preserve">Triggers in Multimodal Inputs</t>
  </si>
  <si>
    <t xml:space="preserve">AML.T0132</t>
  </si>
  <si>
    <t xml:space="preserve">Misconfigured or Publicly Exposed AI Services</t>
  </si>
  <si>
    <t xml:space="preserve">Mitigations</t>
  </si>
  <si>
    <t xml:space="preserve">AML.M0003</t>
  </si>
  <si>
    <t xml:space="preserve">Predictive AI Model Hardening</t>
  </si>
  <si>
    <t xml:space="preserve">Test cases under those controls: 20</t>
  </si>
  <si>
    <t xml:space="preserve">AML.M0004</t>
  </si>
  <si>
    <t xml:space="preserve">Limit AI Service Query Volume and Rate</t>
  </si>
  <si>
    <t xml:space="preserve">AI-CTRL-028, AI-CTRL-036</t>
  </si>
  <si>
    <t xml:space="preserve">AI-R08, AI-R11</t>
  </si>
  <si>
    <t xml:space="preserve">Test cases under those controls: 49</t>
  </si>
  <si>
    <t xml:space="preserve">AML.M0005</t>
  </si>
  <si>
    <t xml:space="preserve">Control Access to AI Models and Data at Rest</t>
  </si>
  <si>
    <t xml:space="preserve">AI-CTRL-017, AI-CTRL-028, AI-CTRL-032</t>
  </si>
  <si>
    <t xml:space="preserve">Test cases under those controls: 79</t>
  </si>
  <si>
    <t xml:space="preserve">AML.M0007</t>
  </si>
  <si>
    <t xml:space="preserve">Sanitize Training Data</t>
  </si>
  <si>
    <t xml:space="preserve">AML.M0008</t>
  </si>
  <si>
    <t xml:space="preserve">Validate AI Model</t>
  </si>
  <si>
    <t xml:space="preserve">AML.M0011</t>
  </si>
  <si>
    <t xml:space="preserve">Restrict Library Loading</t>
  </si>
  <si>
    <t xml:space="preserve">Test cases under those controls: 11</t>
  </si>
  <si>
    <t xml:space="preserve">AML.M0012</t>
  </si>
  <si>
    <t xml:space="preserve">Encrypt Sensitive Information</t>
  </si>
  <si>
    <t xml:space="preserve">Test cases under those controls: 61</t>
  </si>
  <si>
    <t xml:space="preserve">AML.M0013</t>
  </si>
  <si>
    <t xml:space="preserve">Code Signing</t>
  </si>
  <si>
    <t xml:space="preserve">AML.M0014</t>
  </si>
  <si>
    <t xml:space="preserve">Verify AI Artifacts</t>
  </si>
  <si>
    <t xml:space="preserve">AI-CTRL-024, AI-CTRL-030, AI-CTRL-031</t>
  </si>
  <si>
    <t xml:space="preserve">Test cases under those controls: 55</t>
  </si>
  <si>
    <t xml:space="preserve">AML.M0015</t>
  </si>
  <si>
    <t xml:space="preserve">Predictive AI Adversarial Input Detection</t>
  </si>
  <si>
    <t xml:space="preserve">AML.M0016</t>
  </si>
  <si>
    <t xml:space="preserve">Vulnerability Scanning</t>
  </si>
  <si>
    <t xml:space="preserve">AI-CTRL-031, AI-CTRL-032</t>
  </si>
  <si>
    <t xml:space="preserve">AI-R08, AI-R10, AI-R16, AI-R23</t>
  </si>
  <si>
    <t xml:space="preserve">Test cases under those controls: 50</t>
  </si>
  <si>
    <t xml:space="preserve">AML.M0018</t>
  </si>
  <si>
    <t xml:space="preserve">User Training</t>
  </si>
  <si>
    <t xml:space="preserve">AML.M0019</t>
  </si>
  <si>
    <t xml:space="preserve">Control Access to AI Models and Data in Production</t>
  </si>
  <si>
    <t xml:space="preserve">AI-CTRL-015, AI-CTRL-018, AI-CTRL-032</t>
  </si>
  <si>
    <t xml:space="preserve">AI-R06, AI-R07, AI-R08, AI-R10, AI-R22, AI-R25</t>
  </si>
  <si>
    <t xml:space="preserve">AML.M0020</t>
  </si>
  <si>
    <t xml:space="preserve">Generative AI Guardrails</t>
  </si>
  <si>
    <t xml:space="preserve">AI-CTRL-002, AI-CTRL-003, AI-CTRL-005, AI-CTRL-010, AI-CTRL-020, AI-CTRL-021, AI-CTRL-039</t>
  </si>
  <si>
    <t xml:space="preserve">AI-R01, AI-R02, AI-R03, AI-R05, AI-R06, AI-R12, AI-R14, AI-R20, AI-R24, AI-R26, AI-R27</t>
  </si>
  <si>
    <t xml:space="preserve">Test cases under those controls: 136</t>
  </si>
  <si>
    <t xml:space="preserve">AML.M0021</t>
  </si>
  <si>
    <t xml:space="preserve">Generative AI Guidelines</t>
  </si>
  <si>
    <t xml:space="preserve">Test cases under those controls: 52</t>
  </si>
  <si>
    <t xml:space="preserve">AML.M0022</t>
  </si>
  <si>
    <t xml:space="preserve">Generative AI Model Alignment</t>
  </si>
  <si>
    <t xml:space="preserve">AML.M0023</t>
  </si>
  <si>
    <t xml:space="preserve">AI Bill of Materials</t>
  </si>
  <si>
    <t xml:space="preserve">Test cases under those controls: 24</t>
  </si>
  <si>
    <t xml:space="preserve">AI Telemetry Logging</t>
  </si>
  <si>
    <t xml:space="preserve">AI-CTRL-006, AI-CTRL-008, AI-CTRL-009, AI-CTRL-035</t>
  </si>
  <si>
    <t xml:space="preserve">AI-R07, AI-R09, AI-R15, AI-R20, AI-R25, AI-R26</t>
  </si>
  <si>
    <t xml:space="preserve">Test cases under those controls: 92</t>
  </si>
  <si>
    <t xml:space="preserve">AML.M0025</t>
  </si>
  <si>
    <t xml:space="preserve">Maintain AI Dataset Provenance</t>
  </si>
  <si>
    <t xml:space="preserve">AML.M0026</t>
  </si>
  <si>
    <t xml:space="preserve">Privileged AI Agent Permissions Configuration</t>
  </si>
  <si>
    <t xml:space="preserve">Test cases under those controls: 51</t>
  </si>
  <si>
    <t xml:space="preserve">AML.M0027</t>
  </si>
  <si>
    <t xml:space="preserve">Single-User AI Agent Permissions Configuration</t>
  </si>
  <si>
    <t xml:space="preserve">AML.M0028</t>
  </si>
  <si>
    <t xml:space="preserve">AI Agent Tools Permissions Configuration</t>
  </si>
  <si>
    <t xml:space="preserve">AI-CTRL-016, AI-CTRL-022, AI-CTRL-024</t>
  </si>
  <si>
    <t xml:space="preserve">AI-R06, AI-R07, AI-R08, AI-R22, AI-R23, AI-R24</t>
  </si>
  <si>
    <t xml:space="preserve">Test cases under those controls: 77</t>
  </si>
  <si>
    <t xml:space="preserve">AML.M0029</t>
  </si>
  <si>
    <t xml:space="preserve">Human In-the-Loop for AI Agent Actions</t>
  </si>
  <si>
    <t xml:space="preserve">AML.M0030</t>
  </si>
  <si>
    <t xml:space="preserve">Restrict AI Agent Tool Invocation on Untrusted Data</t>
  </si>
  <si>
    <t xml:space="preserve">AML.M0031</t>
  </si>
  <si>
    <t xml:space="preserve">Memory Hardening</t>
  </si>
  <si>
    <t xml:space="preserve">AML.M0032</t>
  </si>
  <si>
    <t xml:space="preserve">Segmentation of AI Agent Components</t>
  </si>
  <si>
    <t xml:space="preserve">AML.M0033</t>
  </si>
  <si>
    <t xml:space="preserve">Input and Output Validation for AI Agent Components</t>
  </si>
  <si>
    <t xml:space="preserve">AI-CTRL-005, AI-CTRL-020, AI-CTRL-022</t>
  </si>
  <si>
    <t xml:space="preserve">AI-R05, AI-R06, AI-R07, AI-R24, AI-R26</t>
  </si>
  <si>
    <t xml:space="preserve">Test cases under those controls: 78</t>
  </si>
  <si>
    <t xml:space="preserve">AML.M0034</t>
  </si>
  <si>
    <t xml:space="preserve">Deepfake Detection</t>
  </si>
  <si>
    <t xml:space="preserve">Test cases under those controls: 28</t>
  </si>
  <si>
    <t xml:space="preserve">AML.M0035</t>
  </si>
  <si>
    <t xml:space="preserve">AI Red Team</t>
  </si>
  <si>
    <t xml:space="preserve">Test cases under those controls: 37</t>
  </si>
  <si>
    <t xml:space="preserve">Limit AI Workload Resource Consumption</t>
  </si>
  <si>
    <t xml:space="preserve">AI-CTRL-025, AI-CTRL-036, AI-CTRL-040</t>
  </si>
  <si>
    <t xml:space="preserve">AI-R07, AI-R11, AI-R13, AI-R16, AI-R21, AI-R25</t>
  </si>
  <si>
    <t xml:space="preserve">Test cases under those controls: 53</t>
  </si>
  <si>
    <t xml:space="preserve">AML.M0037</t>
  </si>
  <si>
    <t xml:space="preserve">AI Agent Authority Expansion Controls</t>
  </si>
  <si>
    <t xml:space="preserve">Test cases under those controls: 12</t>
  </si>
  <si>
    <t xml:space="preserve">AML.M0038</t>
  </si>
  <si>
    <t xml:space="preserve">AI Agent Scope Drift Detection</t>
  </si>
  <si>
    <t xml:space="preserve">A.5.1</t>
  </si>
  <si>
    <t xml:space="preserve">Policies for information security</t>
  </si>
  <si>
    <t xml:space="preserve">https://nachi065.github.io/AI-Security-Wiki/23_Framework_Crosswalks/08_ISO_IEC_27001_Crosswalk.html</t>
  </si>
  <si>
    <t xml:space="preserve">Information security roles and responsibilities</t>
  </si>
  <si>
    <t xml:space="preserve">Segregation of duties</t>
  </si>
  <si>
    <t xml:space="preserve">Management responsibilities</t>
  </si>
  <si>
    <t xml:space="preserve">Contact with authorities</t>
  </si>
  <si>
    <t xml:space="preserve">A.5.6</t>
  </si>
  <si>
    <t xml:space="preserve">A.5.7</t>
  </si>
  <si>
    <t xml:space="preserve">A.5.8</t>
  </si>
  <si>
    <t xml:space="preserve">Information security in project management</t>
  </si>
  <si>
    <t xml:space="preserve">AI-CTRL-011, AI-CTRL-033, AI-CTRL-042</t>
  </si>
  <si>
    <t xml:space="preserve">AI-R02, AI-R05, AI-R07, AI-R08, AI-R10, AI-R12, AI-R14, AI-R16, AI-R18, AI-R28</t>
  </si>
  <si>
    <t xml:space="preserve">A.5.9</t>
  </si>
  <si>
    <t xml:space="preserve">Inventory of information and other associated assets</t>
  </si>
  <si>
    <t xml:space="preserve">AI-CTRL-001, AI-CTRL-011, AI-CTRL-029, AI-CTRL-031</t>
  </si>
  <si>
    <t xml:space="preserve">AI-R02, AI-R08, AI-R16, AI-R18, AI-R23</t>
  </si>
  <si>
    <t xml:space="preserve">Test cases under those controls: 89</t>
  </si>
  <si>
    <t xml:space="preserve">A.5.10</t>
  </si>
  <si>
    <t xml:space="preserve">Acceptable use of information and other associated assets</t>
  </si>
  <si>
    <t xml:space="preserve">AI-CTRL-003, AI-CTRL-010, AI-CTRL-012</t>
  </si>
  <si>
    <t xml:space="preserve">A.5.11</t>
  </si>
  <si>
    <t xml:space="preserve">A.5.12</t>
  </si>
  <si>
    <t xml:space="preserve">Classification of information</t>
  </si>
  <si>
    <t xml:space="preserve">AI-CTRL-002, AI-CTRL-010, AI-CTRL-011, AI-CTRL-017</t>
  </si>
  <si>
    <t xml:space="preserve">AI-R01, AI-R02, AI-R03, AI-R06, AI-R17, AI-R18, AI-R27</t>
  </si>
  <si>
    <t xml:space="preserve">Test cases under those controls: 97</t>
  </si>
  <si>
    <t xml:space="preserve">A.5.13</t>
  </si>
  <si>
    <t xml:space="preserve">Labelling of information</t>
  </si>
  <si>
    <t xml:space="preserve">A.5.14</t>
  </si>
  <si>
    <t xml:space="preserve">Information transfer</t>
  </si>
  <si>
    <t xml:space="preserve">AI-CTRL-003, AI-CTRL-007</t>
  </si>
  <si>
    <t xml:space="preserve">AI-R01, AI-R03, AI-R10, AI-R27</t>
  </si>
  <si>
    <t xml:space="preserve">Test cases under those controls: 21</t>
  </si>
  <si>
    <t xml:space="preserve">A.5.15</t>
  </si>
  <si>
    <t xml:space="preserve">Access control</t>
  </si>
  <si>
    <t xml:space="preserve">AI-CTRL-006, AI-CTRL-016, AI-CTRL-018, AI-CTRL-022, AI-CTRL-028</t>
  </si>
  <si>
    <t xml:space="preserve">AI-R06, AI-R07, AI-R08, AI-R22, AI-R24, AI-R25</t>
  </si>
  <si>
    <t xml:space="preserve">Test cases under those controls: 107</t>
  </si>
  <si>
    <t xml:space="preserve">A.5.16</t>
  </si>
  <si>
    <t xml:space="preserve">Identity management</t>
  </si>
  <si>
    <t xml:space="preserve">A.5.17</t>
  </si>
  <si>
    <t xml:space="preserve">Authentication information</t>
  </si>
  <si>
    <t xml:space="preserve">A.5.18</t>
  </si>
  <si>
    <t xml:space="preserve">Access rights</t>
  </si>
  <si>
    <t xml:space="preserve">AI-CTRL-016, AI-CTRL-025</t>
  </si>
  <si>
    <t xml:space="preserve">AI-R06, AI-R07, AI-R08, AI-R11, AI-R21, AI-R22, AI-R25</t>
  </si>
  <si>
    <t xml:space="preserve">Test cases under those controls: 63</t>
  </si>
  <si>
    <t xml:space="preserve">A.5.19</t>
  </si>
  <si>
    <t xml:space="preserve">Information security in supplier relationships</t>
  </si>
  <si>
    <t xml:space="preserve">AI-CTRL-014, AI-CTRL-024</t>
  </si>
  <si>
    <t xml:space="preserve">A.5.20</t>
  </si>
  <si>
    <t xml:space="preserve">Addressing information security within supplier agreements</t>
  </si>
  <si>
    <t xml:space="preserve">AI-CTRL-014, AI-CTRL-046</t>
  </si>
  <si>
    <t xml:space="preserve">AI-R08, AI-R10, AI-R16, AI-R27</t>
  </si>
  <si>
    <t xml:space="preserve">Test cases under those controls: 29</t>
  </si>
  <si>
    <t xml:space="preserve">A.5.21</t>
  </si>
  <si>
    <t xml:space="preserve">Managing information security in the ICT supply chain</t>
  </si>
  <si>
    <t xml:space="preserve">AI-CTRL-014, AI-CTRL-024, AI-CTRL-029, AI-CTRL-031</t>
  </si>
  <si>
    <t xml:space="preserve">A.5.22</t>
  </si>
  <si>
    <t xml:space="preserve">Monitoring, review and change management of supplier services</t>
  </si>
  <si>
    <t xml:space="preserve">A.5.23</t>
  </si>
  <si>
    <t xml:space="preserve">Information security for use of cloud services</t>
  </si>
  <si>
    <t xml:space="preserve">AI-CTRL-007, AI-CTRL-014, AI-CTRL-032</t>
  </si>
  <si>
    <t xml:space="preserve">A.5.24</t>
  </si>
  <si>
    <t xml:space="preserve">Information security incident management planning and preparation</t>
  </si>
  <si>
    <t xml:space="preserve">A.5.25</t>
  </si>
  <si>
    <t xml:space="preserve">Assessment and decision on information security events</t>
  </si>
  <si>
    <t xml:space="preserve">AI-CTRL-009, AI-CTRL-035</t>
  </si>
  <si>
    <t xml:space="preserve">Test cases under those controls: 60</t>
  </si>
  <si>
    <t xml:space="preserve">A.5.26</t>
  </si>
  <si>
    <t xml:space="preserve">Response to information security incidents</t>
  </si>
  <si>
    <t xml:space="preserve">AI-CTRL-025, AI-CTRL-035</t>
  </si>
  <si>
    <t xml:space="preserve">AI-R07, AI-R09, AI-R11, AI-R20, AI-R21, AI-R25</t>
  </si>
  <si>
    <t xml:space="preserve">A.5.27</t>
  </si>
  <si>
    <t xml:space="preserve">Learning from information security incidents</t>
  </si>
  <si>
    <t xml:space="preserve">A.5.28</t>
  </si>
  <si>
    <t xml:space="preserve">Collection of evidence</t>
  </si>
  <si>
    <t xml:space="preserve">AI-R09, AI-R15, AI-R20, AI-R26</t>
  </si>
  <si>
    <t xml:space="preserve">A.5.29</t>
  </si>
  <si>
    <t xml:space="preserve">Information security during disruption</t>
  </si>
  <si>
    <t xml:space="preserve">Test cases under those controls: 14</t>
  </si>
  <si>
    <t xml:space="preserve">A.5.30</t>
  </si>
  <si>
    <t xml:space="preserve">ICT readiness for business continuity</t>
  </si>
  <si>
    <t xml:space="preserve">A.5.31</t>
  </si>
  <si>
    <t xml:space="preserve">Legal, statutory, regulatory and contractual requirements</t>
  </si>
  <si>
    <t xml:space="preserve">AI-CTRL-007, AI-CTRL-013, AI-CTRL-042, AI-CTRL-043, AI-CTRL-046</t>
  </si>
  <si>
    <t xml:space="preserve">A.5.32</t>
  </si>
  <si>
    <t xml:space="preserve">Intellectual property rights</t>
  </si>
  <si>
    <t xml:space="preserve">A.5.33</t>
  </si>
  <si>
    <t xml:space="preserve">Protection of records</t>
  </si>
  <si>
    <t xml:space="preserve">AI-CTRL-007, AI-CTRL-008, AI-CTRL-038</t>
  </si>
  <si>
    <t xml:space="preserve">AI-R09, AI-R10, AI-R15, AI-R26, AI-R28</t>
  </si>
  <si>
    <t xml:space="preserve">Test cases under those controls: 54</t>
  </si>
  <si>
    <t xml:space="preserve">A.5.34</t>
  </si>
  <si>
    <t xml:space="preserve">Privacy and protection of PII</t>
  </si>
  <si>
    <t xml:space="preserve">A.5.35</t>
  </si>
  <si>
    <t xml:space="preserve">Independent review of information security</t>
  </si>
  <si>
    <t xml:space="preserve">A.5.36</t>
  </si>
  <si>
    <t xml:space="preserve">Compliance with policies, rules and standards for information security</t>
  </si>
  <si>
    <t xml:space="preserve">A.5.37</t>
  </si>
  <si>
    <t xml:space="preserve">A.6.1</t>
  </si>
  <si>
    <t xml:space="preserve">A.6.2</t>
  </si>
  <si>
    <t xml:space="preserve">A.6.3</t>
  </si>
  <si>
    <t xml:space="preserve">Information security awareness, education and training</t>
  </si>
  <si>
    <t xml:space="preserve">A.6.4</t>
  </si>
  <si>
    <t xml:space="preserve">A.6.5</t>
  </si>
  <si>
    <t xml:space="preserve">A.6.6</t>
  </si>
  <si>
    <t xml:space="preserve">A.6.7</t>
  </si>
  <si>
    <t xml:space="preserve">A.6.8</t>
  </si>
  <si>
    <t xml:space="preserve">Information security event reporting</t>
  </si>
  <si>
    <t xml:space="preserve">A.7.1</t>
  </si>
  <si>
    <t xml:space="preserve">A.7.7</t>
  </si>
  <si>
    <t xml:space="preserve">A.7.8</t>
  </si>
  <si>
    <t xml:space="preserve">A.7.9</t>
  </si>
  <si>
    <t xml:space="preserve">A.7.10</t>
  </si>
  <si>
    <t xml:space="preserve">A.7.11</t>
  </si>
  <si>
    <t xml:space="preserve">A.7.12</t>
  </si>
  <si>
    <t xml:space="preserve">A.7.13</t>
  </si>
  <si>
    <t xml:space="preserve">A.7.14</t>
  </si>
  <si>
    <t xml:space="preserve">A.8.1</t>
  </si>
  <si>
    <t xml:space="preserve">Privileged access rights</t>
  </si>
  <si>
    <t xml:space="preserve">Information access restriction</t>
  </si>
  <si>
    <t xml:space="preserve">AI-CTRL-016, AI-CTRL-018, AI-CTRL-022, AI-CTRL-026, AI-CTRL-028</t>
  </si>
  <si>
    <t xml:space="preserve">AI-R05, AI-R06, AI-R07, AI-R08, AI-R21, AI-R22, AI-R24</t>
  </si>
  <si>
    <t xml:space="preserve">Test cases under those controls: 102</t>
  </si>
  <si>
    <t xml:space="preserve">Access to source code</t>
  </si>
  <si>
    <t xml:space="preserve">AI-CTRL-004, AI-CTRL-030</t>
  </si>
  <si>
    <t xml:space="preserve">AI-R04, AI-R08, AI-R22</t>
  </si>
  <si>
    <t xml:space="preserve">Secure authentication</t>
  </si>
  <si>
    <t xml:space="preserve">A.8.6</t>
  </si>
  <si>
    <t xml:space="preserve">Capacity management</t>
  </si>
  <si>
    <t xml:space="preserve">A.8.7</t>
  </si>
  <si>
    <t xml:space="preserve">Protection against malware</t>
  </si>
  <si>
    <t xml:space="preserve">A.8.8</t>
  </si>
  <si>
    <t xml:space="preserve">Management of technical vulnerabilities</t>
  </si>
  <si>
    <t xml:space="preserve">AI-CTRL-031, AI-CTRL-032, AI-CTRL-034</t>
  </si>
  <si>
    <t xml:space="preserve">AI-R05, AI-R07, AI-R08, AI-R10, AI-R16, AI-R17, AI-R20, AI-R23</t>
  </si>
  <si>
    <t xml:space="preserve">A.8.9</t>
  </si>
  <si>
    <t xml:space="preserve">Configuration management</t>
  </si>
  <si>
    <t xml:space="preserve">A.8.10</t>
  </si>
  <si>
    <t xml:space="preserve">Information deletion</t>
  </si>
  <si>
    <t xml:space="preserve">AI-CTRL-007, AI-CTRL-013, AI-CTRL-017</t>
  </si>
  <si>
    <t xml:space="preserve">AI-R01, AI-R03, AI-R06, AI-R10, AI-R17, AI-R27, AI-R28</t>
  </si>
  <si>
    <t xml:space="preserve">Test cases under those controls: 87</t>
  </si>
  <si>
    <t xml:space="preserve">A.8.11</t>
  </si>
  <si>
    <t xml:space="preserve">Data masking</t>
  </si>
  <si>
    <t xml:space="preserve">AI-CTRL-002, AI-CTRL-013, AI-CTRL-017</t>
  </si>
  <si>
    <t xml:space="preserve">Test cases under those controls: 90</t>
  </si>
  <si>
    <t xml:space="preserve">A.8.12</t>
  </si>
  <si>
    <t xml:space="preserve">Data leakage prevention</t>
  </si>
  <si>
    <t xml:space="preserve">AI-CTRL-002, AI-CTRL-003, AI-CTRL-004, AI-CTRL-010, AI-CTRL-017, AI-CTRL-021, AI-CTRL-028</t>
  </si>
  <si>
    <t xml:space="preserve">AI-R01, AI-R02, AI-R03, AI-R04, AI-R05, AI-R06, AI-R08, AI-R17, AI-R22, AI-R27</t>
  </si>
  <si>
    <t xml:space="preserve">Test cases under those controls: 138</t>
  </si>
  <si>
    <t xml:space="preserve">A.8.13</t>
  </si>
  <si>
    <t xml:space="preserve">Information backup</t>
  </si>
  <si>
    <t xml:space="preserve">A.8.14</t>
  </si>
  <si>
    <t xml:space="preserve">Redundancy of information processing facilities</t>
  </si>
  <si>
    <t xml:space="preserve">A.8.15</t>
  </si>
  <si>
    <t xml:space="preserve">Logging</t>
  </si>
  <si>
    <t xml:space="preserve">Test cases under those controls: 56</t>
  </si>
  <si>
    <t xml:space="preserve">A.8.16</t>
  </si>
  <si>
    <t xml:space="preserve">Monitoring activities</t>
  </si>
  <si>
    <t xml:space="preserve">AI-CTRL-001, AI-CTRL-005, AI-CTRL-006, AI-CTRL-009, AI-CTRL-036</t>
  </si>
  <si>
    <t xml:space="preserve">AI-R02, AI-R05, AI-R06, AI-R07, AI-R09, AI-R11, AI-R24, AI-R25</t>
  </si>
  <si>
    <t xml:space="preserve">Test cases under those controls: 146</t>
  </si>
  <si>
    <t xml:space="preserve">A.8.17</t>
  </si>
  <si>
    <t xml:space="preserve">Clock synchronization</t>
  </si>
  <si>
    <t xml:space="preserve">Test cases under those controls: 23</t>
  </si>
  <si>
    <t xml:space="preserve">A.8.18</t>
  </si>
  <si>
    <t xml:space="preserve">A.8.19</t>
  </si>
  <si>
    <t xml:space="preserve">Installation of software on operational systems</t>
  </si>
  <si>
    <t xml:space="preserve">Test cases under those controls: 39</t>
  </si>
  <si>
    <t xml:space="preserve">A.8.20</t>
  </si>
  <si>
    <t xml:space="preserve">Networks security</t>
  </si>
  <si>
    <t xml:space="preserve">Test cases under those controls: 27</t>
  </si>
  <si>
    <t xml:space="preserve">A.8.21</t>
  </si>
  <si>
    <t xml:space="preserve">A.8.22</t>
  </si>
  <si>
    <t xml:space="preserve">Segregation of networks</t>
  </si>
  <si>
    <t xml:space="preserve">AI-CTRL-027, AI-CTRL-032</t>
  </si>
  <si>
    <t xml:space="preserve">AI-R07, AI-R08, AI-R10, AI-R21, AI-R22, AI-R25</t>
  </si>
  <si>
    <t xml:space="preserve">Test cases under those controls: 38</t>
  </si>
  <si>
    <t xml:space="preserve">A.8.23</t>
  </si>
  <si>
    <t xml:space="preserve">Web filtering</t>
  </si>
  <si>
    <t xml:space="preserve">AI-CTRL-001, AI-CTRL-010</t>
  </si>
  <si>
    <t xml:space="preserve">A.8.24</t>
  </si>
  <si>
    <t xml:space="preserve">Use of cryptography</t>
  </si>
  <si>
    <t xml:space="preserve">A.8.25</t>
  </si>
  <si>
    <t xml:space="preserve">Secure development life cycle</t>
  </si>
  <si>
    <t xml:space="preserve">AI-CTRL-030, AI-CTRL-033</t>
  </si>
  <si>
    <t xml:space="preserve">Test cases under those controls: 22</t>
  </si>
  <si>
    <t xml:space="preserve">A.8.26</t>
  </si>
  <si>
    <t xml:space="preserve">Application security requirements</t>
  </si>
  <si>
    <t xml:space="preserve">AI-CTRL-005, AI-CTRL-020, AI-CTRL-021</t>
  </si>
  <si>
    <t xml:space="preserve">AI-R03, AI-R05, AI-R06, AI-R24, AI-R26</t>
  </si>
  <si>
    <t xml:space="preserve">Test cases under those controls: 85</t>
  </si>
  <si>
    <t xml:space="preserve">A.8.27</t>
  </si>
  <si>
    <t xml:space="preserve">Secure system architecture and engineering principles</t>
  </si>
  <si>
    <t xml:space="preserve">AI-CTRL-005, AI-CTRL-027, AI-CTRL-033</t>
  </si>
  <si>
    <t xml:space="preserve">AI-R05, AI-R06, AI-R07, AI-R08, AI-R14, AI-R16, AI-R21, AI-R22, AI-R24, AI-R25</t>
  </si>
  <si>
    <t xml:space="preserve">Test cases under those controls: 70</t>
  </si>
  <si>
    <t xml:space="preserve">A.8.28</t>
  </si>
  <si>
    <t xml:space="preserve">Secure coding</t>
  </si>
  <si>
    <t xml:space="preserve">AI-CTRL-004, AI-CTRL-020</t>
  </si>
  <si>
    <t xml:space="preserve">AI-R04, AI-R05, AI-R06, AI-R22, AI-R24, AI-R26</t>
  </si>
  <si>
    <t xml:space="preserve">Test cases under those controls: 31</t>
  </si>
  <si>
    <t xml:space="preserve">A.8.29</t>
  </si>
  <si>
    <t xml:space="preserve">Security testing in development and acceptance</t>
  </si>
  <si>
    <t xml:space="preserve">AI-CTRL-030, AI-CTRL-033, AI-CTRL-034</t>
  </si>
  <si>
    <t xml:space="preserve">Test cases under those controls: 57</t>
  </si>
  <si>
    <t xml:space="preserve">A.8.30</t>
  </si>
  <si>
    <t xml:space="preserve">Outsourced development</t>
  </si>
  <si>
    <t xml:space="preserve">A.8.31</t>
  </si>
  <si>
    <t xml:space="preserve">Separation of development, test and production environments</t>
  </si>
  <si>
    <t xml:space="preserve">AI-CTRL-027, AI-CTRL-030</t>
  </si>
  <si>
    <t xml:space="preserve">AI-R07, AI-R08, AI-R21, AI-R22, AI-R25</t>
  </si>
  <si>
    <t xml:space="preserve">A.8.32</t>
  </si>
  <si>
    <t xml:space="preserve">Change management</t>
  </si>
  <si>
    <t xml:space="preserve">AI-CTRL-019, AI-CTRL-024, AI-CTRL-030, AI-CTRL-033</t>
  </si>
  <si>
    <t xml:space="preserve">AI-R05, AI-R07, AI-R08, AI-R14, AI-R16, AI-R17, AI-R23, AI-R24</t>
  </si>
  <si>
    <t xml:space="preserve">A.8.33</t>
  </si>
  <si>
    <t xml:space="preserve">Test information</t>
  </si>
  <si>
    <t xml:space="preserve">AI-CTRL-017, AI-CTRL-029</t>
  </si>
  <si>
    <t xml:space="preserve">AI-R01, AI-R03, AI-R06, AI-R08, AI-R17</t>
  </si>
  <si>
    <t xml:space="preserve">A.8.34</t>
  </si>
  <si>
    <t xml:space="preserve">Information security risk assessment</t>
  </si>
  <si>
    <t xml:space="preserve">Information security risk treatment</t>
  </si>
  <si>
    <t xml:space="preserve">Categories</t>
  </si>
  <si>
    <t xml:space="preserve">GV.OC</t>
  </si>
  <si>
    <t xml:space="preserve">Organizational Context</t>
  </si>
  <si>
    <t xml:space="preserve">https://nachi065.github.io/AI-Security-Wiki/23_Framework_Crosswalks/09_NIST_CSF_Crosswalk.html</t>
  </si>
  <si>
    <t xml:space="preserve">GV.RM</t>
  </si>
  <si>
    <t xml:space="preserve">Risk Management Strategy</t>
  </si>
  <si>
    <t xml:space="preserve">GV.RR</t>
  </si>
  <si>
    <t xml:space="preserve">Roles, Responsibilities, and Authorities</t>
  </si>
  <si>
    <t xml:space="preserve">AI-CTRL-012, AI-CTRL-045</t>
  </si>
  <si>
    <t xml:space="preserve">AI-R02, AI-R03, AI-R07, AI-R12, AI-R14, AI-R18, AI-R19, AI-R27, AI-R28</t>
  </si>
  <si>
    <t xml:space="preserve">GV.PO</t>
  </si>
  <si>
    <t xml:space="preserve">Policy</t>
  </si>
  <si>
    <t xml:space="preserve">GV.OV</t>
  </si>
  <si>
    <t xml:space="preserve">Oversight</t>
  </si>
  <si>
    <t xml:space="preserve">GV.SC</t>
  </si>
  <si>
    <t xml:space="preserve">Cybersecurity Supply Chain Risk Management</t>
  </si>
  <si>
    <t xml:space="preserve">AI-CTRL-007, AI-CTRL-014, AI-CTRL-024, AI-CTRL-029, AI-CTRL-031</t>
  </si>
  <si>
    <t xml:space="preserve">Test cases under those controls: 93</t>
  </si>
  <si>
    <t xml:space="preserve">ID.AM</t>
  </si>
  <si>
    <t xml:space="preserve">Asset Management</t>
  </si>
  <si>
    <t xml:space="preserve">AI-CTRL-001, AI-CTRL-011, AI-CTRL-017, AI-CTRL-029, AI-CTRL-031</t>
  </si>
  <si>
    <t xml:space="preserve">AI-R01, AI-R02, AI-R03, AI-R06, AI-R08, AI-R16, AI-R17, AI-R18, AI-R23</t>
  </si>
  <si>
    <t xml:space="preserve">Test cases under those controls: 124</t>
  </si>
  <si>
    <t xml:space="preserve">ID.RA</t>
  </si>
  <si>
    <t xml:space="preserve">Risk Assessment</t>
  </si>
  <si>
    <t xml:space="preserve">AI-CTRL-011, AI-CTRL-031, AI-CTRL-033, AI-CTRL-034, AI-CTRL-037, AI-CTRL-042</t>
  </si>
  <si>
    <t xml:space="preserve">AI-R02, AI-R05, AI-R07, AI-R08, AI-R10, AI-R12, AI-R14, AI-R16, AI-R17, AI-R18, AI-R20, AI-R23, AI-R28</t>
  </si>
  <si>
    <t xml:space="preserve">Test cases under those controls: 98</t>
  </si>
  <si>
    <t xml:space="preserve">ID.IM</t>
  </si>
  <si>
    <t xml:space="preserve">Improvement</t>
  </si>
  <si>
    <t xml:space="preserve">PR.AA</t>
  </si>
  <si>
    <t xml:space="preserve">Identity Management, Authentication, and Access Control</t>
  </si>
  <si>
    <t xml:space="preserve">AI-CTRL-006, AI-CTRL-015, AI-CTRL-016, AI-CTRL-018, AI-CTRL-022, AI-CTRL-023, AI-CTRL-028, AI-CTRL-030</t>
  </si>
  <si>
    <t xml:space="preserve">AI-R06, AI-R07, AI-R08, AI-R19, AI-R22, AI-R24, AI-R25</t>
  </si>
  <si>
    <t xml:space="preserve">Test cases under those controls: 162</t>
  </si>
  <si>
    <t xml:space="preserve">PR.AT</t>
  </si>
  <si>
    <t xml:space="preserve">Awareness and Training</t>
  </si>
  <si>
    <t xml:space="preserve">PR.DS</t>
  </si>
  <si>
    <t xml:space="preserve">Data Security</t>
  </si>
  <si>
    <t xml:space="preserve">AI-CTRL-002, AI-CTRL-003, AI-CTRL-004, AI-CTRL-005, AI-CTRL-007, AI-CTRL-010, AI-CTRL-013, AI-CTRL-017, AI-CTRL-018, AI-CTRL-019, AI-CTRL-021, AI-CTRL-026, AI-CTRL-028, AI-CTRL-029, AI-CTRL-032</t>
  </si>
  <si>
    <t xml:space="preserve">AI-R01, AI-R02, AI-R03, AI-R04, AI-R05, AI-R06, AI-R07, AI-R08, AI-R10, AI-R17, AI-R21, AI-R22, AI-R24, AI-R27, AI-R28</t>
  </si>
  <si>
    <t xml:space="preserve">Test cases under those controls: 292</t>
  </si>
  <si>
    <t xml:space="preserve">PR.PS</t>
  </si>
  <si>
    <t xml:space="preserve">Platform Security</t>
  </si>
  <si>
    <t xml:space="preserve">AI-CTRL-004, AI-CTRL-005, AI-CTRL-008, AI-CTRL-020, AI-CTRL-024, AI-CTRL-027, AI-CTRL-030, AI-CTRL-032, AI-CTRL-033</t>
  </si>
  <si>
    <t xml:space="preserve">AI-R04, AI-R05, AI-R06, AI-R07, AI-R08, AI-R09, AI-R10, AI-R14, AI-R15, AI-R16, AI-R21, AI-R22, AI-R23, AI-R24, AI-R25, AI-R26</t>
  </si>
  <si>
    <t xml:space="preserve">Test cases under those controls: 176</t>
  </si>
  <si>
    <t xml:space="preserve">PR.IR</t>
  </si>
  <si>
    <t xml:space="preserve">Technology Infrastructure Resilience</t>
  </si>
  <si>
    <t xml:space="preserve">AI-CTRL-027, AI-CTRL-032, AI-CTRL-036, AI-CTRL-040</t>
  </si>
  <si>
    <t xml:space="preserve">Test cases under those controls: 82</t>
  </si>
  <si>
    <t xml:space="preserve">DE.CM</t>
  </si>
  <si>
    <t xml:space="preserve">Continuous Monitoring</t>
  </si>
  <si>
    <t xml:space="preserve">AI-CTRL-001, AI-CTRL-002, AI-CTRL-005, AI-CTRL-006, AI-CTRL-008, AI-CTRL-009, AI-CTRL-021, AI-CTRL-036</t>
  </si>
  <si>
    <t xml:space="preserve">AI-R01, AI-R02, AI-R03, AI-R05, AI-R06, AI-R07, AI-R09, AI-R11, AI-R15, AI-R24, AI-R25, AI-R26, AI-R27</t>
  </si>
  <si>
    <t xml:space="preserve">Test cases under those controls: 200</t>
  </si>
  <si>
    <t xml:space="preserve">DE.AE</t>
  </si>
  <si>
    <t xml:space="preserve">Adverse Event Analysis</t>
  </si>
  <si>
    <t xml:space="preserve">RS.MA</t>
  </si>
  <si>
    <t xml:space="preserve">Incident Management</t>
  </si>
  <si>
    <t xml:space="preserve">RS.AN</t>
  </si>
  <si>
    <t xml:space="preserve">Incident Analysis</t>
  </si>
  <si>
    <t xml:space="preserve">RS.CO</t>
  </si>
  <si>
    <t xml:space="preserve">Incident Response Reporting and Communication</t>
  </si>
  <si>
    <t xml:space="preserve">RS.MI</t>
  </si>
  <si>
    <t xml:space="preserve">Incident Mitigation</t>
  </si>
  <si>
    <t xml:space="preserve">RC.RP</t>
  </si>
  <si>
    <t xml:space="preserve">Incident Recovery Plan Execution</t>
  </si>
  <si>
    <t xml:space="preserve">AI-CTRL-035, AI-CTRL-040</t>
  </si>
  <si>
    <t xml:space="preserve">AI-R09, AI-R13, AI-R16, AI-R20</t>
  </si>
  <si>
    <t xml:space="preserve">RC.CO</t>
  </si>
  <si>
    <t xml:space="preserve">CIS 1</t>
  </si>
  <si>
    <t xml:space="preserve">Inventory and Control of Enterprise Assets</t>
  </si>
  <si>
    <t xml:space="preserve">AI-CTRL-001, AI-CTRL-011</t>
  </si>
  <si>
    <t xml:space="preserve">https://nachi065.github.io/AI-Security-Wiki/23_Framework_Crosswalks/10_CIS_Controls_Crosswalk.html</t>
  </si>
  <si>
    <t xml:space="preserve">CIS 2</t>
  </si>
  <si>
    <t xml:space="preserve">Inventory and Control of Software Assets</t>
  </si>
  <si>
    <t xml:space="preserve">AI-CTRL-001, AI-CTRL-011, AI-CTRL-024, AI-CTRL-031</t>
  </si>
  <si>
    <t xml:space="preserve">AI-R02, AI-R07, AI-R08, AI-R16, AI-R18, AI-R23, AI-R24</t>
  </si>
  <si>
    <t xml:space="preserve">Data Protection</t>
  </si>
  <si>
    <t xml:space="preserve">AI-CTRL-002, AI-CTRL-003, AI-CTRL-004, AI-CTRL-007, AI-CTRL-010, AI-CTRL-013, AI-CTRL-017, AI-CTRL-018, AI-CTRL-021, AI-CTRL-026, AI-CTRL-028, AI-CTRL-029</t>
  </si>
  <si>
    <t xml:space="preserve">AI-R01, AI-R02, AI-R03, AI-R04, AI-R05, AI-R06, AI-R07, AI-R08, AI-R10, AI-R17, AI-R21, AI-R22, AI-R27, AI-R28</t>
  </si>
  <si>
    <t xml:space="preserve">Test cases under those controls: 213</t>
  </si>
  <si>
    <t xml:space="preserve">CIS 4</t>
  </si>
  <si>
    <t xml:space="preserve">Secure Configuration of Enterprise Assets and Software</t>
  </si>
  <si>
    <t xml:space="preserve">AI-CTRL-027, AI-CTRL-030, AI-CTRL-032</t>
  </si>
  <si>
    <t xml:space="preserve">CIS 5</t>
  </si>
  <si>
    <t xml:space="preserve">Account Management</t>
  </si>
  <si>
    <t xml:space="preserve">Test cases under those controls: 91</t>
  </si>
  <si>
    <t xml:space="preserve">CIS 6</t>
  </si>
  <si>
    <t xml:space="preserve">Access Control Management</t>
  </si>
  <si>
    <t xml:space="preserve">AI-CTRL-006, AI-CTRL-015, AI-CTRL-016, AI-CTRL-018, AI-CTRL-022, AI-CTRL-025, AI-CTRL-028</t>
  </si>
  <si>
    <t xml:space="preserve">AI-R06, AI-R07, AI-R08, AI-R11, AI-R21, AI-R22, AI-R24, AI-R25</t>
  </si>
  <si>
    <t xml:space="preserve">Test cases under those controls: 153</t>
  </si>
  <si>
    <t xml:space="preserve">CIS 7</t>
  </si>
  <si>
    <t xml:space="preserve">Continuous Vulnerability Management</t>
  </si>
  <si>
    <t xml:space="preserve">Audit Log Management</t>
  </si>
  <si>
    <t xml:space="preserve">CIS 9</t>
  </si>
  <si>
    <t xml:space="preserve">Email and Web Browser Protections</t>
  </si>
  <si>
    <t xml:space="preserve">AI-CTRL-001, AI-CTRL-003, AI-CTRL-010</t>
  </si>
  <si>
    <t xml:space="preserve">AI-R01, AI-R02, AI-R03, AI-R27</t>
  </si>
  <si>
    <t xml:space="preserve">Test cases under those controls: 65</t>
  </si>
  <si>
    <t xml:space="preserve">CIS 10</t>
  </si>
  <si>
    <t xml:space="preserve">Malware Defenses</t>
  </si>
  <si>
    <t xml:space="preserve">Data Recovery</t>
  </si>
  <si>
    <t xml:space="preserve">CIS 12</t>
  </si>
  <si>
    <t xml:space="preserve">Network Infrastructure Management</t>
  </si>
  <si>
    <t xml:space="preserve">CIS 13</t>
  </si>
  <si>
    <t xml:space="preserve">Network Monitoring and Defense</t>
  </si>
  <si>
    <t xml:space="preserve">AI-CTRL-005, AI-CTRL-009, AI-CTRL-032</t>
  </si>
  <si>
    <t xml:space="preserve">AI-R05, AI-R06, AI-R08, AI-R09, AI-R10, AI-R24</t>
  </si>
  <si>
    <t xml:space="preserve">Test cases under those controls: 100</t>
  </si>
  <si>
    <t xml:space="preserve">Security Awareness and Skills Training</t>
  </si>
  <si>
    <t xml:space="preserve">Service Provider Management</t>
  </si>
  <si>
    <t xml:space="preserve">AI-CTRL-007, AI-CTRL-014, AI-CTRL-024, AI-CTRL-031</t>
  </si>
  <si>
    <t xml:space="preserve">Test cases under those controls: 76</t>
  </si>
  <si>
    <t xml:space="preserve">Application Software Security</t>
  </si>
  <si>
    <t xml:space="preserve">AI-CTRL-004, AI-CTRL-005, AI-CTRL-020, AI-CTRL-024, AI-CTRL-027, AI-CTRL-030, AI-CTRL-031, AI-CTRL-033</t>
  </si>
  <si>
    <t xml:space="preserve">AI-R04, AI-R05, AI-R06, AI-R07, AI-R08, AI-R14, AI-R16, AI-R21, AI-R22, AI-R23, AI-R24, AI-R25, AI-R26</t>
  </si>
  <si>
    <t xml:space="preserve">Test cases under those controls: 149</t>
  </si>
  <si>
    <t xml:space="preserve">CIS 17</t>
  </si>
  <si>
    <t xml:space="preserve">Incident Response Management</t>
  </si>
  <si>
    <t xml:space="preserve">AI-CTRL-025, AI-CTRL-035, AI-CTRL-043</t>
  </si>
  <si>
    <t xml:space="preserve">AI-R07, AI-R09, AI-R10, AI-R11, AI-R20, AI-R21, AI-R25</t>
  </si>
  <si>
    <t xml:space="preserve">CIS 18</t>
  </si>
  <si>
    <t xml:space="preserve">Penetration Testing</t>
  </si>
  <si>
    <t xml:space="preserve">Criteria</t>
  </si>
  <si>
    <t xml:space="preserve">CC1.1</t>
  </si>
  <si>
    <t xml:space="preserve">https://nachi065.github.io/AI-Security-Wiki/23_Framework_Crosswalks/11_SOC_2_Crosswalk.html</t>
  </si>
  <si>
    <t xml:space="preserve">CC1.2</t>
  </si>
  <si>
    <t xml:space="preserve">CC1.3</t>
  </si>
  <si>
    <t xml:space="preserve">Structures, reporting lines and responsibilities</t>
  </si>
  <si>
    <t xml:space="preserve">CC1.4</t>
  </si>
  <si>
    <t xml:space="preserve">CC1.5</t>
  </si>
  <si>
    <t xml:space="preserve">CC2.1</t>
  </si>
  <si>
    <t xml:space="preserve">CC2.2</t>
  </si>
  <si>
    <t xml:space="preserve">Internal communication</t>
  </si>
  <si>
    <t xml:space="preserve">CC2.3</t>
  </si>
  <si>
    <t xml:space="preserve">External communication</t>
  </si>
  <si>
    <t xml:space="preserve">CC3.1</t>
  </si>
  <si>
    <t xml:space="preserve">Objectives for risk assessment</t>
  </si>
  <si>
    <t xml:space="preserve">CC3.2</t>
  </si>
  <si>
    <t xml:space="preserve">Risk identification and analysis</t>
  </si>
  <si>
    <t xml:space="preserve">AI-CTRL-011, AI-CTRL-037, AI-CTRL-042</t>
  </si>
  <si>
    <t xml:space="preserve">CC3.3</t>
  </si>
  <si>
    <t xml:space="preserve">CC3.4</t>
  </si>
  <si>
    <t xml:space="preserve">Assessment of change</t>
  </si>
  <si>
    <t xml:space="preserve">Test cases under those controls: 7</t>
  </si>
  <si>
    <t xml:space="preserve">CC4.1</t>
  </si>
  <si>
    <t xml:space="preserve">Ongoing and separate evaluations</t>
  </si>
  <si>
    <t xml:space="preserve">CC4.2</t>
  </si>
  <si>
    <t xml:space="preserve">Communication of deficiencies</t>
  </si>
  <si>
    <t xml:space="preserve">CC5.1</t>
  </si>
  <si>
    <t xml:space="preserve">CC5.2</t>
  </si>
  <si>
    <t xml:space="preserve">CC5.3</t>
  </si>
  <si>
    <t xml:space="preserve">Policies and procedures</t>
  </si>
  <si>
    <t xml:space="preserve">CC6.1</t>
  </si>
  <si>
    <t xml:space="preserve">Logical access security</t>
  </si>
  <si>
    <t xml:space="preserve">AI-CTRL-006, AI-CTRL-015, AI-CTRL-016, AI-CTRL-017, AI-CTRL-018, AI-CTRL-022, AI-CTRL-026, AI-CTRL-028, AI-CTRL-030, AI-CTRL-032</t>
  </si>
  <si>
    <t xml:space="preserve">AI-R01, AI-R03, AI-R05, AI-R06, AI-R07, AI-R08, AI-R10, AI-R17, AI-R21, AI-R22, AI-R24, AI-R25</t>
  </si>
  <si>
    <t xml:space="preserve">Test cases under those controls: 219</t>
  </si>
  <si>
    <t xml:space="preserve">CC6.2</t>
  </si>
  <si>
    <t xml:space="preserve">Registration and removal of access</t>
  </si>
  <si>
    <t xml:space="preserve">AI-CTRL-015, AI-CTRL-025</t>
  </si>
  <si>
    <t xml:space="preserve">AI-R07, AI-R11, AI-R21, AI-R22, AI-R25</t>
  </si>
  <si>
    <t xml:space="preserve">CC6.3</t>
  </si>
  <si>
    <t xml:space="preserve">Role-based access and least privilege</t>
  </si>
  <si>
    <t xml:space="preserve">AI-CTRL-016, AI-CTRL-018, AI-CTRL-022</t>
  </si>
  <si>
    <t xml:space="preserve">Test cases under those controls: 75</t>
  </si>
  <si>
    <t xml:space="preserve">CC6.4</t>
  </si>
  <si>
    <t xml:space="preserve">CC6.5</t>
  </si>
  <si>
    <t xml:space="preserve">CC6.6</t>
  </si>
  <si>
    <t xml:space="preserve">Protection against threats from outside the boundary</t>
  </si>
  <si>
    <t xml:space="preserve">AI-CTRL-005, AI-CTRL-027, AI-CTRL-032</t>
  </si>
  <si>
    <t xml:space="preserve">AI-R05, AI-R06, AI-R07, AI-R08, AI-R10, AI-R21, AI-R22, AI-R24, AI-R25</t>
  </si>
  <si>
    <t xml:space="preserve">CC6.7</t>
  </si>
  <si>
    <t xml:space="preserve">Transmission, movement and removal of information</t>
  </si>
  <si>
    <t xml:space="preserve">CC6.8</t>
  </si>
  <si>
    <t xml:space="preserve">Unauthorized or malicious software</t>
  </si>
  <si>
    <t xml:space="preserve">AI-CTRL-001, AI-CTRL-021, AI-CTRL-024, AI-CTRL-027</t>
  </si>
  <si>
    <t xml:space="preserve">AI-R02, AI-R03, AI-R05, AI-R07, AI-R08, AI-R21, AI-R22, AI-R23, AI-R24, AI-R25</t>
  </si>
  <si>
    <t xml:space="preserve">CC7.1</t>
  </si>
  <si>
    <t xml:space="preserve">Detection of configuration changes and vulnerabilities</t>
  </si>
  <si>
    <t xml:space="preserve">CC7.2</t>
  </si>
  <si>
    <t xml:space="preserve">Monitoring for anomalies</t>
  </si>
  <si>
    <t xml:space="preserve">AI-CTRL-001, AI-CTRL-005, AI-CTRL-006, AI-CTRL-008, AI-CTRL-009</t>
  </si>
  <si>
    <t xml:space="preserve">AI-R02, AI-R05, AI-R06, AI-R07, AI-R09, AI-R15, AI-R24, AI-R25, AI-R26</t>
  </si>
  <si>
    <t xml:space="preserve">Test cases under those controls: 139</t>
  </si>
  <si>
    <t xml:space="preserve">CC7.3</t>
  </si>
  <si>
    <t xml:space="preserve">Evaluation of security events</t>
  </si>
  <si>
    <t xml:space="preserve">CC7.4</t>
  </si>
  <si>
    <t xml:space="preserve">Incident response</t>
  </si>
  <si>
    <t xml:space="preserve">CC7.5</t>
  </si>
  <si>
    <t xml:space="preserve">Recovery from incidents</t>
  </si>
  <si>
    <t xml:space="preserve">CC8.1</t>
  </si>
  <si>
    <t xml:space="preserve">AI-CTRL-004, AI-CTRL-019, AI-CTRL-024, AI-CTRL-030, AI-CTRL-033</t>
  </si>
  <si>
    <t xml:space="preserve">AI-R04, AI-R05, AI-R07, AI-R08, AI-R14, AI-R16, AI-R17, AI-R22, AI-R23, AI-R24</t>
  </si>
  <si>
    <t xml:space="preserve">Test cases under those controls: 69</t>
  </si>
  <si>
    <t xml:space="preserve">CC9.1</t>
  </si>
  <si>
    <t xml:space="preserve">Risk mitigation for business disruption</t>
  </si>
  <si>
    <t xml:space="preserve">AI-CTRL-037, AI-CTRL-040</t>
  </si>
  <si>
    <t xml:space="preserve">AI-R02, AI-R13, AI-R16, AI-R18, AI-R28</t>
  </si>
  <si>
    <t xml:space="preserve">CC9.2</t>
  </si>
  <si>
    <t xml:space="preserve">Vendor and business partner risk</t>
  </si>
  <si>
    <t xml:space="preserve">Capacity</t>
  </si>
  <si>
    <t xml:space="preserve">A1.2</t>
  </si>
  <si>
    <t xml:space="preserve">Backup and recovery infrastructure</t>
  </si>
  <si>
    <t xml:space="preserve">A1.3</t>
  </si>
  <si>
    <t xml:space="preserve">Recovery plan testing</t>
  </si>
  <si>
    <t xml:space="preserve">C1.1</t>
  </si>
  <si>
    <t xml:space="preserve">Identification of confidential information</t>
  </si>
  <si>
    <t xml:space="preserve">AI-CTRL-002, AI-CTRL-003, AI-CTRL-007, AI-CTRL-017, AI-CTRL-028</t>
  </si>
  <si>
    <t xml:space="preserve">AI-R01, AI-R03, AI-R06, AI-R08, AI-R10, AI-R17, AI-R27</t>
  </si>
  <si>
    <t xml:space="preserve">C1.2</t>
  </si>
  <si>
    <t xml:space="preserve">Disposal of confidential information</t>
  </si>
  <si>
    <t xml:space="preserve">AI-CTRL-007, AI-CTRL-017</t>
  </si>
  <si>
    <t xml:space="preserve">AI-R01, AI-R03, AI-R06, AI-R10, AI-R17</t>
  </si>
  <si>
    <t xml:space="preserve">PI1.1</t>
  </si>
  <si>
    <t xml:space="preserve">PI1.2</t>
  </si>
  <si>
    <t xml:space="preserve">Inputs</t>
  </si>
  <si>
    <t xml:space="preserve">PI1.3</t>
  </si>
  <si>
    <t xml:space="preserve">Processing</t>
  </si>
  <si>
    <t xml:space="preserve">PI1.4</t>
  </si>
  <si>
    <t xml:space="preserve">Outputs</t>
  </si>
  <si>
    <t xml:space="preserve">AI-CTRL-020, AI-CTRL-039</t>
  </si>
  <si>
    <t xml:space="preserve">AI-R05, AI-R06, AI-R12, AI-R14, AI-R20, AI-R24, AI-R26</t>
  </si>
  <si>
    <t xml:space="preserve">PI1.5</t>
  </si>
  <si>
    <t xml:space="preserve">Stored items</t>
  </si>
  <si>
    <t xml:space="preserve">P1.1</t>
  </si>
  <si>
    <t xml:space="preserve">Notice</t>
  </si>
  <si>
    <t xml:space="preserve">Test cases under those controls: 41</t>
  </si>
  <si>
    <t xml:space="preserve">P2.1</t>
  </si>
  <si>
    <t xml:space="preserve">P3.1</t>
  </si>
  <si>
    <t xml:space="preserve">Collection</t>
  </si>
  <si>
    <t xml:space="preserve">P3.2</t>
  </si>
  <si>
    <t xml:space="preserve">P4.1</t>
  </si>
  <si>
    <t xml:space="preserve">Use</t>
  </si>
  <si>
    <t xml:space="preserve">P4.2</t>
  </si>
  <si>
    <t xml:space="preserve">Retention</t>
  </si>
  <si>
    <t xml:space="preserve">AI-CTRL-007, AI-CTRL-013</t>
  </si>
  <si>
    <t xml:space="preserve">P4.3</t>
  </si>
  <si>
    <t xml:space="preserve">P5.1</t>
  </si>
  <si>
    <t xml:space="preserve">Access by data subjects</t>
  </si>
  <si>
    <t xml:space="preserve">P5.2</t>
  </si>
  <si>
    <t xml:space="preserve">P6.1</t>
  </si>
  <si>
    <t xml:space="preserve">P6.2</t>
  </si>
  <si>
    <t xml:space="preserve">P6.3</t>
  </si>
  <si>
    <t xml:space="preserve">P6.4</t>
  </si>
  <si>
    <t xml:space="preserve">P6.5</t>
  </si>
  <si>
    <t xml:space="preserve">P6.6</t>
  </si>
  <si>
    <t xml:space="preserve">P6.7</t>
  </si>
  <si>
    <t xml:space="preserve">P7.1</t>
  </si>
  <si>
    <t xml:space="preserve">P8.1</t>
  </si>
  <si>
    <t xml:space="preserve">Principles to wiki controls</t>
  </si>
  <si>
    <t xml:space="preserve">Principle 1.1</t>
  </si>
  <si>
    <t xml:space="preserve">Inclusive growth, sustainable development and well-being</t>
  </si>
  <si>
    <t xml:space="preserve">Main wiki controls: None</t>
  </si>
  <si>
    <t xml:space="preserve">https://nachi065.github.io/AI-Security-Wiki/23_Framework_Crosswalks/12_OECD_AI_Principles_Crosswalk.html</t>
  </si>
  <si>
    <t xml:space="preserve">Principle 1.2</t>
  </si>
  <si>
    <t xml:space="preserve">Respect for the rule of law, human rights and democratic values, including fairness and privacy</t>
  </si>
  <si>
    <t xml:space="preserve">AI-CTRL-013, AI-CTRL-041, AI-CTRL-042, AI-CTRL-045</t>
  </si>
  <si>
    <t xml:space="preserve">AI-R03, AI-R07, AI-R10, AI-R12, AI-R14, AI-R15, AI-R18, AI-R19, AI-R27, AI-R28</t>
  </si>
  <si>
    <t xml:space="preserve">What the match covers: Privacy compliance, bias testing, impact assessment on people's rights, and human oversight. Wider effects on democratic values, such as the spread of misleading content by others, are outside the wiki's scope.</t>
  </si>
  <si>
    <t xml:space="preserve">Principle 1.3</t>
  </si>
  <si>
    <t xml:space="preserve">Transparency and explainability</t>
  </si>
  <si>
    <t xml:space="preserve">AI-CTRL-013, AI-CTRL-039, AI-CTRL-041</t>
  </si>
  <si>
    <t xml:space="preserve">AI-R03, AI-R10, AI-R12, AI-R14, AI-R15, AI-R20, AI-R27, AI-R28</t>
  </si>
  <si>
    <t xml:space="preserve">What the match covers: Explanations for high-impact decisions, grounded output, and the notices that privacy law requires. The wiki has no single control for telling people they are dealing with an AI system; the regional templates cover it where a law asks for it.</t>
  </si>
  <si>
    <t xml:space="preserve">Robustness, security and safety</t>
  </si>
  <si>
    <t xml:space="preserve">AI-CTRL-005, AI-CTRL-025, AI-CTRL-028, AI-CTRL-034, AI-CTRL-040</t>
  </si>
  <si>
    <t xml:space="preserve">AI-R05, AI-R06, AI-R07, AI-R08, AI-R11, AI-R13, AI-R16, AI-R17, AI-R20, AI-R21, AI-R24, AI-R25</t>
  </si>
  <si>
    <t xml:space="preserve">What the match covers: Security of AI systems is the wiki's main subject. These five are the closest to the principle's wording: runtime protection, the ability to stop a system, model protection, adversarial testing, and fail-safe operation. Most of the control library supports this principle.</t>
  </si>
  <si>
    <t xml:space="preserve">AI-CTRL-008, AI-CTRL-011, AI-CTRL-012, AI-CTRL-037, AI-CTRL-038</t>
  </si>
  <si>
    <t xml:space="preserve">AI-R02, AI-R03, AI-R09, AI-R15, AI-R18, AI-R19, AI-R26, AI-R27, AI-R28</t>
  </si>
  <si>
    <t xml:space="preserve">What the match covers: Named owners for each use case, roles and policy, risk assessment across the lifecycle, audit logs that make decisions traceable, and evidence that controls operate.</t>
  </si>
  <si>
    <t xml:space="preserve">European Union, California, Quebec and Singapore</t>
  </si>
  <si>
    <t xml:space="preserve">Art. 22: a right not to be subject to a solely automated decision with legal or similarly significant effect, with exceptions and safeguards</t>
  </si>
  <si>
    <t xml:space="preserve">AI-CTRL-013, AI-CTRL-023, AI-CTRL-041, AI-CTRL-045</t>
  </si>
  <si>
    <t xml:space="preserve">CCPA: Regulations on automated decision-making technology: pre-use notice, opt-out and access for significant decisions; see row US8 for dates; Quebec Law 25: s. 12.1: tell the person when a decision is made only by automated processing, explain it on request, and let them have it reviewed by a person; Singapore PDPA: No specific right. The PDPC advisory guidelines on AI recommendation and decision systems apply the general obligations</t>
  </si>
  <si>
    <t xml:space="preserve">https://nachi065.github.io/AI-Security-Wiki/23_Framework_Crosswalks/13_Privacy_Law_Crosswalk.html</t>
  </si>
  <si>
    <t xml:space="preserve">Impact assessment before risky processing</t>
  </si>
  <si>
    <t xml:space="preserve">Art. 35: data protection impact assessment for high-risk processing</t>
  </si>
  <si>
    <t xml:space="preserve">CCPA: Risk assessment regulations; see row US8 for dates; Quebec Law 25: s. 3.3: privacy impact assessment for any project that acquires, develops or redesigns a system that handles personal information; Singapore PDPA: No general duty. An assessment is required to rely on deemed consent by notification or on the legitimate interests exception</t>
  </si>
  <si>
    <t xml:space="preserve">Arts. 33 and 34: to the authority within 72 hours, and to individuals when the risk is high</t>
  </si>
  <si>
    <t xml:space="preserve">CCPA: Not in the CCPA itself. California's breach notice statute (Civil Code s. 1798.82) applies, and s. 1798.150 gives a private right of action after some breaches; Quebec Law 25: ss. 3.5 to 3.8: report a confidentiality incident that presents a risk of serious injury, and keep a register of all incidents; Singapore PDPA: Part 6A: notify the PDPC within 3 calendar days of assessing a breach as notifiable</t>
  </si>
  <si>
    <t xml:space="preserve">Transfers outside the jurisdiction</t>
  </si>
  <si>
    <t xml:space="preserve">Chapter V (Arts. 44 to 49): adequacy decision, safeguards or a derogation</t>
  </si>
  <si>
    <t xml:space="preserve">CCPA: No restriction on transfers abroad; Quebec Law 25: s. 17: privacy impact assessment before personal information leaves Quebec; Singapore PDPA: s. 26: the recipient must give comparable protection</t>
  </si>
  <si>
    <t xml:space="preserve">Art. 5(1)(e) storage limitation; Art. 17 erasure</t>
  </si>
  <si>
    <t xml:space="preserve">CCPA: Disclose retention periods and keep data no longer than reasonably necessary; right to delete; Quebec Law 25: s. 23: destroy or anonymize when the purpose is met; Singapore PDPA: s. 25: stop retaining when the purpose no longer needs it. There is no right to erasure</t>
  </si>
  <si>
    <t xml:space="preserve">Requests from individuals</t>
  </si>
  <si>
    <t xml:space="preserve">Arts. 15 to 21: access, rectification, erasure, restriction, portability and objection</t>
  </si>
  <si>
    <t xml:space="preserve">CCPA: Rights to know, delete, correct, and opt out of sale or sharing; Quebec Law 25: ss. 27 to 28.1: access, rectification, and an end to dissemination; Singapore PDPA: ss. 21 and 22: access and correction</t>
  </si>
  <si>
    <t xml:space="preserve">Art. 28: processor contract with set terms</t>
  </si>
  <si>
    <t xml:space="preserve">CCPA: Written contract with each service provider and contractor; Quebec Law 25: s. 18.3: written agreement with the service provider; Singapore PDPA: Data intermediaries carry the protection, retention and breach duties directly; the organization stays responsible</t>
  </si>
  <si>
    <t xml:space="preserve">United Arab Emirates, Saudi Arabia, Qatar and Bahrain</t>
  </si>
  <si>
    <t xml:space="preserve">Art. 18: a right to object to decisions made by automated processing that have legal or serious effects</t>
  </si>
  <si>
    <t xml:space="preserve">Saudi PDPL: Not researched; Qatar PDPPL: Not researched; Bahrain PDPL: Art. 22: a right to object to decisions based only on automated processing [Unverified]</t>
  </si>
  <si>
    <t xml:space="preserve">Art. 21: data protection impact assessment for high-risk processing</t>
  </si>
  <si>
    <t xml:space="preserve">Saudi PDPL: Required by the Implementing Regulation in listed cases [Unverified]; Qatar PDPPL: Expected by the regulator's guidelines [Unverified]; Bahrain PDPL: No impact assessment recalled. Some processing needs prior notice to, or authorization from, the Authority [Unverified]</t>
  </si>
  <si>
    <t xml:space="preserve">Art. 9: to the Data Office, and to individuals where their privacy is at risk. The period is left to the Executive Regulation</t>
  </si>
  <si>
    <t xml:space="preserve">Saudi PDPL: Art. 20, with 72 hours to the authority under the Implementing Regulation; Qatar PDPPL: Art. 14: to the authority and the individual when serious damage may follow [Unverified]; Bahrain PDPL: Not researched</t>
  </si>
  <si>
    <t xml:space="preserve">Arts. 22 and 23: adequate protection, or a listed exception</t>
  </si>
  <si>
    <t xml:space="preserve">Saudi PDPL: Art. 29 and the transfer regulation; Qatar PDPPL: Art. 15 [Unverified]; Bahrain PDPL: Arts. 12 and 13: adequate countries listed by the Authority, or its authorization [Unverified]</t>
  </si>
  <si>
    <t xml:space="preserve">Art. 5: keep no longer than the purpose needs; Art. 15 erasure</t>
  </si>
  <si>
    <t xml:space="preserve">Saudi PDPL: Art. 18: destroy when the purpose ends; Qatar PDPPL: Not researched; Bahrain PDPL: Not researched</t>
  </si>
  <si>
    <t xml:space="preserve">Arts. 13 to 18</t>
  </si>
  <si>
    <t xml:space="preserve">Saudi PDPL: Art. 4; Qatar PDPPL: Not researched; Bahrain PDPL: Not researched</t>
  </si>
  <si>
    <t xml:space="preserve">Art. 8: processor duties</t>
  </si>
  <si>
    <t xml:space="preserve">Saudi PDPL: Art. 8: the controller must choose a processor that gives guarantees and stays responsible; Qatar PDPPL: Not researched; Bahrain PDPL: Not researched</t>
  </si>
  <si>
    <t xml:space="preserve">Attack classes to wiki controls</t>
  </si>
  <si>
    <t xml:space="preserve">NISTAML.011</t>
  </si>
  <si>
    <t xml:space="preserve">Model poisoning</t>
  </si>
  <si>
    <t xml:space="preserve">AI-CTRL-028, AI-CTRL-030, AI-CTRL-031</t>
  </si>
  <si>
    <t xml:space="preserve">Objective: Availability (predictive); Test case layers: L14, L16</t>
  </si>
  <si>
    <t xml:space="preserve">https://nachi065.github.io/AI-Security-Wiki/23_Framework_Crosswalks/14_NIST_AI_100_2_Crosswalk.html</t>
  </si>
  <si>
    <t xml:space="preserve">NISTAML.012</t>
  </si>
  <si>
    <t xml:space="preserve">Clean-label poisoning</t>
  </si>
  <si>
    <t xml:space="preserve">AI-CTRL-029, AI-CTRL-034</t>
  </si>
  <si>
    <t xml:space="preserve">AI-R05, AI-R07, AI-R08, AI-R16, AI-R17, AI-R20</t>
  </si>
  <si>
    <t xml:space="preserve">Objective: Availability and integrity (predictive); Test case layers: L13</t>
  </si>
  <si>
    <t xml:space="preserve">NISTAML.013</t>
  </si>
  <si>
    <t xml:space="preserve">Data poisoning</t>
  </si>
  <si>
    <t xml:space="preserve">AI-CTRL-019, AI-CTRL-029, AI-CTRL-034</t>
  </si>
  <si>
    <t xml:space="preserve">Objective: Availability (predictive); availability and integrity (generative); Test case layers: L13, L11</t>
  </si>
  <si>
    <t xml:space="preserve">Energy-latency</t>
  </si>
  <si>
    <t xml:space="preserve">Objective: Availability (predictive); Test case layers: D13</t>
  </si>
  <si>
    <t xml:space="preserve">NISTAML.015</t>
  </si>
  <si>
    <t xml:space="preserve">Indirect prompt injection</t>
  </si>
  <si>
    <t xml:space="preserve">AI-CTRL-005, AI-CTRL-019, AI-CTRL-022, AI-CTRL-026</t>
  </si>
  <si>
    <t xml:space="preserve">AI-R05, AI-R06, AI-R07, AI-R08, AI-R17, AI-R21, AI-R24</t>
  </si>
  <si>
    <t xml:space="preserve">Objective: Availability, integrity and privacy (generative); Test case layers: L07, L11, D10</t>
  </si>
  <si>
    <t xml:space="preserve">Prompt injection</t>
  </si>
  <si>
    <t xml:space="preserve">AI-CTRL-002, AI-CTRL-005, AI-CTRL-034</t>
  </si>
  <si>
    <t xml:space="preserve">AI-R01, AI-R03, AI-R05, AI-R06, AI-R07, AI-R16, AI-R17, AI-R20, AI-R24, AI-R27</t>
  </si>
  <si>
    <t xml:space="preserve">Objective: Availability, integrity, privacy and misuse (generative); Test case layers: L07, L08, D08</t>
  </si>
  <si>
    <t xml:space="preserve">NISTAML.021</t>
  </si>
  <si>
    <t xml:space="preserve">Clean-label backdoor</t>
  </si>
  <si>
    <t xml:space="preserve">AI-CTRL-029, AI-CTRL-031, AI-CTRL-034</t>
  </si>
  <si>
    <t xml:space="preserve">Objective: Integrity (predictive); Test case layers: L13</t>
  </si>
  <si>
    <t xml:space="preserve">NISTAML.022</t>
  </si>
  <si>
    <t xml:space="preserve">Evasion</t>
  </si>
  <si>
    <t xml:space="preserve">AI-CTRL-005, AI-CTRL-021, AI-CTRL-034</t>
  </si>
  <si>
    <t xml:space="preserve">AI-R03, AI-R05, AI-R06, AI-R07, AI-R16, AI-R17, AI-R20, AI-R24</t>
  </si>
  <si>
    <t xml:space="preserve">Objective: Integrity (predictive); Test case layers: L12, D11</t>
  </si>
  <si>
    <t xml:space="preserve">NISTAML.023</t>
  </si>
  <si>
    <t xml:space="preserve">Backdoor poisoning</t>
  </si>
  <si>
    <t xml:space="preserve">Objective: Integrity (predictive); integrity and privacy (generative); Test case layers: L13, L16</t>
  </si>
  <si>
    <t xml:space="preserve">NISTAML.024</t>
  </si>
  <si>
    <t xml:space="preserve">Targeted poisoning</t>
  </si>
  <si>
    <t xml:space="preserve">Objective: Integrity (predictive and generative); Test case layers: L13, L11</t>
  </si>
  <si>
    <t xml:space="preserve">NISTAML.025</t>
  </si>
  <si>
    <t xml:space="preserve">Black-box evasion</t>
  </si>
  <si>
    <t xml:space="preserve">AI-CTRL-005, AI-CTRL-034, AI-CTRL-036</t>
  </si>
  <si>
    <t xml:space="preserve">AI-R05, AI-R06, AI-R07, AI-R11, AI-R16, AI-R17, AI-R20, AI-R24</t>
  </si>
  <si>
    <t xml:space="preserve">Objective: Integrity (predictive); Test case layers: L12</t>
  </si>
  <si>
    <t xml:space="preserve">NISTAML.026</t>
  </si>
  <si>
    <t xml:space="preserve">Objective: Integrity (predictive); Test case layers: L14</t>
  </si>
  <si>
    <t xml:space="preserve">Misaligned outputs</t>
  </si>
  <si>
    <t xml:space="preserve">AI-CTRL-034, AI-CTRL-039, AI-CTRL-045</t>
  </si>
  <si>
    <t xml:space="preserve">Objective: Integrity (generative); Test case layers: L05, D08</t>
  </si>
  <si>
    <t xml:space="preserve">NISTAML.031</t>
  </si>
  <si>
    <t xml:space="preserve">Model extraction</t>
  </si>
  <si>
    <t xml:space="preserve">Objective: Privacy (predictive); Test case layers: L12</t>
  </si>
  <si>
    <t xml:space="preserve">NISTAML.032</t>
  </si>
  <si>
    <t xml:space="preserve">Reconstruction</t>
  </si>
  <si>
    <t xml:space="preserve">AI-CTRL-017, AI-CTRL-028, AI-CTRL-034</t>
  </si>
  <si>
    <t xml:space="preserve">AI-R01, AI-R03, AI-R05, AI-R06, AI-R07, AI-R08, AI-R16, AI-R17, AI-R20</t>
  </si>
  <si>
    <t xml:space="preserve">NISTAML.033</t>
  </si>
  <si>
    <t xml:space="preserve">Membership inference</t>
  </si>
  <si>
    <t xml:space="preserve">Objective: Privacy (predictive and generative); Test case layers: L12, L13</t>
  </si>
  <si>
    <t xml:space="preserve">NISTAML.034</t>
  </si>
  <si>
    <t xml:space="preserve">Property inference</t>
  </si>
  <si>
    <t xml:space="preserve">AI-CTRL-017, AI-CTRL-028</t>
  </si>
  <si>
    <t xml:space="preserve">NISTAML.035</t>
  </si>
  <si>
    <t xml:space="preserve">Prompt extraction</t>
  </si>
  <si>
    <t xml:space="preserve">Objective: Privacy (generative); Test case layers: L07</t>
  </si>
  <si>
    <t xml:space="preserve">NISTAML.036</t>
  </si>
  <si>
    <t xml:space="preserve">Leaking information from user interactions</t>
  </si>
  <si>
    <t xml:space="preserve">AI-CTRL-017, AI-CTRL-018, AI-CTRL-020</t>
  </si>
  <si>
    <t xml:space="preserve">AI-R01, AI-R03, AI-R05, AI-R06, AI-R17, AI-R24, AI-R26</t>
  </si>
  <si>
    <t xml:space="preserve">Objective: Privacy (generative); Test case layers: L10, L08</t>
  </si>
  <si>
    <t xml:space="preserve">NISTAML.037</t>
  </si>
  <si>
    <t xml:space="preserve">Training data attacks</t>
  </si>
  <si>
    <t xml:space="preserve">AI-CTRL-017, AI-CTRL-028, AI-CTRL-029</t>
  </si>
  <si>
    <t xml:space="preserve">Objective: Privacy (generative); Test case layers: L13</t>
  </si>
  <si>
    <t xml:space="preserve">NISTAML.038</t>
  </si>
  <si>
    <t xml:space="preserve">Data extraction</t>
  </si>
  <si>
    <t xml:space="preserve">AI-CTRL-017, AI-CTRL-020, AI-CTRL-028</t>
  </si>
  <si>
    <t xml:space="preserve">AI-R01, AI-R03, AI-R05, AI-R06, AI-R08, AI-R17, AI-R24, AI-R26</t>
  </si>
  <si>
    <t xml:space="preserve">Objective: Privacy (generative); Test case layers: L10, L12</t>
  </si>
  <si>
    <t xml:space="preserve">NISTAML.039</t>
  </si>
  <si>
    <t xml:space="preserve">Compromising connected resources</t>
  </si>
  <si>
    <t xml:space="preserve">AI-CTRL-016, AI-CTRL-022, AI-CTRL-024, AI-CTRL-027</t>
  </si>
  <si>
    <t xml:space="preserve">AI-R06, AI-R07, AI-R08, AI-R21, AI-R22, AI-R23, AI-R24, AI-R25</t>
  </si>
  <si>
    <t xml:space="preserve">Objective: Privacy (generative); Test case layers: L06, D09</t>
  </si>
  <si>
    <t xml:space="preserve">NISTAML.051</t>
  </si>
  <si>
    <t xml:space="preserve">Model poisoning (supply chain)</t>
  </si>
  <si>
    <t xml:space="preserve">Objective: Supply chain (predictive and generative); Test case layers: L16</t>
  </si>
  <si>
    <t xml:space="preserve">Report sections without an identifier</t>
  </si>
  <si>
    <t xml:space="preserve">3.5 Security of agents</t>
  </si>
  <si>
    <t xml:space="preserve">AI-CTRL-006, AI-CTRL-022, AI-CTRL-023, AI-CTRL-024, AI-CTRL-025, AI-CTRL-026, AI-CTRL-027</t>
  </si>
  <si>
    <t xml:space="preserve">AI-R05, AI-R07, AI-R08, AI-R11, AI-R19, AI-R21, AI-R22, AI-R23, AI-R24, AI-R25</t>
  </si>
  <si>
    <t xml:space="preserve">3.6 Benchmarks for AML vulnerabilities</t>
  </si>
  <si>
    <t xml:space="preserve">4.1 Key challenges in AML</t>
  </si>
  <si>
    <t xml:space="preserve">Limitations and Research Gaps</t>
  </si>
  <si>
    <t xml:space="preserve">ISO/IEC 38507: governance by the board</t>
  </si>
  <si>
    <t xml:space="preserve">4.2, 4.3</t>
  </si>
  <si>
    <t xml:space="preserve">Maintaining governance and accountability when introducing AI</t>
  </si>
  <si>
    <t xml:space="preserve">Where the wiki covers it: Governing body and accountable executive rows in the AI Governance Operating Model</t>
  </si>
  <si>
    <t xml:space="preserve">https://nachi065.github.io/AI-Security-Wiki/23_Framework_Crosswalks/15_ISO_IEC_AI_Standards_Crosswalk.html</t>
  </si>
  <si>
    <t xml:space="preserve">Governance oversight of AI</t>
  </si>
  <si>
    <t xml:space="preserve">AI-CTRL-013, AI-CTRL-017, AI-CTRL-029</t>
  </si>
  <si>
    <t xml:space="preserve">AI-R01, AI-R03, AI-R06, AI-R08, AI-R10, AI-R17, AI-R27, AI-R28</t>
  </si>
  <si>
    <t xml:space="preserve">Culture and values</t>
  </si>
  <si>
    <t xml:space="preserve">Risk (appetite, management, objectives, sourc</t>
  </si>
  <si>
    <t xml:space="preserve">Risk (appetite, management, objectives, sources, controls)</t>
  </si>
  <si>
    <t xml:space="preserve">ISO/IEC 42005: AI system impact assessment</t>
  </si>
  <si>
    <t xml:space="preserve">5.4, 5.12</t>
  </si>
  <si>
    <t xml:space="preserve">Timing; monitoring and review</t>
  </si>
  <si>
    <t xml:space="preserve">Thresholds for sensitive uses, restricted use</t>
  </si>
  <si>
    <t xml:space="preserve">Thresholds for sensitive uses, restricted uses and impact scales</t>
  </si>
  <si>
    <t xml:space="preserve">Where the wiki covers it: "When to run a full impact assessment" in the AI Use-Case Risk Triage</t>
  </si>
  <si>
    <t xml:space="preserve">Approval process</t>
  </si>
  <si>
    <t xml:space="preserve">AI system information, including intended and unintended uses</t>
  </si>
  <si>
    <t xml:space="preserve">AI-CTRL-029, AI-CTRL-042</t>
  </si>
  <si>
    <t xml:space="preserve">AI-R08, AI-R10, AI-R12, AI-R28</t>
  </si>
  <si>
    <t xml:space="preserve">Deployment environment (geography, languages,</t>
  </si>
  <si>
    <t xml:space="preserve">Deployment environment (geography, languages, constraints)</t>
  </si>
  <si>
    <t xml:space="preserve">AI-CTRL-007, AI-CTRL-042</t>
  </si>
  <si>
    <t xml:space="preserve">AI-CTRL-041, AI-CTRL-042</t>
  </si>
  <si>
    <t xml:space="preserve">AI-R10, AI-R12, AI-R14, AI-R15, AI-R28</t>
  </si>
  <si>
    <t xml:space="preserve">Actual and reasonably foreseeable impacts, in</t>
  </si>
  <si>
    <t xml:space="preserve">Actual and reasonably foreseeable impacts, including failures and misuse</t>
  </si>
  <si>
    <t xml:space="preserve">Measures to address harms and benefits</t>
  </si>
  <si>
    <t xml:space="preserve">ISO/IEC 42006: certification of AI management systems</t>
  </si>
  <si>
    <t xml:space="preserve">Specific technical competence requirements</t>
  </si>
  <si>
    <t xml:space="preserve">Where the wiki covers it: Evidence by control in the AI Security Audit and Evidence Checklist</t>
  </si>
  <si>
    <t xml:space="preserve">Access to the documentation of the organizati</t>
  </si>
  <si>
    <t xml:space="preserve">Access to the documentation of the organization</t>
  </si>
  <si>
    <t xml:space="preserve">Scope of certification</t>
  </si>
  <si>
    <t xml:space="preserve">Determining audit time</t>
  </si>
  <si>
    <t xml:space="preserve">AI-CTRL-011, AI-CTRL-014</t>
  </si>
  <si>
    <t xml:space="preserve">AI-R02, AI-R08, AI-R10, AI-R16, AI-R18</t>
  </si>
  <si>
    <t xml:space="preserve">Maintaining certification</t>
  </si>
  <si>
    <t xml:space="preserve">ISO/IEC 23894: AI risk management</t>
  </si>
  <si>
    <t xml:space="preserve">Leadership, integration and design of the framework</t>
  </si>
  <si>
    <t xml:space="preserve">6.2 to 6.7</t>
  </si>
  <si>
    <t xml:space="preserve">Risk management process</t>
  </si>
  <si>
    <t xml:space="preserve">Where the wiki covers it: AI Risk Methodology and the Risk Management section</t>
  </si>
  <si>
    <t xml:space="preserve">Annex B</t>
  </si>
  <si>
    <t xml:space="preserve">Risk sources</t>
  </si>
  <si>
    <t xml:space="preserve">Where the wiki covers it: Enterprise AI Risk Register; Threat Taxonomy</t>
  </si>
  <si>
    <t xml:space="preserve">Annex C</t>
  </si>
  <si>
    <t xml:space="preserve">Risk management and the AI system life cycle</t>
  </si>
  <si>
    <t xml:space="preserve">Where the wiki covers it: Risk, Control and Test Traceability</t>
  </si>
  <si>
    <t xml:space="preserve">ISO/IEC TR 24028: trustworthiness</t>
  </si>
  <si>
    <t xml:space="preserve">AI-specific security threats (data poisoning,</t>
  </si>
  <si>
    <t xml:space="preserve">AI-specific security threats (data poisoning, adversarial attacks, model stealing, hardware threats)</t>
  </si>
  <si>
    <t xml:space="preserve">AI-CTRL-028, AI-CTRL-029, AI-CTRL-032, AI-CTRL-034</t>
  </si>
  <si>
    <t xml:space="preserve">AI-R05, AI-R07, AI-R08, AI-R10, AI-R16, AI-R17, AI-R20</t>
  </si>
  <si>
    <t xml:space="preserve">AI-CTRL-013, AI-CTRL-017</t>
  </si>
  <si>
    <t xml:space="preserve">8.4 to 8.6</t>
  </si>
  <si>
    <t xml:space="preserve">Bias, unpredictability, opaqueness</t>
  </si>
  <si>
    <t xml:space="preserve">9.2, 9.3</t>
  </si>
  <si>
    <t xml:space="preserve">Transparency; explainability (ex-ante and ex-post, levels, evaluation)</t>
  </si>
  <si>
    <t xml:space="preserve">Controllability, including human-in-the-loop control points</t>
  </si>
  <si>
    <t xml:space="preserve">AI-CTRL-023, AI-CTRL-025, AI-CTRL-045</t>
  </si>
  <si>
    <t xml:space="preserve">AI-R07, AI-R11, AI-R12, AI-R14, AI-R18, AI-R19, AI-R21, AI-R25, AI-R28</t>
  </si>
  <si>
    <t xml:space="preserve">Testing and evaluation</t>
  </si>
  <si>
    <t xml:space="preserve">Product labelling</t>
  </si>
  <si>
    <t xml:space="preserve">Where the wiki covers it: EU T06 Transparency Notice</t>
  </si>
  <si>
    <t xml:space="preserve">ISO/IEC 5338: AI system life cycle processes</t>
  </si>
  <si>
    <t xml:space="preserve">Acquisition and supply processes</t>
  </si>
  <si>
    <t xml:space="preserve">Risk management; configuration management</t>
  </si>
  <si>
    <t xml:space="preserve">AI-CTRL-031, AI-CTRL-037</t>
  </si>
  <si>
    <t xml:space="preserve">AI-R02, AI-R08, AI-R16, AI-R18, AI-R23, AI-R28</t>
  </si>
  <si>
    <t xml:space="preserve">Knowledge acquisition process</t>
  </si>
  <si>
    <t xml:space="preserve">Verification and validation processes</t>
  </si>
  <si>
    <t xml:space="preserve">Continuous validation process</t>
  </si>
  <si>
    <t xml:space="preserve">Operation and maintenance processes</t>
  </si>
  <si>
    <t xml:space="preserve">AI-CTRL-009, AI-CTRL-040</t>
  </si>
  <si>
    <t xml:space="preserve">AI-R09, AI-R13, AI-R16</t>
  </si>
  <si>
    <t xml:space="preserve">Disposal process</t>
  </si>
  <si>
    <t xml:space="preserve">AI-CTRL-011, AI-CTRL-030</t>
  </si>
  <si>
    <t xml:space="preserve">AI-R02, AI-R08, AI-R18</t>
  </si>
  <si>
    <t xml:space="preserve">ISO/IEC 23053: ML system framework</t>
  </si>
  <si>
    <t xml:space="preserve">6.3 to 6.5</t>
  </si>
  <si>
    <t xml:space="preserve">Model, data and tools</t>
  </si>
  <si>
    <t xml:space="preserve">Where the wiki covers it: AI System Boundary and Assets</t>
  </si>
  <si>
    <t xml:space="preserve">Data acquisition and preparation</t>
  </si>
  <si>
    <t xml:space="preserve">Modelling; verification and validation</t>
  </si>
  <si>
    <t xml:space="preserve">AI-CTRL-030, AI-CTRL-034</t>
  </si>
  <si>
    <t xml:space="preserve">Model deployment and operation</t>
  </si>
  <si>
    <t xml:space="preserve">AI-CTRL-005, AI-CTRL-030</t>
  </si>
  <si>
    <t xml:space="preserve">AI-R05, AI-R06, AI-R08, AI-R24</t>
  </si>
  <si>
    <t xml:space="preserve">ISO/IEC 22989: concepts and terminology</t>
  </si>
  <si>
    <t xml:space="preserve">Terms and definitions</t>
  </si>
  <si>
    <t xml:space="preserve">Where the wiki covers it: AI Security Glossary and Taxonomy</t>
  </si>
  <si>
    <t xml:space="preserve">Trustworthiness (robustness, reliability, resilience, controllability, explainability, predictability, transparency, bias and fairness)</t>
  </si>
  <si>
    <t xml:space="preserve">AI-CTRL-034, AI-CTRL-039, AI-CTRL-040, AI-CTRL-041, AI-CTRL-045</t>
  </si>
  <si>
    <t xml:space="preserve">AI-R05, AI-R07, AI-R12, AI-R13, AI-R14, AI-R15, AI-R16, AI-R17, AI-R18, AI-R19, AI-R20, AI-R28</t>
  </si>
  <si>
    <t xml:space="preserve">AI stakeholder roles (provider, producer, cus</t>
  </si>
  <si>
    <t xml:space="preserve">AI stakeholder roles (provider, producer, customer, partner, subject, relevant authorities)</t>
  </si>
  <si>
    <t xml:space="preserve">Where the wiki covers it: Terminology and the Two-Axis Model; "Standard Vocabulary" in the glossary</t>
  </si>
  <si>
    <t xml:space="preserve">AI system life cycle stages (inception to ret</t>
  </si>
  <si>
    <t xml:space="preserve">AI system life cycle stages (inception to retirement)</t>
  </si>
  <si>
    <t xml:space="preserve">Where the wiki covers it: Home page section 6 lifecycle</t>
  </si>
  <si>
    <t xml:space="preserve">ISO/IEC 5259: data quality for analytics and ML</t>
  </si>
  <si>
    <t xml:space="preserve">Data life cycle for analytics and ML</t>
  </si>
  <si>
    <t xml:space="preserve">Data quality characteristics (24, from accuracy and completeness to balance, representativeness and timeliness)</t>
  </si>
  <si>
    <t xml:space="preserve">5259-2, 8</t>
  </si>
  <si>
    <t xml:space="preserve">Data quality reporting</t>
  </si>
  <si>
    <t xml:space="preserve">Where the wiki covers it: Board-Level Reporting in the AI Governance Operating Model</t>
  </si>
  <si>
    <t xml:space="preserve">Management of data quality in supply chains</t>
  </si>
  <si>
    <t xml:space="preserve">AI-CTRL-014, AI-CTRL-031</t>
  </si>
  <si>
    <t xml:space="preserve">5259-3, 12.8</t>
  </si>
  <si>
    <t xml:space="preserve">Data quality justification</t>
  </si>
  <si>
    <t xml:space="preserve">Where the wiki covers it: TC-L10-033</t>
  </si>
  <si>
    <t xml:space="preserve">5259-4, 8</t>
  </si>
  <si>
    <t xml:space="preserve">Data labelling methods and process</t>
  </si>
  <si>
    <t xml:space="preserve">5259-5, 7 and 8</t>
  </si>
  <si>
    <t xml:space="preserve">Responsibilities of the governing body and of management</t>
  </si>
  <si>
    <t xml:space="preserve">Where the wiki covers it: Data Owner row in the AI Governance Operating Model</t>
  </si>
  <si>
    <t xml:space="preserve">EU Ethics Guidelines for Trustworthy AI</t>
  </si>
  <si>
    <t xml:space="preserve">What the match covers: Oversight design, approval of sensitive actions, and the ability to stop a system.</t>
  </si>
  <si>
    <t xml:space="preserve">https://nachi065.github.io/AI-Security-Wiki/23_Framework_Crosswalks/16_Trustworthy_AI_Ethics_Crosswalk.html</t>
  </si>
  <si>
    <t xml:space="preserve">AI-CTRL-005, AI-CTRL-028, AI-CTRL-034, AI-CTRL-040</t>
  </si>
  <si>
    <t xml:space="preserve">AI-R05, AI-R06, AI-R07, AI-R08, AI-R13, AI-R16, AI-R17, AI-R20, AI-R24</t>
  </si>
  <si>
    <t xml:space="preserve">What the match covers: Adversarial testing, fail-safe operation, model and runtime protection.</t>
  </si>
  <si>
    <t xml:space="preserve">What the match covers: Privacy compliance, data protection in pipelines, data provenance and quality.</t>
  </si>
  <si>
    <t xml:space="preserve">Transparency</t>
  </si>
  <si>
    <t xml:space="preserve">AI-CTRL-008, AI-CTRL-039, AI-CTRL-041</t>
  </si>
  <si>
    <t xml:space="preserve">What the match covers: Explanations, grounded output and audit trails. Telling people they are dealing with AI is covered by the regional templates where a law requires it.</t>
  </si>
  <si>
    <t xml:space="preserve">Diversity, non-discrimination and fairness</t>
  </si>
  <si>
    <t xml:space="preserve">What the match covers: Bias testing and bias profiles. Accessibility for people with disabilities is not covered.</t>
  </si>
  <si>
    <t xml:space="preserve">Societal and environmental well-being</t>
  </si>
  <si>
    <t xml:space="preserve">Main wiki controls: None; What the match covers: The wiki has no control for societal or environmental effects. See Well-being and societal impact.</t>
  </si>
  <si>
    <t xml:space="preserve">AI-CTRL-008, AI-CTRL-012, AI-CTRL-037, AI-CTRL-038</t>
  </si>
  <si>
    <t xml:space="preserve">What the match covers: Roles, risk assessment, audit evidence and redress through human review.</t>
  </si>
  <si>
    <t xml:space="preserve">UNESCO Recommendation on the Ethics of Artificial Intelligence</t>
  </si>
  <si>
    <t xml:space="preserve">Proportionality and do no harm</t>
  </si>
  <si>
    <t xml:space="preserve">AI-CTRL-037, AI-CTRL-042</t>
  </si>
  <si>
    <t xml:space="preserve">AI-CTRL-005, AI-CTRL-034, AI-CTRL-040</t>
  </si>
  <si>
    <t xml:space="preserve">AI-R05, AI-R06, AI-R07, AI-R13, AI-R16, AI-R17, AI-R20, AI-R24</t>
  </si>
  <si>
    <t xml:space="preserve">Multi-stakeholder and adaptive governance ...</t>
  </si>
  <si>
    <t xml:space="preserve">AI-CTRL-012, AI-CTRL-043</t>
  </si>
  <si>
    <t xml:space="preserve">AI-R02, AI-R03, AI-R09, AI-R10, AI-R18, AI-R19, AI-R27, AI-R28</t>
  </si>
  <si>
    <t xml:space="preserve">Responsibility and accountability</t>
  </si>
  <si>
    <t xml:space="preserve">AI-CTRL-012, AI-CTRL-038</t>
  </si>
  <si>
    <t xml:space="preserve">AI-R02, AI-R03, AI-R09, AI-R15, AI-R18, AI-R19, AI-R27, AI-R28</t>
  </si>
  <si>
    <t xml:space="preserve">Human oversight and determination</t>
  </si>
  <si>
    <t xml:space="preserve">Sustainability</t>
  </si>
  <si>
    <t xml:space="preserve">Awareness and literacy</t>
  </si>
  <si>
    <t xml:space="preserve">Fairness and non-discrimination</t>
  </si>
  <si>
    <t xml:space="preserve">IEEE 7000-series standards</t>
  </si>
  <si>
    <t xml:space="preserve">Processes to elicit and prioritise stakeholders' ethical values and keep them traceable into design</t>
  </si>
  <si>
    <t xml:space="preserve">AI-CTRL-033, AI-CTRL-042</t>
  </si>
  <si>
    <t xml:space="preserve">AI-R05, AI-R07, AI-R08, AI-R10, AI-R12, AI-R14, AI-R16, AI-R28</t>
  </si>
  <si>
    <t xml:space="preserve">Partial: the wiki has no step for eliciting stakeholder values at inception.</t>
  </si>
  <si>
    <t xml:space="preserve">Structure from public sources: Clause 7 concept of operations and context exploration; 8 ethical values elicitation and prioritization; 9 ethical requirements definition; 10 ethical risk-based design; 11 transparency management (source: ESE practices notes)</t>
  </si>
  <si>
    <t xml:space="preserve">Measurable, testable levels of transparency</t>
  </si>
  <si>
    <t xml:space="preserve">AI-CTRL-008, AI-CTRL-035, AI-CTRL-039, AI-CTRL-041</t>
  </si>
  <si>
    <t xml:space="preserve">Partial: the wiki does not set a target transparency level for each audience. The draft's investigator levels (timestamped logs, decision logs, logged reasons) correspond to AI-CTRL-008.</t>
  </si>
  <si>
    <t xml:space="preserve">Structure from public sources: In the draft: five stakeholder groups (end users; general public and bystanders; safety certification agencies; incident and accident investigators; lawyers and expert witnesses), each with levels 0 to 5, and two processes, a system transparency assessment and a system transparency specification (source: Winfield et al. 2021, describing draft P7001/D1)</t>
  </si>
  <si>
    <t xml:space="preserve">Engineering process requirements for privacy in systems that use personal data, with privacy impact assessments and conformity checklists</t>
  </si>
  <si>
    <t xml:space="preserve">AI-CTRL-013, AI-CTRL-017, AI-CTRL-042</t>
  </si>
  <si>
    <t xml:space="preserve">AI-R01, AI-R03, AI-R06, AI-R10, AI-R12, AI-R17, AI-R27, AI-R28</t>
  </si>
  <si>
    <t xml:space="preserve">Structure from public sources: Not found in public sources</t>
  </si>
  <si>
    <t xml:space="preserve">IEEE 7003-2024</t>
  </si>
  <si>
    <t xml:space="preserve">Criteria for validation datasets for bias quality control; defining and communicating an algorithm's validated application boundaries; managing user expectations</t>
  </si>
  <si>
    <t xml:space="preserve">Structure from public sources: Clause 4 requirements and boundaries; 5 bias profile; 6 stakeholder identification; 7 data representation; 8 risk and impact assessment; 9.2 design and output evaluation; 9.3 ongoing evaluation (source: Modulos framework notes, which paraphrase the headings)</t>
  </si>
  <si>
    <t xml:space="preserve">IEEE 7010-2020</t>
  </si>
  <si>
    <t xml:space="preserve">Well-being impact assessment based on established well-being indicators and stakeholder engagement</t>
  </si>
  <si>
    <t xml:space="preserve">Structure from public sources: Five activities: internal analysis and stakeholder engagement; a well-being indicator dashboard; data planning and collection; data analysis and improvement; iteration (source: Schiff et al., working group members); Main wiki controls: None</t>
  </si>
  <si>
    <t xml:space="preserve">Council of Europe Framework Convention on Artificial Intelligence and Human Rights, Democracy and the Rule of Law (CETS No. 225)</t>
  </si>
  <si>
    <t xml:space="preserve">Art. 7</t>
  </si>
  <si>
    <t xml:space="preserve">Human dignity and individual autonomy</t>
  </si>
  <si>
    <t xml:space="preserve">AI-CTRL-042, AI-CTRL-045</t>
  </si>
  <si>
    <t xml:space="preserve">AI-R07, AI-R10, AI-R12, AI-R14, AI-R18, AI-R19, AI-R28</t>
  </si>
  <si>
    <t xml:space="preserve">https://nachi065.github.io/AI-Security-Wiki/23_Framework_Crosswalks/17_International_AI_Instruments_Crosswalk.html</t>
  </si>
  <si>
    <t xml:space="preserve">Art. 8</t>
  </si>
  <si>
    <t xml:space="preserve">Transparency and oversight</t>
  </si>
  <si>
    <t xml:space="preserve">AI-R07, AI-R12, AI-R14, AI-R18, AI-R19, AI-R20, AI-R28</t>
  </si>
  <si>
    <t xml:space="preserve">Accountability and responsibility</t>
  </si>
  <si>
    <t xml:space="preserve">AI-CTRL-008, AI-CTRL-012, AI-CTRL-038</t>
  </si>
  <si>
    <t xml:space="preserve">Art. 10</t>
  </si>
  <si>
    <t xml:space="preserve">Equality and non-discrimination</t>
  </si>
  <si>
    <t xml:space="preserve">Privacy and personal data protection</t>
  </si>
  <si>
    <t xml:space="preserve">Reliability</t>
  </si>
  <si>
    <t xml:space="preserve">AI-CTRL-034, AI-CTRL-039, AI-CTRL-040</t>
  </si>
  <si>
    <t xml:space="preserve">AI-R05, AI-R07, AI-R12, AI-R13, AI-R14, AI-R16, AI-R17, AI-R20</t>
  </si>
  <si>
    <t xml:space="preserve">Art. 13</t>
  </si>
  <si>
    <t xml:space="preserve">Safe innovation</t>
  </si>
  <si>
    <t xml:space="preserve">Main wiki controls and pages: Not mapped: it concerns controlled environments that states set up, such as regulatory sandboxes</t>
  </si>
  <si>
    <t xml:space="preserve">14, 15</t>
  </si>
  <si>
    <t xml:space="preserve">Remedies; procedural safeguards (including notice of interacting with AI)</t>
  </si>
  <si>
    <t xml:space="preserve">Art. 16</t>
  </si>
  <si>
    <t xml:space="preserve">Risk and impact management framework</t>
  </si>
  <si>
    <t xml:space="preserve">Art. 19</t>
  </si>
  <si>
    <t xml:space="preserve">Public consultation</t>
  </si>
  <si>
    <t xml:space="preserve">Main wiki controls and pages: UK-T3 Public Sector Transparency Record</t>
  </si>
  <si>
    <t xml:space="preserve">Art. 20</t>
  </si>
  <si>
    <t xml:space="preserve">Digital literacy and skills</t>
  </si>
  <si>
    <t xml:space="preserve">Art. 26</t>
  </si>
  <si>
    <t xml:space="preserve">Effective oversight mechanisms</t>
  </si>
  <si>
    <t xml:space="preserve">G7 Hiroshima Process International Code of Conduct for Organizations Developing Advanced AI Systems</t>
  </si>
  <si>
    <t xml:space="preserve">Action 1</t>
  </si>
  <si>
    <t xml:space="preserve">Take appropriate measures throughout development to identify, evaluate and mitigate risks</t>
  </si>
  <si>
    <t xml:space="preserve">AI-CTRL-033, AI-CTRL-034, AI-CTRL-037</t>
  </si>
  <si>
    <t xml:space="preserve">AI-R02, AI-R05, AI-R07, AI-R08, AI-R14, AI-R16, AI-R17, AI-R18, AI-R20, AI-R28</t>
  </si>
  <si>
    <t xml:space="preserve">Identify and mitigate vulnerabilities, incidents and patterns of misuse after deployment</t>
  </si>
  <si>
    <t xml:space="preserve">AI-CTRL-034, AI-CTRL-035, AI-CTRL-036</t>
  </si>
  <si>
    <t xml:space="preserve">AI-R05, AI-R07, AI-R09, AI-R11, AI-R16, AI-R17, AI-R20</t>
  </si>
  <si>
    <t xml:space="preserve">Action 3</t>
  </si>
  <si>
    <t xml:space="preserve">Publicly report capabilities, limitations and domains of appropriate and inappropriate use</t>
  </si>
  <si>
    <t xml:space="preserve">Action 4</t>
  </si>
  <si>
    <t xml:space="preserve">Work towards responsible information sharing and incident reporting among organizations</t>
  </si>
  <si>
    <t xml:space="preserve">Develop, implement and disclose AI governance and risk management policies</t>
  </si>
  <si>
    <t xml:space="preserve">AI-CTRL-012, AI-CTRL-037</t>
  </si>
  <si>
    <t xml:space="preserve">Action 6</t>
  </si>
  <si>
    <t xml:space="preserve">Invest in robust security controls, including physical security and cybersecurity</t>
  </si>
  <si>
    <t xml:space="preserve">AI-CTRL-028, AI-CTRL-030, AI-CTRL-032</t>
  </si>
  <si>
    <t xml:space="preserve">Action 7</t>
  </si>
  <si>
    <t xml:space="preserve">Develop and deploy content authentication and provenance mechanisms where technically feasible</t>
  </si>
  <si>
    <t xml:space="preserve">Action 8</t>
  </si>
  <si>
    <t xml:space="preserve">Prioritize research to mitigate societal, safety and security risks</t>
  </si>
  <si>
    <t xml:space="preserve">Main wiki controls and pages: Not mapped: a research commitment</t>
  </si>
  <si>
    <t xml:space="preserve">Action 9</t>
  </si>
  <si>
    <t xml:space="preserve">Prioritize development of advanced AI to address the world's greatest challenges</t>
  </si>
  <si>
    <t xml:space="preserve">Main wiki controls and pages: Not mapped: a purpose commitment</t>
  </si>
  <si>
    <t xml:space="preserve">Action 10</t>
  </si>
  <si>
    <t xml:space="preserve">Advance the development and adoption of international technical standards</t>
  </si>
  <si>
    <t xml:space="preserve">Main wiki controls and pages: Not mapped; see the standards crosswalks in this section</t>
  </si>
  <si>
    <t xml:space="preserve">Action 11</t>
  </si>
  <si>
    <t xml:space="preserve">Implement appropriate data input measures and protections for personal data and intellectual property</t>
  </si>
  <si>
    <t xml:space="preserve">AI-CTRL-013, AI-CTRL-029, AI-CTRL-046</t>
  </si>
  <si>
    <t xml:space="preserve">AI-R03, AI-R08, AI-R10, AI-R27, AI-R28</t>
  </si>
  <si>
    <t xml:space="preserve">Map categories to wiki risks</t>
  </si>
  <si>
    <t xml:space="preserve">01 Governance and oversight</t>
  </si>
  <si>
    <t xml:space="preserve">Governance and oversight</t>
  </si>
  <si>
    <t xml:space="preserve">Wiki risks: AI-R02, AI-R18; What the match leaves out: Shadow AI and use beyond approved purpose are register risks. Board oversight and the governance body are covered by the AI Governance Operating Model, not as risks.</t>
  </si>
  <si>
    <t xml:space="preserve">https://nachi065.github.io/AI-Security-Wiki/23_Framework_Crosswalks/18_AI_Risk_Map_Crosswalk.html</t>
  </si>
  <si>
    <t xml:space="preserve">01 Roles and accountability</t>
  </si>
  <si>
    <t xml:space="preserve">Roles and accountability</t>
  </si>
  <si>
    <t xml:space="preserve">Wiki risks: AI-R28; What the match leaves out: Named accountable owners are required in AI-R28 and the operating model. Segregation of duties across AI configuration, operation and review has no separate risk.</t>
  </si>
  <si>
    <t xml:space="preserve">01 Policy and standards</t>
  </si>
  <si>
    <t xml:space="preserve">Policy and standards</t>
  </si>
  <si>
    <t xml:space="preserve">Wiki risks: AI-R02</t>
  </si>
  <si>
    <t xml:space="preserve">01 Risk-management integration</t>
  </si>
  <si>
    <t xml:space="preserve">Risk-management integration</t>
  </si>
  <si>
    <t xml:space="preserve">Wiki risks: None</t>
  </si>
  <si>
    <t xml:space="preserve">Audit and assurance</t>
  </si>
  <si>
    <t xml:space="preserve">AI-R09, AI-R40</t>
  </si>
  <si>
    <t xml:space="preserve">Wiki risks: AI-R09, AI-R40</t>
  </si>
  <si>
    <t xml:space="preserve">02 Competitive position</t>
  </si>
  <si>
    <t xml:space="preserve">Competitive position</t>
  </si>
  <si>
    <t xml:space="preserve">Wiki risks: AI-R29; What the match leaves out: AI-R29 includes the risk of not adopting AI. Being cut off from customers by other parties' agents is not covered.</t>
  </si>
  <si>
    <t xml:space="preserve">02 AI strategy and roadmap</t>
  </si>
  <si>
    <t xml:space="preserve">AI strategy and roadmap</t>
  </si>
  <si>
    <t xml:space="preserve">Wiki risks: AI-R29</t>
  </si>
  <si>
    <t xml:space="preserve">02 Use-case selection and sourcing</t>
  </si>
  <si>
    <t xml:space="preserve">Use-case selection and sourcing</t>
  </si>
  <si>
    <t xml:space="preserve">AI-R18, AI-R29</t>
  </si>
  <si>
    <t xml:space="preserve">Wiki risks: AI-R29, AI-R18; What the match leaves out: The choice between training, fine-tuning, retrieval and an API has no separate risk.</t>
  </si>
  <si>
    <t xml:space="preserve">02 Value measurement / ROI</t>
  </si>
  <si>
    <t xml:space="preserve">Value measurement / ROI</t>
  </si>
  <si>
    <t xml:space="preserve">Wiki risks: AI-R29, AI-R30</t>
  </si>
  <si>
    <t xml:space="preserve">03 Sourcing and provenance</t>
  </si>
  <si>
    <t xml:space="preserve">Sourcing and provenance</t>
  </si>
  <si>
    <t xml:space="preserve">AI-R08, AI-R27</t>
  </si>
  <si>
    <t xml:space="preserve">Wiki risks: AI-R08, AI-R27</t>
  </si>
  <si>
    <t xml:space="preserve">03 Quality and labeling</t>
  </si>
  <si>
    <t xml:space="preserve">Quality and labeling</t>
  </si>
  <si>
    <t xml:space="preserve">Wiki risks: AI-R17</t>
  </si>
  <si>
    <t xml:space="preserve">Privacy and consent</t>
  </si>
  <si>
    <t xml:space="preserve">AI-R03, AI-R06, AI-R10, AI-R28</t>
  </si>
  <si>
    <t xml:space="preserve">Wiki risks: AI-R03, AI-R06, AI-R10, AI-R28; What the match leaves out: Leakage, processing and lawful use are covered. Honouring data subject rights once data is inside a model has no separate risk.</t>
  </si>
  <si>
    <t xml:space="preserve">03 Training-data rights and IP</t>
  </si>
  <si>
    <t xml:space="preserve">Training-data rights and IP</t>
  </si>
  <si>
    <t xml:space="preserve">AI-R27, AI-R36</t>
  </si>
  <si>
    <t xml:space="preserve">Wiki risks: AI-R27, AI-R36</t>
  </si>
  <si>
    <t xml:space="preserve">Retention and disposal</t>
  </si>
  <si>
    <t xml:space="preserve">AI-R21, AI-R38</t>
  </si>
  <si>
    <t xml:space="preserve">Wiki risks: AI-R38, AI-R21; What the match leaves out: Legal hold is AI-R38. Removing data absorbed into models, embeddings and replicated stores has no separate risk.</t>
  </si>
  <si>
    <t xml:space="preserve">04 Design and training</t>
  </si>
  <si>
    <t xml:space="preserve">Design and training</t>
  </si>
  <si>
    <t xml:space="preserve">Wiki risks: AI-R08</t>
  </si>
  <si>
    <t xml:space="preserve">Accuracy and validation</t>
  </si>
  <si>
    <t xml:space="preserve">AI-R12, AI-R39</t>
  </si>
  <si>
    <t xml:space="preserve">Wiki risks: AI-R12, AI-R39</t>
  </si>
  <si>
    <t xml:space="preserve">04 Robustness and drift</t>
  </si>
  <si>
    <t xml:space="preserve">Robustness and drift</t>
  </si>
  <si>
    <t xml:space="preserve">AI-R16, AI-R17</t>
  </si>
  <si>
    <t xml:space="preserve">Wiki risks: AI-R17, AI-R16</t>
  </si>
  <si>
    <t xml:space="preserve">04 Explainability</t>
  </si>
  <si>
    <t xml:space="preserve">Explainability</t>
  </si>
  <si>
    <t xml:space="preserve">Wiki risks: AI-R15</t>
  </si>
  <si>
    <t xml:space="preserve">04 Reproducibility and documentation</t>
  </si>
  <si>
    <t xml:space="preserve">Reproducibility and documentation</t>
  </si>
  <si>
    <t xml:space="preserve">Wiki risks: AI-R15, AI-R09; What the match leaves out: Decision records and audit logs are covered. Reproducible training pipelines have no separate risk.</t>
  </si>
  <si>
    <t xml:space="preserve">05 Data and pipeline attacks</t>
  </si>
  <si>
    <t xml:space="preserve">Data and pipeline attacks</t>
  </si>
  <si>
    <t xml:space="preserve">AI-R05, AI-R08</t>
  </si>
  <si>
    <t xml:space="preserve">Wiki risks: AI-R08, AI-R05</t>
  </si>
  <si>
    <t xml:space="preserve">05 Model attacks</t>
  </si>
  <si>
    <t xml:space="preserve">Model attacks</t>
  </si>
  <si>
    <t xml:space="preserve">Inference-time (input) attacks</t>
  </si>
  <si>
    <t xml:space="preserve">AI-R05, AI-R26</t>
  </si>
  <si>
    <t xml:space="preserve">Wiki risks: AI-R05, AI-R26</t>
  </si>
  <si>
    <t xml:space="preserve">Output and integration security</t>
  </si>
  <si>
    <t xml:space="preserve">AI-R06, AI-R07, AI-R24</t>
  </si>
  <si>
    <t xml:space="preserve">Wiki risks: AI-R06, AI-R24, AI-R07</t>
  </si>
  <si>
    <t xml:space="preserve">Supply-chain and artifact integrity</t>
  </si>
  <si>
    <t xml:space="preserve">AI-R08, AI-R23, AI-R43</t>
  </si>
  <si>
    <t xml:space="preserve">Wiki risks: AI-R08, AI-R23, AI-R43</t>
  </si>
  <si>
    <t xml:space="preserve">AI access and identity</t>
  </si>
  <si>
    <t xml:space="preserve">AI-R06, AI-R22, AI-R46</t>
  </si>
  <si>
    <t xml:space="preserve">Wiki risks: AI-R22, AI-R46, AI-R06</t>
  </si>
  <si>
    <t xml:space="preserve">Bias and fairness</t>
  </si>
  <si>
    <t xml:space="preserve">Wiki risks: AI-R14, AI-R32</t>
  </si>
  <si>
    <t xml:space="preserve">06 Harmful / inaccurate output</t>
  </si>
  <si>
    <t xml:space="preserve">Harmful / inaccurate output</t>
  </si>
  <si>
    <t xml:space="preserve">Wiki risks: AI-R12, AI-R20</t>
  </si>
  <si>
    <t xml:space="preserve">06 Transparency, disclosure and provenance</t>
  </si>
  <si>
    <t xml:space="preserve">Transparency, disclosure and provenance</t>
  </si>
  <si>
    <t xml:space="preserve">AI-R16, AI-R42</t>
  </si>
  <si>
    <t xml:space="preserve">Wiki risks: AI-R42, AI-R16; What the match leaves out: Disclosure that a user is talking to AI is part of AI-R42. Provenance of synthetic media, and telling customers when your AI service changes, have no separate risk.</t>
  </si>
  <si>
    <t xml:space="preserve">06 Misuse and dual-use</t>
  </si>
  <si>
    <t xml:space="preserve">Misuse and dual-use</t>
  </si>
  <si>
    <t xml:space="preserve">Wiki risks: AI-R12; What the match leaves out: Treated as one kind of harmful output, as in the NIST AI 600-1 Crosswalk.</t>
  </si>
  <si>
    <t xml:space="preserve">06 Human agency and over-reliance</t>
  </si>
  <si>
    <t xml:space="preserve">Human agency and over-reliance</t>
  </si>
  <si>
    <t xml:space="preserve">Wiki risks: AI-R19, AI-R42</t>
  </si>
  <si>
    <t xml:space="preserve">07 MLOps and deployment</t>
  </si>
  <si>
    <t xml:space="preserve">MLOps and deployment</t>
  </si>
  <si>
    <t xml:space="preserve">AI-R02, AI-R16</t>
  </si>
  <si>
    <t xml:space="preserve">Wiki risks: AI-R02, AI-R16</t>
  </si>
  <si>
    <t xml:space="preserve">Monitoring and observability</t>
  </si>
  <si>
    <t xml:space="preserve">AI-R09, AI-R45</t>
  </si>
  <si>
    <t xml:space="preserve">Wiki risks: AI-R09, AI-R45</t>
  </si>
  <si>
    <t xml:space="preserve">07 Availability and scalability</t>
  </si>
  <si>
    <t xml:space="preserve">Availability and scalability</t>
  </si>
  <si>
    <t xml:space="preserve">AI-R11, AI-R13</t>
  </si>
  <si>
    <t xml:space="preserve">Wiki risks: AI-R13, AI-R11</t>
  </si>
  <si>
    <t xml:space="preserve">07 Incident management</t>
  </si>
  <si>
    <t xml:space="preserve">Incident management</t>
  </si>
  <si>
    <t xml:space="preserve">Wiki risks: AI-R09</t>
  </si>
  <si>
    <t xml:space="preserve">07 Change and lifecycle management</t>
  </si>
  <si>
    <t xml:space="preserve">Change and lifecycle management</t>
  </si>
  <si>
    <t xml:space="preserve">AI-R16, AI-R31</t>
  </si>
  <si>
    <t xml:space="preserve">Wiki risks: AI-R16, AI-R31</t>
  </si>
  <si>
    <t xml:space="preserve">Regulatory compliance</t>
  </si>
  <si>
    <t xml:space="preserve">AI-R28, AI-R37</t>
  </si>
  <si>
    <t xml:space="preserve">Wiki risks: AI-R28, AI-R37</t>
  </si>
  <si>
    <t xml:space="preserve">08 IP and liability</t>
  </si>
  <si>
    <t xml:space="preserve">IP and liability</t>
  </si>
  <si>
    <t xml:space="preserve">Wiki risks: AI-R27, AI-R36; What the match leaves out: Liability for harm caused by AI decisions has no separate risk.</t>
  </si>
  <si>
    <t xml:space="preserve">08 Contractual and licensing</t>
  </si>
  <si>
    <t xml:space="preserve">Contractual and licensing</t>
  </si>
  <si>
    <t xml:space="preserve">AI-R10, AI-R36</t>
  </si>
  <si>
    <t xml:space="preserve">Wiki risks: AI-R36, AI-R10</t>
  </si>
  <si>
    <t xml:space="preserve">08 Cross-border</t>
  </si>
  <si>
    <t xml:space="preserve">Cross-border</t>
  </si>
  <si>
    <t xml:space="preserve">Wiki risks: AI-R10</t>
  </si>
  <si>
    <t xml:space="preserve">09 Foundation-model dependence</t>
  </si>
  <si>
    <t xml:space="preserve">Foundation-model dependence</t>
  </si>
  <si>
    <t xml:space="preserve">AI-R31, AI-R32</t>
  </si>
  <si>
    <t xml:space="preserve">Wiki risks: AI-R31, AI-R32</t>
  </si>
  <si>
    <t xml:space="preserve">09 Vendor due diligence</t>
  </si>
  <si>
    <t xml:space="preserve">Vendor due diligence</t>
  </si>
  <si>
    <t xml:space="preserve">AI-R10, AI-R41</t>
  </si>
  <si>
    <t xml:space="preserve">Wiki risks: AI-R10, AI-R41</t>
  </si>
  <si>
    <t xml:space="preserve">09 Lock-in and portability</t>
  </si>
  <si>
    <t xml:space="preserve">Lock-in and portability</t>
  </si>
  <si>
    <t xml:space="preserve">Wiki risks: AI-R31</t>
  </si>
  <si>
    <t xml:space="preserve">Open-source component risk</t>
  </si>
  <si>
    <t xml:space="preserve">AI-R08, AI-R44</t>
  </si>
  <si>
    <t xml:space="preserve">Wiki risks: AI-R08, AI-R44; What the match leaves out: Abandoned open-source dependencies have no separate risk.</t>
  </si>
  <si>
    <t xml:space="preserve">10 Skills and talent</t>
  </si>
  <si>
    <t xml:space="preserve">Skills and talent</t>
  </si>
  <si>
    <t xml:space="preserve">Wiki risks: AI-R34, AI-R33</t>
  </si>
  <si>
    <t xml:space="preserve">10 Deskilling and loss of institutional knowledge</t>
  </si>
  <si>
    <t xml:space="preserve">Deskilling and loss of institutional knowledge</t>
  </si>
  <si>
    <t xml:space="preserve">Wiki risks: AI-R33</t>
  </si>
  <si>
    <t xml:space="preserve">10 Workforce disruption / change</t>
  </si>
  <si>
    <t xml:space="preserve">Workforce disruption / change</t>
  </si>
  <si>
    <t xml:space="preserve">Wiki risks: AI-R34</t>
  </si>
  <si>
    <t xml:space="preserve">10 Societal and reputational</t>
  </si>
  <si>
    <t xml:space="preserve">Societal and reputational</t>
  </si>
  <si>
    <t xml:space="preserve">AI-R20, AI-R41</t>
  </si>
  <si>
    <t xml:space="preserve">Wiki risks: AI-R20, AI-R41</t>
  </si>
  <si>
    <t xml:space="preserve">Cost and compute economics</t>
  </si>
  <si>
    <t xml:space="preserve">AI-R11, AI-R30, AI-R35</t>
  </si>
  <si>
    <t xml:space="preserve">Wiki risks: AI-R11, AI-R30, AI-R35</t>
  </si>
  <si>
    <t xml:space="preserve">11 Investment / procurement</t>
  </si>
  <si>
    <t xml:space="preserve">Investment / procurement</t>
  </si>
  <si>
    <t xml:space="preserve">Wiki risks: AI-R30</t>
  </si>
  <si>
    <t xml:space="preserve">11 Scaling and resource constraints</t>
  </si>
  <si>
    <t xml:space="preserve">Scaling and resource constraints</t>
  </si>
  <si>
    <t xml:space="preserve">AI-R13, AI-R31</t>
  </si>
  <si>
    <t xml:space="preserve">Wiki risks: AI-R13, AI-R31; What the match leaves out: Scarcity of compute, GPUs or power has no separate risk.</t>
  </si>
  <si>
    <t xml:space="preserve">12 Autonomy, alignment and oversight</t>
  </si>
  <si>
    <t xml:space="preserve">Autonomy, alignment and oversight</t>
  </si>
  <si>
    <t xml:space="preserve">Wiki risks: AI-R07, AI-R19</t>
  </si>
  <si>
    <t xml:space="preserve">12 Tool access and authorization</t>
  </si>
  <si>
    <t xml:space="preserve">Tool access and authorization</t>
  </si>
  <si>
    <t xml:space="preserve">AI-R07, AI-R22, AI-R23</t>
  </si>
  <si>
    <t xml:space="preserve">Wiki risks: AI-R07, AI-R22, AI-R23</t>
  </si>
  <si>
    <t xml:space="preserve">12 Memory and context integrity</t>
  </si>
  <si>
    <t xml:space="preserve">Memory and context integrity</t>
  </si>
  <si>
    <t xml:space="preserve">Wiki risks: AI-R21</t>
  </si>
  <si>
    <t xml:space="preserve">Multi-agent orchestration</t>
  </si>
  <si>
    <t xml:space="preserve">Wiki risks: AI-R25</t>
  </si>
  <si>
    <t xml:space="preserve">12 Action integrity and traceability</t>
  </si>
  <si>
    <t xml:space="preserve">Action integrity and traceability</t>
  </si>
  <si>
    <t xml:space="preserve">AI-R07, AI-R09</t>
  </si>
  <si>
    <t xml:space="preserve">Wiki risks: AI-R07, AI-R09; What the match leaves out: Third parties being unable to tell that your agent acted has no separate risk.</t>
  </si>
  <si>
    <t xml:space="preserve">MCP Top 10 to wiki risks and controls</t>
  </si>
  <si>
    <t xml:space="preserve">Token Mismanagement &amp; Secret Exposure</t>
  </si>
  <si>
    <t xml:space="preserve">Wiki risks: AI-R22; Notes: Short-lived scoped tokens issued at call time; no secrets in configuration files or in the model's context.</t>
  </si>
  <si>
    <t xml:space="preserve">https://nachi065.github.io/AI-Security-Wiki/23_Framework_Crosswalks/19_OWASP_MCP_Top_10_Crosswalk.html</t>
  </si>
  <si>
    <t xml:space="preserve">MCP02:2025</t>
  </si>
  <si>
    <t xml:space="preserve">Privilege Escalation via Scope Creep</t>
  </si>
  <si>
    <t xml:space="preserve">AI-CTRL-016, AI-CTRL-024</t>
  </si>
  <si>
    <t xml:space="preserve">AI-R07, AI-R23</t>
  </si>
  <si>
    <t xml:space="preserve">Wiki risks: AI-R07, AI-R23; Notes: Least-privilege scopes, periodic review of granted scopes, and step-up authorization for sensitive tools.</t>
  </si>
  <si>
    <t xml:space="preserve">MCP03:2025</t>
  </si>
  <si>
    <t xml:space="preserve">Tool Poisoning</t>
  </si>
  <si>
    <t xml:space="preserve">AI-CTRL-024, AI-CTRL-026</t>
  </si>
  <si>
    <t xml:space="preserve">AI-R23, AI-R24</t>
  </si>
  <si>
    <t xml:space="preserve">Wiki risks: AI-R23, AI-R24; Notes: Review tool descriptions before approval, pin their hashes and alert on change (Builder Track B4).</t>
  </si>
  <si>
    <t xml:space="preserve">Software Supply Chain Attacks &amp; Dependency Tampering</t>
  </si>
  <si>
    <t xml:space="preserve">Wiki risks: AI-R23, AI-R08; Notes: Allow-listed sources, version pinning and review of updates. See the postmark-mcp case.</t>
  </si>
  <si>
    <t xml:space="preserve">MCP05:2025</t>
  </si>
  <si>
    <t xml:space="preserve">Command Injection &amp; Execution</t>
  </si>
  <si>
    <t xml:space="preserve">AI-CTRL-020, AI-CTRL-027</t>
  </si>
  <si>
    <t xml:space="preserve">Wiki risks: AI-R24, AI-R23; Notes: Validate tool inputs, never build shell strings, and run servers sandboxed. See the mcp-remote case.</t>
  </si>
  <si>
    <t xml:space="preserve">Prompt Injection via Contextual Payloads</t>
  </si>
  <si>
    <t xml:space="preserve">AI-CTRL-005, AI-CTRL-022</t>
  </si>
  <si>
    <t xml:space="preserve">AI-R05, AI-R24</t>
  </si>
  <si>
    <t xml:space="preserve">Wiki risks: AI-R05, AI-R24; Notes: Treat tool output as untrusted and break the lethal trifecta. See the GitHub MCP case.</t>
  </si>
  <si>
    <t xml:space="preserve">Insufficient Authentication &amp; Authorization</t>
  </si>
  <si>
    <t xml:space="preserve">AI-R07, AI-R46</t>
  </si>
  <si>
    <t xml:space="preserve">Wiki risks: AI-R07, AI-R46; Notes: OAuth with audience-bound tokens and no token passthrough; per-tool authorization.</t>
  </si>
  <si>
    <t xml:space="preserve">Lack of Audit and Telemetry</t>
  </si>
  <si>
    <t xml:space="preserve">Wiki risks: AI-R09, AI-R45; Notes: Log every call with arguments, result and the agent and user identity.</t>
  </si>
  <si>
    <t xml:space="preserve">Shadow MCP Servers</t>
  </si>
  <si>
    <t xml:space="preserve">AI-CTRL-001, AI-CTRL-024</t>
  </si>
  <si>
    <t xml:space="preserve">AI-R02, AI-R23</t>
  </si>
  <si>
    <t xml:space="preserve">Wiki risks: AI-R02, AI-R23; Notes: AI discovery and tool governance apply, but no control or test case names MCP servers on developer machines specifically.</t>
  </si>
  <si>
    <t xml:space="preserve">Context Injection &amp; Over-Sharing</t>
  </si>
  <si>
    <t xml:space="preserve">AI-CTRL-018, AI-CTRL-026</t>
  </si>
  <si>
    <t xml:space="preserve">AI-R06, AI-R21</t>
  </si>
  <si>
    <t xml:space="preserve">Wiki risks: AI-R06, AI-R21; Notes: Retrieval access control and memory isolation cover part of it. Isolation of shared context between sessions and tenants is not tested separately.</t>
  </si>
  <si>
    <t xml:space="preserve">Prepare the Organization (PO)</t>
  </si>
  <si>
    <t xml:space="preserve">PO.1</t>
  </si>
  <si>
    <t xml:space="preserve">Define Security Requirements for Software Development</t>
  </si>
  <si>
    <t xml:space="preserve">AI-CTRL-012, AI-CTRL-033</t>
  </si>
  <si>
    <t xml:space="preserve">AI-R02, AI-R03, AI-R05, AI-R07, AI-R08, AI-R14, AI-R16, AI-R18, AI-R19, AI-R27, AI-R28</t>
  </si>
  <si>
    <t xml:space="preserve">Wiki pages and code: AI Policy Standards and Acceptable Use, Domain Standards; Notes: SP 800-218A marks PO.1 as modified for AI. The domain standards are the AI security requirements a development team works to.</t>
  </si>
  <si>
    <t xml:space="preserve">https://nachi065.github.io/AI-Security-Wiki/23_Framework_Crosswalks/20_NIST_SSDF_Crosswalk.html</t>
  </si>
  <si>
    <t xml:space="preserve">PO.2</t>
  </si>
  <si>
    <t xml:space="preserve">Implement Roles and Responsibilities</t>
  </si>
  <si>
    <t xml:space="preserve">Wiki pages and code: AI Governance Operating Model, AI Product Developer Playbook; Notes: Role-based training is in the governance operating model.</t>
  </si>
  <si>
    <t xml:space="preserve">PO.3</t>
  </si>
  <si>
    <t xml:space="preserve">Implement Supporting Toolchains</t>
  </si>
  <si>
    <t xml:space="preserve">Wiki pages and code: AI Coding Assistant and Coding Agent Security Standard, Developer Pipeline Checks; Notes: AI coding assistants and coding agents are now part of the toolchain. The standard governs them; the Builder Track page runs the same checks in the agent, before commit and in CI.</t>
  </si>
  <si>
    <t xml:space="preserve">PO.4</t>
  </si>
  <si>
    <t xml:space="preserve">Define and Use Criteria for Software Security Checks</t>
  </si>
  <si>
    <t xml:space="preserve">Wiki pages and code: CI/CD release stages, pipeline gates; Notes: The two tables say which checks run at each stage and which ones block.</t>
  </si>
  <si>
    <t xml:space="preserve">Implement and Maintain Secure Environments for Software Development</t>
  </si>
  <si>
    <t xml:space="preserve">AI-CTRL-009, AI-CTRL-016, AI-CTRL-027, AI-CTRL-030</t>
  </si>
  <si>
    <t xml:space="preserve">AI-R06, AI-R07, AI-R08, AI-R09, AI-R21, AI-R22, AI-R25</t>
  </si>
  <si>
    <t xml:space="preserve">Wiki pages and code: ML pipeline tests, coding agent guardrails</t>
  </si>
  <si>
    <t xml:space="preserve">Protect the Software (PS)</t>
  </si>
  <si>
    <t xml:space="preserve">PS.1</t>
  </si>
  <si>
    <t xml:space="preserve">Protect All Forms of Code and Data from Unauthorized Access and Tampering</t>
  </si>
  <si>
    <t xml:space="preserve">Wiki pages and code: Model layer tests, Prompts and configuration as code</t>
  </si>
  <si>
    <t xml:space="preserve">PS.2</t>
  </si>
  <si>
    <t xml:space="preserve">Provide a Mechanism for Verifying Software Release Integrity</t>
  </si>
  <si>
    <t xml:space="preserve">AI-CTRL-030, AI-CTRL-031</t>
  </si>
  <si>
    <t xml:space="preserve">Wiki pages and code: CI/CD release stages (signing and signature verification); Notes: Signing of models, containers and prompt bundles, verified at deployment.</t>
  </si>
  <si>
    <t xml:space="preserve">Archive and Protect Each Software Release</t>
  </si>
  <si>
    <t xml:space="preserve">AI-CTRL-008, AI-CTRL-031</t>
  </si>
  <si>
    <t xml:space="preserve">AI-R08, AI-R09, AI-R15, AI-R16, AI-R23, AI-R26</t>
  </si>
  <si>
    <t xml:space="preserve">Wiki pages and code: AI-assisted commit identification, Developer Pipeline Checks; Notes: The AI-BOM records model and dataset provenance, and the AI-Assistance trailer records which changes an assistant or agent made. The wiki has no guidance on archiving releases themselves; that is general SSDF practice.</t>
  </si>
  <si>
    <t xml:space="preserve">Produce Well-Secured Software (PW)</t>
  </si>
  <si>
    <t xml:space="preserve">PW.1</t>
  </si>
  <si>
    <t xml:space="preserve">Design Software to Meet Security Requirements and Mitigate Security Risks</t>
  </si>
  <si>
    <t xml:space="preserve">AI-CTRL-033, AI-CTRL-037</t>
  </si>
  <si>
    <t xml:space="preserve">AI-R02, AI-R05, AI-R07, AI-R08, AI-R14, AI-R16, AI-R18, AI-R28</t>
  </si>
  <si>
    <t xml:space="preserve">Wiki pages and code: Reference Architecture, Agent Architecture Patterns; Notes: Risk assessment and design patterns that contain prompt injection and excessive agency.</t>
  </si>
  <si>
    <t xml:space="preserve">PW.2</t>
  </si>
  <si>
    <t xml:space="preserve">Review the Software Design to Verify Compliance with Security Requirements and Risk Information</t>
  </si>
  <si>
    <t xml:space="preserve">Wiki pages and code: Architect's review checklist; Notes: The release gate requires a security review record.</t>
  </si>
  <si>
    <t xml:space="preserve">PW.3</t>
  </si>
  <si>
    <t xml:space="preserve">Confirm the Integrity of Training, Testing, Fine-Tuning, and Aligning Data Before Use (SP 800-218A only)</t>
  </si>
  <si>
    <t xml:space="preserve">Wiki pages and code: Training and fine-tuning tests, Predictive Model Monitoring and Adversarial ML; Notes: Applies to model producers and to teams that fine-tune. Poisoning, provenance and personal data in training data are tested in L13.</t>
  </si>
  <si>
    <t xml:space="preserve">PW.4</t>
  </si>
  <si>
    <t xml:space="preserve">Reuse Existing, Well-Secured Software When Feasible Instead of Duplicating Functionality</t>
  </si>
  <si>
    <t xml:space="preserve">Wiki pages and code: Supply chain tests, dependency verification; Notes: Includes verifying that a package an assistant suggests exists and is not typosquatted (TC-L05-019, TC-L16-004).</t>
  </si>
  <si>
    <t xml:space="preserve">PW.5</t>
  </si>
  <si>
    <t xml:space="preserve">Create Source Code by Adhering to Secure Coding Practices</t>
  </si>
  <si>
    <t xml:space="preserve">Wiki pages and code: AI Coding Assistant and Coding Agent Security Standard, Secure Your First Agent; Notes: Generated code is held to the same secure coding rules; LLM output is handled as untrusted input.</t>
  </si>
  <si>
    <t xml:space="preserve">PW.6</t>
  </si>
  <si>
    <t xml:space="preserve">Configure the Compilation, Interpreter, and Build Processes to Improve Executable Security</t>
  </si>
  <si>
    <t xml:space="preserve">Wiki pages and code: Pipeline runner least privilege; Notes: The wiki covers pipeline and runner security, not compiler and build hardening, which is the same for AI software as for any other.</t>
  </si>
  <si>
    <t xml:space="preserve">PW.7</t>
  </si>
  <si>
    <t xml:space="preserve">Review and/or Analyze Human-Readable Code to Identify Vulnerabilities and Verify Compliance with Security Requirements</t>
  </si>
  <si>
    <t xml:space="preserve">AI-CTRL-031, AI-CTRL-033</t>
  </si>
  <si>
    <t xml:space="preserve">AI-R05, AI-R07, AI-R08, AI-R14, AI-R16, AI-R23</t>
  </si>
  <si>
    <t xml:space="preserve">Wiki pages and code: Insecure code suggestion detection, Developer Pipeline Checks; Notes: SP 800-218A extends review to scanning models for malicious content; the release stages table includes a model file scan.</t>
  </si>
  <si>
    <t xml:space="preserve">PW.8</t>
  </si>
  <si>
    <t xml:space="preserve">Test Executable Code to Identify Vulnerabilities and Verify Compliance with Security Requirements</t>
  </si>
  <si>
    <t xml:space="preserve">Wiki pages and code: Test Case Library, payload kit, AI Red Team Playbook; Notes: The 674 test cases are the AI-specific testing; each shows its validation level.</t>
  </si>
  <si>
    <t xml:space="preserve">PW.9</t>
  </si>
  <si>
    <t xml:space="preserve">Configure Software to Have Secure Settings by Default</t>
  </si>
  <si>
    <t xml:space="preserve">AI-CTRL-005, AI-CTRL-032</t>
  </si>
  <si>
    <t xml:space="preserve">AI-R05, AI-R06, AI-R08, AI-R10, AI-R24</t>
  </si>
  <si>
    <t xml:space="preserve">Wiki pages and code: Custom AI Application Runtime Security Standard; Notes: Runtime and infrastructure defaults are covered; the wiki has no secure-defaults checklist for AI products shipped to customers.</t>
  </si>
  <si>
    <t xml:space="preserve">Respond to Vulnerabilities (RV)</t>
  </si>
  <si>
    <t xml:space="preserve">RV.1</t>
  </si>
  <si>
    <t xml:space="preserve">Identify and Confirm Vulnerabilities on an Ongoing Basis</t>
  </si>
  <si>
    <t xml:space="preserve">AI-CTRL-009, AI-CTRL-034</t>
  </si>
  <si>
    <t xml:space="preserve">Wiki pages and code: Monitoring, detection and response tests; Notes: Scheduled re-runs of the evaluation and adversarial suites, and provider model change monitoring (TC-L16-013).</t>
  </si>
  <si>
    <t xml:space="preserve">RV.2</t>
  </si>
  <si>
    <t xml:space="preserve">Assess, Prioritize, and Remediate Vulnerabilities</t>
  </si>
  <si>
    <t xml:space="preserve">AI-CTRL-035, AI-CTRL-037</t>
  </si>
  <si>
    <t xml:space="preserve">AI-R02, AI-R09, AI-R18, AI-R20, AI-R28</t>
  </si>
  <si>
    <t xml:space="preserve">Wiki pages and code: AI Risk Methodology, operating defaults; Notes: Severity, response times and exception limits are in the operating defaults.</t>
  </si>
  <si>
    <t xml:space="preserve">RV.3</t>
  </si>
  <si>
    <t xml:space="preserve">Analyze Vulnerabilities to Identify Their Root Causes</t>
  </si>
  <si>
    <t xml:space="preserve">Wiki pages and code: Post-incident feedback, AI Security Incident Casebook; Notes: Model behaviour regressions and poisoning have their own forensic cases in the incident domain.</t>
  </si>
  <si>
    <t xml:space="preserve">Regulatory crosswalk: AI laws and guidance by jurisdiction</t>
  </si>
  <si>
    <t xml:space="preserve">Source: the wiki's 13 regional Regulatory Crosswalk pages. Keep the wiki's verification tags: an item marked "to verify" has not been checked against the primary text. Not legal advice.</t>
  </si>
  <si>
    <t xml:space="preserve">Jurisdiction</t>
  </si>
  <si>
    <t xml:space="preserve">ID</t>
  </si>
  <si>
    <t xml:space="preserve">Instrument / expectation</t>
  </si>
  <si>
    <t xml:space="preserve">Legal force</t>
  </si>
  <si>
    <t xml:space="preserve">Type / status</t>
  </si>
  <si>
    <t xml:space="preserve">Register risks (via controls)</t>
  </si>
  <si>
    <t xml:space="preserve">Verification tag (wiki)</t>
  </si>
  <si>
    <t xml:space="preserve">To verify (wiki)</t>
  </si>
  <si>
    <t xml:space="preserve">Primary URL and retrieval date (wiki)</t>
  </si>
  <si>
    <t xml:space="preserve">GCC</t>
  </si>
  <si>
    <t xml:space="preserve">U1</t>
  </si>
  <si>
    <t xml:space="preserve">Federal Decree-Law 45/2021 (PDPL)</t>
  </si>
  <si>
    <t xml:space="preserve">Binding law</t>
  </si>
  <si>
    <t xml:space="preserve">Binding</t>
  </si>
  <si>
    <t xml:space="preserve">AI-CTRL-007, AI-CTRL-013, AI-CTRL-017, AI-CTRL-035</t>
  </si>
  <si>
    <t xml:space="preserve">AI-R01, AI-R03, AI-R06, AI-R09, AI-R10, AI-R17, AI-R20, AI-R27, AI-R28</t>
  </si>
  <si>
    <t xml:space="preserve">Verified</t>
  </si>
  <si>
    <t xml:space="preserve">Executive Regulation status; later amendments</t>
  </si>
  <si>
    <t xml:space="preserve">UAE legislation portal: Federal Decree-Law No. 45 of 2021, retrieved 19 Oct 2026</t>
  </si>
  <si>
    <t xml:space="preserve">https://nachi065.github.io/AI-Security-Wiki/11_GCC_AI_Compliance/07_Regulatory_Crosswalk.html</t>
  </si>
  <si>
    <t xml:space="preserve">U2</t>
  </si>
  <si>
    <t xml:space="preserve">Federal Decree-Law 34/2021 (cybercrime)</t>
  </si>
  <si>
    <t xml:space="preserve">AI-CTRL-005, AI-CTRL-028, AI-CTRL-035</t>
  </si>
  <si>
    <t xml:space="preserve">AI-R05, AI-R06, AI-R08, AI-R09, AI-R20, AI-R24</t>
  </si>
  <si>
    <t xml:space="preserve">AI relevance</t>
  </si>
  <si>
    <t xml:space="preserve">UAE legislation portal: Federal Decree-Law No. 34 of 2021, retrieved 19 Oct 2026 (title, number, 20 Sep 2021 issue date and 74 articles read; AI is not named; Art. 54 covers e-robots used to spread false data)</t>
  </si>
  <si>
    <t xml:space="preserve">U3</t>
  </si>
  <si>
    <t xml:space="preserve">UAE Charter for Development and Use of AI</t>
  </si>
  <si>
    <t xml:space="preserve">Guidance</t>
  </si>
  <si>
    <t xml:space="preserve">Non-binding</t>
  </si>
  <si>
    <t xml:space="preserve">AI-CTRL-012, AI-CTRL-023, AI-CTRL-039</t>
  </si>
  <si>
    <t xml:space="preserve">AI-R02, AI-R03, AI-R07, AI-R12, AI-R14, AI-R18, AI-R19, AI-R20, AI-R27, AI-R28</t>
  </si>
  <si>
    <t xml:space="preserve">Conflict</t>
  </si>
  <si>
    <t xml:space="preserve">Publication month</t>
  </si>
  <si>
    <t xml:space="preserve">UAE legislation portal entry; Charter document, retrieved 19 Oct 2026 (both primary; the portal gives an issue date of 10 Jun 2024, the document cover says July 2024, so the month is still in conflict)</t>
  </si>
  <si>
    <t xml:space="preserve">U4</t>
  </si>
  <si>
    <t xml:space="preserve">UAE AI Ethics Principles and Self-Assessment</t>
  </si>
  <si>
    <t xml:space="preserve">Voluntary</t>
  </si>
  <si>
    <t xml:space="preserve">AI-CTRL-012, AI-CTRL-039, AI-CTRL-041</t>
  </si>
  <si>
    <t xml:space="preserve">AI-R02, AI-R03, AI-R12, AI-R14, AI-R15, AI-R18, AI-R19, AI-R20, AI-R27, AI-R28</t>
  </si>
  <si>
    <t xml:space="preserve">Reported</t>
  </si>
  <si>
    <t xml:space="preserve">Principle names</t>
  </si>
  <si>
    <t xml:space="preserve">U5</t>
  </si>
  <si>
    <t xml:space="preserve">Federal Authority for AI and Data</t>
  </si>
  <si>
    <t xml:space="preserve">Context</t>
  </si>
  <si>
    <t xml:space="preserve">Regulator (announced 14 Jun 2026)</t>
  </si>
  <si>
    <t xml:space="preserve">AI-CTRL-013, AI-CTRL-038</t>
  </si>
  <si>
    <t xml:space="preserve">AI-R03, AI-R09, AI-R10, AI-R15, AI-R27, AI-R28</t>
  </si>
  <si>
    <t xml:space="preserve">Official mandate</t>
  </si>
  <si>
    <t xml:space="preserve">U6</t>
  </si>
  <si>
    <t xml:space="preserve">DIFC DP Law and Regulation 10</t>
  </si>
  <si>
    <t xml:space="preserve">Binding in scope</t>
  </si>
  <si>
    <t xml:space="preserve">Binding in DIFC</t>
  </si>
  <si>
    <t xml:space="preserve">AI-CTRL-011, AI-CTRL-013, AI-CTRL-023, AI-CTRL-041</t>
  </si>
  <si>
    <t xml:space="preserve">AI-R02, AI-R03, AI-R07, AI-R10, AI-R12, AI-R14, AI-R15, AI-R18, AI-R19, AI-R27, AI-R28</t>
  </si>
  <si>
    <t xml:space="preserve">Enforcement date; ASO; certification</t>
  </si>
  <si>
    <t xml:space="preserve">DIFC Commissioner of Data Protection guidance page, retrieved 10 Oct 2026 (guidance listing only; it shows a Regulation 10 certification scheme)</t>
  </si>
  <si>
    <t xml:space="preserve">U7</t>
  </si>
  <si>
    <t xml:space="preserve">ADGM Data Protection Regulations</t>
  </si>
  <si>
    <t xml:space="preserve">Binding in ADGM</t>
  </si>
  <si>
    <t xml:space="preserve">Regulations text; current consolidated version</t>
  </si>
  <si>
    <t xml:space="preserve">ADGM briefing on the Data Protection Regulations 2021, retrieved 19 Oct 2026 (ADGM briefing slides: Data Protection Regulations 2021 enacted 11 Feb 2021, replacing the 2015 Regulations; they apply to processing by a controller or processor established in ADGM, wherever the processing happens. The regulations text was not read)</t>
  </si>
  <si>
    <t xml:space="preserve">U8</t>
  </si>
  <si>
    <t xml:space="preserve">Dubai AI Security Policy (DESC)</t>
  </si>
  <si>
    <t xml:space="preserve">Unclear</t>
  </si>
  <si>
    <t xml:space="preserve">Policy Sept 2024</t>
  </si>
  <si>
    <t xml:space="preserve">Obtain text</t>
  </si>
  <si>
    <t xml:space="preserve">CBUAE Guidance Note on AI/ML</t>
  </si>
  <si>
    <t xml:space="preserve">Supervisory guidance 23 Feb 2026</t>
  </si>
  <si>
    <t xml:space="preserve">AI-CTRL-011, AI-CTRL-014, AI-CTRL-023, AI-CTRL-025, AI-CTRL-041</t>
  </si>
  <si>
    <t xml:space="preserve">AI-R02, AI-R07, AI-R08, AI-R10, AI-R11, AI-R12, AI-R14, AI-R15, AI-R16, AI-R18, AI-R19, AI-R21, AI-R25</t>
  </si>
  <si>
    <t xml:space="preserve">Note text (Rulebook entry)</t>
  </si>
  <si>
    <t xml:space="preserve">CBUAE press release on the Guidance Note, retrieved 19 Oct 2026 (dated 23 Feb 2026; applies to licensed financial institutions; the note is hosted on the CBUAE Rulebook; note text not read)</t>
  </si>
  <si>
    <t xml:space="preserve">U10</t>
  </si>
  <si>
    <t xml:space="preserve">AIATC Law 3/2024</t>
  </si>
  <si>
    <t xml:space="preserve">Governance body</t>
  </si>
  <si>
    <t xml:space="preserve">U11</t>
  </si>
  <si>
    <t xml:space="preserve">UAE information assurance (NESA/IA)</t>
  </si>
  <si>
    <t xml:space="preserve">AI-CTRL-005, AI-CTRL-008, AI-CTRL-009, AI-CTRL-032</t>
  </si>
  <si>
    <t xml:space="preserve">AI-R05, AI-R06, AI-R08, AI-R09, AI-R10, AI-R15, AI-R24, AI-R26</t>
  </si>
  <si>
    <t xml:space="preserve">Unverified</t>
  </si>
  <si>
    <t xml:space="preserve">Custodian and version</t>
  </si>
  <si>
    <t xml:space="preserve">U12</t>
  </si>
  <si>
    <t xml:space="preserve">Dubai AI Seal</t>
  </si>
  <si>
    <t xml:space="preserve">Certification (procurement)</t>
  </si>
  <si>
    <t xml:space="preserve">Single source</t>
  </si>
  <si>
    <t xml:space="preserve">S1</t>
  </si>
  <si>
    <t xml:space="preserve">PDPL</t>
  </si>
  <si>
    <t xml:space="preserve">In-force vs enforcement dates</t>
  </si>
  <si>
    <t xml:space="preserve">SDAIA regulations and policies page, retrieved 10 Oct 2026 (listing only; dates not checked)</t>
  </si>
  <si>
    <t xml:space="preserve">S2</t>
  </si>
  <si>
    <t xml:space="preserve">SDAIA AI Ethics Principles</t>
  </si>
  <si>
    <t xml:space="preserve">Non-binding; SDAIA publishes document SDAIA-P114E, version 1, May 2025</t>
  </si>
  <si>
    <t xml:space="preserve">Number of principles; how it relates to the v2.0 text reported for Sept 2023</t>
  </si>
  <si>
    <t xml:space="preserve">AI Ethics Principles, retrieved 10 Oct 2026</t>
  </si>
  <si>
    <t xml:space="preserve">S3</t>
  </si>
  <si>
    <t xml:space="preserve">SDAIA Generative AI Guidelines</t>
  </si>
  <si>
    <t xml:space="preserve">Two guidelines, one for government and one for the public; the government edition's cover is dated 2025</t>
  </si>
  <si>
    <t xml:space="preserve">AI-CTRL-002, AI-CTRL-010, AI-CTRL-012</t>
  </si>
  <si>
    <t xml:space="preserve">The Jan 2024 date; how far the government edition binds</t>
  </si>
  <si>
    <t xml:space="preserve">Generative AI Guidelines for Government; SDAIA regulations and policies page, retrieved 10 Oct 2026</t>
  </si>
  <si>
    <t xml:space="preserve">S4</t>
  </si>
  <si>
    <t xml:space="preserve">SDAIA AI Adoption Framework</t>
  </si>
  <si>
    <t xml:space="preserve">Guiding reference for government and private entities; cover dated 2025</t>
  </si>
  <si>
    <t xml:space="preserve">Maturity levels; the Sept 2024 date</t>
  </si>
  <si>
    <t xml:space="preserve">AI Adoption Framework, retrieved 10 Oct 2026</t>
  </si>
  <si>
    <t xml:space="preserve">S5</t>
  </si>
  <si>
    <t xml:space="preserve">SDAIA National AI Risk Mgmt Framework (SDAIA-P145)</t>
  </si>
  <si>
    <t xml:space="preserve">Published 2026</t>
  </si>
  <si>
    <t xml:space="preserve">Date April vs July 2026; not listed on the SDAIA regulations page on 10 Oct 2026</t>
  </si>
  <si>
    <t xml:space="preserve">S6</t>
  </si>
  <si>
    <t xml:space="preserve">NCA ECC and CCC</t>
  </si>
  <si>
    <t xml:space="preserve">Binding gov and CNI</t>
  </si>
  <si>
    <t xml:space="preserve">AI-CTRL-005, AI-CTRL-008, AI-CTRL-032</t>
  </si>
  <si>
    <t xml:space="preserve">Applicability</t>
  </si>
  <si>
    <t xml:space="preserve">S7</t>
  </si>
  <si>
    <t xml:space="preserve">NCA NCNICC-1:2025</t>
  </si>
  <si>
    <t xml:space="preserve">Reported private sector from Jan 2026</t>
  </si>
  <si>
    <t xml:space="preserve">S8</t>
  </si>
  <si>
    <t xml:space="preserve">NCA AI Cybersecurity Guidelines</t>
  </si>
  <si>
    <t xml:space="preserve">Proposed</t>
  </si>
  <si>
    <t xml:space="preserve">Consultation closed 5 Aug 2026</t>
  </si>
  <si>
    <t xml:space="preserve">Final text</t>
  </si>
  <si>
    <t xml:space="preserve">NCA consultation announcement; NCA public consultations page, retrieved 19 Oct 2026 (feedback deadline 5 Aug 2026; listed as Closed; no final text published)</t>
  </si>
  <si>
    <t xml:space="preserve">S9</t>
  </si>
  <si>
    <t xml:space="preserve">Copyright TDM exception</t>
  </si>
  <si>
    <t xml:space="preserve">Reported eff. 12 Aug 2026</t>
  </si>
  <si>
    <t xml:space="preserve">Text</t>
  </si>
  <si>
    <t xml:space="preserve">S10</t>
  </si>
  <si>
    <t xml:space="preserve">NDMO/CST/SAMA localisation overlays</t>
  </si>
  <si>
    <t xml:space="preserve">Overlay</t>
  </si>
  <si>
    <t xml:space="preserve">All</t>
  </si>
  <si>
    <t xml:space="preserve">Q1</t>
  </si>
  <si>
    <t xml:space="preserve">Law 13/2016 PDPPL</t>
  </si>
  <si>
    <t xml:space="preserve">Articles</t>
  </si>
  <si>
    <t xml:space="preserve">Q2</t>
  </si>
  <si>
    <t xml:space="preserve">NCSA Guidelines for Secure Adoption and Usage of AI</t>
  </si>
  <si>
    <t xml:space="preserve">Voluntary (reported)</t>
  </si>
  <si>
    <t xml:space="preserve">Binding drift</t>
  </si>
  <si>
    <t xml:space="preserve">Q3</t>
  </si>
  <si>
    <t xml:space="preserve">MCIT Ethical AI Principles</t>
  </si>
  <si>
    <t xml:space="preserve">Year</t>
  </si>
  <si>
    <t xml:space="preserve">Q4</t>
  </si>
  <si>
    <t xml:space="preserve">QCB AI Guideline (4 Sep 2024)</t>
  </si>
  <si>
    <t xml:space="preserve">Reported binding for licensees</t>
  </si>
  <si>
    <t xml:space="preserve">AI-CTRL-011, AI-CTRL-023, AI-CTRL-033, AI-CTRL-041</t>
  </si>
  <si>
    <t xml:space="preserve">AI-R02, AI-R05, AI-R07, AI-R08, AI-R12, AI-R14, AI-R15, AI-R16, AI-R18, AI-R19</t>
  </si>
  <si>
    <t xml:space="preserve">Binding status</t>
  </si>
  <si>
    <t xml:space="preserve">Law 30/2018 PDPL</t>
  </si>
  <si>
    <t xml:space="preserve">Binding; Law No. (30) of 2018 with Respect to Personal Data Protection Law</t>
  </si>
  <si>
    <t xml:space="preserve">Personal Data Protection Authority: The Law, retrieved 19 Oct 2026 (re-read: Law No. (30) of 2018, promulgated 12 Jul 2018; no amendment listed)</t>
  </si>
  <si>
    <t xml:space="preserve">General Policy for Use of AI (May 2025)</t>
  </si>
  <si>
    <t xml:space="preserve">Reported binding on government</t>
  </si>
  <si>
    <t xml:space="preserve">Draft AI law (38 articles)</t>
  </si>
  <si>
    <t xml:space="preserve">Not enacted per sources</t>
  </si>
  <si>
    <t xml:space="preserve">Re-check</t>
  </si>
  <si>
    <t xml:space="preserve">CBB digital financial advice directives</t>
  </si>
  <si>
    <t xml:space="preserve">Sector</t>
  </si>
  <si>
    <t xml:space="preserve">O1</t>
  </si>
  <si>
    <t xml:space="preserve">National AI Policy (9 Apr 2025)</t>
  </si>
  <si>
    <t xml:space="preserve">Reported mandatory within scope</t>
  </si>
  <si>
    <t xml:space="preserve">AI-CTRL-011, AI-CTRL-037, AI-CTRL-038</t>
  </si>
  <si>
    <t xml:space="preserve">AI-R02, AI-R09, AI-R15, AI-R18, AI-R28</t>
  </si>
  <si>
    <t xml:space="preserve">O2</t>
  </si>
  <si>
    <t xml:space="preserve">PDPL amendments</t>
  </si>
  <si>
    <t xml:space="preserve">Issued by Royal Decree 68/2026 of 3 Sep 2026; published in Official Gazette 1664 on 6 Sep 2026; in force the day after publication (reported)</t>
  </si>
  <si>
    <t xml:space="preserve">Official Gazette text; amended articles</t>
  </si>
  <si>
    <t xml:space="preserve">K1</t>
  </si>
  <si>
    <t xml:space="preserve">None listed</t>
  </si>
  <si>
    <t xml:space="preserve">Not researched</t>
  </si>
  <si>
    <t xml:space="preserve">EU</t>
  </si>
  <si>
    <t xml:space="preserve">AI Act (Regulation (EU) 2024/1689) as amended by the Digital Omnibus on AI (Regulation (EU) 2026/1744)</t>
  </si>
  <si>
    <t xml:space="preserve">Binding; phased. Omnibus in force 27 Jul 2026</t>
  </si>
  <si>
    <t xml:space="preserve">Original Art. 113 wording; consolidated text</t>
  </si>
  <si>
    <t xml:space="preserve">Regulation (EU) 2024/1689; Regulation (EU) 2026/1744, retrieved 10 Oct 2026</t>
  </si>
  <si>
    <t xml:space="preserve">https://nachi065.github.io/AI-Security-Wiki/12_EU_AI_Compliance/07_Regulatory_Crosswalk.html</t>
  </si>
  <si>
    <t xml:space="preserve">E1a</t>
  </si>
  <si>
    <t xml:space="preserve">AI Act Art. 5 prohibited practices</t>
  </si>
  <si>
    <t xml:space="preserve">Applies from 2 Feb 2025; new points (ba) and (bb) from 2 Dec 2026</t>
  </si>
  <si>
    <t xml:space="preserve">Full list of prohibited practices</t>
  </si>
  <si>
    <t xml:space="preserve">Regulation (EU) 2026/1744, retrieved 10 Oct 2026</t>
  </si>
  <si>
    <t xml:space="preserve">E1b</t>
  </si>
  <si>
    <t xml:space="preserve">AI Act Art. 4 AI literacy</t>
  </si>
  <si>
    <t xml:space="preserve">Applies from 2 Feb 2025; reworded by the omnibus as a duty to support AI literacy</t>
  </si>
  <si>
    <t xml:space="preserve">Commission examples under Art. 4(2)</t>
  </si>
  <si>
    <t xml:space="preserve">AI Act high-risk (Arts. 9 to 17, 26, 27, 43 to 49, 72, 73)</t>
  </si>
  <si>
    <t xml:space="preserve">Annex III from 2 Dec 2027; Annex I from 2 Aug 2028</t>
  </si>
  <si>
    <t xml:space="preserve">AI-CTRL-008, AI-CTRL-013, AI-CTRL-023, AI-CTRL-034, AI-CTRL-035, AI-CTRL-037, AI-CTRL-038, AI-CTRL-039</t>
  </si>
  <si>
    <t xml:space="preserve">AI-R02, AI-R03, AI-R05, AI-R07, AI-R09, AI-R10, AI-R12, AI-R14, AI-R15, AI-R16, AI-R17, AI-R18, AI-R19, AI-R20, AI-R26, AI-R27, AI-R28</t>
  </si>
  <si>
    <t xml:space="preserve">Article text</t>
  </si>
  <si>
    <t xml:space="preserve">E1d</t>
  </si>
  <si>
    <t xml:space="preserve">AI Act Art. 50 transparency</t>
  </si>
  <si>
    <t xml:space="preserve">From 2 Aug 2026; systems placed on the market before that date have until 2 Dec 2026 for Art. 50(2)</t>
  </si>
  <si>
    <t xml:space="preserve">Verified; Reported</t>
  </si>
  <si>
    <t xml:space="preserve">General 2 Aug 2026 date in the original Art. 113</t>
  </si>
  <si>
    <t xml:space="preserve">E1e</t>
  </si>
  <si>
    <t xml:space="preserve">AI Act GPAI (Arts. 51 to 55)</t>
  </si>
  <si>
    <t xml:space="preserve">Applies since 2 Aug 2025; enforcement from 2 Aug 2026</t>
  </si>
  <si>
    <t xml:space="preserve">AI-CTRL-014, AI-CTRL-028, AI-CTRL-029</t>
  </si>
  <si>
    <t xml:space="preserve">Art. 113 text; guidelines</t>
  </si>
  <si>
    <t xml:space="preserve">Commission page on the GPAI guidelines, retrieved 10 Oct 2026 (states application from 2 Aug 2025; not the OJ text)</t>
  </si>
  <si>
    <t xml:space="preserve">GDPR</t>
  </si>
  <si>
    <t xml:space="preserve">Recalled</t>
  </si>
  <si>
    <t xml:space="preserve">Articles; national law</t>
  </si>
  <si>
    <t xml:space="preserve">Regulation (EU) 2016/679, retrieved 10 Oct 2026 (title and OJ reference only)</t>
  </si>
  <si>
    <t xml:space="preserve">EDPB opinion on AI models and personal data</t>
  </si>
  <si>
    <t xml:space="preserve">Guidance; Opinion 28/2024, adopted 18 Dec 2024</t>
  </si>
  <si>
    <t xml:space="preserve">Content</t>
  </si>
  <si>
    <t xml:space="preserve">EDPB Opinion 28/2024, retrieved 10 Oct 2026</t>
  </si>
  <si>
    <t xml:space="preserve">Digital Omnibus (data/GDPR)</t>
  </si>
  <si>
    <t xml:space="preserve">Proposal of 19 Nov 2025; Council mandate agreed 21 Oct 2026; Parliament position pending; not before 2027</t>
  </si>
  <si>
    <t xml:space="preserve">Parliament position; adoption date</t>
  </si>
  <si>
    <t xml:space="preserve">Council press release of 21 Oct 2026, retrieved 24 Oct 2026 (Council mandate only)</t>
  </si>
  <si>
    <t xml:space="preserve">NIS2</t>
  </si>
  <si>
    <t xml:space="preserve">Binding via national law</t>
  </si>
  <si>
    <t xml:space="preserve">AI-CTRL-005, AI-CTRL-035</t>
  </si>
  <si>
    <t xml:space="preserve">AI-R05, AI-R06, AI-R09, AI-R20, AI-R24</t>
  </si>
  <si>
    <t xml:space="preserve">National transposition</t>
  </si>
  <si>
    <t xml:space="preserve">Directive (EU) 2022/2555, retrieved 10 Oct 2026 (title only)</t>
  </si>
  <si>
    <t xml:space="preserve">DORA</t>
  </si>
  <si>
    <t xml:space="preserve">Binding for financial entities</t>
  </si>
  <si>
    <t xml:space="preserve">AI-CTRL-014, AI-CTRL-035</t>
  </si>
  <si>
    <t xml:space="preserve">AI-R08, AI-R09, AI-R10, AI-R16, AI-R20</t>
  </si>
  <si>
    <t xml:space="preserve">Technical standards</t>
  </si>
  <si>
    <t xml:space="preserve">Regulation (EU) 2022/2554, retrieved 10 Oct 2026 (title only)</t>
  </si>
  <si>
    <t xml:space="preserve">Cyber Resilience Act</t>
  </si>
  <si>
    <t xml:space="preserve">Applies from 11 Dec 2027; Art. 14 reporting from 11 Sep 2026; Chapter IV from 11 Jun 2026</t>
  </si>
  <si>
    <t xml:space="preserve">AI-CTRL-005, AI-CTRL-008</t>
  </si>
  <si>
    <t xml:space="preserve">AI-R05, AI-R06, AI-R09, AI-R15, AI-R24, AI-R26</t>
  </si>
  <si>
    <t xml:space="preserve">Scope for AI products</t>
  </si>
  <si>
    <t xml:space="preserve">Regulation (EU) 2024/2847, retrieved 10 Oct 2026</t>
  </si>
  <si>
    <t xml:space="preserve">Product Liability Directive (new)</t>
  </si>
  <si>
    <t xml:space="preserve">Directive; Member States transpose by 9 Dec 2026; applies to products placed on the market after that date</t>
  </si>
  <si>
    <t xml:space="preserve">Directive (EU) 2024/2853, retrieved 10 Oct 2026</t>
  </si>
  <si>
    <t xml:space="preserve">Data Act</t>
  </si>
  <si>
    <t xml:space="preserve">Regulation; applies from 12 Sep 2025</t>
  </si>
  <si>
    <t xml:space="preserve">AI-CTRL-007, AI-CTRL-014</t>
  </si>
  <si>
    <t xml:space="preserve">Later dates for Art. 3(1) and Chapter IV</t>
  </si>
  <si>
    <t xml:space="preserve">Regulation (EU) 2023/2854, retrieved 10 Oct 2026</t>
  </si>
  <si>
    <t xml:space="preserve">Digital Services Act</t>
  </si>
  <si>
    <t xml:space="preserve">Regulation</t>
  </si>
  <si>
    <t xml:space="preserve">Scope for AI</t>
  </si>
  <si>
    <t xml:space="preserve">Regulation (EU) 2022/2065, retrieved 10 Oct 2026 (title only)</t>
  </si>
  <si>
    <t xml:space="preserve">Copyright TDM opt-out</t>
  </si>
  <si>
    <t xml:space="preserve">Directive (EU) 2019/790 Art. 4; transposition was due 7 Jun 2021</t>
  </si>
  <si>
    <t xml:space="preserve">National law</t>
  </si>
  <si>
    <t xml:space="preserve">Directive (EU) 2019/790, retrieved 10 Oct 2026</t>
  </si>
  <si>
    <t xml:space="preserve">Commission guidelines: prohibited practices</t>
  </si>
  <si>
    <t xml:space="preserve">Guidance; published 4 Feb 2025</t>
  </si>
  <si>
    <t xml:space="preserve">Commission notice of publication, retrieved 10 Oct 2026</t>
  </si>
  <si>
    <t xml:space="preserve">E13</t>
  </si>
  <si>
    <t xml:space="preserve">Commission guidelines: GPAI</t>
  </si>
  <si>
    <t xml:space="preserve">Guidance (10 Jul 2025)</t>
  </si>
  <si>
    <t xml:space="preserve">Content; date (the Commission page shows none, and gives 10 Jul 2025 for the Code of Practice in E15)</t>
  </si>
  <si>
    <t xml:space="preserve">Commission page on the GPAI guidelines, retrieved 10 Oct 2026 (title only)</t>
  </si>
  <si>
    <t xml:space="preserve">E14</t>
  </si>
  <si>
    <t xml:space="preserve">Commission draft guidelines: high-risk classification</t>
  </si>
  <si>
    <t xml:space="preserve">Draft 19 May 2026; consultation closed 23 Jul 2026</t>
  </si>
  <si>
    <t xml:space="preserve">Final adoption</t>
  </si>
  <si>
    <t xml:space="preserve">Draft guidelines; Commission page on the high-risk guidelines, retrieved 24 Oct 2026 (still a draft; page updated 19 Oct 2026)</t>
  </si>
  <si>
    <t xml:space="preserve">E15</t>
  </si>
  <si>
    <t xml:space="preserve">GPAI Code of Practice</t>
  </si>
  <si>
    <t xml:space="preserve">Voluntary; published 10 Jul 2025</t>
  </si>
  <si>
    <t xml:space="preserve">Signatory list</t>
  </si>
  <si>
    <t xml:space="preserve">Commission page on the Code of Practice, retrieved 10 Oct 2026</t>
  </si>
  <si>
    <t xml:space="preserve">E16</t>
  </si>
  <si>
    <t xml:space="preserve">Code of Practice on marking and labelling AI content</t>
  </si>
  <si>
    <t xml:space="preserve">Voluntary; final 10 Jun 2026</t>
  </si>
  <si>
    <t xml:space="preserve">Adequacy assessment</t>
  </si>
  <si>
    <t xml:space="preserve">E17</t>
  </si>
  <si>
    <t xml:space="preserve">CEN-CENELEC JTC 21 standards (EN 18286:2026; prEN 18228, 18229, 18282, 18284)</t>
  </si>
  <si>
    <t xml:space="preserve">EN 18286 approved 12 Jul 2026, OJ citation pending; others draft</t>
  </si>
  <si>
    <t xml:space="preserve">AI-CTRL-005, AI-CTRL-012, AI-CTRL-013, AI-CTRL-037</t>
  </si>
  <si>
    <t xml:space="preserve">AI-R02, AI-R03, AI-R05, AI-R06, AI-R10, AI-R18, AI-R19, AI-R24, AI-R27, AI-R28</t>
  </si>
  <si>
    <t xml:space="preserve">Numbers; status</t>
  </si>
  <si>
    <t xml:space="preserve">E18</t>
  </si>
  <si>
    <t xml:space="preserve">Voluntary standard</t>
  </si>
  <si>
    <t xml:space="preserve">Not harmonised</t>
  </si>
  <si>
    <t xml:space="preserve">Australia</t>
  </si>
  <si>
    <t xml:space="preserve">AU1</t>
  </si>
  <si>
    <t xml:space="preserve">National AI Plan (Dec 2025)</t>
  </si>
  <si>
    <t xml:space="preserve">https://nachi065.github.io/AI-Security-Wiki/13_Australia_AI_Compliance/03_Regulatory_Crosswalk.html</t>
  </si>
  <si>
    <t xml:space="preserve">AU2</t>
  </si>
  <si>
    <t xml:space="preserve">Privacy Act automated decision transparency (APP 1.7 to 1.9)</t>
  </si>
  <si>
    <t xml:space="preserve">Binding; commences 10 Dec 2026 (OAIC statement, Allens)</t>
  </si>
  <si>
    <t xml:space="preserve">Consolidated Privacy Act compilation (the PDF could not be retrieved)</t>
  </si>
  <si>
    <t xml:space="preserve">Privacy and Other Legislation Amendment Act 2024 (No. 128, 2024), as made, Sch 1 Part 15; OAIC: new resources on transparency for use of AI and automated decision-making (30 Sep 2026); OAIC: APP guidelines, chapter 1, retrieved 22 Oct 2026 (Part 15 commences 24 months after Royal Assent, shown in the Act as 10 December 2026; the OAIC still gives that date)</t>
  </si>
  <si>
    <t xml:space="preserve">AU3</t>
  </si>
  <si>
    <t xml:space="preserve">OAIC privacy policy compliance sweep</t>
  </si>
  <si>
    <t xml:space="preserve">Regulator action; began first week of Jan 2026</t>
  </si>
  <si>
    <t xml:space="preserve">AI-CTRL-013, AI-CTRL-035</t>
  </si>
  <si>
    <t xml:space="preserve">AI-R03, AI-R09, AI-R10, AI-R20, AI-R27, AI-R28</t>
  </si>
  <si>
    <t xml:space="preserve">A formal OAIC outcomes report (none found); no AI-specific sweep found</t>
  </si>
  <si>
    <t xml:space="preserve">OAIC: privacy compliance sweep to put privacy policies under the spotlight (9 Dec 2025); OAIC: Privacy Awareness Week 2026 IAPP keynote, retrieved 22 Oct 2026 (the sweep covered about 60 entities in six sectors against APP 1.4; the keynote says non-compliance was found in a significant proportion)</t>
  </si>
  <si>
    <t xml:space="preserve">AU3a</t>
  </si>
  <si>
    <t xml:space="preserve">Privacy Act civil penalty tiers</t>
  </si>
  <si>
    <t xml:space="preserve">Binding; three tiers: serious interference (s 13G), interference (s 13H) and infringement notices (s 13K). From 10 Dec 2026 a breach of APP 1.7 is added to the s 13K list</t>
  </si>
  <si>
    <t xml:space="preserve">Current compiled text of s 13G and s 13H (the 2024 Act changed "greater" to "greatest"); whether s 13G or s 13H could also apply to an APP 1.7 to 1.9 breach</t>
  </si>
  <si>
    <t xml:space="preserve">Privacy and Other Legislation Amendment Act 2024, as made, Sch 1 Part 15 item 87; OAIC: Guide to privacy regulatory action, chapter 7; OAIC: infringement notices, retrieved 22 Oct 2026 (s 13G: individuals up to $2.5 million; bodies corporate the greater of $50 million, three times the benefit or 30% of adjusted turnover (OAIC guide); infringement notices 12 penalty units for individuals and 60 for bodies corporate (OAIC, 22 Sep 2026))</t>
  </si>
  <si>
    <t xml:space="preserve">Guidance for AI Adoption (National AI Centre, 21 Oct 2025; replaces the Voluntary AI Safety Standard)</t>
  </si>
  <si>
    <t xml:space="preserve">AI-CTRL-012, AI-CTRL-023, AI-CTRL-037</t>
  </si>
  <si>
    <t xml:space="preserve">AI-R02, AI-R03, AI-R07, AI-R18, AI-R19, AI-R27, AI-R28</t>
  </si>
  <si>
    <t xml:space="preserve">The guidance does not itself use the word voluntary; the label is this wiki's reading</t>
  </si>
  <si>
    <t xml:space="preserve">DISR: Guidance for AI Adoption; DISR: Guidance for AI Adoption, Foundations; DISR: Voluntary AI Safety Standard, retrieved 22 Oct 2026 (six practices: decide who is accountable; understand impacts and plan accordingly; measure and manage risks; share essential information; test and monitor; maintain human control)</t>
  </si>
  <si>
    <t xml:space="preserve">AU5</t>
  </si>
  <si>
    <t xml:space="preserve">AI Safety Institute (early 2026; AUD 29.9M)</t>
  </si>
  <si>
    <t xml:space="preserve">Government body</t>
  </si>
  <si>
    <t xml:space="preserve">Exact launch date (the institute page and its establishment release refused automated retrieval)</t>
  </si>
  <si>
    <t xml:space="preserve">Minister for Industry: National AI Plan: Empowering all Australians; DISR: Corporate Plan 2026-30, retrieved 22 Oct 2026 (the release gives early 2026 and $29.9 million; the corporate plan calls the institute newly established)</t>
  </si>
  <si>
    <t xml:space="preserve">AU6</t>
  </si>
  <si>
    <t xml:space="preserve">Further deepfake and "nudify" app restrictions; Victoria considering</t>
  </si>
  <si>
    <t xml:space="preserve">Under consideration; no bill found as at 22 Oct 2026. Deepfake sexual material offences already exist under the Criminal Code Amendment (Deepfake Sexual Material) Act 2024 (No. 78, 2024)</t>
  </si>
  <si>
    <t xml:space="preserve">Victoria status; commencement and offence text of the 2024 Act</t>
  </si>
  <si>
    <t xml:space="preserve">Federal Register of Legislation: Criminal Code Amendment (Deepfake Sexual Material) Act 2024, as made; DISR: National AI Plan, Keep Australians safe, retrieved 22 Oct 2026 (the Plan says non-consensual deepfake material is already a crime and that further restrictions on nudify apps are being considered; the NSW bill formerly in this row is now AU6a)</t>
  </si>
  <si>
    <t xml:space="preserve">AU6a</t>
  </si>
  <si>
    <t xml:space="preserve">NSW Work Health and Safety Amendment (Digital Work Systems) Act 2026 (No. 5 of 2026)</t>
  </si>
  <si>
    <t xml:space="preserve">Binding in NSW; passed 12 Feb 2026, assented 18 Feb 2026</t>
  </si>
  <si>
    <t xml:space="preserve">Commencement date and section text (the bill PDF and the NSW legislation site could not be read automatically)</t>
  </si>
  <si>
    <t xml:space="preserve">Parliament of NSW: Work Health and Safety Amendment (Digital Work Systems) Bill 2025, retrieved 22 Oct 2026 (introduced 19 Nov 2025; passed with amendments; Act No. 5 of 2026)</t>
  </si>
  <si>
    <t xml:space="preserve">AU7</t>
  </si>
  <si>
    <t xml:space="preserve">Australian Consumer Law</t>
  </si>
  <si>
    <t xml:space="preserve">Binding. Treasury's Review of AI and the ACL (final report 3 Oct 2025) found the ACL can generally handle AI; ACCC AI industry snapshot (Dec 2025)</t>
  </si>
  <si>
    <t xml:space="preserve">ACL text; no ACCC guidance specific to AI found</t>
  </si>
  <si>
    <t xml:space="preserve">Treasury: Review of AI and the Australian Consumer Law, final report; ACCC: Recent developments in AI, industry snapshot, retrieved 22 Oct 2026 (the ACL text itself was not read)</t>
  </si>
  <si>
    <t xml:space="preserve">APRA CPS 230 and CPS 234</t>
  </si>
  <si>
    <t xml:space="preserve">Binding for regulated entities; amended CPS 230 (Determination No. 1 of 2026) commenced 1 Jul 2026. APRA Letter to Industry on AI (30 Apr 2026) says existing prudential standards apply to AI risk</t>
  </si>
  <si>
    <t xml:space="preserve">AI-CTRL-005, AI-CTRL-014, AI-CTRL-035</t>
  </si>
  <si>
    <t xml:space="preserve">AI-R05, AI-R06, AI-R08, AI-R09, AI-R10, AI-R16, AI-R20, AI-R24</t>
  </si>
  <si>
    <t xml:space="preserve">CPS 234 text; the AI letter does not name CPS 230 or CPS 234</t>
  </si>
  <si>
    <t xml:space="preserve">APRA: CPS 230 Operational Risk Management; APRA: targeted amendments to CPS 230 finalised; APRA: Letter to Industry on artificial intelligence, retrieved 22 Oct 2026 (CPS 230 and the AI letter were read; CPS 234 was not, so the row moves from Recalled to Reported, not Verified)</t>
  </si>
  <si>
    <t xml:space="preserve">Brazil</t>
  </si>
  <si>
    <t xml:space="preserve">PL 2338/2023 (AI bill)</t>
  </si>
  <si>
    <t xml:space="preserve">Pending; Senate approved 10 Dec 2024; awaiting committee opinion in the Chamber as at 2 Sep 2026</t>
  </si>
  <si>
    <t xml:space="preserve">AI-CTRL-011, AI-CTRL-037, AI-CTRL-041</t>
  </si>
  <si>
    <t xml:space="preserve">AI-R02, AI-R12, AI-R14, AI-R15, AI-R18, AI-R28</t>
  </si>
  <si>
    <t xml:space="preserve">Chamber text, once the rapporteur files an opinion</t>
  </si>
  <si>
    <t xml:space="preserve">Senado Federal: PL 2338/2023 record; Camara dos Deputados: PL 2338/2023 tramitacao, retrieved 22 Oct 2026 (Senate approved the substitute on 10 Dec 2024; the Chamber page shows "Aguardando Parecer do(a) Relator(a) na Comissao Especial", no amendments and no entry after 2 Sep 2026)</t>
  </si>
  <si>
    <t xml:space="preserve">https://nachi065.github.io/AI-Security-Wiki/14_Brazil_AI_Compliance/03_Regulatory_Crosswalk.html</t>
  </si>
  <si>
    <t xml:space="preserve">LGPD (Law 13.709/2018)</t>
  </si>
  <si>
    <t xml:space="preserve">Binding. Lei 15.352/2026 (25 Feb 2026) made the ANPD a special-regime agency (Agencia Nacional de Protecao de Dados) linked to the Ministry of Justice; Art. 20 not amended</t>
  </si>
  <si>
    <t xml:space="preserve">LGPD text and Art. 20 wording (the planalto LGPD page could not be read automatically); ANPD rules on Art. 20</t>
  </si>
  <si>
    <t xml:space="preserve">Planalto: Lei 15.352 de 25 de fevereiro de 2026, retrieved 22 Oct 2026 (the amending law was read; the LGPD itself was not, so the tag stays Recalled)</t>
  </si>
  <si>
    <t xml:space="preserve">ANPD and sector regulators advancing AI regulation</t>
  </si>
  <si>
    <t xml:space="preserve">Regulator activity. ANPD: AI and data protection regulatory sandbox (testing methodology 19 Aug 2026); AI a priority theme for 2026-27 (Resolucao CD/ANPD 30/2025); enforces duties of language-model and chatbot providers towards minors (Decreto 12.880/2026, Art. 11)</t>
  </si>
  <si>
    <t xml:space="preserve">AI-R02, AI-R03, AI-R10, AI-R18, AI-R19, AI-R27, AI-R28</t>
  </si>
  <si>
    <t xml:space="preserve">Sector regulators (no primary BCB or CMN AI rule found); Lei 15.487/2026 (AI and sexual violence against children) not read</t>
  </si>
  <si>
    <t xml:space="preserve">ANPD: Mapa de Temas Prioritarios 2026-2027 (24 Dec 2025); ANPD: sandbox testing methodology (19 Aug 2026); Planalto: Decreto 12.880 de 18 de marco de 2026, retrieved 22 Oct 2026</t>
  </si>
  <si>
    <t xml:space="preserve">Consumer Defence Code and sector rules (finance, health)</t>
  </si>
  <si>
    <t xml:space="preserve">Binding. Decreto 13.135/2026 (customer service, published 13 Oct 2026, in force 2 Nov 2026 under Art. 25) allows automated and AI systems only if the consumer can choose real-time service by a person (Art. 3 para 3)</t>
  </si>
  <si>
    <t xml:space="preserve">AI-CTRL-014, AI-CTRL-039</t>
  </si>
  <si>
    <t xml:space="preserve">AI-R08, AI-R10, AI-R12, AI-R14, AI-R16, AI-R20</t>
  </si>
  <si>
    <t xml:space="preserve">Consumer Defence Code (Law 8.078/1990) text; finance and health sector rules</t>
  </si>
  <si>
    <t xml:space="preserve">Planalto: Decreto 13.135 de 9 de outubro de 2026, retrieved 22 Oct 2026 (the decree revokes Decreto 11.034/2022; Art. 25 sets entry into force 20 days after publication, and 2 Nov 2026 is this wiki's count; the Code itself was not read, so the tag stays Recalled)</t>
  </si>
  <si>
    <t xml:space="preserve">Canada</t>
  </si>
  <si>
    <t xml:space="preserve">CA1</t>
  </si>
  <si>
    <t xml:space="preserve">Artificial Intelligence and Data Act (Bill C-27)</t>
  </si>
  <si>
    <t xml:space="preserve">Lapsed 6 Jan 2025; not resurrected as drafted</t>
  </si>
  <si>
    <t xml:space="preserve">New bills</t>
  </si>
  <si>
    <t xml:space="preserve">https://nachi065.github.io/AI-Security-Wiki/15_Canada_AI_Compliance/03_Regulatory_Crosswalk.html</t>
  </si>
  <si>
    <t xml:space="preserve">CA2</t>
  </si>
  <si>
    <t xml:space="preserve">PIPEDA</t>
  </si>
  <si>
    <t xml:space="preserve">Binding federal privacy law</t>
  </si>
  <si>
    <t xml:space="preserve">AI-CTRL-007, AI-CTRL-013, AI-CTRL-035</t>
  </si>
  <si>
    <t xml:space="preserve">OPC guidance applying PIPEDA to AI (the joint generative AI principles of 7 Dec 2023 do not name PIPEDA)</t>
  </si>
  <si>
    <t xml:space="preserve">Justice Laws: PIPEDA (S.C. 2000, c. 5), current to 30 Sep 2026; OPC: principles for responsible, trustworthy and privacy-protective generative AI, retrieved 22 Oct 2026</t>
  </si>
  <si>
    <t xml:space="preserve">Quebec Law 25</t>
  </si>
  <si>
    <t xml:space="preserve">AI-CTRL-013, AI-CTRL-023, AI-CTRL-041</t>
  </si>
  <si>
    <t xml:space="preserve">AI-R03, AI-R07, AI-R10, AI-R12, AI-R14, AI-R15, AI-R19, AI-R27, AI-R28</t>
  </si>
  <si>
    <t xml:space="preserve">s. 8.1 (profiling technology) and the public-sector Act (CQLR c. A-2.1, s. 65.2)</t>
  </si>
  <si>
    <t xml:space="preserve">LegisQuebec: Act respecting the protection of personal information in the private sector (CQLR c. P-39.1), PDF updated to 12 Aug 2026, retrieved 22 Oct 2026 (s. 12.1, decisions based exclusively on automated processing, added by 2021, c. 25, s. 110.1)</t>
  </si>
  <si>
    <t xml:space="preserve">CA4</t>
  </si>
  <si>
    <t xml:space="preserve">Treasury Board Directive on Automated Decision-Making; Algorithmic Impact Assessment</t>
  </si>
  <si>
    <t xml:space="preserve">Binding for federal institutions; flows to vendors</t>
  </si>
  <si>
    <t xml:space="preserve">AI-CTRL-011, AI-CTRL-037, AI-CTRL-039</t>
  </si>
  <si>
    <t xml:space="preserve">AI-R02, AI-R12, AI-R14, AI-R18, AI-R20, AI-R28</t>
  </si>
  <si>
    <t xml:space="preserve">Current version</t>
  </si>
  <si>
    <t xml:space="preserve">CA5</t>
  </si>
  <si>
    <t xml:space="preserve">Voluntary Code of Conduct on generative AI (ISED)</t>
  </si>
  <si>
    <t xml:space="preserve">AI-CTRL-012, AI-CTRL-039</t>
  </si>
  <si>
    <t xml:space="preserve">AI-R02, AI-R03, AI-R12, AI-R14, AI-R18, AI-R19, AI-R20, AI-R27, AI-R28</t>
  </si>
  <si>
    <t xml:space="preserve">Nothing outstanding</t>
  </si>
  <si>
    <t xml:space="preserve">ISED: Voluntary Code of Conduct on the Responsible Development and Management of Advanced Generative AI Systems, retrieved 22 Oct 2026 (the page, modified 4 Jun 2026, lists 46 signatories)</t>
  </si>
  <si>
    <t xml:space="preserve">CA6</t>
  </si>
  <si>
    <t xml:space="preserve">OSFI Guideline E-23</t>
  </si>
  <si>
    <t xml:space="preserve">Guidance for federally regulated FIs; final version published 11 Sep 2025, effective 1 May 2027</t>
  </si>
  <si>
    <t xml:space="preserve">OSFI: Guideline E-23, Model Risk Management (2027); OSFI: Guideline E-23 letter, retrieved 22 Oct 2026 (covers all models including AI and machine learning; federally regulated pension plans were dropped from the final version)</t>
  </si>
  <si>
    <t xml:space="preserve">CA7</t>
  </si>
  <si>
    <t xml:space="preserve">Bills C-34 (digital safety incl. AI chatbots) and C-36 (privacy reform)</t>
  </si>
  <si>
    <t xml:space="preserve">Bills</t>
  </si>
  <si>
    <t xml:space="preserve">AI-CTRL-013, AI-CTRL-039</t>
  </si>
  <si>
    <t xml:space="preserve">AI-R03, AI-R10, AI-R12, AI-R14, AI-R20, AI-R27, AI-R28</t>
  </si>
  <si>
    <t xml:space="preserve">LEGISinfo bill pages (not retrievable automatically on 22 Oct 2026)</t>
  </si>
  <si>
    <t xml:space="preserve">Parliament of Canada: LEGISinfo, bills of the 45th Parliament, 1st session; Bill C-34, first reading; Bill C-36, first reading, retrieved 22 Oct 2026 (C-34 (Safe Social Media Act; defines "chatbot service") and C-36 (Protecting Privacy and Consumer Data Act) are both at second reading in the House of Commons)</t>
  </si>
  <si>
    <t xml:space="preserve">CA8</t>
  </si>
  <si>
    <t xml:space="preserve">Provincial public-sector AI rules (Ontario: Enhancing Digital Security and Trust Act, 2024; Responsible Use of AI Directive)</t>
  </si>
  <si>
    <t xml:space="preserve">Ontario: EDSTA (S.O. 2024, c. 24, Sch. 1) AI provisions ss. 5 and 6 in force 29 Jan 2025, operating through regulations (none on AI found); Responsible Use of AI Directive mandatory for ministries and provincial agencies since 1 Dec 2024</t>
  </si>
  <si>
    <t xml:space="preserve">Other provinces; Ontario e-Laws consolidation of EDSTA</t>
  </si>
  <si>
    <t xml:space="preserve">Legislative Assembly of Ontario: Bill 194; Ontario: Order in Council 361/2025; Ontario: Enhancing Digital Security and Trust Act; Ontario: Responsible use of artificial intelligence directive, retrieved 22 Oct 2026 (Royal Assent 25 Nov 2024; the only regulations listed are O. Reg. 51/26 (cyber security) and 52/26 (digital technology affecting people under 18), both from 1 Jul 2026)</t>
  </si>
  <si>
    <t xml:space="preserve">China</t>
  </si>
  <si>
    <t xml:space="preserve">CN1</t>
  </si>
  <si>
    <t xml:space="preserve">Interim Measures for the Management of Generative AI Services (2023)</t>
  </si>
  <si>
    <t xml:space="preserve">Binding administrative measures</t>
  </si>
  <si>
    <t xml:space="preserve">AI-CTRL-012, AI-CTRL-013, AI-CTRL-039</t>
  </si>
  <si>
    <t xml:space="preserve">AI-R02, AI-R03, AI-R10, AI-R12, AI-R14, AI-R18, AI-R19, AI-R20, AI-R27, AI-R28</t>
  </si>
  <si>
    <r>
      <rPr>
        <sz val="10"/>
        <rFont val="Arial"/>
        <family val="0"/>
        <charset val="1"/>
      </rPr>
      <t xml:space="preserve">State Council policy library: </t>
    </r>
    <r>
      <rPr>
        <sz val="10"/>
        <rFont val="WenQuanYi Zen Hei"/>
        <family val="2"/>
      </rPr>
      <t xml:space="preserve">生成式人工智能服务管理暂行办法 </t>
    </r>
    <r>
      <rPr>
        <sz val="10"/>
        <rFont val="Arial"/>
        <family val="0"/>
        <charset val="1"/>
      </rPr>
      <t xml:space="preserve">(CAC and six other bodies, Order No. 15), retrieved 22 Oct 2026 (effective 15 Aug 2023; Art. 17 requires a security assessment and algorithm filing only for services with public-opinion or social-mobilisation attributes; no numeric threshold)</t>
    </r>
  </si>
  <si>
    <t xml:space="preserve">https://nachi065.github.io/AI-Security-Wiki/16_China_AI_Compliance/03_Regulatory_Crosswalk.html</t>
  </si>
  <si>
    <t xml:space="preserve">CN2</t>
  </si>
  <si>
    <t xml:space="preserve">Provisions on Algorithm Recommendation (2022)</t>
  </si>
  <si>
    <t xml:space="preserve">AI-CTRL-011, AI-CTRL-013, AI-CTRL-039</t>
  </si>
  <si>
    <t xml:space="preserve">AI-R02, AI-R03, AI-R10, AI-R12, AI-R14, AI-R18, AI-R20, AI-R27, AI-R28</t>
  </si>
  <si>
    <r>
      <rPr>
        <sz val="10"/>
        <rFont val="Arial"/>
        <family val="0"/>
        <charset val="1"/>
      </rPr>
      <t xml:space="preserve">CAC: </t>
    </r>
    <r>
      <rPr>
        <sz val="10"/>
        <rFont val="WenQuanYi Zen Hei"/>
        <family val="2"/>
      </rPr>
      <t xml:space="preserve">互联网信息服务算法推荐管理规定 </t>
    </r>
    <r>
      <rPr>
        <sz val="10"/>
        <rFont val="Arial"/>
        <family val="0"/>
        <charset val="1"/>
      </rPr>
      <t xml:space="preserve">(Order No. 9), retrieved 22 Oct 2026 (effective 1 Mar 2022; filing within 10 working days of starting the service (Art. 24))</t>
    </r>
  </si>
  <si>
    <t xml:space="preserve">CN3</t>
  </si>
  <si>
    <t xml:space="preserve">Provisions on Deep Synthesis (2023)</t>
  </si>
  <si>
    <r>
      <rPr>
        <sz val="10"/>
        <rFont val="Arial"/>
        <family val="0"/>
        <charset val="1"/>
      </rPr>
      <t xml:space="preserve">CAC: </t>
    </r>
    <r>
      <rPr>
        <sz val="10"/>
        <rFont val="WenQuanYi Zen Hei"/>
        <family val="2"/>
      </rPr>
      <t xml:space="preserve">互联网信息服务深度合成管理规定 </t>
    </r>
    <r>
      <rPr>
        <sz val="10"/>
        <rFont val="Arial"/>
        <family val="0"/>
        <charset val="1"/>
      </rPr>
      <t xml:space="preserve">(Order No. 12), retrieved 22 Oct 2026 (effective 10 Jan 2023; scope in Art. 2, definition in Art. 23)</t>
    </r>
  </si>
  <si>
    <t xml:space="preserve">CN4</t>
  </si>
  <si>
    <t xml:space="preserve">Measures for labelling AI-generated content; mandatory standard GB 45438-2025</t>
  </si>
  <si>
    <t xml:space="preserve">Binding; effective 1 Sep 2025</t>
  </si>
  <si>
    <r>
      <rPr>
        <sz val="10"/>
        <rFont val="Arial"/>
        <family val="0"/>
        <charset val="1"/>
      </rPr>
      <t xml:space="preserve">CAC: </t>
    </r>
    <r>
      <rPr>
        <sz val="10"/>
        <rFont val="WenQuanYi Zen Hei"/>
        <family val="2"/>
      </rPr>
      <t xml:space="preserve">人工智能生成合成内容标识办法 </t>
    </r>
    <r>
      <rPr>
        <sz val="10"/>
        <rFont val="Arial"/>
        <family val="0"/>
        <charset val="1"/>
      </rPr>
      <t xml:space="preserve">(CAC, MIIT, MPS and NRTA); SAMR national standards system: GB 45438-2025, retrieved 22 Oct 2026 (the measures and the standard both take effect 1 Sep 2025; Art. 11 of the measures refers to mandatory national standards without naming GB 45438)</t>
    </r>
  </si>
  <si>
    <r>
      <rPr>
        <sz val="10"/>
        <rFont val="Arial"/>
        <family val="0"/>
        <charset val="1"/>
      </rPr>
      <t xml:space="preserve">Measures for AI Science and Technology Ethics Review and Services (Trial) (</t>
    </r>
    <r>
      <rPr>
        <sz val="10"/>
        <rFont val="WenQuanYi Zen Hei"/>
        <family val="2"/>
      </rPr>
      <t xml:space="preserve">人工智能科技伦理审查与服务办法（试行）</t>
    </r>
    <r>
      <rPr>
        <sz val="10"/>
        <rFont val="Arial"/>
        <family val="0"/>
        <charset val="1"/>
      </rPr>
      <t xml:space="preserve">, MIIT and nine other bodies)</t>
    </r>
  </si>
  <si>
    <r>
      <rPr>
        <sz val="10"/>
        <rFont val="Arial"/>
        <family val="0"/>
        <charset val="1"/>
      </rPr>
      <t xml:space="preserve">Trial measures (</t>
    </r>
    <r>
      <rPr>
        <sz val="10"/>
        <rFont val="WenQuanYi Zen Hei"/>
        <family val="2"/>
      </rPr>
      <t xml:space="preserve">工信部联科〔</t>
    </r>
    <r>
      <rPr>
        <sz val="10"/>
        <rFont val="Arial"/>
        <family val="0"/>
        <charset val="1"/>
      </rPr>
      <t xml:space="preserve">2026</t>
    </r>
    <r>
      <rPr>
        <sz val="10"/>
        <rFont val="WenQuanYi Zen Hei"/>
        <family val="2"/>
      </rPr>
      <t xml:space="preserve">〕</t>
    </r>
    <r>
      <rPr>
        <sz val="10"/>
        <rFont val="Arial"/>
        <family val="0"/>
        <charset val="1"/>
      </rPr>
      <t xml:space="preserve">75</t>
    </r>
    <r>
      <rPr>
        <sz val="10"/>
        <rFont val="WenQuanYi Zen Hei"/>
        <family val="2"/>
      </rPr>
      <t xml:space="preserve">号</t>
    </r>
    <r>
      <rPr>
        <sz val="10"/>
        <rFont val="Arial"/>
        <family val="0"/>
        <charset val="1"/>
      </rPr>
      <t xml:space="preserve">); effective on issuance (notice dated 20 Mar 2026; published 2 and 3 Apr 2026)</t>
    </r>
  </si>
  <si>
    <t xml:space="preserve">AI-CTRL-012, AI-CTRL-037, AI-CTRL-041</t>
  </si>
  <si>
    <t xml:space="preserve">AI-R02, AI-R03, AI-R12, AI-R14, AI-R15, AI-R18, AI-R19, AI-R27, AI-R28</t>
  </si>
  <si>
    <t xml:space="preserve">Whether a trial normative document fits the label Binding law</t>
  </si>
  <si>
    <t xml:space="preserve">State Council policy library: notice and measures; Full text (PDF); MIIT: notice, retrieved 22 Oct 2026 (Art. 37: in force from the date of issue; scope in Art. 2 is AI research and development that may create ethics risks)</t>
  </si>
  <si>
    <r>
      <rPr>
        <sz val="10"/>
        <rFont val="Arial"/>
        <family val="0"/>
        <charset val="1"/>
      </rPr>
      <t xml:space="preserve">Interim Measures for the Administration of Anthropomorphic AI Interactive Services (</t>
    </r>
    <r>
      <rPr>
        <sz val="10"/>
        <rFont val="WenQuanYi Zen Hei"/>
        <family val="2"/>
      </rPr>
      <t xml:space="preserve">人工智能拟人化互动服务管理暂行办法</t>
    </r>
    <r>
      <rPr>
        <sz val="10"/>
        <rFont val="Arial"/>
        <family val="0"/>
        <charset val="1"/>
      </rPr>
      <t xml:space="preserve">, CAC Order No. 21)</t>
    </r>
  </si>
  <si>
    <t xml:space="preserve">Binding; published 10 Apr 2026, effective 15 Jul 2026 (final; the December 2025 draft is replaced)</t>
  </si>
  <si>
    <t xml:space="preserve">AI-CTRL-023, AI-CTRL-039</t>
  </si>
  <si>
    <t xml:space="preserve">AI-R07, AI-R12, AI-R14, AI-R19, AI-R20</t>
  </si>
  <si>
    <t xml:space="preserve">CAC: Order No. 21, retrieved 22 Oct 2026 (issued by CAC, NDRC, MIIT, MPS and SAMR; covers services simulating human personality for continuous emotional interaction; security assessment at launch and at 1 million registered or 100,000 monthly active users (Art. 22))</t>
  </si>
  <si>
    <t xml:space="preserve">Cybersecurity Law (2025 amendment with AI provisions); Data Security Law; PIPL</t>
  </si>
  <si>
    <t xml:space="preserve">Binding; Cybersecurity Law amendment adopted 28 Oct 2025, in force 1 Jan 2026 (adds state support for AI and AI safety oversight)</t>
  </si>
  <si>
    <t xml:space="preserve">AI-CTRL-005, AI-CTRL-007, AI-CTRL-013, AI-CTRL-035</t>
  </si>
  <si>
    <t xml:space="preserve">AI-R03, AI-R05, AI-R06, AI-R09, AI-R10, AI-R20, AI-R24, AI-R27, AI-R28</t>
  </si>
  <si>
    <t xml:space="preserve">Data Security Law text; cross-border transfer rules (2024 provisions); the NPC copy of the amendment could not be retrieved</t>
  </si>
  <si>
    <t xml:space="preserve">CAC: decision amending the Cybersecurity Law; CAC: Personal Information Protection Law, retrieved 22 Oct 2026 (the amendment and PIPL were read; the Data Security Law was not, so the tag stays Reported)</t>
  </si>
  <si>
    <t xml:space="preserve">CN8</t>
  </si>
  <si>
    <t xml:space="preserve">Comprehensive AI law</t>
  </si>
  <si>
    <r>
      <rPr>
        <sz val="10"/>
        <rFont val="Arial"/>
        <family val="0"/>
        <charset val="1"/>
      </rPr>
      <t xml:space="preserve">State Council 2026 legislative work plan (</t>
    </r>
    <r>
      <rPr>
        <sz val="10"/>
        <rFont val="WenQuanYi Zen Hei"/>
        <family val="2"/>
      </rPr>
      <t xml:space="preserve">国办发〔</t>
    </r>
    <r>
      <rPr>
        <sz val="10"/>
        <rFont val="Arial"/>
        <family val="0"/>
        <charset val="1"/>
      </rPr>
      <t xml:space="preserve">2026</t>
    </r>
    <r>
      <rPr>
        <sz val="10"/>
        <rFont val="WenQuanYi Zen Hei"/>
        <family val="2"/>
      </rPr>
      <t xml:space="preserve">〕</t>
    </r>
    <r>
      <rPr>
        <sz val="10"/>
        <rFont val="Arial"/>
        <family val="0"/>
        <charset val="1"/>
      </rPr>
      <t xml:space="preserve">14</t>
    </r>
    <r>
      <rPr>
        <sz val="10"/>
        <rFont val="WenQuanYi Zen Hei"/>
        <family val="2"/>
      </rPr>
      <t xml:space="preserve">号</t>
    </r>
    <r>
      <rPr>
        <sz val="10"/>
        <rFont val="Arial"/>
        <family val="0"/>
        <charset val="1"/>
      </rPr>
      <t xml:space="preserve">) commits to accelerate comprehensive legislation on the healthy development of AI; no draft published; not enacted</t>
    </r>
  </si>
  <si>
    <t xml:space="preserve">NPC Standing Committee 2026 work plan (npc.gov.cn could not be retrieved); whether the bill is on the plan's list of bills to submit</t>
  </si>
  <si>
    <t xml:space="preserve">State Council: 2026 legislative work plan, retrieved 22 Oct 2026 (the plan was published 11 May 2026)</t>
  </si>
  <si>
    <t xml:space="preserve">CN9</t>
  </si>
  <si>
    <t xml:space="preserve">Regulators: CAC, MIIT, SAMR, MPS</t>
  </si>
  <si>
    <t xml:space="preserve">Authorities</t>
  </si>
  <si>
    <t xml:space="preserve">Contact points</t>
  </si>
  <si>
    <t xml:space="preserve">India</t>
  </si>
  <si>
    <t xml:space="preserve">Digital Personal Data Protection Act 2023</t>
  </si>
  <si>
    <t xml:space="preserve">Binding law (Act 22 of 2023, listed as 11 Aug 2023); being implemented</t>
  </si>
  <si>
    <t xml:space="preserve">Whether the penalty applies per contravention; wording of each section</t>
  </si>
  <si>
    <t xml:space="preserve">Act text, retrieved 16 Oct 2026</t>
  </si>
  <si>
    <t xml:space="preserve">https://nachi065.github.io/AI-Security-Wiki/17_India_AI_Compliance/03_Regulatory_Crosswalk.html</t>
  </si>
  <si>
    <t xml:space="preserve">IN2</t>
  </si>
  <si>
    <t xml:space="preserve">DPDP Rules 2025</t>
  </si>
  <si>
    <t xml:space="preserve">Notified as G.S.R. 846(E) dated 13 Nov 2025; phased</t>
  </si>
  <si>
    <t xml:space="preserve">Breach intimation time limit in Rule 7 (English text not read); any shortening of the phase-in</t>
  </si>
  <si>
    <t xml:space="preserve">Rules text (MeitY), retrieved 16 Oct 2026</t>
  </si>
  <si>
    <t xml:space="preserve">IN3</t>
  </si>
  <si>
    <t xml:space="preserve">Data Protection Board of India</t>
  </si>
  <si>
    <t xml:space="preserve">Established in law (DPDP Act s.18); Chairperson and four Member posts advertised (MeitY notice of 6 May 2026); no appointment stated in the Lok Sabha answer of 12 Aug 2026</t>
  </si>
  <si>
    <t xml:space="preserve">Whether any appointment has been made since 12 Aug 2026 (one secondary source says appointments were made on 6 Jun 2026; the primary sources read do not support this)</t>
  </si>
  <si>
    <t xml:space="preserve">MeitY notice F. No. 2(1)/2026-Pers.I; Lok Sabha unstarred question 3960, retrieved 20 Oct 2026</t>
  </si>
  <si>
    <t xml:space="preserve">IN4</t>
  </si>
  <si>
    <t xml:space="preserve">India AI Governance Guidelines (MeitY)</t>
  </si>
  <si>
    <t xml:space="preserve">Non-binding; the document is undated; release reported as 5 Nov 2025</t>
  </si>
  <si>
    <t xml:space="preserve">Release date (the document itself is undated)</t>
  </si>
  <si>
    <t xml:space="preserve">Guidelines (PIB-hosted), retrieved 16 Oct 2026</t>
  </si>
  <si>
    <t xml:space="preserve">IN5</t>
  </si>
  <si>
    <t xml:space="preserve">RBI FREE-AI Committee report</t>
  </si>
  <si>
    <t xml:space="preserve">Committee report published by the RBI on 13 Aug 2025; not a binding direction</t>
  </si>
  <si>
    <t xml:space="preserve">AI-CTRL-011, AI-CTRL-014, AI-CTRL-023, AI-CTRL-037, AI-CTRL-041</t>
  </si>
  <si>
    <t xml:space="preserve">AI-R02, AI-R07, AI-R08, AI-R10, AI-R12, AI-R14, AI-R15, AI-R16, AI-R18, AI-R19, AI-R28</t>
  </si>
  <si>
    <t xml:space="preserve">The text of each recommendation; whether the RBI has adopted any of them as directions</t>
  </si>
  <si>
    <t xml:space="preserve">Report page (RBI), retrieved 16 Oct 2026</t>
  </si>
  <si>
    <t xml:space="preserve">IN6</t>
  </si>
  <si>
    <t xml:space="preserve">RBI draft Guidance on Model Risk Management</t>
  </si>
  <si>
    <t xml:space="preserve">Draft issued 24 Jun 2026; comments to 24 Jul 2026; expects override, suspension or kill-switch arrangements for AI models (para 60(ii))</t>
  </si>
  <si>
    <t xml:space="preserve">AI-CTRL-011, AI-CTRL-025, AI-CTRL-037, AI-CTRL-038, AI-CTRL-045</t>
  </si>
  <si>
    <t xml:space="preserve">AI-R02, AI-R07, AI-R09, AI-R11, AI-R12, AI-R14, AI-R15, AI-R18, AI-R19, AI-R21, AI-R25, AI-R28</t>
  </si>
  <si>
    <t xml:space="preserve">Final status: still a draft when read on 25 Oct 2026</t>
  </si>
  <si>
    <t xml:space="preserve">Press release (RBI), retrieved 16 Oct 2026; draft guidance (RBI), read 25 Oct 2026 (paras 8 to 12, 43, 59 to 63)</t>
  </si>
  <si>
    <t xml:space="preserve">IN7</t>
  </si>
  <si>
    <t xml:space="preserve">SEBI regulations on AI and ML tools used by regulated entities</t>
  </si>
  <si>
    <t xml:space="preserve">Amendments to the Intermediaries Regulations 2008 and the Securities Contracts (Regulation) (Stock Exchanges and Clearing Corporations) Regulations 2018; reported as notified 6 Feb 2025</t>
  </si>
  <si>
    <t xml:space="preserve">AI-CTRL-011, AI-CTRL-014, AI-CTRL-038</t>
  </si>
  <si>
    <t xml:space="preserve">AI-R02, AI-R08, AI-R09, AI-R10, AI-R15, AI-R16, AI-R18, AI-R28</t>
  </si>
  <si>
    <t xml:space="preserve">SEBI's notified text and gazette date; any later SEBI AI guidance</t>
  </si>
  <si>
    <t xml:space="preserve">Board memorandum (SEBI), retrieved 16 Oct 2026 (proposal only)</t>
  </si>
  <si>
    <t xml:space="preserve">IN8</t>
  </si>
  <si>
    <t xml:space="preserve">IRDAI: AI-cybersecurity readiness directive (May 2026); AI working group (Jun 2026)</t>
  </si>
  <si>
    <t xml:space="preserve">Not confirmed</t>
  </si>
  <si>
    <t xml:space="preserve">AI-CTRL-005, AI-CTRL-011</t>
  </si>
  <si>
    <t xml:space="preserve">AI-R02, AI-R05, AI-R06, AI-R18, AI-R24</t>
  </si>
  <si>
    <t xml:space="preserve">Whether any IRDAI instrument addresses AI, and its text</t>
  </si>
  <si>
    <t xml:space="preserve">IN9</t>
  </si>
  <si>
    <t xml:space="preserve">IT Rules amendments on synthetic content labelling</t>
  </si>
  <si>
    <t xml:space="preserve">Notified as G.S.R. 120(E) dated 10 Feb 2026 (amending the IT Rules 2021); in force from 20 Feb 2026 (reported)</t>
  </si>
  <si>
    <t xml:space="preserve">Commencement date (not shown in the text read); the Gazette copy itself</t>
  </si>
  <si>
    <t xml:space="preserve">IT Rules 2021, consolidated text (MeitY); PIB release of 6 Aug 2026, retrieved 20 Oct 2026 (MeitY's consolidated text of the IT Rules 2021 shows the synthetic content rules inserted by G.S.R. 120(E) dated 10.02.2026: Rules 2(1)(wa), 3(3) and 4(1A); commencement date not shown)</t>
  </si>
  <si>
    <t xml:space="preserve">IN10</t>
  </si>
  <si>
    <t xml:space="preserve">CERT-In incident reporting directions (2022) and AI guidance</t>
  </si>
  <si>
    <t xml:space="preserve">Binding directions of 28 Apr 2022 (No. 20(3)/2022-CERT-In) under section 70B(6) of the IT Act</t>
  </si>
  <si>
    <t xml:space="preserve">Whether CERT-In has issued separate AI-specific guidance</t>
  </si>
  <si>
    <t xml:space="preserve">Directions (CERT-In), retrieved 16 Oct 2026</t>
  </si>
  <si>
    <t xml:space="preserve">IN11</t>
  </si>
  <si>
    <t xml:space="preserve">IT Act 2000 and SPDI Rules</t>
  </si>
  <si>
    <t xml:space="preserve">Existing law until DPDP fully commences</t>
  </si>
  <si>
    <t xml:space="preserve">AI-CTRL-005, AI-CTRL-013</t>
  </si>
  <si>
    <t xml:space="preserve">AI-R03, AI-R05, AI-R06, AI-R10, AI-R24, AI-R27, AI-R28</t>
  </si>
  <si>
    <t xml:space="preserve">Transition provisions</t>
  </si>
  <si>
    <t xml:space="preserve">IN12</t>
  </si>
  <si>
    <t xml:space="preserve">IndiaAI Mission</t>
  </si>
  <si>
    <t xml:space="preserve">Programme (Mar 2024; INR 10,372 crore)</t>
  </si>
  <si>
    <t xml:space="preserve">n/a</t>
  </si>
  <si>
    <t xml:space="preserve">Cabinet approval (PIB), retrieved 20 Oct 2026 (release of 7 Mar 2024; outlay Rs 10,371.92 crore)</t>
  </si>
  <si>
    <t xml:space="preserve">IN13</t>
  </si>
  <si>
    <t xml:space="preserve">SEBI guidelines on responsible use of AI and ML in securities markets</t>
  </si>
  <si>
    <t xml:space="preserve">Consultation paper of 20 Jun 2025; guidelines announced on 10 Oct 2026 as coming shortly, with a tiered approach, kill switches and human oversight</t>
  </si>
  <si>
    <t xml:space="preserve">AI-CTRL-011, AI-CTRL-012, AI-CTRL-014, AI-CTRL-025, AI-CTRL-045</t>
  </si>
  <si>
    <t xml:space="preserve">AI-R02, AI-R03, AI-R07, AI-R08, AI-R10, AI-R11, AI-R12, AI-R14, AI-R16, AI-R18, AI-R19, AI-R21, AI-R25, AI-R27, AI-R28</t>
  </si>
  <si>
    <t xml:space="preserve">The consultation paper text; the final guidelines when issued</t>
  </si>
  <si>
    <t xml:space="preserve">Taxmann: SEBI consultation paper; newkerala: SEBI chairman, 10 Oct 2026, retrieved 25 Oct 2026 (secondary)</t>
  </si>
  <si>
    <t xml:space="preserve">Japan</t>
  </si>
  <si>
    <t xml:space="preserve">JP1</t>
  </si>
  <si>
    <t xml:space="preserve">AI Promotion Act (Act No. 53 of 2025)</t>
  </si>
  <si>
    <t xml:space="preserve">Law; promulgated 4 Jun 2025, fully in force 1 Sep 2025. Businesses must cooperate with state measures; no penalties</t>
  </si>
  <si>
    <t xml:space="preserve">Article text on e-Gov (could not be read automatically); whether there is a power to publish names</t>
  </si>
  <si>
    <t xml:space="preserve">Cabinet Office: AI Act page; Cabinet Office: AI Act overview (PDF), retrieved 22 Oct 2026 (the government gathers information, analyses cases and gives guidance and advice to businesses; the AI Strategy Headquarters adopted a guideline under Art. 13 on 19 Dec 2025)</t>
  </si>
  <si>
    <t xml:space="preserve">https://nachi065.github.io/AI-Security-Wiki/18_Japan_AI_Compliance/03_Regulatory_Crosswalk.html</t>
  </si>
  <si>
    <t xml:space="preserve">JP2</t>
  </si>
  <si>
    <t xml:space="preserve">AI Basic Plan</t>
  </si>
  <si>
    <t xml:space="preserve">Cabinet decision; adopted 14 Jul 2026, replacing the 23 Dec 2025 plan</t>
  </si>
  <si>
    <t xml:space="preserve">Content (the plan text was not read)</t>
  </si>
  <si>
    <t xml:space="preserve">Cabinet Office: AI Basic Plan page; Cabinet Office: AI policy top page, retrieved 22 Oct 2026 (the 14 Jul 2026 plan is listed as current (Phase II); the 23 Dec 2025 plan is listed under past plans)</t>
  </si>
  <si>
    <t xml:space="preserve">Guidelines for AI Business (MIC and METI), version 1.2 (31 Mar 2026)</t>
  </si>
  <si>
    <t xml:space="preserve">AI-CTRL-012, AI-CTRL-037, AI-CTRL-039, AI-CTRL-041</t>
  </si>
  <si>
    <t xml:space="preserve">METI: AI Guidelines for Business version 1.2 page; METI: AI Guidelines for Business version 1.2 (PDF), retrieved 22 Oct 2026 (the text calls itself non-binding soft law; METI labels the English version a tentative translation)</t>
  </si>
  <si>
    <t xml:space="preserve">Act on the Protection of Personal Information (APPI)</t>
  </si>
  <si>
    <t xml:space="preserve">Binding; amended by the 2026 APPI amendment law (passed 10 Jul 2026, promulgated 17 Jul 2026, in force within two years): consent exception for statistics including AI development, surcharges, rules for children under 16</t>
  </si>
  <si>
    <t xml:space="preserve">Amendment law text and comparison table; PPC cabinet orders and rules (being drafted)</t>
  </si>
  <si>
    <t xml:space="preserve">PPC: 2026 amendment page; PPC: outline of the amendment law (PDF); PPC: press release, 7 Apr 2026; PPC: caution on generative AI services, 2 Jun 2023, retrieved 22 Oct 2026 (Cabinet decision and submission to the Diet 7 Apr 2026)</t>
  </si>
  <si>
    <t xml:space="preserve">JP5</t>
  </si>
  <si>
    <t xml:space="preserve">Copyright Act Art. 30-4 (information analysis exception)</t>
  </si>
  <si>
    <t xml:space="preserve">Current interpretation and limits</t>
  </si>
  <si>
    <t xml:space="preserve">Sector rules (financial, medical devices, others)</t>
  </si>
  <si>
    <t xml:space="preserve">AI-CTRL-014, AI-CTRL-037</t>
  </si>
  <si>
    <t xml:space="preserve">AI-R02, AI-R08, AI-R10, AI-R16, AI-R18, AI-R28</t>
  </si>
  <si>
    <t xml:space="preserve">Per sector</t>
  </si>
  <si>
    <t xml:space="preserve">Singapore</t>
  </si>
  <si>
    <t xml:space="preserve">SG1</t>
  </si>
  <si>
    <t xml:space="preserve">Model AI Governance Framework (2019; second edition 21 Jan 2020) and Model AI Governance Framework for Generative AI (30 May 2024)</t>
  </si>
  <si>
    <t xml:space="preserve">AI-CTRL-012, AI-CTRL-037, AI-CTRL-039</t>
  </si>
  <si>
    <t xml:space="preserve">First edition (2019) not read</t>
  </si>
  <si>
    <t xml:space="preserve">IMDA: Model AI Governance Framework, second edition; AI Verify Foundation: launch of the framework for generative AI, retrieved 21 Oct 2026</t>
  </si>
  <si>
    <t xml:space="preserve">https://nachi065.github.io/AI-Security-Wiki/19_Singapore_AI_Compliance/03_Regulatory_Crosswalk.html</t>
  </si>
  <si>
    <t xml:space="preserve">SG2</t>
  </si>
  <si>
    <t xml:space="preserve">Model AI Governance Framework for Agentic AI (IMDA, 22 Jan 2026; updated 20 May 2026)</t>
  </si>
  <si>
    <t xml:space="preserve">AI-CTRL-005, AI-CTRL-023, AI-CTRL-025, AI-CTRL-037</t>
  </si>
  <si>
    <t xml:space="preserve">AI-R02, AI-R05, AI-R06, AI-R07, AI-R11, AI-R18, AI-R19, AI-R21, AI-R24, AI-R25, AI-R28</t>
  </si>
  <si>
    <t xml:space="preserve">Whether the PDF at the stable address is the updated version (the copy read still shows version 1.0)</t>
  </si>
  <si>
    <t xml:space="preserve">IMDA: Model AI Governance Framework for Agentic AI; IMDA press release, 22 Jan 2026; IMDA factsheet, 20 May 2026, retrieved 21 Oct 2026 (the PDF cover says published 22 January 2026; an inside page says 19 January 2026)</t>
  </si>
  <si>
    <t xml:space="preserve">SG3</t>
  </si>
  <si>
    <t xml:space="preserve">AI Verify testing framework and toolkit; Global AI Assurance Pilot (Feb 2025)</t>
  </si>
  <si>
    <t xml:space="preserve">Voluntary testing and assurance</t>
  </si>
  <si>
    <t xml:space="preserve">AI-CTRL-038, AI-CTRL-039</t>
  </si>
  <si>
    <t xml:space="preserve">AI-R09, AI-R12, AI-R14, AI-R15, AI-R20, AI-R28</t>
  </si>
  <si>
    <t xml:space="preserve">The Global AI Assurance Sandbox that followed the pilot</t>
  </si>
  <si>
    <t xml:space="preserve">AI Verify Foundation: What is AI Verify; AI Verify Foundation: FAQ; IMDA press release, 11 Feb 2025; AI Verify Foundation: 2025 pilot phase, retrieved 21 Oct 2026</t>
  </si>
  <si>
    <t xml:space="preserve">SG4</t>
  </si>
  <si>
    <t xml:space="preserve">PDPA; PDPC Advisory Guidelines on use of Personal Data in AI Recommendation and Decision Systems, and on use of Personal Data in Generative AI</t>
  </si>
  <si>
    <t xml:space="preserve">Binding law; guidance</t>
  </si>
  <si>
    <t xml:space="preserve">PDPA text</t>
  </si>
  <si>
    <t xml:space="preserve">PDPC: Advisory Guidelines on use of Personal Data in AI Recommendation and Decision Systems (issued 1 Mar 2024); PDPC: Advisory Guidelines on use of Personal Data in Generative AI (issued 20 Jul 2026), retrieved 21 Oct 2026 (the two guidelines were read, including the business improvement and research exceptions; the PDPA text itself was not read)</t>
  </si>
  <si>
    <t xml:space="preserve">SG5</t>
  </si>
  <si>
    <t xml:space="preserve">MAS Guidelines on Artificial Intelligence Risk Management (7 Oct 2026)</t>
  </si>
  <si>
    <t xml:space="preserve">Issued 7 Oct 2026; sets out supervisory expectations. Takes effect 7 Oct 2027 for Sections 3 and 4, and 7 Oct 2028 for Sections 5 and 6</t>
  </si>
  <si>
    <t xml:space="preserve">AI-CTRL-001, AI-CTRL-005, AI-CTRL-006, AI-CTRL-008, AI-CTRL-009, AI-CTRL-010, AI-CTRL-011, AI-CTRL-012, AI-CTRL-013, AI-CTRL-014, AI-CTRL-016, AI-CTRL-017, AI-CTRL-023, AI-CTRL-024, AI-CTRL-025, AI-CTRL-028, AI-CTRL-029, AI-CTRL-030, AI-CTRL-031, AI-CTRL-032, AI-CTRL-033, AI-CTRL-034, AI-CTRL-035, AI-CTRL-037, AI-CTRL-038, AI-CTRL-039, AI-CTRL-040, AI-CTRL-041, AI-CTRL-044, AI-CTRL-045</t>
  </si>
  <si>
    <t xml:space="preserve">AI-R01, AI-R02, AI-R03, AI-R05, AI-R06, AI-R07, AI-R08, AI-R09, AI-R10, AI-R11, AI-R12, AI-R13, AI-R14, AI-R15, AI-R16, AI-R17, AI-R18, AI-R19, AI-R20, AI-R21, AI-R22, AI-R23, AI-R24, AI-R25, AI-R26, AI-R27, AI-R28</t>
  </si>
  <si>
    <t xml:space="preserve">Sector notices and other MAS guidelines that the Guidelines refer to</t>
  </si>
  <si>
    <t xml:space="preserve">MAS: Guidelines on Artificial Intelligence Risk Management for Financial Institutions, retrieved 10 Oct 2026</t>
  </si>
  <si>
    <t xml:space="preserve">SG6</t>
  </si>
  <si>
    <t xml:space="preserve">MAS FEAT principles and Veritas</t>
  </si>
  <si>
    <t xml:space="preserve">Voluntary financial-sector principles; the MAS Guidelines of 7 Oct 2026 say they continue to apply (para 1.2)</t>
  </si>
  <si>
    <t xml:space="preserve">Veritas concluded its third phase on 26 Jun 2023 (MAS Veritas page); the FEAT document itself not read</t>
  </si>
  <si>
    <t xml:space="preserve">MAS: FEAT principles; MAS Guidelines, para 1.2, retrieved 10 Oct 2026; MAS: Veritas, retrieved 21 Oct 2026 (status checked in the MAS Guidelines; the FEAT document itself was not read)</t>
  </si>
  <si>
    <t xml:space="preserve">SG7</t>
  </si>
  <si>
    <t xml:space="preserve">CSA Guidelines and Companion Guide on Securing AI Systems (2024) and agentic addendum (17 Jun 2026)</t>
  </si>
  <si>
    <t xml:space="preserve">AI-CTRL-005, AI-CTRL-008, AI-CTRL-025</t>
  </si>
  <si>
    <t xml:space="preserve">AI-R05, AI-R06, AI-R07, AI-R09, AI-R11, AI-R15, AI-R21, AI-R24, AI-R25, AI-R26</t>
  </si>
  <si>
    <t xml:space="preserve">Full text of the guidelines and addendum</t>
  </si>
  <si>
    <t xml:space="preserve">CSA: Securing Agentic AI, an Addendum to the Guidelines and Companion Guide on Securing AI Systems; CSA press release, 22 Oct 2025, retrieved 21 Oct 2026 (dates and consultation period checked; the CSA pages do not use the word voluntary, they describe measures that system owners may consider)</t>
  </si>
  <si>
    <t xml:space="preserve">SG8</t>
  </si>
  <si>
    <t xml:space="preserve">Cybersecurity Act (critical information infrastructure)</t>
  </si>
  <si>
    <t xml:space="preserve">MAS 1.6, 2.1 to 2.2</t>
  </si>
  <si>
    <t xml:space="preserve">Apply the Guidelines in proportion to the institution's size and activities and to the risk materiality of each AI use case</t>
  </si>
  <si>
    <t xml:space="preserve">MAS 2.3 to 2.5</t>
  </si>
  <si>
    <t xml:space="preserve">Basic governance where an AI failure is unlikely to have a material impact: a named senior manager, permitted and prohibited uses, human review of outputs, an approved list of AI tools, staff education, compliance checks and periodic review</t>
  </si>
  <si>
    <t xml:space="preserve">AI-CTRL-001, AI-CTRL-010, AI-CTRL-012, AI-CTRL-044</t>
  </si>
  <si>
    <t xml:space="preserve">MAS 3.1 to 3.4</t>
  </si>
  <si>
    <t xml:space="preserve">The board approves and reviews the governance approach for AI risk, addresses AI in the risk appetite framework and understands AI well enough to challenge</t>
  </si>
  <si>
    <t xml:space="preserve">MAS 3.5</t>
  </si>
  <si>
    <t xml:space="preserve">Senior management implements the framework, assigns roles across business lines and control functions, escalates AI incidents and threshold breaches, and resources AI risk management</t>
  </si>
  <si>
    <t xml:space="preserve">AI-CTRL-012, AI-CTRL-035, AI-CTRL-044</t>
  </si>
  <si>
    <t xml:space="preserve">AI-R02, AI-R03, AI-R09, AI-R18, AI-R19, AI-R20, AI-R27, AI-R28</t>
  </si>
  <si>
    <t xml:space="preserve">MAS 1.5, 3.6</t>
  </si>
  <si>
    <t xml:space="preserve">Local senior management stays accountable where a group framework is used</t>
  </si>
  <si>
    <t xml:space="preserve">MAS 4.2 to 4.4</t>
  </si>
  <si>
    <t xml:space="preserve">Identify AI use consistently across the institution, including AI inside third-party services and shadow AI, under a designated control function</t>
  </si>
  <si>
    <t xml:space="preserve">MAS 4.5 to 4.9</t>
  </si>
  <si>
    <t xml:space="preserve">Keep an accurate AI inventory with key attributes, linked to other inventories, with agent-specific attributes where relevant</t>
  </si>
  <si>
    <t xml:space="preserve">MAS 4.10 to 4.13</t>
  </si>
  <si>
    <t xml:space="preserve">Assess the risk materiality of each use case on impact, complexity and reliance, before and after controls, with a control function approving the rating</t>
  </si>
  <si>
    <t xml:space="preserve">MAS 5.3</t>
  </si>
  <si>
    <t xml:space="preserve">Contingency plans and fallback for high-risk use cases, and tested activation of kill switches</t>
  </si>
  <si>
    <t xml:space="preserve">AI-CTRL-025, AI-CTRL-040</t>
  </si>
  <si>
    <t xml:space="preserve">MAS 5.4</t>
  </si>
  <si>
    <t xml:space="preserve">Data management: fitness for purpose, representativeness, quality, classification, security, privacy, and auditability and lineage</t>
  </si>
  <si>
    <t xml:space="preserve">MAS 5.5 to 5.6</t>
  </si>
  <si>
    <t xml:space="preserve">Transparency and explainability matched to the use case and its audience, with customer notice and redress for high-impact decisions</t>
  </si>
  <si>
    <t xml:space="preserve">MAS 5.7 to 5.8</t>
  </si>
  <si>
    <t xml:space="preserve">Define fair outcomes, run fairness assessments that consider protected attributes and their proxies, and document mitigation</t>
  </si>
  <si>
    <t xml:space="preserve">MAS 5.9</t>
  </si>
  <si>
    <t xml:space="preserve">Human oversight: assigned roles, competent overseers with authority to intervene, design that supports oversight, and review of interventions and near misses</t>
  </si>
  <si>
    <t xml:space="preserve">MAS 5.10 to 5.11</t>
  </si>
  <si>
    <t xml:space="preserve">Third-party AI: test it in the institution's own context, secure contractual visibility of changes, assess the supply chain and concentration risk, plan for failure and keep a right to audit</t>
  </si>
  <si>
    <t xml:space="preserve">AI-R08, AI-R10, AI-R13, AI-R16, AI-R23</t>
  </si>
  <si>
    <t xml:space="preserve">MAS 5.12 to 5.13</t>
  </si>
  <si>
    <t xml:space="preserve">Document why an AI system, model or feature was selected over simpler alternatives</t>
  </si>
  <si>
    <t xml:space="preserve">MAS 5.14 to 5.15</t>
  </si>
  <si>
    <t xml:space="preserve">Evaluation and testing against measurable thresholds, including stress, adversarial and sub-population tests; guardrails for known limitations; failure modes of generative AI and AI agents</t>
  </si>
  <si>
    <t xml:space="preserve">AI-CTRL-034, AI-CTRL-039, AI-CTRL-041</t>
  </si>
  <si>
    <t xml:space="preserve">AI-R05, AI-R07, AI-R12, AI-R14, AI-R15, AI-R16, AI-R17, AI-R20</t>
  </si>
  <si>
    <t xml:space="preserve">MAS 5.16</t>
  </si>
  <si>
    <t xml:space="preserve">Technology and cybersecurity controls: secured environments, access control and separation of duties, and governance of third-party components</t>
  </si>
  <si>
    <t xml:space="preserve">AI-CTRL-005, AI-CTRL-016, AI-CTRL-024, AI-CTRL-032</t>
  </si>
  <si>
    <t xml:space="preserve">AI-R05, AI-R06, AI-R07, AI-R08, AI-R10, AI-R22, AI-R23, AI-R24</t>
  </si>
  <si>
    <t xml:space="preserve">MAS 5.17</t>
  </si>
  <si>
    <t xml:space="preserve">Document development so that an independent party can understand and reproduce it</t>
  </si>
  <si>
    <t xml:space="preserve">AI-CTRL-030, AI-CTRL-038</t>
  </si>
  <si>
    <t xml:space="preserve">AI-R08, AI-R09, AI-R15, AI-R28</t>
  </si>
  <si>
    <t xml:space="preserve">MAS 5.18 to 5.21</t>
  </si>
  <si>
    <t xml:space="preserve">Review before deployment by people not involved in development, formal independent validation for high-risk use cases, and findings reported to the approval body</t>
  </si>
  <si>
    <t xml:space="preserve">AI-CTRL-033, AI-CTRL-038</t>
  </si>
  <si>
    <t xml:space="preserve">AI-R05, AI-R07, AI-R08, AI-R09, AI-R14, AI-R15, AI-R16, AI-R28</t>
  </si>
  <si>
    <t xml:space="preserve">MAS 5.22</t>
  </si>
  <si>
    <t xml:space="preserve">Technology and cybersecurity review before go-live: secure design, vulnerability assessment, penetration testing, red teaming and tests against adversarial threats</t>
  </si>
  <si>
    <t xml:space="preserve">AI-CTRL-032, AI-CTRL-033, AI-CTRL-034</t>
  </si>
  <si>
    <t xml:space="preserve">AI-R05, AI-R07, AI-R08, AI-R10, AI-R14, AI-R16, AI-R17, AI-R20</t>
  </si>
  <si>
    <t xml:space="preserve">MAS 5.23</t>
  </si>
  <si>
    <t xml:space="preserve">Ongoing monitoring with metrics and thresholds, drift checks, AI incident and issue management, user feedback, and logging of prompts and responses for generative AI and agents</t>
  </si>
  <si>
    <t xml:space="preserve">AI-CTRL-008, AI-CTRL-009, AI-CTRL-035</t>
  </si>
  <si>
    <t xml:space="preserve">MAS 5.24</t>
  </si>
  <si>
    <t xml:space="preserve">Re-validation and review, regular for high-risk use cases and when triggered by changes, alerts or new risks</t>
  </si>
  <si>
    <t xml:space="preserve">MAS 5.25</t>
  </si>
  <si>
    <t xml:space="preserve">Change management: a way to judge how significant a change is, re-approval, version control with rollback, and tighter controls for automatic updates</t>
  </si>
  <si>
    <t xml:space="preserve">MAS 5.26</t>
  </si>
  <si>
    <t xml:space="preserve">Retirement and decommissioning of AI</t>
  </si>
  <si>
    <t xml:space="preserve">AI-CTRL-011, AI-CTRL-028</t>
  </si>
  <si>
    <t xml:space="preserve">MAS 6.1 to 6.2</t>
  </si>
  <si>
    <t xml:space="preserve">Competence and conduct of the people who develop, deploy and use AI, with regular review of capability and capacity</t>
  </si>
  <si>
    <t xml:space="preserve">MAS 6.3</t>
  </si>
  <si>
    <t xml:space="preserve">Technology infrastructure adequate for performance, scalability and resilience</t>
  </si>
  <si>
    <t xml:space="preserve">AI-CTRL-032, AI-CTRL-040</t>
  </si>
  <si>
    <t xml:space="preserve">AI-R08, AI-R10, AI-R13, AI-R16</t>
  </si>
  <si>
    <t xml:space="preserve">South Korea</t>
  </si>
  <si>
    <t xml:space="preserve">KR1</t>
  </si>
  <si>
    <t xml:space="preserve">AI Basic Act</t>
  </si>
  <si>
    <t xml:space="preserve">Binding; effective 22 Jan 2026</t>
  </si>
  <si>
    <t xml:space="preserve">Korean text; content of Decree No. 36506</t>
  </si>
  <si>
    <t xml:space="preserve">KLRI English translation of the AI Basic Act (Act No. 21311); KLRI English translation of the Enforcement Decree (No. 36053); Government legislation status: decree amendment, retrieved 21 Oct 2026 (article numbers from the KLRI English translation, which has no legal effect; the Korean text on law.go.kr could not be read automatically)</t>
  </si>
  <si>
    <t xml:space="preserve">https://nachi065.github.io/AI-Security-Wiki/20_South_Korea_AI_Compliance/03_Regulatory_Crosswalk.html</t>
  </si>
  <si>
    <t xml:space="preserve">KR2</t>
  </si>
  <si>
    <t xml:space="preserve">Generative AI duties</t>
  </si>
  <si>
    <t xml:space="preserve">Korean text of Art 31 and Decree Art 23</t>
  </si>
  <si>
    <t xml:space="preserve">KLRI English translation of the AI Basic Act (Act No. 21311); KLRI English translation of the Enforcement Decree (No. 36053); MSIT: The AI Basic Act comes into force; MSIT: Guidelines on Ensuring AI Transparency, retrieved 21 Oct 2026 (article numbers from the KLRI English translation, which has no legal effect; the Korean text on law.go.kr could not be read automatically)</t>
  </si>
  <si>
    <t xml:space="preserve">High-impact AI duties</t>
  </si>
  <si>
    <t xml:space="preserve">AI-CTRL-023, AI-CTRL-037, AI-CTRL-041</t>
  </si>
  <si>
    <t xml:space="preserve">AI-R02, AI-R07, AI-R12, AI-R14, AI-R15, AI-R18, AI-R19, AI-R28</t>
  </si>
  <si>
    <t xml:space="preserve">Korean text of Arts 2(4) and 33 to 35; items added by decree. The claim that only Level-4 autonomous vehicles qualify was found only in news reports</t>
  </si>
  <si>
    <t xml:space="preserve">KLRI English translation of the AI Basic Act (Act No. 21311); KLRI English translation of the Enforcement Decree (No. 36053); MSIT: The AI Basic Act comes into force, retrieved 21 Oct 2026 (article numbers from the KLRI English translation, which has no legal effect; the Korean text on law.go.kr could not be read automatically)</t>
  </si>
  <si>
    <t xml:space="preserve">High-performance AI (training at 10^26 FLOP or more)</t>
  </si>
  <si>
    <t xml:space="preserve">AI-CTRL-005, AI-CTRL-037</t>
  </si>
  <si>
    <t xml:space="preserve">AI-R02, AI-R05, AI-R06, AI-R18, AI-R24, AI-R28</t>
  </si>
  <si>
    <t xml:space="preserve">Korean text; MSIT calculation method under Decree Art 24(2)</t>
  </si>
  <si>
    <t xml:space="preserve">KLRI English translation of the AI Basic Act (Act No. 21311); KLRI English translation of the Enforcement Decree (No. 36053); MSIT: legislative notice of the draft decree, retrieved 21 Oct 2026 (article numbers from the KLRI English translation, which has no legal effect; the Korean text on law.go.kr could not be read automatically) (the KLRI decree text garbles the exponent; the MSIT notice gives 10^26)</t>
  </si>
  <si>
    <t xml:space="preserve">KR5</t>
  </si>
  <si>
    <t xml:space="preserve">Domestic representative</t>
  </si>
  <si>
    <t xml:space="preserve">Korean text; that any one criterion is enough</t>
  </si>
  <si>
    <t xml:space="preserve">KLRI English translation of the AI Basic Act (Act No. 21311); KLRI English translation of the Enforcement Decree (No. 36053), retrieved 21 Oct 2026 (article numbers from the KLRI English translation, which has no legal effect; the Korean text on law.go.kr could not be read automatically)</t>
  </si>
  <si>
    <t xml:space="preserve">KR6</t>
  </si>
  <si>
    <t xml:space="preserve">Fines and grace period</t>
  </si>
  <si>
    <t xml:space="preserve">Administrative fines up to KRW 30 million (about USD 21,000)</t>
  </si>
  <si>
    <t xml:space="preserve">Korean text; fine amounts in Decree Appendix 2</t>
  </si>
  <si>
    <t xml:space="preserve">KLRI English translation of the AI Basic Act (Act No. 21311); MSIT: The AI Basic Act comes into force; korea.kr policy briefing, 23 Jan 2026, retrieved 21 Oct 2026 (article numbers from the KLRI English translation, which has no legal effect; the Korean text on law.go.kr could not be read automatically) (the grace period is confirmed on MSIT's own page)</t>
  </si>
  <si>
    <t xml:space="preserve">Personal Information Protection Act and PIPC guidance</t>
  </si>
  <si>
    <t xml:space="preserve">PIPA text and any AI-specific provisions</t>
  </si>
  <si>
    <t xml:space="preserve">PIPC: guide on publicly available personal data for AI; PIPC: generative AI guide, press release; PIPC: generative AI guide; korea.kr: PIPC guide for generative AI users, retrieved 21 Oct 2026 (guidance titles and dates checked; PIPA text not read)</t>
  </si>
  <si>
    <t xml:space="preserve">KR8</t>
  </si>
  <si>
    <t xml:space="preserve">AI Basic Act Support Desk</t>
  </si>
  <si>
    <t xml:space="preserve">Government support</t>
  </si>
  <si>
    <t xml:space="preserve">Website address</t>
  </si>
  <si>
    <t xml:space="preserve">MSIT: The AI Basic Act comes into force; korea.kr policy briefing, 23 Jan 2026, retrieved 21 Oct 2026</t>
  </si>
  <si>
    <t xml:space="preserve">UK</t>
  </si>
  <si>
    <t xml:space="preserve">UK1</t>
  </si>
  <si>
    <t xml:space="preserve">UK approach: five principles (safety and robustness; transparency; fairness; accountability; contestability and redress)</t>
  </si>
  <si>
    <t xml:space="preserve">Non-statutory; from the March 2023 White Paper</t>
  </si>
  <si>
    <t xml:space="preserve">Current government position; source says 'as of 2025'</t>
  </si>
  <si>
    <t xml:space="preserve">White Paper (DSIT), retrieved 20 Oct 2026 (the five principles and their non-statutory basis read; whether this is still current policy not checked)</t>
  </si>
  <si>
    <t xml:space="preserve">https://nachi065.github.io/AI-Security-Wiki/21_UK_AI_Compliance/03_Regulatory_Crosswalk.html</t>
  </si>
  <si>
    <t xml:space="preserve">UK GDPR and Data Protection Act 2018</t>
  </si>
  <si>
    <t xml:space="preserve">UK3</t>
  </si>
  <si>
    <t xml:space="preserve">Data (Use and Access) Act 2025: new Arts 22A to 22D</t>
  </si>
  <si>
    <t xml:space="preserve">Binding; section 80 in force 5 Feb 2026 (SI 2026/82); does not apply to decisions taken before that date</t>
  </si>
  <si>
    <t xml:space="preserve">ICO guidance</t>
  </si>
  <si>
    <t xml:space="preserve">Section 80 as enacted (legislation.gov.uk); SI 2026/82, Commencement No. 6 Regulations, retrieved 20 Oct 2026 (s.80 substitutes Arts 22A to 22D for Art 22; reg. 2(j) commences s.80 on 5 Feb 2026; reg. 5 saving for earlier decisions)</t>
  </si>
  <si>
    <t xml:space="preserve">UK4</t>
  </si>
  <si>
    <t xml:space="preserve">ICO guidance on AI and data protection</t>
  </si>
  <si>
    <t xml:space="preserve">Regulator guidance</t>
  </si>
  <si>
    <t xml:space="preserve">AI-CTRL-013, AI-CTRL-041</t>
  </si>
  <si>
    <t xml:space="preserve">Current versions; any AI and biometrics strategy</t>
  </si>
  <si>
    <t xml:space="preserve">UK5</t>
  </si>
  <si>
    <t xml:space="preserve">FCA approach (principles, Consumer Duty, SM&amp;CR)</t>
  </si>
  <si>
    <t xml:space="preserve">Regulatory framework; no AI-specific rules planned (reported, 27 Jan 2026); Mills Review published 6 Jul 2026</t>
  </si>
  <si>
    <t xml:space="preserve">The FCA's own statement on AI-specific rules; guidance promised after the Mills Review</t>
  </si>
  <si>
    <t xml:space="preserve">FCA: Mills Review, retrieved 25 Oct 2026 (Mills Review only)</t>
  </si>
  <si>
    <t xml:space="preserve">UK6</t>
  </si>
  <si>
    <t xml:space="preserve">PRA SS1/23 model risk management</t>
  </si>
  <si>
    <t xml:space="preserve">Supervisory statement for UK banks, building societies and PRA-designated investment firms with internal model approval for regulatory capital; first effective 17 May 2024; current version effective 23 Apr 2026</t>
  </si>
  <si>
    <t xml:space="preserve">What the April 2026 version changed</t>
  </si>
  <si>
    <t xml:space="preserve">SS1/23 (Bank of England), retrieved 20 Oct 2026 (scope and dates read; includes a sub-principle on AI and machine learning in modelling)</t>
  </si>
  <si>
    <t xml:space="preserve">UK7</t>
  </si>
  <si>
    <t xml:space="preserve">CMA and Ofcom roles (competition; online safety)</t>
  </si>
  <si>
    <t xml:space="preserve">Regulators</t>
  </si>
  <si>
    <t xml:space="preserve">Scope for AI services</t>
  </si>
  <si>
    <t xml:space="preserve">Copyright and AI training</t>
  </si>
  <si>
    <t xml:space="preserve">No statutory TDM exception for commercial AI training (s.29A CDPA covers non-commercial research only); the government report of 18 Mar 2026 says an exception with opt-out is no longer its preferred way forward and commits to no reform yet</t>
  </si>
  <si>
    <t xml:space="preserve">Litigation; any later policy</t>
  </si>
  <si>
    <t xml:space="preserve">Report on Copyright and Artificial Intelligence (GOV.UK), retrieved 20 Oct 2026 (first 100,000 characters of the HTML report read)</t>
  </si>
  <si>
    <t xml:space="preserve">UK9</t>
  </si>
  <si>
    <t xml:space="preserve">AI (Regulation) private member's bill</t>
  </si>
  <si>
    <t xml:space="preserve">Not law</t>
  </si>
  <si>
    <t xml:space="preserve">Parliamentary status</t>
  </si>
  <si>
    <t xml:space="preserve">Bill page (UK Parliament), retrieved 20 Oct 2026 (Artificial Intelligence (Regulation) Bill [HL], Private Members' Bill, session 2024-26, HL Bill 76 as introduced 4 Mar 2025; no later stage shown)</t>
  </si>
  <si>
    <t xml:space="preserve">NCSC and DSIT guidance on secure AI (guidelines for secure AI system development; AI cyber security code of practice)</t>
  </si>
  <si>
    <t xml:space="preserve">Voluntary guidance</t>
  </si>
  <si>
    <t xml:space="preserve">Existence, titles, standard status</t>
  </si>
  <si>
    <t xml:space="preserve">Code of Practice for the Cyber Security of AI (GOV.UK); NCSC blog on ETSI TS 104 223, retrieved 20 Oct 2026 (code published 31 Jan 2025, described as voluntary, 13 principles; it cites the NCSC guidelines of Nov 2023; ETSI TS 104 223 built on it)</t>
  </si>
  <si>
    <t xml:space="preserve">UK11</t>
  </si>
  <si>
    <t xml:space="preserve">Algorithmic Transparency Recording Standard</t>
  </si>
  <si>
    <t xml:space="preserve">Public-sector standard; mandatory by cross-government policy (not statute) for ministerial and non-ministerial departments and for arm's-length bodies that provide public or frontline services or routinely deal with the public; recommended for the wider public sector</t>
  </si>
  <si>
    <t xml:space="preserve">AI-CTRL-011, AI-CTRL-039</t>
  </si>
  <si>
    <t xml:space="preserve">AI-R02, AI-R12, AI-R14, AI-R18, AI-R20</t>
  </si>
  <si>
    <t xml:space="preserve">Whether mandatory for your body; whether Legal force should read Binding in scope</t>
  </si>
  <si>
    <t xml:space="preserve">ATRS mandatory scope and exemptions policy (GOV.UK), retrieved 20 Oct 2026 (policy paper of 17 Dec 2024)</t>
  </si>
  <si>
    <t xml:space="preserve">UK12</t>
  </si>
  <si>
    <t xml:space="preserve">Equality Act 2010</t>
  </si>
  <si>
    <t xml:space="preserve">Application to your use case</t>
  </si>
  <si>
    <t xml:space="preserve">UK13</t>
  </si>
  <si>
    <t xml:space="preserve">AI Management Essentials (AIME) self-assessment tool</t>
  </si>
  <si>
    <t xml:space="preserve">Withdrawn draft: DSIT will not publish it (government response, Feb 2026)</t>
  </si>
  <si>
    <t xml:space="preserve">AI-CTRL-011, AI-CTRL-012, AI-CTRL-037, AI-CTRL-041, AI-CTRL-042</t>
  </si>
  <si>
    <t xml:space="preserve">AI-R02, AI-R03, AI-R10, AI-R12, AI-R14, AI-R15, AI-R18, AI-R19, AI-R27, AI-R28</t>
  </si>
  <si>
    <t xml:space="preserve">DSIT's replacement guidance for SMEs</t>
  </si>
  <si>
    <t xml:space="preserve">Government response, retrieved 15 Oct 2026</t>
  </si>
  <si>
    <t xml:space="preserve">US</t>
  </si>
  <si>
    <t xml:space="preserve">US1</t>
  </si>
  <si>
    <t xml:space="preserve">Federal AI legislation</t>
  </si>
  <si>
    <t xml:space="preserve">None comprehensive</t>
  </si>
  <si>
    <t xml:space="preserve">https://nachi065.github.io/AI-Security-Wiki/22_US_AI_Compliance/03_Regulatory_Crosswalk.html</t>
  </si>
  <si>
    <t xml:space="preserve">US2</t>
  </si>
  <si>
    <t xml:space="preserve">Executive Order 14365 (Dec 2025)</t>
  </si>
  <si>
    <t xml:space="preserve">Executive policy</t>
  </si>
  <si>
    <t xml:space="preserve">Court rulings in the Task Force's cases</t>
  </si>
  <si>
    <t xml:space="preserve">Executive Order 14365, Compilation of Presidential Documents; Attorney General memo, 9 Jan 2026; DOJ complaint in intervention, X.AI LLC v. Weiser, retrieved 21 Oct 2026 (court rulings not checked)</t>
  </si>
  <si>
    <t xml:space="preserve">Executive Order 14409 (2 Jun 2026) and NSPM-11 (5 Jun 2026)</t>
  </si>
  <si>
    <t xml:space="preserve">Agency implementation</t>
  </si>
  <si>
    <t xml:space="preserve">White House: Executive Order 14409; White House: NSPM-11, retrieved 21 Oct 2026</t>
  </si>
  <si>
    <t xml:space="preserve">US4</t>
  </si>
  <si>
    <t xml:space="preserve">NIST AI Risk Management Framework 1.0</t>
  </si>
  <si>
    <t xml:space="preserve">Whether SB 26-189 keeps any NIST-based presumption or defence; read the full text by hand</t>
  </si>
  <si>
    <t xml:space="preserve">NIST: AI RMF release, 26 Jan 2023; Colorado SB 26-189 session law text, retrieved 21 Oct 2026 (the NIST part is confirmed; the Colorado part is in conflict)</t>
  </si>
  <si>
    <t xml:space="preserve">US5</t>
  </si>
  <si>
    <t xml:space="preserve">Colorado: SB 24-205 repealed and reenacted by SB 26-189 (signed 14 May 2026)</t>
  </si>
  <si>
    <t xml:space="preserve">State law</t>
  </si>
  <si>
    <t xml:space="preserve">AI-CTRL-013, AI-CTRL-037, AI-CTRL-041</t>
  </si>
  <si>
    <t xml:space="preserve">AI-R02, AI-R03, AI-R10, AI-R12, AI-R14, AI-R15, AI-R18, AI-R27, AI-R28</t>
  </si>
  <si>
    <t xml:space="preserve">Attorney General rulemaking</t>
  </si>
  <si>
    <t xml:space="preserve">Colorado General Assembly: SB 26-189; Session law text, retrieved 21 Oct 2026 (approved 14 May 2026; takes effect 1 Jan 2027 and applies to consequential decisions made on or after that date; 30 Jun 2026 was the start date under SB 24-205 before the repeal)</t>
  </si>
  <si>
    <t xml:space="preserve">US6</t>
  </si>
  <si>
    <t xml:space="preserve">California: SB 53 frontier AI transparency; AB 2013 training data transparency</t>
  </si>
  <si>
    <t xml:space="preserve">State law; 1 Jan 2026</t>
  </si>
  <si>
    <t xml:space="preserve">AI-CTRL-011, AI-CTRL-029, AI-CTRL-038</t>
  </si>
  <si>
    <t xml:space="preserve">AI-R02, AI-R08, AI-R09, AI-R15, AI-R18, AI-R28</t>
  </si>
  <si>
    <t xml:space="preserve">Thresholds; text</t>
  </si>
  <si>
    <t xml:space="preserve">US7</t>
  </si>
  <si>
    <t xml:space="preserve">California AI Transparency Act (SB 942 as amended)</t>
  </si>
  <si>
    <t xml:space="preserve">State law; operative 2 Aug 2026 (reported)</t>
  </si>
  <si>
    <t xml:space="preserve">Bill numbers (AB 853 of 2025 and SB 1000 of 2026 are reported to amend the Act, SB 1000 enacted 30 Sep 2026 per a law-firm note); scope; the 2 Aug 2026 date. leginfo.legislature.ca.gov could not be read automatically on 21 Oct 2026</t>
  </si>
  <si>
    <t xml:space="preserve">US8</t>
  </si>
  <si>
    <t xml:space="preserve">California CCPA regulations on ADMT, risk assessments and cybersecurity audits</t>
  </si>
  <si>
    <t xml:space="preserve">Binding regulation; approved by the Office of Administrative Law 22 Sep 2025, effective 1 Jan 2026 (CPPA page)</t>
  </si>
  <si>
    <t xml:space="preserve">AI-CTRL-013, AI-CTRL-023, AI-CTRL-037, AI-CTRL-041</t>
  </si>
  <si>
    <t xml:space="preserve">Approval and effective date come from the CPPA page; other details from law-firm summaries. Read the approved text for definitions, exceptions and thresholds</t>
  </si>
  <si>
    <t xml:space="preserve">US9</t>
  </si>
  <si>
    <t xml:space="preserve">Texas TRAIGA (HB 149)</t>
  </si>
  <si>
    <t xml:space="preserve">Obligations list; enforcement</t>
  </si>
  <si>
    <t xml:space="preserve">US10</t>
  </si>
  <si>
    <t xml:space="preserve">Illinois HB 3773</t>
  </si>
  <si>
    <t xml:space="preserve">AI-CTRL-023, AI-CTRL-041</t>
  </si>
  <si>
    <t xml:space="preserve">AI-R07, AI-R12, AI-R14, AI-R15, AI-R19</t>
  </si>
  <si>
    <t xml:space="preserve">US11</t>
  </si>
  <si>
    <t xml:space="preserve">NYC Local Law 144; NY RAISE Act; Utah SB 149 as amended by SB 226 (2025)</t>
  </si>
  <si>
    <t xml:space="preserve">Local and state</t>
  </si>
  <si>
    <t xml:space="preserve">Utah changes after 2025; NYC rule changes</t>
  </si>
  <si>
    <t xml:space="preserve">NYC DCWP: Automated employment decision tools; NY Senate: S6953-B; NY Senate: A9449; Utah SB 149 (2024) enrolled; Utah SB 226 (2025) enrolled; Utah Code 63I-2-213, retrieved 21 Oct 2026</t>
  </si>
  <si>
    <t xml:space="preserve">US12</t>
  </si>
  <si>
    <t xml:space="preserve">FTC Act s.5; EEOC and anti-discrimination law; ECOA adverse action; HIPAA; FDA for medical AI; bank model risk guidance (SR 26-2 and OCC Bulletin 2026-13, which replaced SR 11-7 on 17 Apr 2026)</t>
  </si>
  <si>
    <t xml:space="preserve">Existing federal law</t>
  </si>
  <si>
    <t xml:space="preserve">Current enforcement and guidance</t>
  </si>
  <si>
    <t xml:space="preserve">US13</t>
  </si>
  <si>
    <t xml:space="preserve">State legislative volume</t>
  </si>
  <si>
    <t xml:space="preserve">Figures</t>
  </si>
  <si>
    <t xml:space="preserve">US14</t>
  </si>
  <si>
    <t xml:space="preserve">FTC enforcement and business guidance on AI under FTC Act s.5</t>
  </si>
  <si>
    <t xml:space="preserve">Existing federal law; guidance</t>
  </si>
  <si>
    <t xml:space="preserve">AI-CTRL-012, AI-CTRL-029, AI-CTRL-038, AI-CTRL-039</t>
  </si>
  <si>
    <t xml:space="preserve">AI-R02, AI-R03, AI-R08, AI-R09, AI-R12, AI-R14, AI-R15, AI-R18, AI-R19, AI-R20, AI-R27, AI-R28</t>
  </si>
  <si>
    <t xml:space="preserve">Current Commission priorities; order names and dates</t>
  </si>
  <si>
    <t xml:space="preserve">US15</t>
  </si>
  <si>
    <t xml:space="preserve">NAIC Principles on Artificial Intelligence (2020) and Model Bulletin on the Use of Artificial Intelligence Systems by Insurers (adopted Dec 2023)</t>
  </si>
  <si>
    <t xml:space="preserve">Model bulletin; applies where a state insurance regulator has adopted it</t>
  </si>
  <si>
    <t xml:space="preserve">AI-CTRL-012, AI-CTRL-014, AI-CTRL-037, AI-CTRL-038, AI-CTRL-041</t>
  </si>
  <si>
    <t xml:space="preserve">AI-R02, AI-R03, AI-R08, AI-R09, AI-R10, AI-R12, AI-R14, AI-R15, AI-R16, AI-R18, AI-R19, AI-R27, AI-R28</t>
  </si>
  <si>
    <t xml:space="preserve">Which states have adopted the bulletin; any state changes to its text</t>
  </si>
  <si>
    <t xml:space="preserve">US16</t>
  </si>
  <si>
    <t xml:space="preserve">Colorado SB 21-169 (C.R.S. 10-3-1104.9) and Division of Insurance rules under it</t>
  </si>
  <si>
    <t xml:space="preserve">State law; insurers only</t>
  </si>
  <si>
    <t xml:space="preserve">AI-CTRL-014, AI-CTRL-029, AI-CTRL-037, AI-CTRL-041</t>
  </si>
  <si>
    <t xml:space="preserve">AI-R02, AI-R08, AI-R10, AI-R12, AI-R14, AI-R15, AI-R16, AI-R18, AI-R28</t>
  </si>
  <si>
    <t xml:space="preserve">Lines of insurance now covered; testing and reporting rules; dates</t>
  </si>
  <si>
    <t xml:space="preserve">HIPAA Privacy, Security and Breach Notification Rules (45 CFR Parts 160 and 164)</t>
  </si>
  <si>
    <t xml:space="preserve">Existing federal law; covered entities and business associates</t>
  </si>
  <si>
    <t xml:space="preserve">AI-CTRL-013, AI-CTRL-014, AI-CTRL-017, AI-CTRL-035</t>
  </si>
  <si>
    <t xml:space="preserve">AI-R01, AI-R03, AI-R06, AI-R08, AI-R09, AI-R10, AI-R16, AI-R17, AI-R20, AI-R27, AI-R28</t>
  </si>
  <si>
    <t xml:space="preserve">Proposed Security Rule changes; HHS guidance on AI</t>
  </si>
  <si>
    <t xml:space="preserve">Hong Kong (incl. HKMA)</t>
  </si>
  <si>
    <t xml:space="preserve">HK1</t>
  </si>
  <si>
    <t xml:space="preserve">HKMA Supervisory Guidance for Responsible Adoption of Artificial Intelligence (15 Oct 2026)</t>
  </si>
  <si>
    <t xml:space="preserve">Supervisory expectations for authorized institutions, applied proportionately; no deadline ("in a timely manner")</t>
  </si>
  <si>
    <t xml:space="preserve">AI-CTRL-011, AI-CTRL-012, AI-CTRL-014, AI-CTRL-025, AI-CTRL-037, AI-CTRL-041, AI-CTRL-045</t>
  </si>
  <si>
    <t xml:space="preserve">AI-R02, AI-R03, AI-R07, AI-R08, AI-R10, AI-R11, AI-R12, AI-R14, AI-R15, AI-R16, AI-R18, AI-R19, AI-R21, AI-R25, AI-R27, AI-R28</t>
  </si>
  <si>
    <t xml:space="preserve">Circular reference number</t>
  </si>
  <si>
    <t xml:space="preserve">HKMA: Annex A, retrieved 25 Oct 2026</t>
  </si>
  <si>
    <t xml:space="preserve">https://nachi065.github.io/AI-Security-Wiki/26_Hong_Kong_AI_Compliance/03_Regulatory_Crosswalk.html</t>
  </si>
  <si>
    <t xml:space="preserve">HK2</t>
  </si>
  <si>
    <t xml:space="preserve">HKMA High-level Principles on Artificial Intelligence (1 Nov 2019)</t>
  </si>
  <si>
    <t xml:space="preserve">Superseded by HK1 on 15 Oct 2026</t>
  </si>
  <si>
    <t xml:space="preserve">Whether the HKMA register still lists it as current</t>
  </si>
  <si>
    <t xml:space="preserve">HKMA: Annex A (supersession statement), retrieved 25 Oct 2026</t>
  </si>
  <si>
    <t xml:space="preserve">HK3</t>
  </si>
  <si>
    <t xml:space="preserve">HKMA circular: Consumer Protection in respect of Use of Generative Artificial Intelligence (19 Aug 2024)</t>
  </si>
  <si>
    <t xml:space="preserve">Customer-facing generative AI; human-in-the-loop in the early stage</t>
  </si>
  <si>
    <t xml:space="preserve">AI-CTRL-041, AI-CTRL-045</t>
  </si>
  <si>
    <t xml:space="preserve">AI-R07, AI-R12, AI-R14, AI-R15, AI-R18, AI-R19, AI-R28</t>
  </si>
  <si>
    <t xml:space="preserve">The circular's own text (only its description in HK1 footnote 3 was read)</t>
  </si>
  <si>
    <t xml:space="preserve">HKMA: Annex A, footnote 3, retrieved 25 Oct 2026 (as cited in HK1)</t>
  </si>
  <si>
    <t xml:space="preserve">HK4</t>
  </si>
  <si>
    <t xml:space="preserve">HKMA consumer protection circular on big data analytics and AI (5 Nov 2019)</t>
  </si>
  <si>
    <t xml:space="preserve">Consumer protection for AI-based products; disclosure and opt-out expectations continue under HK1</t>
  </si>
  <si>
    <t xml:space="preserve">Title, date and text</t>
  </si>
  <si>
    <t xml:space="preserve">HK5</t>
  </si>
  <si>
    <t xml:space="preserve">SFC circular to licensed corporations on generative AI language models (12 Nov 2024)</t>
  </si>
  <si>
    <t xml:space="preserve">Four core principles; investment advice and research treated as high-risk; notification to the SFC for high-risk use (reported)</t>
  </si>
  <si>
    <t xml:space="preserve">AI-CTRL-005, AI-CTRL-011, AI-CTRL-012, AI-CTRL-014, AI-CTRL-034</t>
  </si>
  <si>
    <t xml:space="preserve">AI-R02, AI-R03, AI-R05, AI-R06, AI-R07, AI-R08, AI-R10, AI-R16, AI-R17, AI-R18, AI-R19, AI-R20, AI-R24, AI-R27, AI-R28</t>
  </si>
  <si>
    <t xml:space="preserve">The circular text and any update</t>
  </si>
  <si>
    <t xml:space="preserve">HK6</t>
  </si>
  <si>
    <t xml:space="preserve">PCPD Artificial Intelligence: Model Personal Data Protection Framework (11 Jun 2024)</t>
  </si>
  <si>
    <t xml:space="preserve">Not law; four areas for organisations that buy, deploy and operate AI handling personal data</t>
  </si>
  <si>
    <t xml:space="preserve">AI-CTRL-012, AI-CTRL-013, AI-CTRL-045</t>
  </si>
  <si>
    <t xml:space="preserve">AI-R02, AI-R03, AI-R07, AI-R10, AI-R12, AI-R14, AI-R18, AI-R19, AI-R27, AI-R28</t>
  </si>
  <si>
    <t xml:space="preserve">The framework text</t>
  </si>
  <si>
    <t xml:space="preserve">HK7</t>
  </si>
  <si>
    <t xml:space="preserve">Personal Data (Privacy) Ordinance (Cap. 486)</t>
  </si>
  <si>
    <t xml:space="preserve">Provisions relevant to AI</t>
  </si>
  <si>
    <t xml:space="preserve">HK8</t>
  </si>
  <si>
    <t xml:space="preserve">GenA.I. Sandbox++ (HKMA, SFC, Insurance Authority, MPFA; 5 Mar 2026)</t>
  </si>
  <si>
    <t xml:space="preserve">Programme</t>
  </si>
  <si>
    <t xml:space="preserve">Cohort dates</t>
  </si>
  <si>
    <t xml:space="preserve">Hong Kong Government press release, retrieved 25 Oct 2026</t>
  </si>
  <si>
    <t xml:space="preserve">HK9</t>
  </si>
  <si>
    <t xml:space="preserve">HKMA discussion paper on agentic AI governance</t>
  </si>
  <si>
    <t xml:space="preserve">Announced 15 Oct 2026; not yet published</t>
  </si>
  <si>
    <t xml:space="preserve">Publication and content</t>
  </si>
  <si>
    <t xml:space="preserve">HKMA press release, retrieved 25 Oct 2026 (announcement only)</t>
  </si>
  <si>
    <t xml:space="preserve">Board and senior management accountability: t</t>
  </si>
  <si>
    <t xml:space="preserve">Board and senior management accountability: the board approves an AI strategy with the approach and risk appetite; roles across the three lines for approval and monitoring; regular review by senior management</t>
  </si>
  <si>
    <t xml:space="preserve">Use-case owners and human oversight: a named </t>
  </si>
  <si>
    <t xml:space="preserve">Use-case owners and human oversight: a named owner for each use case; in-the-loop, on-the-loop or in-command oversight with risk-based triggers; reviewers able to challenge, override or stop; oversight tested</t>
  </si>
  <si>
    <t xml:space="preserve">AI-CTRL-011, AI-CTRL-023, AI-CTRL-045</t>
  </si>
  <si>
    <t xml:space="preserve">AI-R02, AI-R07, AI-R12, AI-R14, AI-R18, AI-R19, AI-R28</t>
  </si>
  <si>
    <t xml:space="preserve">Inventory: an up-to-date inventory of approve</t>
  </si>
  <si>
    <t xml:space="preserve">Inventory: an up-to-date inventory of approved use cases including third-party and embedded AI, with standard attributes; unlisted AI restricted; shadow AI controlled</t>
  </si>
  <si>
    <t xml:space="preserve">Risk-commensurate management: materiality and risk assessment sets the review depth; senior sign-off, independent validation and adversarial testing for material cases; end-to-end testing; tailored monitoring; fallback, recovery and a kill switch or equivalent; auditable records and outcome tracing</t>
  </si>
  <si>
    <t xml:space="preserve">AI-CTRL-008, AI-CTRL-009, AI-CTRL-011, AI-CTRL-025, AI-CTRL-033, AI-CTRL-034, AI-CTRL-037, AI-CTRL-038, AI-CTRL-040</t>
  </si>
  <si>
    <t xml:space="preserve">AI-R02, AI-R05, AI-R07, AI-R08, AI-R09, AI-R11, AI-R13, AI-R14, AI-R15, AI-R16, AI-R17, AI-R18, AI-R20, AI-R21, AI-R25, AI-R26, AI-R28</t>
  </si>
  <si>
    <t xml:space="preserve">Risk management frameworks: data within approved parameters and PDPO compliance, contracts that stop providers training on data without authorisation, masking; third-party due diligence, contracts, monitoring, concentration and exit; layered cyber controls against data poisoning and prompt injection</t>
  </si>
  <si>
    <t xml:space="preserve">AI-CTRL-005, AI-CTRL-013, AI-CTRL-014, AI-CTRL-017, AI-CTRL-029, AI-CTRL-031</t>
  </si>
  <si>
    <t xml:space="preserve">AI-R01, AI-R03, AI-R05, AI-R06, AI-R08, AI-R10, AI-R16, AI-R17, AI-R23, AI-R24, AI-R27, AI-R28</t>
  </si>
  <si>
    <t xml:space="preserve">Resources and expertise: adequate resources a</t>
  </si>
  <si>
    <t xml:space="preserve">Resources and expertise: adequate resources and capacity; organisation-wide awareness; role-specific training</t>
  </si>
  <si>
    <t xml:space="preserve">Accountability for outputs: controls against </t>
  </si>
  <si>
    <t xml:space="preserve">Accountability for outputs: controls against hallucination; stronger review where customers could be materially affected; rules for withholding, referring or blocking outputs</t>
  </si>
  <si>
    <t xml:space="preserve">AI-CTRL-020, AI-CTRL-023, AI-CTRL-039</t>
  </si>
  <si>
    <t xml:space="preserve">AI-R05, AI-R06, AI-R07, AI-R12, AI-R14, AI-R19, AI-R20, AI-R24, AI-R26</t>
  </si>
  <si>
    <t xml:space="preserve">Explainability and transparency: document exp</t>
  </si>
  <si>
    <t xml:space="preserve">Explainability and transparency: document explainability and its limits; inform stakeholders of purpose, functions, limits and the basis of material outcomes; prefer more explainable arrangements</t>
  </si>
  <si>
    <t xml:space="preserve">Ethical use and fair treatment: no unfair bia</t>
  </si>
  <si>
    <t xml:space="preserve">Ethical use and fair treatment: no unfair bias; monitoring and sampling of customer-affecting outputs; clarification, review and redress; tell consumers about AI use and its risks before service; existing disclosure and opt-out expectations continue</t>
  </si>
  <si>
    <t xml:space="preserve">Control gap library (replaces the generic vulnerability list)</t>
  </si>
  <si>
    <t xml:space="preserve">Derived by this workbook: each weakness is "the wiki control is missing or not working". It is not a published vulnerability catalogue. Use it to fill "Existing Control Coverage" and the scenario.</t>
  </si>
  <si>
    <t xml:space="preserve">Gap ID</t>
  </si>
  <si>
    <t xml:space="preserve">Weakness</t>
  </si>
  <si>
    <t xml:space="preserve">Control</t>
  </si>
  <si>
    <t xml:space="preserve">What should be true (control objective)</t>
  </si>
  <si>
    <t xml:space="preserve">Risks it raises</t>
  </si>
  <si>
    <t xml:space="preserve">Evidence that shows the gap is closed</t>
  </si>
  <si>
    <t xml:space="preserve">How to test for the gap</t>
  </si>
  <si>
    <t xml:space="preserve">GAP-001</t>
  </si>
  <si>
    <t xml:space="preserve">AI Discovery missing or ineffective</t>
  </si>
  <si>
    <t xml:space="preserve">GAP-002</t>
  </si>
  <si>
    <t xml:space="preserve">Prompt Inspection missing or ineffective</t>
  </si>
  <si>
    <t xml:space="preserve">GAP-003</t>
  </si>
  <si>
    <t xml:space="preserve">File Upload Protection missing or ineffective</t>
  </si>
  <si>
    <t xml:space="preserve">GAP-004</t>
  </si>
  <si>
    <t xml:space="preserve">IDE AI Governance missing or ineffective</t>
  </si>
  <si>
    <t xml:space="preserve">GAP-005</t>
  </si>
  <si>
    <t xml:space="preserve">Runtime AI Security missing or ineffective</t>
  </si>
  <si>
    <t xml:space="preserve">GAP-006</t>
  </si>
  <si>
    <t xml:space="preserve">Agent Governance missing or ineffective</t>
  </si>
  <si>
    <t xml:space="preserve">GAP-007</t>
  </si>
  <si>
    <t xml:space="preserve">Data Sovereignty missing or ineffective</t>
  </si>
  <si>
    <t xml:space="preserve">GAP-008</t>
  </si>
  <si>
    <t xml:space="preserve">Auditability missing or ineffective</t>
  </si>
  <si>
    <t xml:space="preserve">GAP-009</t>
  </si>
  <si>
    <t xml:space="preserve">SOC Integration missing or ineffective</t>
  </si>
  <si>
    <t xml:space="preserve">GAP-010</t>
  </si>
  <si>
    <t xml:space="preserve">Policy Enforcement missing or ineffective</t>
  </si>
  <si>
    <t xml:space="preserve">GAP-011</t>
  </si>
  <si>
    <t xml:space="preserve">AI Use-Case Registry and Risk Tiering missing or ineffective</t>
  </si>
  <si>
    <t xml:space="preserve">GAP-012</t>
  </si>
  <si>
    <t xml:space="preserve">AI Policy, Roles and Acceptable Use missing or ineffective</t>
  </si>
  <si>
    <t xml:space="preserve">GAP-013</t>
  </si>
  <si>
    <t xml:space="preserve">Privacy and Regulatory Compliance missing or ineffective</t>
  </si>
  <si>
    <t xml:space="preserve">GAP-014</t>
  </si>
  <si>
    <t xml:space="preserve">Third-Party and Vendor AI Assurance missing or ineffective</t>
  </si>
  <si>
    <t xml:space="preserve">GAP-015</t>
  </si>
  <si>
    <t xml:space="preserve">Human and Agent Identity missing or ineffective</t>
  </si>
  <si>
    <t xml:space="preserve">GAP-016</t>
  </si>
  <si>
    <t xml:space="preserve">Least Privilege and Scoped Credentials missing or ineffective</t>
  </si>
  <si>
    <t xml:space="preserve">GAP-017</t>
  </si>
  <si>
    <t xml:space="preserve">Data Protection in AI Pipelines missing or ineffective</t>
  </si>
  <si>
    <t xml:space="preserve">GAP-018</t>
  </si>
  <si>
    <t xml:space="preserve">Retrieval Access Control missing or ineffective</t>
  </si>
  <si>
    <t xml:space="preserve">GAP-019</t>
  </si>
  <si>
    <t xml:space="preserve">Knowledge Base Integrity missing or ineffective</t>
  </si>
  <si>
    <t xml:space="preserve">GAP-020</t>
  </si>
  <si>
    <t xml:space="preserve">Output Handling missing or ineffective</t>
  </si>
  <si>
    <t xml:space="preserve">GAP-021</t>
  </si>
  <si>
    <t xml:space="preserve">Multimodal and Voice Input Security missing or ineffective</t>
  </si>
  <si>
    <t xml:space="preserve">GAP-022</t>
  </si>
  <si>
    <t xml:space="preserve">Deterministic Action Authorization missing or ineffective</t>
  </si>
  <si>
    <t xml:space="preserve">GAP-023</t>
  </si>
  <si>
    <t xml:space="preserve">Human Approval for Sensitive Actions missing or ineffective</t>
  </si>
  <si>
    <t xml:space="preserve">GAP-024</t>
  </si>
  <si>
    <t xml:space="preserve">Tool and MCP Server Governance missing or ineffective</t>
  </si>
  <si>
    <t xml:space="preserve">GAP-025</t>
  </si>
  <si>
    <t xml:space="preserve">AI Containment and Kill Switch missing or ineffective</t>
  </si>
  <si>
    <t xml:space="preserve">GAP-026</t>
  </si>
  <si>
    <t xml:space="preserve">Agent Memory and Context Integrity missing or ineffective</t>
  </si>
  <si>
    <t xml:space="preserve">GAP-027</t>
  </si>
  <si>
    <t xml:space="preserve">Agent Execution Isolation missing or ineffective</t>
  </si>
  <si>
    <t xml:space="preserve">GAP-028</t>
  </si>
  <si>
    <t xml:space="preserve">Model Protection missing or ineffective</t>
  </si>
  <si>
    <t xml:space="preserve">GAP-029</t>
  </si>
  <si>
    <t xml:space="preserve">Training and Fine-Tuning Data Integrity missing or ineffective</t>
  </si>
  <si>
    <t xml:space="preserve">GAP-030</t>
  </si>
  <si>
    <t xml:space="preserve">ML Pipeline and Model Registry Security missing or ineffective</t>
  </si>
  <si>
    <t xml:space="preserve">GAP-031</t>
  </si>
  <si>
    <t xml:space="preserve">AI Supply Chain and AI-BOM missing or ineffective</t>
  </si>
  <si>
    <t xml:space="preserve">GAP-032</t>
  </si>
  <si>
    <t xml:space="preserve">AI Infrastructure Hardening missing or ineffective</t>
  </si>
  <si>
    <t xml:space="preserve">GAP-033</t>
  </si>
  <si>
    <t xml:space="preserve">AI Security Review and Release Gate missing or ineffective</t>
  </si>
  <si>
    <t xml:space="preserve">GAP-034</t>
  </si>
  <si>
    <t xml:space="preserve">Adversarial Testing and Continuous Evaluation missing or ineffective</t>
  </si>
  <si>
    <t xml:space="preserve">GAP-035</t>
  </si>
  <si>
    <t xml:space="preserve">AI Incident Response and Forensics missing or ineffective</t>
  </si>
  <si>
    <t xml:space="preserve">GAP-036</t>
  </si>
  <si>
    <t xml:space="preserve">AI Cost and Abuse Controls missing or ineffective</t>
  </si>
  <si>
    <t xml:space="preserve">GAP-037</t>
  </si>
  <si>
    <t xml:space="preserve">AI Risk Assessment and Exception Management missing or ineffective</t>
  </si>
  <si>
    <t xml:space="preserve">GAP-038</t>
  </si>
  <si>
    <t xml:space="preserve">Control Assurance and Audit Evidence missing or ineffective</t>
  </si>
  <si>
    <t xml:space="preserve">GAP-039</t>
  </si>
  <si>
    <t xml:space="preserve">Output Reliability and Content Safety missing or ineffective</t>
  </si>
  <si>
    <t xml:space="preserve">GAP-040</t>
  </si>
  <si>
    <t xml:space="preserve">AI Service Resilience and Fail-Safe Operation missing or ineffective</t>
  </si>
  <si>
    <t xml:space="preserve">GAP-041</t>
  </si>
  <si>
    <t xml:space="preserve">Fairness, Bias Testing and Explainability missing or ineffective</t>
  </si>
  <si>
    <t xml:space="preserve">GAP-042</t>
  </si>
  <si>
    <t xml:space="preserve">Fundamental Rights and Data Protection Impact Assessment missing or ineffective</t>
  </si>
  <si>
    <t xml:space="preserve">GAP-043</t>
  </si>
  <si>
    <t xml:space="preserve">Regulator and Authority Engagement missing or ineffective</t>
  </si>
  <si>
    <t xml:space="preserve">GAP-044</t>
  </si>
  <si>
    <t xml:space="preserve">AI Literacy and Role-Based Competence missing or ineffective</t>
  </si>
  <si>
    <t xml:space="preserve">GAP-045</t>
  </si>
  <si>
    <t xml:space="preserve">Human Oversight Design and Effectiveness missing or ineffective</t>
  </si>
  <si>
    <t xml:space="preserve">GAP-046</t>
  </si>
  <si>
    <t xml:space="preserve">Intellectual Property and Copyright Governance missing or ineffective</t>
  </si>
  <si>
    <t xml:space="preserve">AI threat library (replaces the generic threat list)</t>
  </si>
  <si>
    <t xml:space="preserve">From the wiki's OWASP, OWASP MCP, MITRE ATLAS and NIST AI 600-1 crosswalks. "Risks" for OWASP and ATLAS are derived through the mapped controls; MCP and AI 600-1 risks are the wiki's direct mapping.</t>
  </si>
  <si>
    <t xml:space="preserve">Threat / technique</t>
  </si>
  <si>
    <t xml:space="preserve">How the risks were linked</t>
  </si>
  <si>
    <t xml:space="preserve">OWASP Top 10 for LLM Applications 2025</t>
  </si>
  <si>
    <t xml:space="preserve">Derived via controls</t>
  </si>
  <si>
    <t xml:space="preserve">OWASP Top 10 for Agentic Applications</t>
  </si>
  <si>
    <t xml:space="preserve">OWASP MCP Top 10 (beta)</t>
  </si>
  <si>
    <t xml:space="preserve">Wiki mapping (Direct)</t>
  </si>
  <si>
    <t xml:space="preserve">AI-R23, AI-R08</t>
  </si>
  <si>
    <t xml:space="preserve">AI-R24, AI-R23</t>
  </si>
  <si>
    <t xml:space="preserve">Wiki mapping (Partial)</t>
  </si>
  <si>
    <t xml:space="preserve">MITRE ATLAS technique</t>
  </si>
  <si>
    <t xml:space="preserve">NIST AI 600-1 GenAI risk</t>
  </si>
  <si>
    <t xml:space="preserve">1</t>
  </si>
  <si>
    <t xml:space="preserve">2</t>
  </si>
  <si>
    <t xml:space="preserve">3</t>
  </si>
  <si>
    <t xml:space="preserve">AI-CTRL-039, AI-CTRL-034</t>
  </si>
  <si>
    <t xml:space="preserve">4</t>
  </si>
  <si>
    <t xml:space="preserve">5</t>
  </si>
  <si>
    <t xml:space="preserve">6</t>
  </si>
  <si>
    <t xml:space="preserve">AI-CTRL-041, AI-CTRL-034</t>
  </si>
  <si>
    <t xml:space="preserve">7</t>
  </si>
  <si>
    <t xml:space="preserve">AI-CTRL-045, AI-CTRL-044, AI-CTRL-023</t>
  </si>
  <si>
    <t xml:space="preserve">8</t>
  </si>
  <si>
    <t xml:space="preserve">9</t>
  </si>
  <si>
    <t xml:space="preserve">AI-CTRL-046, AI-CTRL-012</t>
  </si>
  <si>
    <t xml:space="preserve">AI-CTRL-014, AI-CTRL-031, AI-CTRL-024</t>
  </si>
  <si>
    <t xml:space="preserve">Channel</t>
  </si>
  <si>
    <t xml:space="preserve">Asset</t>
  </si>
  <si>
    <t xml:space="preserve">Coverage</t>
  </si>
  <si>
    <t xml:space="preserve">Approach</t>
  </si>
  <si>
    <t xml:space="preserve">Treatment</t>
  </si>
  <si>
    <t xml:space="preserve">Roles</t>
  </si>
  <si>
    <t xml:space="preserve">YesNo</t>
  </si>
  <si>
    <t xml:space="preserve">Domain code</t>
  </si>
  <si>
    <t xml:space="preserve">Domain name</t>
  </si>
  <si>
    <t xml:space="preserve">Likely owner (wiki)</t>
  </si>
  <si>
    <t xml:space="preserve">Browser and workforce AI</t>
  </si>
  <si>
    <t xml:space="preserve">AI SaaS / workforce AI tool</t>
  </si>
  <si>
    <t xml:space="preserve">Governing body</t>
  </si>
  <si>
    <t xml:space="preserve">Yes</t>
  </si>
  <si>
    <t xml:space="preserve">AI Governance and Accountability</t>
  </si>
  <si>
    <t xml:space="preserve">AI governance committee, chief risk officer</t>
  </si>
  <si>
    <t xml:space="preserve">IDE AI (coding assistants)</t>
  </si>
  <si>
    <t xml:space="preserve">AI coding assistant</t>
  </si>
  <si>
    <t xml:space="preserve">Integrity</t>
  </si>
  <si>
    <t xml:space="preserve">Quantified (e.g. FAIR)</t>
  </si>
  <si>
    <t xml:space="preserve">Accountable executive</t>
  </si>
  <si>
    <t xml:space="preserve">No</t>
  </si>
  <si>
    <t xml:space="preserve">Strategy and Value Realization</t>
  </si>
  <si>
    <t xml:space="preserve">Executive sponsor, business owners</t>
  </si>
  <si>
    <t xml:space="preserve">AI APIs</t>
  </si>
  <si>
    <t xml:space="preserve">Foundation model or model API</t>
  </si>
  <si>
    <t xml:space="preserve">Availability</t>
  </si>
  <si>
    <t xml:space="preserve">Narrative with indicators</t>
  </si>
  <si>
    <t xml:space="preserve">Data and Privacy</t>
  </si>
  <si>
    <t xml:space="preserve">Data protection officer, data owners</t>
  </si>
  <si>
    <t xml:space="preserve">Self-hosted or open-weight model</t>
  </si>
  <si>
    <t xml:space="preserve">Chief Risk Officer</t>
  </si>
  <si>
    <t xml:space="preserve">Model Development and Performance</t>
  </si>
  <si>
    <t xml:space="preserve">Model owners, model risk management</t>
  </si>
  <si>
    <t xml:space="preserve">Operational continuity</t>
  </si>
  <si>
    <t xml:space="preserve">CISO</t>
  </si>
  <si>
    <t xml:space="preserve">Security and Adversarial Threats</t>
  </si>
  <si>
    <t xml:space="preserve">Vendors and embedded AI</t>
  </si>
  <si>
    <t xml:space="preserve">RAG knowledge source / vector store</t>
  </si>
  <si>
    <t xml:space="preserve">Reputation</t>
  </si>
  <si>
    <t xml:space="preserve">Data Protection Officer</t>
  </si>
  <si>
    <t xml:space="preserve">Safety, Ethics and Responsible AI</t>
  </si>
  <si>
    <t xml:space="preserve">Responsible AI lead, product owners</t>
  </si>
  <si>
    <t xml:space="preserve">Model development and training</t>
  </si>
  <si>
    <t xml:space="preserve">AI agent</t>
  </si>
  <si>
    <t xml:space="preserve">Critical infrastructure</t>
  </si>
  <si>
    <t xml:space="preserve">Data Owner</t>
  </si>
  <si>
    <t xml:space="preserve">Operations and Resilience</t>
  </si>
  <si>
    <t xml:space="preserve">AI platform owner, IT operations</t>
  </si>
  <si>
    <t xml:space="preserve">Enterprise-wide / non-technical</t>
  </si>
  <si>
    <t xml:space="preserve">Tool, plugin, skill or MCP server</t>
  </si>
  <si>
    <t xml:space="preserve">Financial</t>
  </si>
  <si>
    <t xml:space="preserve">Model Risk Management</t>
  </si>
  <si>
    <t xml:space="preserve">Legal, Regulatory and Compliance</t>
  </si>
  <si>
    <t xml:space="preserve">General counsel, compliance</t>
  </si>
  <si>
    <t xml:space="preserve">Training or fine-tuning data</t>
  </si>
  <si>
    <t xml:space="preserve">Rights, safety or wellbeing of people</t>
  </si>
  <si>
    <t xml:space="preserve">Responsible AI Lead</t>
  </si>
  <si>
    <t xml:space="preserve">Third-Party and Model Supply Chain</t>
  </si>
  <si>
    <t xml:space="preserve">Procurement, third-party risk</t>
  </si>
  <si>
    <t xml:space="preserve">ML pipeline / model registry</t>
  </si>
  <si>
    <t xml:space="preserve">Multiple</t>
  </si>
  <si>
    <t xml:space="preserve">Workforce, Human and Societal</t>
  </si>
  <si>
    <t xml:space="preserve">HR, communications</t>
  </si>
  <si>
    <t xml:space="preserve">AI infrastructure (compute, serving)</t>
  </si>
  <si>
    <t xml:space="preserve">AI Platform Owner</t>
  </si>
  <si>
    <t xml:space="preserve">Financial and Resource</t>
  </si>
  <si>
    <t xml:space="preserve">CFO, FinOps</t>
  </si>
  <si>
    <t xml:space="preserve">Third-party product with embedded AI</t>
  </si>
  <si>
    <t xml:space="preserve">Agent Sponsor</t>
  </si>
  <si>
    <t xml:space="preserve">Autonomy and Delegated Action (Agentic AI)</t>
  </si>
  <si>
    <t xml:space="preserve">Agent sponsors, AI platform owner</t>
  </si>
  <si>
    <t xml:space="preserve">AI prompts, outputs, logs and records</t>
  </si>
  <si>
    <t xml:space="preserve">People, roles and processes</t>
  </si>
  <si>
    <t xml:space="preserve">GRC / Compliance</t>
  </si>
  <si>
    <t xml:space="preserve">AI strategy, budget or portfolio</t>
  </si>
  <si>
    <t xml:space="preserve">Data Protection / DLP</t>
  </si>
  <si>
    <t xml:space="preserve">Enterprise-wide</t>
  </si>
  <si>
    <t xml:space="preserve">AppSec / DevSecOps</t>
  </si>
  <si>
    <t xml:space="preserve">Procurement / Legal</t>
  </si>
  <si>
    <t xml:space="preserve">General Counsel</t>
  </si>
  <si>
    <t xml:space="preserve">HR</t>
  </si>
  <si>
    <t xml:space="preserve">Communications</t>
  </si>
  <si>
    <t xml:space="preserve">CFO / FinOps</t>
  </si>
  <si>
    <t xml:space="preserve">Executive Sponsor</t>
  </si>
  <si>
    <t xml:space="preserve">Business Owner</t>
  </si>
</sst>
</file>

<file path=xl/styles.xml><?xml version="1.0" encoding="utf-8"?>
<styleSheet xmlns="http://schemas.openxmlformats.org/spreadsheetml/2006/main">
  <numFmts count="5">
    <numFmt numFmtId="164" formatCode="General"/>
    <numFmt numFmtId="165" formatCode="General"/>
    <numFmt numFmtId="166" formatCode="@"/>
    <numFmt numFmtId="167" formatCode="#,##0"/>
    <numFmt numFmtId="168" formatCode="dd\-mmm\-yyyy"/>
  </numFmts>
  <fonts count="29">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i val="true"/>
      <sz val="9"/>
      <color rgb="FF595959"/>
      <name val="Arial"/>
      <family val="0"/>
      <charset val="1"/>
    </font>
    <font>
      <b val="true"/>
      <sz val="12"/>
      <color rgb="FF1F3864"/>
      <name val="Arial"/>
      <family val="0"/>
      <charset val="1"/>
    </font>
    <font>
      <u val="single"/>
      <sz val="11"/>
      <color rgb="FF0563C1"/>
      <name val="Arial"/>
      <family val="0"/>
      <charset val="1"/>
    </font>
    <font>
      <b val="true"/>
      <sz val="10"/>
      <color rgb="FFFFFFFF"/>
      <name val="Arial"/>
      <family val="0"/>
      <charset val="1"/>
    </font>
    <font>
      <b val="true"/>
      <sz val="12"/>
      <color rgb="FF548235"/>
      <name val="Arial"/>
      <family val="0"/>
      <charset val="1"/>
    </font>
    <font>
      <b val="true"/>
      <sz val="12"/>
      <name val="Arial"/>
      <family val="0"/>
      <charset val="1"/>
    </font>
    <font>
      <b val="true"/>
      <sz val="11"/>
      <name val="Arial"/>
      <family val="0"/>
      <charset val="1"/>
    </font>
    <font>
      <b val="true"/>
      <sz val="11"/>
      <color rgb="FFFFFFFF"/>
      <name val="Arial"/>
      <family val="0"/>
      <charset val="1"/>
    </font>
    <font>
      <b val="true"/>
      <sz val="12"/>
      <color rgb="FF2F5597"/>
      <name val="Arial"/>
      <family val="0"/>
      <charset val="1"/>
    </font>
    <font>
      <b val="true"/>
      <sz val="12"/>
      <color rgb="FFC00000"/>
      <name val="Arial"/>
      <family val="0"/>
      <charset val="1"/>
    </font>
    <font>
      <b val="true"/>
      <sz val="12"/>
      <color rgb="FFC55A11"/>
      <name val="Arial"/>
      <family val="0"/>
      <charset val="1"/>
    </font>
    <font>
      <b val="true"/>
      <sz val="12"/>
      <color rgb="FFFF0000"/>
      <name val="Arial"/>
      <family val="0"/>
      <charset val="1"/>
    </font>
    <font>
      <b val="true"/>
      <sz val="12"/>
      <color rgb="FFBF8F00"/>
      <name val="Arial"/>
      <family val="0"/>
      <charset val="1"/>
    </font>
    <font>
      <b val="true"/>
      <sz val="12"/>
      <color rgb="FF7F7F7F"/>
      <name val="Arial"/>
      <family val="0"/>
      <charset val="1"/>
    </font>
    <font>
      <b val="true"/>
      <sz val="12"/>
      <color rgb="FF7030A0"/>
      <name val="Arial"/>
      <family val="0"/>
      <charset val="1"/>
    </font>
    <font>
      <i val="true"/>
      <sz val="10"/>
      <color rgb="FFC00000"/>
      <name val="Arial"/>
      <family val="0"/>
      <charset val="1"/>
    </font>
    <font>
      <b val="true"/>
      <sz val="11"/>
      <color rgb="FF1F3864"/>
      <name val="Arial"/>
      <family val="0"/>
      <charset val="1"/>
    </font>
    <font>
      <sz val="10"/>
      <name val="Arial"/>
      <family val="2"/>
    </font>
    <font>
      <b val="true"/>
      <sz val="9"/>
      <color rgb="FFFFFFFF"/>
      <name val="Arial"/>
      <family val="0"/>
      <charset val="1"/>
    </font>
    <font>
      <sz val="10"/>
      <name val="WenQuanYi Zen Hei"/>
      <family val="2"/>
    </font>
  </fonts>
  <fills count="57">
    <fill>
      <patternFill patternType="none"/>
    </fill>
    <fill>
      <patternFill patternType="gray125"/>
    </fill>
    <fill>
      <patternFill patternType="solid">
        <fgColor rgb="FFC00000"/>
        <bgColor rgb="FFA50021"/>
      </patternFill>
    </fill>
    <fill>
      <patternFill patternType="solid">
        <fgColor rgb="FFFFFFFF"/>
        <bgColor rgb="FFFFF8E1"/>
      </patternFill>
    </fill>
    <fill>
      <patternFill patternType="solid">
        <fgColor rgb="FFFBEAEA"/>
        <bgColor rgb="FFFCEBEE"/>
      </patternFill>
    </fill>
    <fill>
      <patternFill patternType="solid">
        <fgColor rgb="FF3A3A3A"/>
        <bgColor rgb="FF203864"/>
      </patternFill>
    </fill>
    <fill>
      <patternFill patternType="solid">
        <fgColor rgb="FF548235"/>
        <bgColor rgb="FF7F7F7F"/>
      </patternFill>
    </fill>
    <fill>
      <patternFill patternType="solid">
        <fgColor rgb="FFFF7C80"/>
        <bgColor rgb="FFFF9999"/>
      </patternFill>
    </fill>
    <fill>
      <patternFill patternType="solid">
        <fgColor rgb="FFE7E6E6"/>
        <bgColor rgb="FFE4DFEC"/>
      </patternFill>
    </fill>
    <fill>
      <patternFill patternType="solid">
        <fgColor rgb="FFFF9999"/>
        <bgColor rgb="FFF4B183"/>
      </patternFill>
    </fill>
    <fill>
      <patternFill patternType="solid">
        <fgColor rgb="FFF8CBAD"/>
        <bgColor rgb="FFFFE699"/>
      </patternFill>
    </fill>
    <fill>
      <patternFill patternType="solid">
        <fgColor rgb="FFFFD966"/>
        <bgColor rgb="FFFFE699"/>
      </patternFill>
    </fill>
    <fill>
      <patternFill patternType="solid">
        <fgColor rgb="FFFFEB9C"/>
        <bgColor rgb="FFFFE699"/>
      </patternFill>
    </fill>
    <fill>
      <patternFill patternType="solid">
        <fgColor rgb="FFC6E0B4"/>
        <bgColor rgb="FFC5E0B4"/>
      </patternFill>
    </fill>
    <fill>
      <patternFill patternType="solid">
        <fgColor rgb="FFC6EFCE"/>
        <bgColor rgb="FFC9E2B3"/>
      </patternFill>
    </fill>
    <fill>
      <patternFill patternType="solid">
        <fgColor rgb="FFD9C3E9"/>
        <bgColor rgb="FFD9D2E9"/>
      </patternFill>
    </fill>
    <fill>
      <patternFill patternType="solid">
        <fgColor rgb="FF2F5597"/>
        <bgColor rgb="FF3A3A8C"/>
      </patternFill>
    </fill>
    <fill>
      <patternFill patternType="solid">
        <fgColor rgb="FFF2F3F4"/>
        <bgColor rgb="FFEEF3FA"/>
      </patternFill>
    </fill>
    <fill>
      <patternFill patternType="solid">
        <fgColor rgb="FFBDD7EE"/>
        <bgColor rgb="FFB7DEE8"/>
      </patternFill>
    </fill>
    <fill>
      <patternFill patternType="solid">
        <fgColor rgb="FF92D050"/>
        <bgColor rgb="FFC5E0B4"/>
      </patternFill>
    </fill>
    <fill>
      <patternFill patternType="solid">
        <fgColor rgb="FFC55A11"/>
        <bgColor rgb="FF806000"/>
      </patternFill>
    </fill>
    <fill>
      <patternFill patternType="solid">
        <fgColor rgb="FFFF0000"/>
        <bgColor rgb="FFC00000"/>
      </patternFill>
    </fill>
    <fill>
      <patternFill patternType="solid">
        <fgColor rgb="FFBF8F00"/>
        <bgColor rgb="FFC55A11"/>
      </patternFill>
    </fill>
    <fill>
      <patternFill patternType="solid">
        <fgColor rgb="FF7F7F7F"/>
        <bgColor rgb="FF548235"/>
      </patternFill>
    </fill>
    <fill>
      <patternFill patternType="solid">
        <fgColor rgb="FF7030A0"/>
        <bgColor rgb="FF3A3A8C"/>
      </patternFill>
    </fill>
    <fill>
      <patternFill patternType="solid">
        <fgColor rgb="FFB4C7E7"/>
        <bgColor rgb="FF9DC3E6"/>
      </patternFill>
    </fill>
    <fill>
      <patternFill patternType="solid">
        <fgColor rgb="FFC9E2B3"/>
        <bgColor rgb="FFC6E0B4"/>
      </patternFill>
    </fill>
    <fill>
      <patternFill patternType="solid">
        <fgColor rgb="FFF4B183"/>
        <bgColor rgb="FFFF9999"/>
      </patternFill>
    </fill>
    <fill>
      <patternFill patternType="solid">
        <fgColor rgb="FFFFE699"/>
        <bgColor rgb="FFFFEB9C"/>
      </patternFill>
    </fill>
    <fill>
      <patternFill patternType="solid">
        <fgColor rgb="FFD5A6E6"/>
        <bgColor rgb="FFD9C3E9"/>
      </patternFill>
    </fill>
    <fill>
      <patternFill patternType="solid">
        <fgColor rgb="FF9DC3E6"/>
        <bgColor rgb="FFB4C7E7"/>
      </patternFill>
    </fill>
    <fill>
      <patternFill patternType="solid">
        <fgColor rgb="FFC5E0B4"/>
        <bgColor rgb="FFC6E0B4"/>
      </patternFill>
    </fill>
    <fill>
      <patternFill patternType="solid">
        <fgColor rgb="FFB7DEE8"/>
        <bgColor rgb="FFBDD7EE"/>
      </patternFill>
    </fill>
    <fill>
      <patternFill patternType="solid">
        <fgColor rgb="FFD9D2E9"/>
        <bgColor rgb="FFD9D9D9"/>
      </patternFill>
    </fill>
    <fill>
      <patternFill patternType="solid">
        <fgColor rgb="FFFFF2CC"/>
        <bgColor rgb="FFFFF8E1"/>
      </patternFill>
    </fill>
    <fill>
      <patternFill patternType="solid">
        <fgColor rgb="FF196D93"/>
        <bgColor rgb="FF2F5597"/>
      </patternFill>
    </fill>
    <fill>
      <patternFill patternType="solid">
        <fgColor rgb="FFDDEBF7"/>
        <bgColor rgb="FFE7E6E6"/>
      </patternFill>
    </fill>
    <fill>
      <patternFill patternType="solid">
        <fgColor rgb="FFFBE5D6"/>
        <bgColor rgb="FFFCE4D6"/>
      </patternFill>
    </fill>
    <fill>
      <patternFill patternType="solid">
        <fgColor rgb="FFEEF5FC"/>
        <bgColor rgb="FFEEF3FA"/>
      </patternFill>
    </fill>
    <fill>
      <patternFill patternType="solid">
        <fgColor rgb="FFFDF2EA"/>
        <bgColor rgb="FFFDF1E8"/>
      </patternFill>
    </fill>
    <fill>
      <patternFill patternType="solid">
        <fgColor rgb="FF7F6000"/>
        <bgColor rgb="FF806000"/>
      </patternFill>
    </fill>
    <fill>
      <patternFill patternType="solid">
        <fgColor rgb="FFFFF8E1"/>
        <bgColor rgb="FFFDF2EA"/>
      </patternFill>
    </fill>
    <fill>
      <patternFill patternType="solid">
        <fgColor rgb="FFE4DFEC"/>
        <bgColor rgb="FFE7E6E6"/>
      </patternFill>
    </fill>
    <fill>
      <patternFill patternType="mediumGray">
        <fgColor rgb="FFF2F3F4"/>
        <bgColor rgb="FFEEF3FA"/>
      </patternFill>
    </fill>
    <fill>
      <patternFill patternType="solid">
        <fgColor rgb="FFFCE4D6"/>
        <bgColor rgb="FFFBE5D6"/>
      </patternFill>
    </fill>
    <fill>
      <patternFill patternType="solid">
        <fgColor rgb="FFE2EFDA"/>
        <bgColor rgb="FFE7E6E6"/>
      </patternFill>
    </fill>
    <fill>
      <patternFill patternType="solid">
        <fgColor rgb="FFEAF2F7"/>
        <bgColor rgb="FFEEF3FA"/>
      </patternFill>
    </fill>
    <fill>
      <patternFill patternType="solid">
        <fgColor rgb="FFFDF1E8"/>
        <bgColor rgb="FFFDF2EA"/>
      </patternFill>
    </fill>
    <fill>
      <patternFill patternType="solid">
        <fgColor rgb="FFEEF3FA"/>
        <bgColor rgb="FFEEF5FC"/>
      </patternFill>
    </fill>
    <fill>
      <patternFill patternType="solid">
        <fgColor rgb="FF3A5626"/>
        <bgColor rgb="FF3A3A3A"/>
      </patternFill>
    </fill>
    <fill>
      <patternFill patternType="darkGray">
        <fgColor rgb="FFF2F3F4"/>
        <bgColor rgb="FFEAF2F7"/>
      </patternFill>
    </fill>
    <fill>
      <patternFill patternType="solid">
        <fgColor rgb="FF3A3A8C"/>
        <bgColor rgb="FF203864"/>
      </patternFill>
    </fill>
    <fill>
      <patternFill patternType="solid">
        <fgColor rgb="FFA50021"/>
        <bgColor rgb="FFC00000"/>
      </patternFill>
    </fill>
    <fill>
      <patternFill patternType="solid">
        <fgColor rgb="FF203864"/>
        <bgColor rgb="FF3A3A8C"/>
      </patternFill>
    </fill>
    <fill>
      <patternFill patternType="solid">
        <fgColor rgb="FF806000"/>
        <bgColor rgb="FF7F6000"/>
      </patternFill>
    </fill>
    <fill>
      <patternFill patternType="solid">
        <fgColor rgb="FF833C0B"/>
        <bgColor rgb="FF806000"/>
      </patternFill>
    </fill>
    <fill>
      <patternFill patternType="solid">
        <fgColor rgb="FFFCEBEE"/>
        <bgColor rgb="FFFBEAE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2" fillId="6" borderId="1" xfId="0" applyFont="true" applyBorder="true" applyAlignment="true" applyProtection="false">
      <alignment horizontal="center"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5" fontId="14" fillId="8" borderId="1" xfId="0" applyFont="true" applyBorder="true" applyAlignment="true" applyProtection="false">
      <alignment horizontal="center" vertical="top" textRotation="0" wrapText="true" indent="0" shrinkToFit="false"/>
      <protection locked="true" hidden="false"/>
    </xf>
    <xf numFmtId="164" fontId="15" fillId="9"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true" applyProtection="false">
      <alignment horizontal="center"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4" fontId="15" fillId="11" borderId="1" xfId="0" applyFont="true" applyBorder="true" applyAlignment="true" applyProtection="false">
      <alignment horizontal="general"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4" fontId="15" fillId="13" borderId="1" xfId="0" applyFont="true" applyBorder="true" applyAlignment="true" applyProtection="false">
      <alignment horizontal="general" vertical="top" textRotation="0" wrapText="true" indent="0" shrinkToFit="false"/>
      <protection locked="true" hidden="false"/>
    </xf>
    <xf numFmtId="164" fontId="7" fillId="14" borderId="1" xfId="0" applyFont="true" applyBorder="true" applyAlignment="true" applyProtection="false">
      <alignment horizontal="general" vertical="top" textRotation="0" wrapText="true" indent="0" shrinkToFit="false"/>
      <protection locked="true" hidden="false"/>
    </xf>
    <xf numFmtId="164" fontId="15" fillId="15" borderId="1" xfId="0" applyFont="true" applyBorder="true" applyAlignment="true" applyProtection="false">
      <alignment horizontal="general" vertical="top" textRotation="0" wrapText="true" indent="0" shrinkToFit="false"/>
      <protection locked="true" hidden="false"/>
    </xf>
    <xf numFmtId="164" fontId="16" fillId="16" borderId="1" xfId="0" applyFont="true" applyBorder="true" applyAlignment="true" applyProtection="false">
      <alignment horizontal="general" vertical="top" textRotation="0" wrapText="true" indent="0" shrinkToFit="false"/>
      <protection locked="true" hidden="false"/>
    </xf>
    <xf numFmtId="165" fontId="17" fillId="17" borderId="1" xfId="0" applyFont="true" applyBorder="true" applyAlignment="true" applyProtection="false">
      <alignment horizontal="center" vertical="top" textRotation="0" wrapText="true" indent="0" shrinkToFit="false"/>
      <protection locked="true" hidden="false"/>
    </xf>
    <xf numFmtId="164" fontId="15" fillId="18" borderId="1" xfId="0" applyFont="true" applyBorder="true" applyAlignment="true" applyProtection="false">
      <alignment horizontal="general" vertical="top" textRotation="0" wrapText="true" indent="0" shrinkToFit="false"/>
      <protection locked="true" hidden="false"/>
    </xf>
    <xf numFmtId="164" fontId="16" fillId="2" borderId="1" xfId="0" applyFont="true" applyBorder="true" applyAlignment="true" applyProtection="false">
      <alignment horizontal="general" vertical="top" textRotation="0" wrapText="true" indent="0" shrinkToFit="false"/>
      <protection locked="true" hidden="false"/>
    </xf>
    <xf numFmtId="165" fontId="18" fillId="17" borderId="1" xfId="0" applyFont="true" applyBorder="true" applyAlignment="true" applyProtection="false">
      <alignment horizontal="center" vertical="top" textRotation="0" wrapText="true" indent="0" shrinkToFit="false"/>
      <protection locked="true" hidden="false"/>
    </xf>
    <xf numFmtId="164" fontId="15" fillId="19" borderId="1" xfId="0" applyFont="true" applyBorder="true" applyAlignment="true" applyProtection="false">
      <alignment horizontal="general" vertical="top" textRotation="0" wrapText="true" indent="0" shrinkToFit="false"/>
      <protection locked="true" hidden="false"/>
    </xf>
    <xf numFmtId="164" fontId="16" fillId="20" borderId="1" xfId="0" applyFont="true" applyBorder="true" applyAlignment="true" applyProtection="false">
      <alignment horizontal="general" vertical="top" textRotation="0" wrapText="true" indent="0" shrinkToFit="false"/>
      <protection locked="true" hidden="false"/>
    </xf>
    <xf numFmtId="165" fontId="19" fillId="17" borderId="1" xfId="0" applyFont="true" applyBorder="true" applyAlignment="true" applyProtection="false">
      <alignment horizontal="center" vertical="top" textRotation="0" wrapText="true" indent="0" shrinkToFit="false"/>
      <protection locked="true" hidden="false"/>
    </xf>
    <xf numFmtId="164" fontId="16" fillId="21" borderId="1" xfId="0" applyFont="true" applyBorder="true" applyAlignment="true" applyProtection="false">
      <alignment horizontal="general" vertical="top" textRotation="0" wrapText="true" indent="0" shrinkToFit="false"/>
      <protection locked="true" hidden="false"/>
    </xf>
    <xf numFmtId="165" fontId="20" fillId="17" borderId="1" xfId="0" applyFont="true" applyBorder="true" applyAlignment="true" applyProtection="false">
      <alignment horizontal="center" vertical="top" textRotation="0" wrapText="true" indent="0" shrinkToFit="false"/>
      <protection locked="true" hidden="false"/>
    </xf>
    <xf numFmtId="164" fontId="16" fillId="22" borderId="1" xfId="0" applyFont="true" applyBorder="true" applyAlignment="true" applyProtection="false">
      <alignment horizontal="general" vertical="top" textRotation="0" wrapText="true" indent="0" shrinkToFit="false"/>
      <protection locked="true" hidden="false"/>
    </xf>
    <xf numFmtId="165" fontId="21" fillId="17" borderId="1" xfId="0" applyFont="true" applyBorder="true" applyAlignment="true" applyProtection="false">
      <alignment horizontal="center" vertical="top" textRotation="0" wrapText="true" indent="0" shrinkToFit="false"/>
      <protection locked="true" hidden="false"/>
    </xf>
    <xf numFmtId="164" fontId="16" fillId="23" borderId="1" xfId="0" applyFont="true" applyBorder="true" applyAlignment="true" applyProtection="false">
      <alignment horizontal="general" vertical="top" textRotation="0" wrapText="true" indent="0" shrinkToFit="false"/>
      <protection locked="true" hidden="false"/>
    </xf>
    <xf numFmtId="165" fontId="22" fillId="17" borderId="1" xfId="0" applyFont="true" applyBorder="true" applyAlignment="true" applyProtection="false">
      <alignment horizontal="center" vertical="top" textRotation="0" wrapText="true" indent="0" shrinkToFit="false"/>
      <protection locked="true" hidden="false"/>
    </xf>
    <xf numFmtId="164" fontId="16" fillId="6" borderId="1" xfId="0" applyFont="true" applyBorder="true" applyAlignment="true" applyProtection="false">
      <alignment horizontal="general" vertical="top" textRotation="0" wrapText="true" indent="0" shrinkToFit="false"/>
      <protection locked="true" hidden="false"/>
    </xf>
    <xf numFmtId="165" fontId="13" fillId="17" borderId="1" xfId="0" applyFont="true" applyBorder="true" applyAlignment="true" applyProtection="false">
      <alignment horizontal="center" vertical="top" textRotation="0" wrapText="true" indent="0" shrinkToFit="false"/>
      <protection locked="true" hidden="false"/>
    </xf>
    <xf numFmtId="164" fontId="16" fillId="24" borderId="1" xfId="0" applyFont="true" applyBorder="true" applyAlignment="true" applyProtection="false">
      <alignment horizontal="general" vertical="top" textRotation="0" wrapText="true" indent="0" shrinkToFit="false"/>
      <protection locked="true" hidden="false"/>
    </xf>
    <xf numFmtId="165" fontId="23" fillId="17" borderId="1" xfId="0" applyFont="true" applyBorder="true" applyAlignment="true" applyProtection="false">
      <alignment horizontal="center" vertical="top" textRotation="0" wrapText="true" indent="0" shrinkToFit="false"/>
      <protection locked="true" hidden="false"/>
    </xf>
    <xf numFmtId="164" fontId="15" fillId="10"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15" fillId="7" borderId="1" xfId="0" applyFont="true" applyBorder="true" applyAlignment="true" applyProtection="false">
      <alignment horizontal="center" vertical="top" textRotation="0" wrapText="true" indent="0" shrinkToFit="false"/>
      <protection locked="true" hidden="false"/>
    </xf>
    <xf numFmtId="164" fontId="15" fillId="10" borderId="1" xfId="0" applyFont="true" applyBorder="true" applyAlignment="true" applyProtection="false">
      <alignment horizontal="center" vertical="top" textRotation="0" wrapText="true" indent="0" shrinkToFit="false"/>
      <protection locked="true" hidden="false"/>
    </xf>
    <xf numFmtId="164" fontId="15" fillId="12" borderId="1" xfId="0" applyFont="true" applyBorder="true" applyAlignment="true" applyProtection="false">
      <alignment horizontal="center" vertical="top" textRotation="0" wrapText="true" indent="0" shrinkToFit="false"/>
      <protection locked="true" hidden="false"/>
    </xf>
    <xf numFmtId="164" fontId="15" fillId="14" borderId="1" xfId="0" applyFont="true" applyBorder="true" applyAlignment="true" applyProtection="false">
      <alignment horizontal="center" vertical="top" textRotation="0" wrapText="true" indent="0" shrinkToFit="false"/>
      <protection locked="true" hidden="false"/>
    </xf>
    <xf numFmtId="164" fontId="8" fillId="25" borderId="1" xfId="0" applyFont="true" applyBorder="true" applyAlignment="true" applyProtection="false">
      <alignment horizontal="general" vertical="top" textRotation="0" wrapText="true" indent="0" shrinkToFit="false"/>
      <protection locked="true" hidden="false"/>
    </xf>
    <xf numFmtId="164" fontId="8" fillId="26" borderId="1" xfId="0" applyFont="true" applyBorder="true" applyAlignment="true" applyProtection="false">
      <alignment horizontal="general" vertical="top" textRotation="0" wrapText="true" indent="0" shrinkToFit="false"/>
      <protection locked="true" hidden="false"/>
    </xf>
    <xf numFmtId="164" fontId="8" fillId="27" borderId="1" xfId="0" applyFont="true" applyBorder="true" applyAlignment="true" applyProtection="false">
      <alignment horizontal="general" vertical="top" textRotation="0" wrapText="true" indent="0" shrinkToFit="false"/>
      <protection locked="true" hidden="false"/>
    </xf>
    <xf numFmtId="164" fontId="8" fillId="28" borderId="1" xfId="0" applyFont="true" applyBorder="true" applyAlignment="true" applyProtection="false">
      <alignment horizontal="general" vertical="top" textRotation="0" wrapText="true" indent="0" shrinkToFit="false"/>
      <protection locked="true" hidden="false"/>
    </xf>
    <xf numFmtId="164" fontId="8" fillId="9" borderId="1" xfId="0" applyFont="true" applyBorder="true" applyAlignment="true" applyProtection="false">
      <alignment horizontal="general" vertical="top" textRotation="0" wrapText="true" indent="0" shrinkToFit="false"/>
      <protection locked="true" hidden="false"/>
    </xf>
    <xf numFmtId="164" fontId="8" fillId="29" borderId="1" xfId="0" applyFont="true" applyBorder="true" applyAlignment="true" applyProtection="false">
      <alignment horizontal="general" vertical="top" textRotation="0" wrapText="true" indent="0" shrinkToFit="false"/>
      <protection locked="true" hidden="false"/>
    </xf>
    <xf numFmtId="164" fontId="8" fillId="30" borderId="1" xfId="0" applyFont="true" applyBorder="true" applyAlignment="true" applyProtection="false">
      <alignment horizontal="general" vertical="top" textRotation="0" wrapText="true" indent="0" shrinkToFit="false"/>
      <protection locked="true" hidden="false"/>
    </xf>
    <xf numFmtId="164" fontId="8" fillId="31" borderId="1" xfId="0" applyFont="true" applyBorder="true" applyAlignment="true" applyProtection="false">
      <alignment horizontal="general" vertical="top" textRotation="0" wrapText="true" indent="0" shrinkToFit="false"/>
      <protection locked="true" hidden="false"/>
    </xf>
    <xf numFmtId="164" fontId="8" fillId="10" borderId="1" xfId="0" applyFont="true" applyBorder="true" applyAlignment="true" applyProtection="false">
      <alignment horizontal="general" vertical="top" textRotation="0" wrapText="true" indent="0" shrinkToFit="false"/>
      <protection locked="true" hidden="false"/>
    </xf>
    <xf numFmtId="164" fontId="8" fillId="32" borderId="1" xfId="0" applyFont="true" applyBorder="true" applyAlignment="true" applyProtection="false">
      <alignment horizontal="general"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8" fillId="33" borderId="1" xfId="0" applyFont="true" applyBorder="true" applyAlignment="true" applyProtection="false">
      <alignment horizontal="general" vertical="top" textRotation="0" wrapText="true" indent="0" shrinkToFit="false"/>
      <protection locked="true" hidden="false"/>
    </xf>
    <xf numFmtId="164" fontId="4" fillId="16" borderId="0" xfId="0" applyFont="true" applyBorder="false" applyAlignment="true" applyProtection="false">
      <alignment horizontal="general" vertical="center"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24" fillId="34" borderId="0" xfId="0" applyFont="true" applyBorder="true" applyAlignment="true" applyProtection="false">
      <alignment horizontal="general" vertical="top" textRotation="0" wrapText="true" indent="0" shrinkToFit="false"/>
      <protection locked="true" hidden="false"/>
    </xf>
    <xf numFmtId="164" fontId="16" fillId="16" borderId="0" xfId="0" applyFont="true" applyBorder="true" applyAlignment="true" applyProtection="false">
      <alignment horizontal="center" vertical="bottom" textRotation="0" wrapText="false" indent="0" shrinkToFit="false"/>
      <protection locked="true" hidden="false"/>
    </xf>
    <xf numFmtId="164" fontId="16" fillId="24" borderId="0" xfId="0" applyFont="true" applyBorder="true" applyAlignment="true" applyProtection="false">
      <alignment horizontal="center" vertical="bottom" textRotation="0" wrapText="false" indent="0" shrinkToFit="false"/>
      <protection locked="true" hidden="false"/>
    </xf>
    <xf numFmtId="164" fontId="16" fillId="20" borderId="0" xfId="0" applyFont="true" applyBorder="true" applyAlignment="true" applyProtection="false">
      <alignment horizontal="center" vertical="bottom" textRotation="0" wrapText="false" indent="0" shrinkToFit="false"/>
      <protection locked="true" hidden="false"/>
    </xf>
    <xf numFmtId="164" fontId="16" fillId="6" borderId="0" xfId="0" applyFont="true" applyBorder="true" applyAlignment="true" applyProtection="false">
      <alignment horizontal="center" vertical="bottom" textRotation="0" wrapText="false" indent="0" shrinkToFit="false"/>
      <protection locked="true" hidden="false"/>
    </xf>
    <xf numFmtId="164" fontId="16" fillId="35" borderId="0" xfId="0" applyFont="true" applyBorder="true" applyAlignment="true" applyProtection="false">
      <alignment horizontal="center" vertical="bottom" textRotation="0" wrapText="false" indent="0" shrinkToFit="false"/>
      <protection locked="true" hidden="false"/>
    </xf>
    <xf numFmtId="164" fontId="12" fillId="16" borderId="1" xfId="0" applyFont="true" applyBorder="true" applyAlignment="true" applyProtection="false">
      <alignment horizontal="center" vertical="top" textRotation="0" wrapText="true" indent="0" shrinkToFit="false"/>
      <protection locked="true" hidden="false"/>
    </xf>
    <xf numFmtId="164" fontId="12" fillId="24" borderId="1" xfId="0" applyFont="true" applyBorder="true" applyAlignment="true" applyProtection="false">
      <alignment horizontal="center" vertical="top" textRotation="0" wrapText="true" indent="0" shrinkToFit="false"/>
      <protection locked="true" hidden="false"/>
    </xf>
    <xf numFmtId="164" fontId="12" fillId="20" borderId="1" xfId="0" applyFont="true" applyBorder="true" applyAlignment="true" applyProtection="false">
      <alignment horizontal="center" vertical="top" textRotation="0" wrapText="true" indent="0" shrinkToFit="false"/>
      <protection locked="true" hidden="false"/>
    </xf>
    <xf numFmtId="164" fontId="12" fillId="35" borderId="1" xfId="0" applyFont="true" applyBorder="true" applyAlignment="true" applyProtection="false">
      <alignment horizontal="center" vertical="top" textRotation="0" wrapText="true" indent="0" shrinkToFit="false"/>
      <protection locked="true" hidden="false"/>
    </xf>
    <xf numFmtId="164" fontId="25" fillId="36" borderId="1" xfId="0" applyFont="true" applyBorder="true" applyAlignment="true" applyProtection="false">
      <alignment horizontal="center" vertical="top" textRotation="0" wrapText="true" indent="0" shrinkToFit="false"/>
      <protection locked="true" hidden="false"/>
    </xf>
    <xf numFmtId="164" fontId="15" fillId="36" borderId="1" xfId="0" applyFont="true" applyBorder="true" applyAlignment="true" applyProtection="false">
      <alignment horizontal="general" vertical="top" textRotation="0" wrapText="true" indent="0" shrinkToFit="false"/>
      <protection locked="true" hidden="false"/>
    </xf>
    <xf numFmtId="166" fontId="8" fillId="34" borderId="1" xfId="0" applyFont="true" applyBorder="true" applyAlignment="true" applyProtection="false">
      <alignment horizontal="center" vertical="top"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4" fontId="8" fillId="34" borderId="1" xfId="0" applyFont="true" applyBorder="true" applyAlignment="true" applyProtection="false">
      <alignment horizontal="general" vertical="top" textRotation="0" wrapText="true" indent="0" shrinkToFit="false"/>
      <protection locked="true" hidden="false"/>
    </xf>
    <xf numFmtId="164" fontId="8" fillId="36" borderId="1" xfId="0" applyFont="true" applyBorder="true" applyAlignment="true" applyProtection="false">
      <alignment horizontal="general" vertical="top" textRotation="0" wrapText="true" indent="0" shrinkToFit="false"/>
      <protection locked="true" hidden="false"/>
    </xf>
    <xf numFmtId="164" fontId="8" fillId="36" borderId="1" xfId="0" applyFont="true" applyBorder="true" applyAlignment="true" applyProtection="false">
      <alignment horizontal="center" vertical="top" textRotation="0" wrapText="true" indent="0" shrinkToFit="false"/>
      <protection locked="true" hidden="false"/>
    </xf>
    <xf numFmtId="164" fontId="8" fillId="8" borderId="1" xfId="0" applyFont="true" applyBorder="true" applyAlignment="true" applyProtection="false">
      <alignment horizontal="center" vertical="top" textRotation="0" wrapText="true" indent="0" shrinkToFit="false"/>
      <protection locked="true" hidden="false"/>
    </xf>
    <xf numFmtId="164" fontId="8" fillId="34" borderId="1" xfId="0" applyFont="true" applyBorder="true" applyAlignment="true" applyProtection="false">
      <alignment horizontal="center" vertical="top" textRotation="0" wrapText="true" indent="0" shrinkToFit="false"/>
      <protection locked="true" hidden="false"/>
    </xf>
    <xf numFmtId="167" fontId="8" fillId="34" borderId="1" xfId="0" applyFont="true" applyBorder="true" applyAlignment="true" applyProtection="false">
      <alignment horizontal="general" vertical="top" textRotation="0" wrapText="true" indent="0" shrinkToFit="false"/>
      <protection locked="true" hidden="false"/>
    </xf>
    <xf numFmtId="164" fontId="8" fillId="37" borderId="1" xfId="0" applyFont="true" applyBorder="true" applyAlignment="true" applyProtection="false">
      <alignment horizontal="general" vertical="top" textRotation="0" wrapText="true" indent="0" shrinkToFit="false"/>
      <protection locked="true" hidden="false"/>
    </xf>
    <xf numFmtId="164" fontId="8" fillId="37" borderId="1" xfId="0" applyFont="true" applyBorder="true" applyAlignment="true" applyProtection="false">
      <alignment horizontal="center" vertical="top" textRotation="0" wrapText="true" indent="0" shrinkToFit="false"/>
      <protection locked="true" hidden="false"/>
    </xf>
    <xf numFmtId="168" fontId="8" fillId="34" borderId="1" xfId="0" applyFont="true" applyBorder="true" applyAlignment="true" applyProtection="false">
      <alignment horizontal="center" vertical="top" textRotation="0" wrapText="true" indent="0" shrinkToFit="false"/>
      <protection locked="true" hidden="false"/>
    </xf>
    <xf numFmtId="168" fontId="8" fillId="8" borderId="1" xfId="0" applyFont="true" applyBorder="true" applyAlignment="true" applyProtection="false">
      <alignment horizontal="center" vertical="top" textRotation="0" wrapText="true" indent="0" shrinkToFit="false"/>
      <protection locked="true" hidden="false"/>
    </xf>
    <xf numFmtId="164" fontId="25" fillId="38" borderId="1" xfId="0" applyFont="true" applyBorder="true" applyAlignment="true" applyProtection="false">
      <alignment horizontal="center" vertical="top" textRotation="0" wrapText="true" indent="0" shrinkToFit="false"/>
      <protection locked="true" hidden="false"/>
    </xf>
    <xf numFmtId="164" fontId="15" fillId="38" borderId="1" xfId="0" applyFont="true" applyBorder="true" applyAlignment="true" applyProtection="false">
      <alignment horizontal="general" vertical="top" textRotation="0" wrapText="true" indent="0" shrinkToFit="false"/>
      <protection locked="true" hidden="false"/>
    </xf>
    <xf numFmtId="164" fontId="8" fillId="38" borderId="1" xfId="0" applyFont="true" applyBorder="true" applyAlignment="true" applyProtection="false">
      <alignment horizontal="general" vertical="top" textRotation="0" wrapText="true" indent="0" shrinkToFit="false"/>
      <protection locked="true" hidden="false"/>
    </xf>
    <xf numFmtId="164" fontId="8" fillId="38" borderId="1" xfId="0" applyFont="true" applyBorder="true" applyAlignment="true" applyProtection="false">
      <alignment horizontal="center" vertical="top" textRotation="0" wrapText="true" indent="0" shrinkToFit="false"/>
      <protection locked="true" hidden="false"/>
    </xf>
    <xf numFmtId="164" fontId="8" fillId="39" borderId="1" xfId="0" applyFont="true" applyBorder="true" applyAlignment="true" applyProtection="false">
      <alignment horizontal="general" vertical="top" textRotation="0" wrapText="true" indent="0" shrinkToFit="false"/>
      <protection locked="true" hidden="false"/>
    </xf>
    <xf numFmtId="164" fontId="8" fillId="39" borderId="1" xfId="0" applyFont="true" applyBorder="true" applyAlignment="true" applyProtection="false">
      <alignment horizontal="center" vertical="top" textRotation="0" wrapText="true" indent="0" shrinkToFit="false"/>
      <protection locked="true" hidden="false"/>
    </xf>
    <xf numFmtId="164" fontId="4" fillId="40" borderId="0" xfId="0" applyFont="true" applyBorder="false" applyAlignment="true" applyProtection="false">
      <alignment horizontal="general" vertical="center" textRotation="0" wrapText="false" indent="0" shrinkToFit="false"/>
      <protection locked="true" hidden="false"/>
    </xf>
    <xf numFmtId="164" fontId="0" fillId="40" borderId="0" xfId="0" applyFont="false" applyBorder="false" applyAlignment="false" applyProtection="false">
      <alignment horizontal="general" vertical="bottom" textRotation="0" wrapText="false" indent="0" shrinkToFit="false"/>
      <protection locked="true" hidden="false"/>
    </xf>
    <xf numFmtId="164" fontId="12" fillId="40"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41" borderId="1" xfId="0" applyFont="true" applyBorder="true" applyAlignment="true" applyProtection="false">
      <alignment horizontal="center" vertical="top" textRotation="0" wrapText="true" indent="0" shrinkToFit="false"/>
      <protection locked="true" hidden="false"/>
    </xf>
    <xf numFmtId="164" fontId="8" fillId="41" borderId="1" xfId="0" applyFont="true" applyBorder="true" applyAlignment="true" applyProtection="false">
      <alignment horizontal="general" vertical="top" textRotation="0" wrapText="true" indent="0" shrinkToFit="false"/>
      <protection locked="true" hidden="false"/>
    </xf>
    <xf numFmtId="164" fontId="7" fillId="41" borderId="1" xfId="0" applyFont="true" applyBorder="true" applyAlignment="true" applyProtection="false">
      <alignment horizontal="general" vertical="top" textRotation="0" wrapText="true" indent="0" shrinkToFit="false"/>
      <protection locked="true" hidden="false"/>
    </xf>
    <xf numFmtId="164" fontId="6" fillId="40" borderId="0" xfId="0" applyFont="true" applyBorder="false" applyAlignment="false" applyProtection="false">
      <alignment horizontal="general" vertical="bottom" textRotation="0" wrapText="false" indent="0" shrinkToFit="false"/>
      <protection locked="true" hidden="false"/>
    </xf>
    <xf numFmtId="164" fontId="4" fillId="24" borderId="0" xfId="0" applyFont="true" applyBorder="false" applyAlignment="true" applyProtection="false">
      <alignment horizontal="general" vertical="center" textRotation="0" wrapText="false" indent="0" shrinkToFit="false"/>
      <protection locked="true" hidden="false"/>
    </xf>
    <xf numFmtId="164" fontId="0" fillId="24"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7" fillId="42" borderId="1" xfId="0" applyFont="true" applyBorder="true" applyAlignment="true" applyProtection="false">
      <alignment horizontal="center" vertical="top" textRotation="0" wrapText="true" indent="0" shrinkToFit="false"/>
      <protection locked="true" hidden="false"/>
    </xf>
    <xf numFmtId="164" fontId="8" fillId="42" borderId="1" xfId="0" applyFont="true" applyBorder="true" applyAlignment="true" applyProtection="false">
      <alignment horizontal="general" vertical="top" textRotation="0" wrapText="true" indent="0" shrinkToFit="false"/>
      <protection locked="true" hidden="false"/>
    </xf>
    <xf numFmtId="164" fontId="8" fillId="43" borderId="1" xfId="0" applyFont="true" applyBorder="true" applyAlignment="true" applyProtection="false">
      <alignment horizontal="general" vertical="top" textRotation="0" wrapText="true" indent="0" shrinkToFit="false"/>
      <protection locked="true" hidden="false"/>
    </xf>
    <xf numFmtId="164" fontId="7" fillId="36" borderId="1" xfId="0" applyFont="true" applyBorder="true" applyAlignment="true" applyProtection="false">
      <alignment horizontal="center" vertical="top" textRotation="0" wrapText="true" indent="0" shrinkToFit="false"/>
      <protection locked="true" hidden="false"/>
    </xf>
    <xf numFmtId="164" fontId="7" fillId="44" borderId="1" xfId="0" applyFont="true" applyBorder="true" applyAlignment="true" applyProtection="false">
      <alignment horizontal="center" vertical="top" textRotation="0" wrapText="true" indent="0" shrinkToFit="false"/>
      <protection locked="true" hidden="false"/>
    </xf>
    <xf numFmtId="164" fontId="8" fillId="44" borderId="1" xfId="0" applyFont="true" applyBorder="true" applyAlignment="true" applyProtection="false">
      <alignment horizontal="general" vertical="top" textRotation="0" wrapText="true" indent="0" shrinkToFit="false"/>
      <protection locked="true" hidden="false"/>
    </xf>
    <xf numFmtId="164" fontId="7" fillId="45" borderId="1" xfId="0" applyFont="true" applyBorder="true" applyAlignment="true" applyProtection="false">
      <alignment horizontal="center" vertical="top" textRotation="0" wrapText="true" indent="0" shrinkToFit="false"/>
      <protection locked="true" hidden="false"/>
    </xf>
    <xf numFmtId="164" fontId="8" fillId="45" borderId="1" xfId="0" applyFont="true" applyBorder="true" applyAlignment="true" applyProtection="false">
      <alignment horizontal="general" vertical="top" textRotation="0" wrapText="true" indent="0" shrinkToFit="false"/>
      <protection locked="true" hidden="false"/>
    </xf>
    <xf numFmtId="164" fontId="7" fillId="34" borderId="1" xfId="0" applyFont="true" applyBorder="true" applyAlignment="true" applyProtection="false">
      <alignment horizontal="center" vertical="top" textRotation="0" wrapText="true" indent="0" shrinkToFit="false"/>
      <protection locked="true" hidden="false"/>
    </xf>
    <xf numFmtId="164" fontId="4" fillId="35" borderId="0" xfId="0" applyFont="true" applyBorder="false" applyAlignment="true" applyProtection="false">
      <alignment horizontal="general" vertical="center" textRotation="0" wrapText="false" indent="0" shrinkToFit="false"/>
      <protection locked="true" hidden="false"/>
    </xf>
    <xf numFmtId="164" fontId="0" fillId="35" borderId="0" xfId="0" applyFont="false" applyBorder="false" applyAlignment="false" applyProtection="false">
      <alignment horizontal="general" vertical="bottom" textRotation="0" wrapText="false" indent="0" shrinkToFit="false"/>
      <protection locked="true" hidden="false"/>
    </xf>
    <xf numFmtId="164" fontId="6" fillId="35" borderId="0" xfId="0" applyFont="true" applyBorder="false" applyAlignment="false" applyProtection="false">
      <alignment horizontal="general" vertical="bottom" textRotation="0" wrapText="false" indent="0" shrinkToFit="false"/>
      <protection locked="true" hidden="false"/>
    </xf>
    <xf numFmtId="164" fontId="8" fillId="46" borderId="1" xfId="0" applyFont="true" applyBorder="true" applyAlignment="true" applyProtection="false">
      <alignment horizontal="general" vertical="top" textRotation="0" wrapText="true" indent="0" shrinkToFit="false"/>
      <protection locked="true" hidden="false"/>
    </xf>
    <xf numFmtId="164" fontId="4" fillId="20" borderId="0" xfId="0" applyFont="true" applyBorder="false" applyAlignment="true" applyProtection="false">
      <alignment horizontal="general" vertical="center" textRotation="0" wrapText="false" indent="0" shrinkToFit="false"/>
      <protection locked="true" hidden="false"/>
    </xf>
    <xf numFmtId="164" fontId="0" fillId="2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8" fillId="47" borderId="1" xfId="0" applyFont="true" applyBorder="true" applyAlignment="true" applyProtection="false">
      <alignment horizontal="center"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8" fillId="12"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47" borderId="1" xfId="0" applyFont="true" applyBorder="true" applyAlignment="true" applyProtection="false">
      <alignment horizontal="general" vertical="top" textRotation="0" wrapText="true" indent="0" shrinkToFit="false"/>
      <protection locked="true" hidden="false"/>
    </xf>
    <xf numFmtId="164" fontId="8" fillId="44"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47"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4" fontId="8" fillId="48" borderId="1" xfId="0" applyFont="true" applyBorder="true" applyAlignment="true" applyProtection="false">
      <alignment horizontal="general" vertical="top" textRotation="0" wrapText="true" indent="0" shrinkToFit="false"/>
      <protection locked="true" hidden="false"/>
    </xf>
    <xf numFmtId="166" fontId="8" fillId="48" borderId="1" xfId="0" applyFont="true" applyBorder="true" applyAlignment="true" applyProtection="false">
      <alignment horizontal="general" vertical="top" textRotation="0" wrapText="true" indent="0" shrinkToFit="false"/>
      <protection locked="true" hidden="false"/>
    </xf>
    <xf numFmtId="164" fontId="4" fillId="49" borderId="0" xfId="0" applyFont="true" applyBorder="false" applyAlignment="true" applyProtection="false">
      <alignment horizontal="general" vertical="center" textRotation="0" wrapText="false" indent="0" shrinkToFit="false"/>
      <protection locked="true" hidden="false"/>
    </xf>
    <xf numFmtId="164" fontId="0" fillId="49" borderId="0" xfId="0" applyFont="false" applyBorder="false" applyAlignment="false" applyProtection="false">
      <alignment horizontal="general" vertical="bottom" textRotation="0" wrapText="false" indent="0" shrinkToFit="false"/>
      <protection locked="true" hidden="false"/>
    </xf>
    <xf numFmtId="164" fontId="12" fillId="49" borderId="1" xfId="0" applyFont="true" applyBorder="true" applyAlignment="true" applyProtection="false">
      <alignment horizontal="center" vertical="top" textRotation="0" wrapText="true" indent="0" shrinkToFit="false"/>
      <protection locked="true" hidden="false"/>
    </xf>
    <xf numFmtId="164" fontId="8" fillId="50" borderId="1" xfId="0" applyFont="true" applyBorder="true" applyAlignment="true" applyProtection="false">
      <alignment horizontal="general" vertical="top" textRotation="0" wrapText="true" indent="0" shrinkToFit="false"/>
      <protection locked="true" hidden="false"/>
    </xf>
    <xf numFmtId="164" fontId="4" fillId="51" borderId="0" xfId="0" applyFont="true" applyBorder="false" applyAlignment="true" applyProtection="false">
      <alignment horizontal="general" vertical="center" textRotation="0" wrapText="false" indent="0" shrinkToFit="false"/>
      <protection locked="true" hidden="false"/>
    </xf>
    <xf numFmtId="164" fontId="0" fillId="51" borderId="0" xfId="0" applyFont="false" applyBorder="false" applyAlignment="false" applyProtection="false">
      <alignment horizontal="general" vertical="bottom" textRotation="0" wrapText="false" indent="0" shrinkToFit="false"/>
      <protection locked="true" hidden="false"/>
    </xf>
    <xf numFmtId="164" fontId="27" fillId="16" borderId="1" xfId="0" applyFont="true" applyBorder="true" applyAlignment="true" applyProtection="false">
      <alignment horizontal="center" vertical="top" textRotation="0" wrapText="true" indent="0" shrinkToFit="false"/>
      <protection locked="true" hidden="false"/>
    </xf>
    <xf numFmtId="164" fontId="27" fillId="52" borderId="1" xfId="0" applyFont="true" applyBorder="true" applyAlignment="true" applyProtection="false">
      <alignment horizontal="center" vertical="top" textRotation="0" wrapText="true" indent="0" shrinkToFit="false"/>
      <protection locked="true" hidden="false"/>
    </xf>
    <xf numFmtId="164" fontId="27" fillId="53" borderId="1" xfId="0" applyFont="true" applyBorder="true" applyAlignment="true" applyProtection="false">
      <alignment horizontal="center" vertical="top" textRotation="0" wrapText="true" indent="0" shrinkToFit="false"/>
      <protection locked="true" hidden="false"/>
    </xf>
    <xf numFmtId="164" fontId="27" fillId="49" borderId="1" xfId="0" applyFont="true" applyBorder="true" applyAlignment="true" applyProtection="false">
      <alignment horizontal="center" vertical="top" textRotation="0" wrapText="true" indent="0" shrinkToFit="false"/>
      <protection locked="true" hidden="false"/>
    </xf>
    <xf numFmtId="164" fontId="27" fillId="24" borderId="1" xfId="0" applyFont="true" applyBorder="true" applyAlignment="true" applyProtection="false">
      <alignment horizontal="center" vertical="top" textRotation="0" wrapText="true" indent="0" shrinkToFit="false"/>
      <protection locked="true" hidden="false"/>
    </xf>
    <xf numFmtId="164" fontId="27" fillId="22" borderId="1" xfId="0" applyFont="true" applyBorder="true" applyAlignment="true" applyProtection="false">
      <alignment horizontal="center" vertical="top" textRotation="0" wrapText="true" indent="0" shrinkToFit="false"/>
      <protection locked="true" hidden="false"/>
    </xf>
    <xf numFmtId="164" fontId="27" fillId="20" borderId="1" xfId="0" applyFont="true" applyBorder="true" applyAlignment="true" applyProtection="false">
      <alignment horizontal="center" vertical="top" textRotation="0" wrapText="true" indent="0" shrinkToFit="false"/>
      <protection locked="true" hidden="false"/>
    </xf>
    <xf numFmtId="164" fontId="12" fillId="51" borderId="1" xfId="0" applyFont="true" applyBorder="true" applyAlignment="true" applyProtection="false">
      <alignment horizontal="center" vertical="top" textRotation="0" wrapText="true" indent="0" shrinkToFit="false"/>
      <protection locked="true" hidden="false"/>
    </xf>
    <xf numFmtId="164" fontId="12" fillId="52" borderId="1" xfId="0" applyFont="true" applyBorder="true" applyAlignment="true" applyProtection="false">
      <alignment horizontal="center" vertical="top" textRotation="0" wrapText="true" indent="0" shrinkToFit="false"/>
      <protection locked="true" hidden="false"/>
    </xf>
    <xf numFmtId="164" fontId="12" fillId="53" borderId="1" xfId="0" applyFont="true" applyBorder="true" applyAlignment="true" applyProtection="false">
      <alignment horizontal="center" vertical="top" textRotation="0" wrapText="true" indent="0" shrinkToFit="false"/>
      <protection locked="true" hidden="false"/>
    </xf>
    <xf numFmtId="164" fontId="12" fillId="2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3" borderId="0" xfId="0" applyFont="true" applyBorder="false" applyAlignment="true" applyProtection="false">
      <alignment horizontal="general" vertical="center" textRotation="0" wrapText="false" indent="0" shrinkToFit="false"/>
      <protection locked="true" hidden="false"/>
    </xf>
    <xf numFmtId="164" fontId="0" fillId="53" borderId="0" xfId="0" applyFont="false" applyBorder="false" applyAlignment="false" applyProtection="false">
      <alignment horizontal="general" vertical="bottom" textRotation="0" wrapText="false" indent="0" shrinkToFit="false"/>
      <protection locked="true" hidden="false"/>
    </xf>
    <xf numFmtId="164" fontId="4" fillId="54" borderId="0" xfId="0" applyFont="true" applyBorder="false" applyAlignment="true" applyProtection="false">
      <alignment horizontal="general" vertical="center" textRotation="0" wrapText="false" indent="0" shrinkToFit="false"/>
      <protection locked="true" hidden="false"/>
    </xf>
    <xf numFmtId="164" fontId="0" fillId="54" borderId="0" xfId="0" applyFont="false" applyBorder="false" applyAlignment="false" applyProtection="false">
      <alignment horizontal="general" vertical="bottom" textRotation="0" wrapText="false" indent="0" shrinkToFit="false"/>
      <protection locked="true" hidden="false"/>
    </xf>
    <xf numFmtId="164" fontId="12" fillId="54" borderId="1" xfId="0" applyFont="true" applyBorder="true" applyAlignment="true" applyProtection="false">
      <alignment horizontal="center" vertical="top" textRotation="0" wrapText="true" indent="0" shrinkToFit="false"/>
      <protection locked="true" hidden="false"/>
    </xf>
    <xf numFmtId="164" fontId="4" fillId="55" borderId="0" xfId="0" applyFont="true" applyBorder="false" applyAlignment="true" applyProtection="false">
      <alignment horizontal="general" vertical="center" textRotation="0" wrapText="false" indent="0" shrinkToFit="false"/>
      <protection locked="true" hidden="false"/>
    </xf>
    <xf numFmtId="164" fontId="0" fillId="55" borderId="0" xfId="0" applyFont="false" applyBorder="false" applyAlignment="false" applyProtection="false">
      <alignment horizontal="general" vertical="bottom" textRotation="0" wrapText="false" indent="0" shrinkToFit="false"/>
      <protection locked="true" hidden="false"/>
    </xf>
    <xf numFmtId="164" fontId="12" fillId="55" borderId="1" xfId="0" applyFont="true" applyBorder="true" applyAlignment="true" applyProtection="false">
      <alignment horizontal="center" vertical="top" textRotation="0" wrapText="true" indent="0" shrinkToFit="false"/>
      <protection locked="true" hidden="false"/>
    </xf>
    <xf numFmtId="164" fontId="4" fillId="52" borderId="0" xfId="0" applyFont="true" applyBorder="false" applyAlignment="true" applyProtection="false">
      <alignment horizontal="general" vertical="center" textRotation="0" wrapText="false" indent="0" shrinkToFit="false"/>
      <protection locked="true" hidden="false"/>
    </xf>
    <xf numFmtId="164" fontId="0" fillId="52" borderId="0" xfId="0" applyFont="false" applyBorder="false" applyAlignment="false" applyProtection="false">
      <alignment horizontal="general" vertical="bottom" textRotation="0" wrapText="false" indent="0" shrinkToFit="false"/>
      <protection locked="true" hidden="false"/>
    </xf>
    <xf numFmtId="164" fontId="8" fillId="56"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5">
    <dxf>
      <fill>
        <patternFill>
          <bgColor rgb="FFFF7C80"/>
        </patternFill>
      </fill>
    </dxf>
    <dxf>
      <fill>
        <patternFill>
          <bgColor rgb="FFF8CBAD"/>
        </patternFill>
      </fill>
    </dxf>
    <dxf>
      <fill>
        <patternFill>
          <bgColor rgb="FFFFEB9C"/>
        </patternFill>
      </fill>
    </dxf>
    <dxf>
      <fill>
        <patternFill>
          <bgColor rgb="FFC6EFCE"/>
        </patternFill>
      </fill>
    </dxf>
    <dxf>
      <font>
        <name val="Arial"/>
        <charset val="1"/>
        <family val="0"/>
        <b val="1"/>
        <color rgb="FFC00000"/>
      </font>
    </dxf>
    <dxf>
      <fill>
        <patternFill patternType="solid">
          <fgColor rgb="FF2F5597"/>
          <bgColor rgb="FF000000"/>
        </patternFill>
      </fill>
    </dxf>
    <dxf>
      <fill>
        <patternFill patternType="solid">
          <fgColor rgb="FFDDEBF7"/>
          <bgColor rgb="FF000000"/>
        </patternFill>
      </fill>
    </dxf>
    <dxf>
      <fill>
        <patternFill patternType="solid">
          <fgColor rgb="FFEEF5FC"/>
          <bgColor rgb="FF000000"/>
        </patternFill>
      </fill>
    </dxf>
    <dxf>
      <fill>
        <patternFill patternType="solid">
          <fgColor rgb="FF1F3864"/>
          <bgColor rgb="FF000000"/>
        </patternFill>
      </fill>
    </dxf>
    <dxf>
      <fill>
        <patternFill patternType="solid">
          <fgColor rgb="FFFFFFFF"/>
          <bgColor rgb="FF000000"/>
        </patternFill>
      </fill>
    </dxf>
    <dxf>
      <fill>
        <patternFill patternType="solid">
          <bgColor rgb="FF000000"/>
        </patternFill>
      </fill>
    </dxf>
    <dxf>
      <fill>
        <patternFill patternType="solid">
          <fgColor rgb="FF9DC3E6"/>
          <bgColor rgb="FF000000"/>
        </patternFill>
      </fill>
    </dxf>
    <dxf>
      <fill>
        <patternFill patternType="solid">
          <fgColor rgb="FFB4C7E7"/>
          <bgColor rgb="FF000000"/>
        </patternFill>
      </fill>
    </dxf>
    <dxf>
      <fill>
        <patternFill patternType="solid">
          <fgColor rgb="FFB7DEE8"/>
          <bgColor rgb="FF000000"/>
        </patternFill>
      </fill>
    </dxf>
    <dxf>
      <fill>
        <patternFill patternType="solid">
          <fgColor rgb="FFC5E0B4"/>
          <bgColor rgb="FF000000"/>
        </patternFill>
      </fill>
    </dxf>
    <dxf>
      <fill>
        <patternFill patternType="solid">
          <fgColor rgb="FFC9E2B3"/>
          <bgColor rgb="FF000000"/>
        </patternFill>
      </fill>
    </dxf>
    <dxf>
      <fill>
        <patternFill patternType="solid">
          <fgColor rgb="FFD5A6E6"/>
          <bgColor rgb="FF000000"/>
        </patternFill>
      </fill>
    </dxf>
    <dxf>
      <fill>
        <patternFill patternType="solid">
          <fgColor rgb="FFD9D2E9"/>
          <bgColor rgb="FF000000"/>
        </patternFill>
      </fill>
    </dxf>
    <dxf>
      <fill>
        <patternFill patternType="solid">
          <fgColor rgb="FFF4B183"/>
          <bgColor rgb="FF000000"/>
        </patternFill>
      </fill>
    </dxf>
    <dxf>
      <fill>
        <patternFill patternType="solid">
          <fgColor rgb="FFF8CBAD"/>
          <bgColor rgb="FF000000"/>
        </patternFill>
      </fill>
    </dxf>
    <dxf>
      <fill>
        <patternFill patternType="solid">
          <fgColor rgb="FFFF9999"/>
          <bgColor rgb="FF000000"/>
        </patternFill>
      </fill>
    </dxf>
    <dxf>
      <fill>
        <patternFill patternType="solid">
          <fgColor rgb="FFFFD966"/>
          <bgColor rgb="FF000000"/>
        </patternFill>
      </fill>
    </dxf>
    <dxf>
      <fill>
        <patternFill patternType="solid">
          <fgColor rgb="FFFFE699"/>
          <bgColor rgb="FF000000"/>
        </patternFill>
      </fill>
    </dxf>
    <dxf>
      <fill>
        <patternFill patternType="solid">
          <fgColor rgb="FFFFF2CC"/>
          <bgColor rgb="FF000000"/>
        </patternFill>
      </fill>
    </dxf>
    <dxf>
      <fill>
        <patternFill patternType="solid">
          <fgColor rgb="FFE7E6E6"/>
          <bgColor rgb="FF000000"/>
        </patternFill>
      </fill>
    </dxf>
    <dxf>
      <fill>
        <patternFill patternType="solid">
          <fgColor rgb="FF7030A0"/>
          <bgColor rgb="FF000000"/>
        </patternFill>
      </fill>
    </dxf>
    <dxf>
      <fill>
        <patternFill patternType="solid">
          <fgColor rgb="FFFFEB9C"/>
          <bgColor rgb="FF000000"/>
        </patternFill>
      </fill>
    </dxf>
    <dxf>
      <fill>
        <patternFill patternType="solid">
          <fgColor rgb="FFFF7C80"/>
          <bgColor rgb="FF000000"/>
        </patternFill>
      </fill>
    </dxf>
    <dxf>
      <fill>
        <patternFill patternType="solid">
          <fgColor rgb="FFC0D980"/>
          <bgColor rgb="FF000000"/>
        </patternFill>
      </fill>
    </dxf>
    <dxf>
      <fill>
        <patternFill patternType="solid">
          <fgColor rgb="FFFB9D75"/>
          <bgColor rgb="FF000000"/>
        </patternFill>
      </fill>
    </dxf>
    <dxf>
      <fill>
        <patternFill patternType="solid">
          <fgColor rgb="FFFDC47D"/>
          <bgColor rgb="FF000000"/>
        </patternFill>
      </fill>
    </dxf>
    <dxf>
      <fill>
        <patternFill patternType="solid">
          <fgColor rgb="FFFED17F"/>
          <bgColor rgb="FF000000"/>
        </patternFill>
      </fill>
    </dxf>
    <dxf>
      <fill>
        <patternFill patternType="solid">
          <fgColor rgb="FFFFEB84"/>
          <bgColor rgb="FF000000"/>
        </patternFill>
      </fill>
    </dxf>
    <dxf>
      <fill>
        <patternFill patternType="solid">
          <fgColor rgb="FFC55A11"/>
          <bgColor rgb="FF000000"/>
        </patternFill>
      </fill>
    </dxf>
    <dxf>
      <fill>
        <patternFill patternType="solid">
          <fgColor rgb="FFFBE5D6"/>
          <bgColor rgb="FF000000"/>
        </patternFill>
      </fill>
    </dxf>
    <dxf>
      <fill>
        <patternFill patternType="solid">
          <fgColor rgb="FFFDF2EA"/>
          <bgColor rgb="FF000000"/>
        </patternFill>
      </fill>
    </dxf>
    <dxf>
      <fill>
        <patternFill patternType="solid">
          <fgColor rgb="FF548235"/>
          <bgColor rgb="FF000000"/>
        </patternFill>
      </fill>
    </dxf>
    <dxf>
      <fill>
        <patternFill patternType="solid">
          <fgColor rgb="FFC6EFCE"/>
          <bgColor rgb="FF000000"/>
        </patternFill>
      </fill>
    </dxf>
    <dxf>
      <fill>
        <patternFill patternType="solid">
          <fgColor rgb="FF1F6E8C"/>
          <bgColor rgb="FF000000"/>
        </patternFill>
      </fill>
    </dxf>
    <dxf>
      <fill>
        <patternFill patternType="solid">
          <fgColor rgb="FFFCE4D6"/>
          <bgColor rgb="FF000000"/>
        </patternFill>
      </fill>
    </dxf>
    <dxf>
      <fill>
        <patternFill patternType="solid">
          <fgColor rgb="FFE2EFDA"/>
          <bgColor rgb="FF000000"/>
        </patternFill>
      </fill>
    </dxf>
    <dxf>
      <font>
        <name val="Arial"/>
        <charset val="1"/>
        <family val="0"/>
        <b val="1"/>
      </font>
      <fill>
        <patternFill>
          <bgColor rgb="FFC6EFCE"/>
        </patternFill>
      </fill>
    </dxf>
    <dxf>
      <font>
        <name val="Arial"/>
        <charset val="1"/>
        <family val="0"/>
        <b val="1"/>
      </font>
      <fill>
        <patternFill>
          <bgColor rgb="FFFFEB9C"/>
        </patternFill>
      </fill>
    </dxf>
    <dxf>
      <font>
        <name val="Arial"/>
        <charset val="1"/>
        <family val="0"/>
        <b val="1"/>
      </font>
      <fill>
        <patternFill>
          <bgColor rgb="FFF8CBAD"/>
        </patternFill>
      </fill>
    </dxf>
    <dxf>
      <font>
        <name val="Arial"/>
        <charset val="1"/>
        <family val="0"/>
        <b val="1"/>
      </font>
      <fill>
        <patternFill>
          <bgColor rgb="FFFF7C80"/>
        </patternFill>
      </fill>
    </dxf>
    <dxf>
      <fill>
        <patternFill>
          <bgColor rgb="FFE2EFDA"/>
        </patternFill>
      </fill>
    </dxf>
    <dxf>
      <font>
        <name val="Arial"/>
        <charset val="1"/>
        <family val="0"/>
        <b val="1"/>
      </font>
      <fill>
        <patternFill>
          <bgColor rgb="FFBDD7EE"/>
        </patternFill>
      </fill>
    </dxf>
    <dxf>
      <fill>
        <patternFill>
          <bgColor rgb="FFD9D9D9"/>
        </patternFill>
      </fill>
    </dxf>
    <dxf>
      <fill>
        <patternFill>
          <bgColor rgb="FFFCE4D6"/>
        </patternFill>
      </fill>
    </dxf>
    <dxf>
      <font>
        <name val="Arial"/>
        <charset val="1"/>
        <family val="0"/>
        <b val="1"/>
      </font>
      <fill>
        <patternFill>
          <bgColor rgb="FFFF9999"/>
        </patternFill>
      </fill>
    </dxf>
    <dxf>
      <font>
        <name val="Arial"/>
        <charset val="1"/>
        <family val="0"/>
        <b val="1"/>
      </font>
      <fill>
        <patternFill>
          <bgColor rgb="FFFFD966"/>
        </patternFill>
      </fill>
    </dxf>
    <dxf>
      <font>
        <name val="Arial"/>
        <charset val="1"/>
        <family val="0"/>
        <b val="1"/>
      </font>
      <fill>
        <patternFill>
          <bgColor rgb="FFC6E0B4"/>
        </patternFill>
      </fill>
    </dxf>
    <dxf>
      <font>
        <name val="Arial"/>
        <charset val="1"/>
        <family val="0"/>
        <b val="1"/>
      </font>
      <fill>
        <patternFill>
          <bgColor rgb="FFD9C3E9"/>
        </patternFill>
      </fill>
    </dxf>
    <dxf>
      <font>
        <name val="Arial"/>
        <charset val="1"/>
        <family val="0"/>
        <b val="1"/>
      </font>
      <fill>
        <patternFill>
          <bgColor rgb="FF92D050"/>
        </patternFill>
      </fill>
    </dxf>
    <dxf>
      <font>
        <name val="Arial"/>
        <charset val="1"/>
        <family val="0"/>
        <b val="1"/>
      </font>
      <fill>
        <patternFill>
          <bgColor rgb="FFB4C7E7"/>
        </patternFill>
      </fill>
    </dxf>
    <dxf>
      <font>
        <name val="Arial"/>
        <charset val="1"/>
        <family val="0"/>
        <b val="1"/>
      </font>
      <fill>
        <patternFill>
          <bgColor rgb="FFC9E2B3"/>
        </patternFill>
      </fill>
    </dxf>
    <dxf>
      <font>
        <name val="Arial"/>
        <charset val="1"/>
        <family val="0"/>
        <b val="1"/>
      </font>
      <fill>
        <patternFill>
          <bgColor rgb="FFF4B183"/>
        </patternFill>
      </fill>
    </dxf>
    <dxf>
      <font>
        <name val="Arial"/>
        <charset val="1"/>
        <family val="0"/>
        <b val="1"/>
      </font>
      <fill>
        <patternFill>
          <bgColor rgb="FFFFE699"/>
        </patternFill>
      </fill>
    </dxf>
    <dxf>
      <font>
        <name val="Arial"/>
        <charset val="1"/>
        <family val="0"/>
        <b val="1"/>
      </font>
      <fill>
        <patternFill>
          <bgColor rgb="FFD5A6E6"/>
        </patternFill>
      </fill>
    </dxf>
    <dxf>
      <font>
        <name val="Arial"/>
        <charset val="1"/>
        <family val="0"/>
        <b val="1"/>
      </font>
      <fill>
        <patternFill>
          <bgColor rgb="FF9DC3E6"/>
        </patternFill>
      </fill>
    </dxf>
    <dxf>
      <font>
        <name val="Arial"/>
        <charset val="1"/>
        <family val="0"/>
        <b val="1"/>
      </font>
      <fill>
        <patternFill>
          <bgColor rgb="FFC5E0B4"/>
        </patternFill>
      </fill>
    </dxf>
    <dxf>
      <font>
        <name val="Arial"/>
        <charset val="1"/>
        <family val="0"/>
        <b val="1"/>
      </font>
      <fill>
        <patternFill>
          <bgColor rgb="FFB7DEE8"/>
        </patternFill>
      </fill>
    </dxf>
    <dxf>
      <font>
        <name val="Arial"/>
        <charset val="1"/>
        <family val="0"/>
        <b val="1"/>
      </font>
      <fill>
        <patternFill>
          <bgColor rgb="FFD9D2E9"/>
        </patternFill>
      </fill>
    </dxf>
    <dxf>
      <fill>
        <patternFill patternType="solid">
          <fgColor rgb="FFEEF3FA"/>
          <bgColor rgb="FF000000"/>
        </patternFill>
      </fill>
    </dxf>
    <dxf>
      <fill>
        <patternFill patternType="solid">
          <fgColor rgb="FF375623"/>
          <bgColor rgb="FF000000"/>
        </patternFill>
      </fill>
    </dxf>
    <dxf>
      <fill>
        <patternFill patternType="solid">
          <fgColor rgb="FFEEF5E9"/>
          <bgColor rgb="FF000000"/>
        </patternFill>
      </fill>
    </dxf>
    <dxf>
      <font>
        <name val="Arial"/>
        <charset val="1"/>
        <family val="0"/>
        <color rgb="FFA6A6A6"/>
      </font>
      <fill>
        <patternFill>
          <bgColor rgb="FFF2F2F2"/>
        </patternFill>
      </fill>
    </dxf>
    <dxf>
      <fill>
        <patternFill patternType="solid">
          <fgColor rgb="FF203864"/>
          <bgColor rgb="FF000000"/>
        </patternFill>
      </fill>
    </dxf>
    <dxf>
      <fill>
        <patternFill patternType="solid">
          <fgColor rgb="FFEAEFF7"/>
          <bgColor rgb="FF000000"/>
        </patternFill>
      </fill>
    </dxf>
    <dxf>
      <fill>
        <patternFill patternType="solid">
          <fgColor rgb="FF806000"/>
          <bgColor rgb="FF000000"/>
        </patternFill>
      </fill>
    </dxf>
    <dxf>
      <fill>
        <patternFill patternType="solid">
          <fgColor rgb="FFFFF8E1"/>
          <bgColor rgb="FF000000"/>
        </patternFill>
      </fill>
    </dxf>
    <dxf>
      <fill>
        <patternFill patternType="solid">
          <fgColor rgb="FF833C0B"/>
          <bgColor rgb="FF000000"/>
        </patternFill>
      </fill>
    </dxf>
    <dxf>
      <fill>
        <patternFill patternType="solid">
          <fgColor rgb="FFFBEFE6"/>
          <bgColor rgb="FF000000"/>
        </patternFill>
      </fill>
    </dxf>
    <dxf>
      <fill>
        <patternFill patternType="solid">
          <fgColor rgb="FFA50021"/>
          <bgColor rgb="FF000000"/>
        </patternFill>
      </fill>
    </dxf>
    <dxf>
      <fill>
        <patternFill patternType="solid">
          <fgColor rgb="FFFCEBEE"/>
          <bgColor rgb="FF000000"/>
        </patternFill>
      </fill>
    </dxf>
  </dxfs>
  <colors>
    <indexedColors>
      <rgbColor rgb="FF000000"/>
      <rgbColor rgb="FFFFFFFF"/>
      <rgbColor rgb="FFFF0000"/>
      <rgbColor rgb="FFC9E2B3"/>
      <rgbColor rgb="FFEEF5FC"/>
      <rgbColor rgb="FFFFE699"/>
      <rgbColor rgb="FFFCE4D6"/>
      <rgbColor rgb="FFC5E0B4"/>
      <rgbColor rgb="FFA50021"/>
      <rgbColor rgb="FFE2EFDA"/>
      <rgbColor rgb="FFFDF1E8"/>
      <rgbColor rgb="FF806000"/>
      <rgbColor rgb="FFE7E6E6"/>
      <rgbColor rgb="FF196D93"/>
      <rgbColor rgb="FFBFBFBF"/>
      <rgbColor rgb="FF7F7F7F"/>
      <rgbColor rgb="FFB4C7E7"/>
      <rgbColor rgb="FF7030A0"/>
      <rgbColor rgb="FFFFF8E1"/>
      <rgbColor rgb="FFDDEBF7"/>
      <rgbColor rgb="FFFCEBEE"/>
      <rgbColor rgb="FFFF7C80"/>
      <rgbColor rgb="FFE4DFEC"/>
      <rgbColor rgb="FFD9D2E9"/>
      <rgbColor rgb="FFFDF2EA"/>
      <rgbColor rgb="FFFBE5D6"/>
      <rgbColor rgb="FFFFF2CC"/>
      <rgbColor rgb="FFC6E0B4"/>
      <rgbColor rgb="FFFBEAEA"/>
      <rgbColor rgb="FFC00000"/>
      <rgbColor rgb="FFD9D9D9"/>
      <rgbColor rgb="FFF2F3F4"/>
      <rgbColor rgb="FFBDD7EE"/>
      <rgbColor rgb="FFEAF2F7"/>
      <rgbColor rgb="FFC6EFCE"/>
      <rgbColor rgb="FFFFEB9C"/>
      <rgbColor rgb="FF9DC3E6"/>
      <rgbColor rgb="FFFF9999"/>
      <rgbColor rgb="FFD5A6E6"/>
      <rgbColor rgb="FFF8CBAD"/>
      <rgbColor rgb="FFD9C3E9"/>
      <rgbColor rgb="FFB7DEE8"/>
      <rgbColor rgb="FF92D050"/>
      <rgbColor rgb="FFFFD966"/>
      <rgbColor rgb="FFBF8F00"/>
      <rgbColor rgb="FFC55A11"/>
      <rgbColor rgb="FF2F5597"/>
      <rgbColor rgb="FFF4B183"/>
      <rgbColor rgb="FF203864"/>
      <rgbColor rgb="FF548235"/>
      <rgbColor rgb="FFEEF3FA"/>
      <rgbColor rgb="FF3A5626"/>
      <rgbColor rgb="FF833C0B"/>
      <rgbColor rgb="FF7F6000"/>
      <rgbColor rgb="FF3A3A8C"/>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2.xml.rels><?xml version="1.0" encoding="UTF-8"?>
<Relationships xmlns="http://schemas.openxmlformats.org/package/2006/relationships"><Relationship Id="rId1" Type="http://schemas.openxmlformats.org/officeDocument/2006/relationships/drawing" Target="../drawings/drawing4.xml"/>
</Relationships>
</file>

<file path=xl/worksheets/_rels/sheet13.xml.rels><?xml version="1.0" encoding="UTF-8"?>
<Relationships xmlns="http://schemas.openxmlformats.org/package/2006/relationships"><Relationship Id="rId1" Type="http://schemas.openxmlformats.org/officeDocument/2006/relationships/drawing" Target="../drawings/drawing5.xml"/>
</Relationships>
</file>

<file path=xl/worksheets/_rels/sheet14.xml.rels><?xml version="1.0" encoding="UTF-8"?>
<Relationships xmlns="http://schemas.openxmlformats.org/package/2006/relationships"><Relationship Id="rId1" Type="http://schemas.openxmlformats.org/officeDocument/2006/relationships/drawing" Target="../drawings/drawing6.xml"/>
</Relationships>
</file>

<file path=xl/worksheets/_rels/sheet15.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c r="C1" s="2"/>
      <c r="D1" s="2"/>
      <c r="E1" s="2"/>
      <c r="F1" s="2"/>
      <c r="G1" s="2"/>
      <c r="H1" s="2"/>
    </row>
    <row r="2" customFormat="false" ht="15" hidden="false" customHeight="false" outlineLevel="0" collapsed="false">
      <c r="A2" s="3" t="s">
        <v>1</v>
      </c>
    </row>
    <row r="4" customFormat="false" ht="15" hidden="false" customHeight="false" outlineLevel="0" collapsed="false">
      <c r="A4" s="4" t="s">
        <v>2</v>
      </c>
      <c r="B4" s="2"/>
      <c r="C4" s="2"/>
      <c r="D4" s="2"/>
      <c r="E4" s="2"/>
      <c r="F4" s="2"/>
      <c r="G4" s="2"/>
      <c r="H4" s="2"/>
    </row>
    <row r="5" customFormat="false" ht="23.85" hidden="false" customHeight="false" outlineLevel="0" collapsed="false">
      <c r="A5" s="5" t="s">
        <v>3</v>
      </c>
      <c r="B5" s="6" t="s">
        <v>4</v>
      </c>
    </row>
    <row r="6" customFormat="false" ht="23.85" hidden="false" customHeight="false" outlineLevel="0" collapsed="false">
      <c r="A6" s="7" t="s">
        <v>5</v>
      </c>
      <c r="B6" s="8" t="s">
        <v>6</v>
      </c>
    </row>
    <row r="7" customFormat="false" ht="15" hidden="false" customHeight="false" outlineLevel="0" collapsed="false">
      <c r="A7" s="5" t="s">
        <v>7</v>
      </c>
      <c r="B7" s="6" t="s">
        <v>8</v>
      </c>
    </row>
    <row r="9" customFormat="false" ht="15" hidden="false" customHeight="false" outlineLevel="0" collapsed="false">
      <c r="A9" s="4" t="s">
        <v>9</v>
      </c>
      <c r="B9" s="2"/>
      <c r="C9" s="2"/>
      <c r="D9" s="2"/>
      <c r="E9" s="2"/>
      <c r="F9" s="2"/>
      <c r="G9" s="2"/>
      <c r="H9" s="2"/>
    </row>
    <row r="10" customFormat="false" ht="15" hidden="false" customHeight="false" outlineLevel="0" collapsed="false">
      <c r="A10" s="7" t="s">
        <v>10</v>
      </c>
      <c r="B10" s="8" t="s">
        <v>11</v>
      </c>
    </row>
    <row r="11" customFormat="false" ht="15" hidden="false" customHeight="false" outlineLevel="0" collapsed="false">
      <c r="A11" s="5" t="s">
        <v>12</v>
      </c>
      <c r="B11" s="6" t="s">
        <v>13</v>
      </c>
    </row>
    <row r="12" customFormat="false" ht="15" hidden="false" customHeight="false" outlineLevel="0" collapsed="false">
      <c r="A12" s="7" t="s">
        <v>14</v>
      </c>
      <c r="B12" s="8" t="s">
        <v>15</v>
      </c>
    </row>
    <row r="13" customFormat="false" ht="15" hidden="false" customHeight="false" outlineLevel="0" collapsed="false">
      <c r="A13" s="5" t="s">
        <v>16</v>
      </c>
      <c r="B13" s="6" t="s">
        <v>17</v>
      </c>
    </row>
    <row r="14" customFormat="false" ht="15" hidden="false" customHeight="false" outlineLevel="0" collapsed="false">
      <c r="A14" s="7" t="s">
        <v>18</v>
      </c>
      <c r="B14" s="8" t="s">
        <v>19</v>
      </c>
    </row>
    <row r="15" customFormat="false" ht="15" hidden="false" customHeight="false" outlineLevel="0" collapsed="false">
      <c r="A15" s="5" t="s">
        <v>20</v>
      </c>
      <c r="B15" s="6" t="s">
        <v>21</v>
      </c>
    </row>
    <row r="16" customFormat="false" ht="23.85" hidden="false" customHeight="false" outlineLevel="0" collapsed="false">
      <c r="A16" s="7" t="s">
        <v>22</v>
      </c>
      <c r="B16" s="8" t="s">
        <v>23</v>
      </c>
    </row>
    <row r="18" customFormat="false" ht="15" hidden="false" customHeight="false" outlineLevel="0" collapsed="false">
      <c r="A18" s="4" t="s">
        <v>24</v>
      </c>
      <c r="B18" s="2"/>
      <c r="C18" s="2"/>
      <c r="D18" s="2"/>
      <c r="E18" s="2"/>
      <c r="F18" s="2"/>
      <c r="G18" s="2"/>
      <c r="H18" s="2"/>
    </row>
    <row r="19" customFormat="false" ht="15" hidden="false" customHeight="false" outlineLevel="0" collapsed="false">
      <c r="A19" s="5" t="s">
        <v>25</v>
      </c>
      <c r="B19" s="6" t="s">
        <v>26</v>
      </c>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4" customFormat="false" ht="15" hidden="false" customHeight="false" outlineLevel="0" collapsed="false">
      <c r="A24" s="4" t="s">
        <v>33</v>
      </c>
      <c r="B24" s="2"/>
      <c r="C24" s="2"/>
      <c r="D24" s="2"/>
      <c r="E24" s="2"/>
      <c r="F24" s="2"/>
      <c r="G24" s="2"/>
      <c r="H24" s="2"/>
    </row>
    <row r="25" customFormat="false" ht="15" hidden="false" customHeight="false" outlineLevel="0" collapsed="false">
      <c r="A25" s="5" t="s">
        <v>34</v>
      </c>
      <c r="B25" s="6" t="s">
        <v>35</v>
      </c>
    </row>
    <row r="26" customFormat="false" ht="15" hidden="false" customHeight="false" outlineLevel="0" collapsed="false">
      <c r="A26" s="7" t="s">
        <v>36</v>
      </c>
      <c r="B26" s="8" t="s">
        <v>37</v>
      </c>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15" hidden="false" customHeight="false" outlineLevel="0" collapsed="false">
      <c r="A29" s="5" t="s">
        <v>42</v>
      </c>
      <c r="B29" s="6" t="s">
        <v>43</v>
      </c>
    </row>
    <row r="30" customFormat="false" ht="15" hidden="false" customHeight="false" outlineLevel="0" collapsed="false">
      <c r="A30" s="7" t="s">
        <v>44</v>
      </c>
      <c r="B30" s="8" t="s">
        <v>45</v>
      </c>
    </row>
    <row r="31" customFormat="false" ht="15" hidden="false" customHeight="false" outlineLevel="0" collapsed="false">
      <c r="A31" s="5" t="s">
        <v>46</v>
      </c>
      <c r="B31" s="6" t="s">
        <v>47</v>
      </c>
    </row>
    <row r="32" customFormat="false" ht="15" hidden="false" customHeight="false" outlineLevel="0" collapsed="false">
      <c r="A32" s="7" t="s">
        <v>48</v>
      </c>
      <c r="B32" s="8" t="s">
        <v>49</v>
      </c>
    </row>
    <row r="33" customFormat="false" ht="15" hidden="false" customHeight="false" outlineLevel="0" collapsed="false">
      <c r="A33" s="5" t="s">
        <v>50</v>
      </c>
      <c r="B33" s="6" t="s">
        <v>51</v>
      </c>
    </row>
    <row r="34" customFormat="false" ht="23.85" hidden="false" customHeight="false" outlineLevel="0" collapsed="false">
      <c r="A34" s="7" t="s">
        <v>52</v>
      </c>
      <c r="B34" s="8" t="s">
        <v>53</v>
      </c>
    </row>
    <row r="35" customFormat="false" ht="35.05" hidden="false" customHeight="false" outlineLevel="0" collapsed="false">
      <c r="A35" s="5" t="s">
        <v>54</v>
      </c>
      <c r="B35" s="6" t="s">
        <v>55</v>
      </c>
    </row>
    <row r="36" customFormat="false" ht="23.85" hidden="false" customHeight="false" outlineLevel="0" collapsed="false">
      <c r="A36" s="7" t="s">
        <v>56</v>
      </c>
      <c r="B36" s="8" t="s">
        <v>57</v>
      </c>
    </row>
    <row r="37" customFormat="false" ht="15" hidden="false" customHeight="false" outlineLevel="0" collapsed="false">
      <c r="A37" s="5" t="s">
        <v>58</v>
      </c>
      <c r="B37" s="6" t="s">
        <v>59</v>
      </c>
    </row>
    <row r="38" customFormat="false" ht="15" hidden="false" customHeight="false" outlineLevel="0" collapsed="false">
      <c r="A38" s="7" t="s">
        <v>60</v>
      </c>
      <c r="B38" s="8" t="s">
        <v>61</v>
      </c>
    </row>
    <row r="39" customFormat="false" ht="15" hidden="false" customHeight="false" outlineLevel="0" collapsed="false">
      <c r="A39" s="5" t="s">
        <v>62</v>
      </c>
      <c r="B39" s="6" t="s">
        <v>63</v>
      </c>
    </row>
    <row r="41" customFormat="false" ht="15" hidden="false" customHeight="false" outlineLevel="0" collapsed="false">
      <c r="A41" s="4" t="s">
        <v>64</v>
      </c>
      <c r="B41" s="2"/>
      <c r="C41" s="2"/>
      <c r="D41" s="2"/>
      <c r="E41" s="2"/>
      <c r="F41" s="2"/>
      <c r="G41" s="2"/>
      <c r="H41" s="2"/>
    </row>
    <row r="42" customFormat="false" ht="23.85" hidden="false" customHeight="false" outlineLevel="0" collapsed="false">
      <c r="A42" s="7" t="s">
        <v>65</v>
      </c>
      <c r="B42" s="8" t="s">
        <v>66</v>
      </c>
    </row>
    <row r="43" customFormat="false" ht="15" hidden="false" customHeight="false" outlineLevel="0" collapsed="false">
      <c r="A43" s="5" t="s">
        <v>67</v>
      </c>
      <c r="B43" s="6" t="s">
        <v>68</v>
      </c>
    </row>
    <row r="44" customFormat="false" ht="15" hidden="false" customHeight="false" outlineLevel="0" collapsed="false">
      <c r="A44" s="7" t="s">
        <v>69</v>
      </c>
      <c r="B44" s="8" t="s">
        <v>70</v>
      </c>
    </row>
    <row r="45" customFormat="false" ht="23.85" hidden="false" customHeight="false" outlineLevel="0" collapsed="false">
      <c r="A45" s="5" t="s">
        <v>71</v>
      </c>
      <c r="B45" s="6" t="s">
        <v>72</v>
      </c>
    </row>
    <row r="46" customFormat="false" ht="15" hidden="false" customHeight="false" outlineLevel="0" collapsed="false">
      <c r="A46" s="7" t="s">
        <v>73</v>
      </c>
      <c r="B46" s="8" t="s">
        <v>74</v>
      </c>
    </row>
    <row r="47" customFormat="false" ht="23.85" hidden="false" customHeight="false" outlineLevel="0" collapsed="false">
      <c r="A47" s="5" t="s">
        <v>75</v>
      </c>
      <c r="B47" s="6" t="s">
        <v>76</v>
      </c>
    </row>
    <row r="48" customFormat="false" ht="23.85" hidden="false" customHeight="false" outlineLevel="0" collapsed="false">
      <c r="A48" s="7" t="s">
        <v>77</v>
      </c>
      <c r="B48" s="8" t="s">
        <v>78</v>
      </c>
    </row>
    <row r="49" customFormat="false" ht="15" hidden="false" customHeight="false" outlineLevel="0" collapsed="false">
      <c r="A49" s="5" t="s">
        <v>79</v>
      </c>
      <c r="B49" s="6" t="s">
        <v>80</v>
      </c>
    </row>
    <row r="51" customFormat="false" ht="15" hidden="false" customHeight="false" outlineLevel="0" collapsed="false">
      <c r="A51" s="4" t="s">
        <v>81</v>
      </c>
      <c r="B51" s="2"/>
      <c r="C51" s="2"/>
      <c r="D51" s="2"/>
      <c r="E51" s="2"/>
      <c r="F51" s="2"/>
      <c r="G51" s="2"/>
      <c r="H51" s="2"/>
    </row>
    <row r="52" customFormat="false" ht="15" hidden="false" customHeight="false" outlineLevel="0" collapsed="false">
      <c r="A52" s="7" t="s">
        <v>82</v>
      </c>
      <c r="B52" s="8" t="s">
        <v>83</v>
      </c>
    </row>
    <row r="53" customFormat="false" ht="15" hidden="false" customHeight="false" outlineLevel="0" collapsed="false">
      <c r="A53" s="5" t="s">
        <v>84</v>
      </c>
      <c r="B53" s="6" t="s">
        <v>85</v>
      </c>
    </row>
    <row r="54" customFormat="false" ht="15" hidden="false" customHeight="false" outlineLevel="0" collapsed="false">
      <c r="A54" s="7" t="s">
        <v>86</v>
      </c>
      <c r="B54" s="8" t="s">
        <v>87</v>
      </c>
    </row>
    <row r="55" customFormat="false" ht="15" hidden="false" customHeight="false" outlineLevel="0" collapsed="false">
      <c r="A55" s="5" t="s">
        <v>88</v>
      </c>
      <c r="B55" s="6" t="s">
        <v>89</v>
      </c>
    </row>
    <row r="56" customFormat="false" ht="15" hidden="false" customHeight="false" outlineLevel="0" collapsed="false">
      <c r="A56" s="7" t="s">
        <v>90</v>
      </c>
      <c r="B56" s="8" t="s">
        <v>91</v>
      </c>
    </row>
    <row r="57" customFormat="false" ht="15" hidden="false" customHeight="false" outlineLevel="0" collapsed="false">
      <c r="A57" s="5" t="s">
        <v>92</v>
      </c>
      <c r="B57" s="6" t="s">
        <v>93</v>
      </c>
    </row>
    <row r="58" customFormat="false" ht="15" hidden="false" customHeight="false" outlineLevel="0" collapsed="false">
      <c r="A58" s="7" t="s">
        <v>94</v>
      </c>
      <c r="B58" s="8" t="s">
        <v>95</v>
      </c>
    </row>
    <row r="59" customFormat="false" ht="15" hidden="false" customHeight="false" outlineLevel="0" collapsed="false">
      <c r="A59" s="5" t="s">
        <v>96</v>
      </c>
      <c r="B59" s="6" t="s">
        <v>97</v>
      </c>
    </row>
    <row r="60" customFormat="false" ht="23.85" hidden="false" customHeight="false" outlineLevel="0" collapsed="false">
      <c r="A60" s="7" t="s">
        <v>98</v>
      </c>
      <c r="B60" s="8" t="s">
        <v>99</v>
      </c>
    </row>
    <row r="62" customFormat="false" ht="15" hidden="false" customHeight="false" outlineLevel="0" collapsed="false">
      <c r="A62" s="4" t="s">
        <v>100</v>
      </c>
      <c r="B62" s="2"/>
      <c r="C62" s="2"/>
      <c r="D62" s="2"/>
      <c r="E62" s="2"/>
      <c r="F62" s="2"/>
      <c r="G62" s="2"/>
      <c r="H62" s="2"/>
    </row>
    <row r="63" customFormat="false" ht="23.85" hidden="false" customHeight="false" outlineLevel="0" collapsed="false">
      <c r="A63" s="5" t="s">
        <v>101</v>
      </c>
      <c r="B63" s="6" t="s">
        <v>102</v>
      </c>
    </row>
    <row r="64" customFormat="false" ht="23.85" hidden="false" customHeight="false" outlineLevel="0" collapsed="false">
      <c r="A64" s="7" t="s">
        <v>103</v>
      </c>
      <c r="B64" s="8" t="s">
        <v>104</v>
      </c>
    </row>
    <row r="66" customFormat="false" ht="27.75" hidden="false" customHeight="true" outlineLevel="0" collapsed="false">
      <c r="A66" s="9" t="s">
        <v>105</v>
      </c>
      <c r="B66" s="9"/>
    </row>
  </sheetData>
  <mergeCells count="1">
    <mergeCell ref="A66:B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fals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0" t="s">
        <v>62</v>
      </c>
      <c r="B1" s="11"/>
      <c r="C1" s="11"/>
      <c r="D1" s="11"/>
      <c r="E1" s="11"/>
      <c r="F1" s="11"/>
      <c r="G1" s="11"/>
      <c r="H1" s="11"/>
    </row>
    <row r="2" customFormat="false" ht="15" hidden="false" customHeight="false" outlineLevel="0" collapsed="false">
      <c r="A2" s="3" t="s">
        <v>106</v>
      </c>
    </row>
    <row r="4" customFormat="false" ht="15" hidden="false" customHeight="false" outlineLevel="0" collapsed="false">
      <c r="A4" s="12" t="s">
        <v>107</v>
      </c>
    </row>
    <row r="5" customFormat="false" ht="15" hidden="false" customHeight="false" outlineLevel="0" collapsed="false">
      <c r="A5" s="5" t="s">
        <v>108</v>
      </c>
      <c r="B5" s="6" t="s">
        <v>0</v>
      </c>
    </row>
    <row r="6" customFormat="false" ht="15" hidden="false" customHeight="false" outlineLevel="0" collapsed="false">
      <c r="A6" s="5" t="s">
        <v>109</v>
      </c>
      <c r="B6" s="6" t="s">
        <v>110</v>
      </c>
    </row>
    <row r="7" customFormat="false" ht="23.85" hidden="false" customHeight="false" outlineLevel="0" collapsed="false">
      <c r="A7" s="5" t="s">
        <v>62</v>
      </c>
      <c r="B7" s="6" t="s">
        <v>111</v>
      </c>
    </row>
    <row r="8" customFormat="false" ht="15" hidden="false" customHeight="false" outlineLevel="0" collapsed="false">
      <c r="A8" s="5" t="s">
        <v>112</v>
      </c>
      <c r="B8" s="13" t="s">
        <v>113</v>
      </c>
    </row>
    <row r="9" customFormat="false" ht="15" hidden="false" customHeight="false" outlineLevel="0" collapsed="false">
      <c r="A9" s="5" t="s">
        <v>114</v>
      </c>
      <c r="B9" s="13" t="s">
        <v>115</v>
      </c>
    </row>
    <row r="10" customFormat="false" ht="15" hidden="false" customHeight="false" outlineLevel="0" collapsed="false">
      <c r="A10" s="5" t="s">
        <v>116</v>
      </c>
      <c r="B10" s="13" t="s">
        <v>117</v>
      </c>
    </row>
    <row r="11" customFormat="false" ht="15" hidden="false" customHeight="false" outlineLevel="0" collapsed="false">
      <c r="A11" s="5" t="s">
        <v>118</v>
      </c>
      <c r="B11" s="13" t="s">
        <v>119</v>
      </c>
    </row>
    <row r="13" customFormat="false" ht="15" hidden="false" customHeight="false" outlineLevel="0" collapsed="false">
      <c r="A13" s="12" t="s">
        <v>120</v>
      </c>
    </row>
    <row r="14" customFormat="false" ht="23.85" hidden="false" customHeight="false" outlineLevel="0" collapsed="false">
      <c r="A14" s="5" t="s">
        <v>121</v>
      </c>
      <c r="B14" s="6" t="s">
        <v>122</v>
      </c>
    </row>
    <row r="15" customFormat="false" ht="23.85" hidden="false" customHeight="false" outlineLevel="0" collapsed="false">
      <c r="A15" s="5" t="s">
        <v>123</v>
      </c>
      <c r="B15" s="6" t="s">
        <v>124</v>
      </c>
    </row>
    <row r="16" customFormat="false" ht="23.85" hidden="false" customHeight="false" outlineLevel="0" collapsed="false">
      <c r="A16" s="5" t="s">
        <v>125</v>
      </c>
      <c r="B16" s="6" t="s">
        <v>126</v>
      </c>
    </row>
    <row r="18" customFormat="false" ht="15" hidden="false" customHeight="false" outlineLevel="0" collapsed="false">
      <c r="A18" s="12" t="s">
        <v>127</v>
      </c>
    </row>
    <row r="19" customFormat="false" ht="23.85" hidden="false" customHeight="false" outlineLevel="0" collapsed="false">
      <c r="A19" s="5" t="s">
        <v>128</v>
      </c>
      <c r="B19" s="6" t="s">
        <v>129</v>
      </c>
    </row>
    <row r="20" customFormat="false" ht="15" hidden="false" customHeight="false" outlineLevel="0" collapsed="false">
      <c r="A20" s="5" t="s">
        <v>130</v>
      </c>
      <c r="B20" s="6" t="s">
        <v>131</v>
      </c>
    </row>
    <row r="22" customFormat="false" ht="15" hidden="false" customHeight="false" outlineLevel="0" collapsed="false">
      <c r="A22" s="12" t="s">
        <v>132</v>
      </c>
    </row>
    <row r="23" customFormat="false" ht="35.05" hidden="false" customHeight="false" outlineLevel="0" collapsed="false">
      <c r="A23" s="5" t="s">
        <v>133</v>
      </c>
      <c r="B23" s="6" t="s">
        <v>134</v>
      </c>
    </row>
    <row r="25" customFormat="false" ht="15" hidden="false" customHeight="false" outlineLevel="0" collapsed="false">
      <c r="A25" s="12" t="s">
        <v>135</v>
      </c>
    </row>
    <row r="26" customFormat="false" ht="35.05" hidden="false" customHeight="false" outlineLevel="0" collapsed="false">
      <c r="A26" s="5" t="s">
        <v>103</v>
      </c>
      <c r="B26" s="6" t="s">
        <v>136</v>
      </c>
    </row>
    <row r="27" customFormat="false" ht="35.05" hidden="false" customHeight="false" outlineLevel="0" collapsed="false">
      <c r="A27" s="5" t="s">
        <v>137</v>
      </c>
      <c r="B27" s="6" t="s">
        <v>138</v>
      </c>
    </row>
    <row r="28" customFormat="false" ht="23.85" hidden="false" customHeight="false" outlineLevel="0" collapsed="false">
      <c r="A28" s="5" t="s">
        <v>139</v>
      </c>
      <c r="B28" s="6" t="s">
        <v>140</v>
      </c>
    </row>
    <row r="29" customFormat="false" ht="15" hidden="false" customHeight="false" outlineLevel="0" collapsed="false">
      <c r="A29" s="5" t="s">
        <v>141</v>
      </c>
      <c r="B29" s="6" t="s">
        <v>142</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I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3"/>
    <col collapsed="false" customWidth="true" hidden="false" outlineLevel="0" max="7" min="7" style="0" width="4"/>
    <col collapsed="false" customWidth="true" hidden="false" outlineLevel="0" max="8" min="8" style="0" width="30"/>
    <col collapsed="false" customWidth="true" hidden="false" outlineLevel="0" max="9" min="9" style="0" width="10"/>
  </cols>
  <sheetData>
    <row r="1" customFormat="false" ht="30" hidden="false" customHeight="true" outlineLevel="0" collapsed="false">
      <c r="A1" s="14" t="s">
        <v>143</v>
      </c>
      <c r="B1" s="15"/>
      <c r="C1" s="15"/>
      <c r="D1" s="15"/>
      <c r="E1" s="15"/>
      <c r="F1" s="15"/>
      <c r="G1" s="15"/>
      <c r="H1" s="15"/>
      <c r="I1" s="15"/>
    </row>
    <row r="2" customFormat="false" ht="15" hidden="false" customHeight="false" outlineLevel="0" collapsed="false">
      <c r="A2" s="3" t="s">
        <v>144</v>
      </c>
    </row>
    <row r="4" customFormat="false" ht="15" hidden="false" customHeight="false" outlineLevel="0" collapsed="false">
      <c r="A4" s="16" t="s">
        <v>145</v>
      </c>
      <c r="B4" s="16" t="s">
        <v>146</v>
      </c>
      <c r="C4" s="16" t="s">
        <v>147</v>
      </c>
      <c r="D4" s="16" t="s">
        <v>148</v>
      </c>
      <c r="H4" s="17" t="s">
        <v>149</v>
      </c>
    </row>
    <row r="5" customFormat="false" ht="15" hidden="false" customHeight="false" outlineLevel="0" collapsed="false">
      <c r="A5" s="18" t="s">
        <v>150</v>
      </c>
      <c r="B5" s="19" t="n">
        <f aca="false">COUNTIF('AI Risk Register'!$T$5:$T$150,"Critical")</f>
        <v>2</v>
      </c>
      <c r="C5" s="19" t="n">
        <f aca="false">COUNTIF('AI Risk Register'!$AV$5:$AV$150,"Critical")</f>
        <v>0</v>
      </c>
      <c r="D5" s="19" t="n">
        <f aca="false">COUNTIF('AI Risk Register'!$AW$5:$AW$150,"Critical")</f>
        <v>2</v>
      </c>
      <c r="H5" s="20" t="s">
        <v>151</v>
      </c>
      <c r="I5" s="21" t="n">
        <f aca="false">COUNTIF('AI Risk Register'!$BE$5:$BE$150,"Open")</f>
        <v>0</v>
      </c>
    </row>
    <row r="6" customFormat="false" ht="15" hidden="false" customHeight="false" outlineLevel="0" collapsed="false">
      <c r="A6" s="22" t="s">
        <v>152</v>
      </c>
      <c r="B6" s="19" t="n">
        <f aca="false">COUNTIF('AI Risk Register'!$T$5:$T$150,"High")</f>
        <v>42</v>
      </c>
      <c r="C6" s="19" t="n">
        <f aca="false">COUNTIF('AI Risk Register'!$AV$5:$AV$150,"High")</f>
        <v>0</v>
      </c>
      <c r="D6" s="19" t="n">
        <f aca="false">COUNTIF('AI Risk Register'!$AW$5:$AW$150,"High")</f>
        <v>42</v>
      </c>
      <c r="H6" s="23" t="s">
        <v>153</v>
      </c>
      <c r="I6" s="21" t="n">
        <f aca="false">COUNTIF('AI Risk Register'!$BE$5:$BE$150,"In progress")</f>
        <v>0</v>
      </c>
    </row>
    <row r="7" customFormat="false" ht="15" hidden="false" customHeight="false" outlineLevel="0" collapsed="false">
      <c r="A7" s="24" t="s">
        <v>154</v>
      </c>
      <c r="B7" s="19" t="n">
        <f aca="false">COUNTIF('AI Risk Register'!$T$5:$T$150,"Medium")</f>
        <v>2</v>
      </c>
      <c r="C7" s="19" t="n">
        <f aca="false">COUNTIF('AI Risk Register'!$AV$5:$AV$150,"Medium")</f>
        <v>0</v>
      </c>
      <c r="D7" s="19" t="n">
        <f aca="false">COUNTIF('AI Risk Register'!$AW$5:$AW$150,"Medium")</f>
        <v>2</v>
      </c>
      <c r="H7" s="25" t="s">
        <v>155</v>
      </c>
      <c r="I7" s="21" t="n">
        <f aca="false">COUNTIF('AI Risk Register'!$BE$5:$BE$150,"Mitigated - verifying")</f>
        <v>0</v>
      </c>
    </row>
    <row r="8" customFormat="false" ht="15" hidden="false" customHeight="false" outlineLevel="0" collapsed="false">
      <c r="A8" s="26" t="s">
        <v>156</v>
      </c>
      <c r="B8" s="19" t="n">
        <f aca="false">COUNTIF('AI Risk Register'!$T$5:$T$150,"Low")</f>
        <v>0</v>
      </c>
      <c r="C8" s="19" t="n">
        <f aca="false">COUNTIF('AI Risk Register'!$AV$5:$AV$150,"Low")</f>
        <v>0</v>
      </c>
      <c r="D8" s="19" t="n">
        <f aca="false">COUNTIF('AI Risk Register'!$AW$5:$AW$150,"Low")</f>
        <v>0</v>
      </c>
      <c r="H8" s="27" t="s">
        <v>157</v>
      </c>
      <c r="I8" s="21" t="n">
        <f aca="false">COUNTIF('AI Risk Register'!$BE$5:$BE$150,"Transferred")</f>
        <v>0</v>
      </c>
    </row>
    <row r="9" customFormat="false" ht="15" hidden="false" customHeight="false" outlineLevel="0" collapsed="false">
      <c r="A9" s="28" t="s">
        <v>158</v>
      </c>
      <c r="B9" s="29" t="n">
        <f aca="false">COUNTA('AI Risk Register'!$A$5:$A$150)</f>
        <v>46</v>
      </c>
      <c r="H9" s="30" t="s">
        <v>159</v>
      </c>
      <c r="I9" s="21" t="n">
        <f aca="false">COUNTIF('AI Risk Register'!$BE$5:$BE$150,"Accepted")</f>
        <v>0</v>
      </c>
    </row>
    <row r="10" customFormat="false" ht="15" hidden="false" customHeight="false" outlineLevel="0" collapsed="false">
      <c r="A10" s="31" t="s">
        <v>160</v>
      </c>
      <c r="B10" s="32" t="n">
        <f aca="false">COUNTIF('AI Risk Register'!$AX$5:$AX$150,"No")</f>
        <v>44</v>
      </c>
      <c r="H10" s="33" t="s">
        <v>161</v>
      </c>
      <c r="I10" s="21" t="n">
        <f aca="false">COUNTIF('AI Risk Register'!$BE$5:$BE$150,"Closed")</f>
        <v>0</v>
      </c>
    </row>
    <row r="11" customFormat="false" ht="26.85" hidden="false" customHeight="false" outlineLevel="0" collapsed="false">
      <c r="A11" s="34" t="s">
        <v>162</v>
      </c>
      <c r="B11" s="35" t="n">
        <f aca="false">COUNTIF('AI Risk Register'!$BJ$5:$BJ$150,"Yes")</f>
        <v>44</v>
      </c>
      <c r="H11" s="6" t="s">
        <v>163</v>
      </c>
      <c r="I11" s="21" t="n">
        <f aca="false">COUNTIFS('AI Risk Register'!$A$5:$A$150,"&lt;&gt;",'AI Risk Register'!$BE$5:$BE$150,"")</f>
        <v>46</v>
      </c>
    </row>
    <row r="12" customFormat="false" ht="15" hidden="false" customHeight="false" outlineLevel="0" collapsed="false">
      <c r="A12" s="36" t="s">
        <v>164</v>
      </c>
      <c r="B12" s="37" t="n">
        <f aca="false">COUNTIF('AI Risk Register'!$BF$5:$BF$150,"Deadline exceeded")</f>
        <v>0</v>
      </c>
    </row>
    <row r="13" customFormat="false" ht="15" hidden="false" customHeight="false" outlineLevel="0" collapsed="false">
      <c r="A13" s="38" t="s">
        <v>165</v>
      </c>
      <c r="B13" s="39" t="n">
        <f aca="false">COUNTIF('AI Risk Register'!$BF$5:$BF$150,"Deadline approaching")</f>
        <v>0</v>
      </c>
    </row>
    <row r="14" customFormat="false" ht="15" hidden="false" customHeight="false" outlineLevel="0" collapsed="false">
      <c r="A14" s="40" t="s">
        <v>166</v>
      </c>
      <c r="B14" s="41" t="n">
        <f aca="false">COUNTIFS('AI Risk Register'!$A$5:$A$150,"&lt;&gt;",'AI Risk Register'!$W$5:$W$150,"")</f>
        <v>46</v>
      </c>
      <c r="H14" s="17" t="s">
        <v>167</v>
      </c>
    </row>
    <row r="15" customFormat="false" ht="15" hidden="false" customHeight="false" outlineLevel="0" collapsed="false">
      <c r="A15" s="42" t="s">
        <v>168</v>
      </c>
      <c r="B15" s="43" t="n">
        <f aca="false">COUNTIF('AI Risk Register'!$BL$5:$BL$150,"OK")</f>
        <v>0</v>
      </c>
      <c r="H15" s="25" t="s">
        <v>169</v>
      </c>
      <c r="I15" s="21" t="n">
        <f aca="false">COUNTIF('AI Risk Register'!$W$5:$W$150,"Mitigate")</f>
        <v>0</v>
      </c>
    </row>
    <row r="16" customFormat="false" ht="15" hidden="false" customHeight="false" outlineLevel="0" collapsed="false">
      <c r="A16" s="44" t="s">
        <v>170</v>
      </c>
      <c r="B16" s="45" t="n">
        <f aca="false">COUNTIF('AI Risk Register'!$N$5:$N$150,"Applies")</f>
        <v>0</v>
      </c>
      <c r="H16" s="46" t="s">
        <v>171</v>
      </c>
      <c r="I16" s="21" t="n">
        <f aca="false">COUNTIF('AI Risk Register'!$W$5:$W$150,"Avoid")</f>
        <v>0</v>
      </c>
    </row>
    <row r="17" customFormat="false" ht="15" hidden="false" customHeight="false" outlineLevel="0" collapsed="false">
      <c r="H17" s="27" t="s">
        <v>172</v>
      </c>
      <c r="I17" s="21" t="n">
        <f aca="false">COUNTIF('AI Risk Register'!$W$5:$W$150,"Transfer")</f>
        <v>0</v>
      </c>
    </row>
    <row r="18" customFormat="false" ht="15" hidden="false" customHeight="false" outlineLevel="0" collapsed="false">
      <c r="A18" s="17" t="s">
        <v>173</v>
      </c>
      <c r="H18" s="30" t="s">
        <v>174</v>
      </c>
      <c r="I18" s="21" t="n">
        <f aca="false">COUNTIF('AI Risk Register'!$W$5:$W$150,"Accept")</f>
        <v>0</v>
      </c>
    </row>
    <row r="19" customFormat="false" ht="15" hidden="false" customHeight="false" outlineLevel="0" collapsed="false">
      <c r="A19" s="47" t="s">
        <v>175</v>
      </c>
      <c r="B19" s="48" t="s">
        <v>176</v>
      </c>
      <c r="C19" s="48" t="s">
        <v>177</v>
      </c>
      <c r="D19" s="48" t="s">
        <v>178</v>
      </c>
      <c r="E19" s="48" t="s">
        <v>179</v>
      </c>
    </row>
    <row r="20" customFormat="false" ht="15" hidden="false" customHeight="false" outlineLevel="0" collapsed="false">
      <c r="A20" s="47" t="s">
        <v>180</v>
      </c>
      <c r="B20" s="49" t="n">
        <f aca="false">COUNTIFS('AI Risk Register'!$Q$5:$Q$150,1,'AI Risk Register'!$R$5:$R$150,4)</f>
        <v>0</v>
      </c>
      <c r="C20" s="49" t="n">
        <f aca="false">COUNTIFS('AI Risk Register'!$Q$5:$Q$150,2,'AI Risk Register'!$R$5:$R$150,4)</f>
        <v>7</v>
      </c>
      <c r="D20" s="49" t="n">
        <f aca="false">COUNTIFS('AI Risk Register'!$Q$5:$Q$150,3,'AI Risk Register'!$R$5:$R$150,4)</f>
        <v>2</v>
      </c>
      <c r="E20" s="49" t="n">
        <f aca="false">COUNTIFS('AI Risk Register'!$Q$5:$Q$150,4,'AI Risk Register'!$R$5:$R$150,4)</f>
        <v>0</v>
      </c>
    </row>
    <row r="21" customFormat="false" ht="15" hidden="false" customHeight="false" outlineLevel="0" collapsed="false">
      <c r="A21" s="47" t="s">
        <v>178</v>
      </c>
      <c r="B21" s="49" t="n">
        <f aca="false">COUNTIFS('AI Risk Register'!$Q$5:$Q$150,1,'AI Risk Register'!$R$5:$R$150,3)</f>
        <v>0</v>
      </c>
      <c r="C21" s="49" t="n">
        <f aca="false">COUNTIFS('AI Risk Register'!$Q$5:$Q$150,2,'AI Risk Register'!$R$5:$R$150,3)</f>
        <v>30</v>
      </c>
      <c r="D21" s="49" t="n">
        <f aca="false">COUNTIFS('AI Risk Register'!$Q$5:$Q$150,3,'AI Risk Register'!$R$5:$R$150,3)</f>
        <v>3</v>
      </c>
      <c r="E21" s="49" t="n">
        <f aca="false">COUNTIFS('AI Risk Register'!$Q$5:$Q$150,4,'AI Risk Register'!$R$5:$R$150,3)</f>
        <v>0</v>
      </c>
    </row>
    <row r="22" customFormat="false" ht="15" hidden="false" customHeight="false" outlineLevel="0" collapsed="false">
      <c r="A22" s="47" t="s">
        <v>177</v>
      </c>
      <c r="B22" s="49" t="n">
        <f aca="false">COUNTIFS('AI Risk Register'!$Q$5:$Q$150,1,'AI Risk Register'!$R$5:$R$150,2)</f>
        <v>0</v>
      </c>
      <c r="C22" s="49" t="n">
        <f aca="false">COUNTIFS('AI Risk Register'!$Q$5:$Q$150,2,'AI Risk Register'!$R$5:$R$150,2)</f>
        <v>2</v>
      </c>
      <c r="D22" s="49" t="n">
        <f aca="false">COUNTIFS('AI Risk Register'!$Q$5:$Q$150,3,'AI Risk Register'!$R$5:$R$150,2)</f>
        <v>2</v>
      </c>
      <c r="E22" s="49" t="n">
        <f aca="false">COUNTIFS('AI Risk Register'!$Q$5:$Q$150,4,'AI Risk Register'!$R$5:$R$150,2)</f>
        <v>0</v>
      </c>
    </row>
    <row r="23" customFormat="false" ht="15" hidden="false" customHeight="false" outlineLevel="0" collapsed="false">
      <c r="A23" s="47" t="s">
        <v>176</v>
      </c>
      <c r="B23" s="49" t="n">
        <f aca="false">COUNTIFS('AI Risk Register'!$Q$5:$Q$150,1,'AI Risk Register'!$R$5:$R$150,1)</f>
        <v>0</v>
      </c>
      <c r="C23" s="49" t="n">
        <f aca="false">COUNTIFS('AI Risk Register'!$Q$5:$Q$150,2,'AI Risk Register'!$R$5:$R$150,1)</f>
        <v>0</v>
      </c>
      <c r="D23" s="49" t="n">
        <f aca="false">COUNTIFS('AI Risk Register'!$Q$5:$Q$150,3,'AI Risk Register'!$R$5:$R$150,1)</f>
        <v>0</v>
      </c>
      <c r="E23" s="49" t="n">
        <f aca="false">COUNTIFS('AI Risk Register'!$Q$5:$Q$150,4,'AI Risk Register'!$R$5:$R$150,1)</f>
        <v>0</v>
      </c>
    </row>
    <row r="26" customFormat="false" ht="15" hidden="false" customHeight="false" outlineLevel="0" collapsed="false">
      <c r="A26" s="17" t="s">
        <v>181</v>
      </c>
    </row>
    <row r="27" customFormat="false" ht="15" hidden="false" customHeight="false" outlineLevel="0" collapsed="false">
      <c r="A27" s="16" t="s">
        <v>182</v>
      </c>
      <c r="B27" s="50" t="s">
        <v>150</v>
      </c>
      <c r="C27" s="51" t="s">
        <v>152</v>
      </c>
      <c r="D27" s="52" t="s">
        <v>154</v>
      </c>
      <c r="E27" s="53" t="s">
        <v>156</v>
      </c>
      <c r="F27" s="16" t="s">
        <v>183</v>
      </c>
    </row>
    <row r="28" customFormat="false" ht="15" hidden="false" customHeight="false" outlineLevel="0" collapsed="false">
      <c r="A28" s="54" t="s">
        <v>184</v>
      </c>
      <c r="B28" s="21" t="n">
        <f aca="false">SUMPRODUCT(('AI Risk Register'!$C$5:$C$150="01")*('AI Risk Register'!$T$5:$T$150="Critical"))</f>
        <v>0</v>
      </c>
      <c r="C28" s="21" t="n">
        <f aca="false">SUMPRODUCT(('AI Risk Register'!$C$5:$C$150="01")*('AI Risk Register'!$T$5:$T$150="High"))</f>
        <v>3</v>
      </c>
      <c r="D28" s="21" t="n">
        <f aca="false">SUMPRODUCT(('AI Risk Register'!$C$5:$C$150="01")*('AI Risk Register'!$T$5:$T$150="Medium"))</f>
        <v>0</v>
      </c>
      <c r="E28" s="21" t="n">
        <f aca="false">SUMPRODUCT(('AI Risk Register'!$C$5:$C$150="01")*('AI Risk Register'!$T$5:$T$150="Low"))</f>
        <v>0</v>
      </c>
      <c r="F28" s="21" t="n">
        <f aca="false">SUMPRODUCT(--('AI Risk Register'!$C$5:$C$150="01"))</f>
        <v>3</v>
      </c>
    </row>
    <row r="29" customFormat="false" ht="15" hidden="false" customHeight="false" outlineLevel="0" collapsed="false">
      <c r="A29" s="55" t="s">
        <v>185</v>
      </c>
      <c r="B29" s="21" t="n">
        <f aca="false">SUMPRODUCT(('AI Risk Register'!$C$5:$C$150="02")*('AI Risk Register'!$T$5:$T$150="Critical"))</f>
        <v>0</v>
      </c>
      <c r="C29" s="21" t="n">
        <f aca="false">SUMPRODUCT(('AI Risk Register'!$C$5:$C$150="02")*('AI Risk Register'!$T$5:$T$150="High"))</f>
        <v>1</v>
      </c>
      <c r="D29" s="21" t="n">
        <f aca="false">SUMPRODUCT(('AI Risk Register'!$C$5:$C$150="02")*('AI Risk Register'!$T$5:$T$150="Medium"))</f>
        <v>0</v>
      </c>
      <c r="E29" s="21" t="n">
        <f aca="false">SUMPRODUCT(('AI Risk Register'!$C$5:$C$150="02")*('AI Risk Register'!$T$5:$T$150="Low"))</f>
        <v>0</v>
      </c>
      <c r="F29" s="21" t="n">
        <f aca="false">SUMPRODUCT(--('AI Risk Register'!$C$5:$C$150="02"))</f>
        <v>1</v>
      </c>
    </row>
    <row r="30" customFormat="false" ht="15" hidden="false" customHeight="false" outlineLevel="0" collapsed="false">
      <c r="A30" s="56" t="s">
        <v>186</v>
      </c>
      <c r="B30" s="21" t="n">
        <f aca="false">SUMPRODUCT(('AI Risk Register'!$C$5:$C$150="03")*('AI Risk Register'!$T$5:$T$150="Critical"))</f>
        <v>2</v>
      </c>
      <c r="C30" s="21" t="n">
        <f aca="false">SUMPRODUCT(('AI Risk Register'!$C$5:$C$150="03")*('AI Risk Register'!$T$5:$T$150="High"))</f>
        <v>2</v>
      </c>
      <c r="D30" s="21" t="n">
        <f aca="false">SUMPRODUCT(('AI Risk Register'!$C$5:$C$150="03")*('AI Risk Register'!$T$5:$T$150="Medium"))</f>
        <v>0</v>
      </c>
      <c r="E30" s="21" t="n">
        <f aca="false">SUMPRODUCT(('AI Risk Register'!$C$5:$C$150="03")*('AI Risk Register'!$T$5:$T$150="Low"))</f>
        <v>0</v>
      </c>
      <c r="F30" s="21" t="n">
        <f aca="false">SUMPRODUCT(--('AI Risk Register'!$C$5:$C$150="03"))</f>
        <v>4</v>
      </c>
    </row>
    <row r="31" customFormat="false" ht="15" hidden="false" customHeight="false" outlineLevel="0" collapsed="false">
      <c r="A31" s="57" t="s">
        <v>187</v>
      </c>
      <c r="B31" s="21" t="n">
        <f aca="false">SUMPRODUCT(('AI Risk Register'!$C$5:$C$150="04")*('AI Risk Register'!$T$5:$T$150="Critical"))</f>
        <v>0</v>
      </c>
      <c r="C31" s="21" t="n">
        <f aca="false">SUMPRODUCT(('AI Risk Register'!$C$5:$C$150="04")*('AI Risk Register'!$T$5:$T$150="High"))</f>
        <v>3</v>
      </c>
      <c r="D31" s="21" t="n">
        <f aca="false">SUMPRODUCT(('AI Risk Register'!$C$5:$C$150="04")*('AI Risk Register'!$T$5:$T$150="Medium"))</f>
        <v>0</v>
      </c>
      <c r="E31" s="21" t="n">
        <f aca="false">SUMPRODUCT(('AI Risk Register'!$C$5:$C$150="04")*('AI Risk Register'!$T$5:$T$150="Low"))</f>
        <v>0</v>
      </c>
      <c r="F31" s="21" t="n">
        <f aca="false">SUMPRODUCT(--('AI Risk Register'!$C$5:$C$150="04"))</f>
        <v>3</v>
      </c>
    </row>
    <row r="32" customFormat="false" ht="15" hidden="false" customHeight="false" outlineLevel="0" collapsed="false">
      <c r="A32" s="58" t="s">
        <v>188</v>
      </c>
      <c r="B32" s="21" t="n">
        <f aca="false">SUMPRODUCT(('AI Risk Register'!$C$5:$C$150="05")*('AI Risk Register'!$T$5:$T$150="Critical"))</f>
        <v>0</v>
      </c>
      <c r="C32" s="21" t="n">
        <f aca="false">SUMPRODUCT(('AI Risk Register'!$C$5:$C$150="05")*('AI Risk Register'!$T$5:$T$150="High"))</f>
        <v>4</v>
      </c>
      <c r="D32" s="21" t="n">
        <f aca="false">SUMPRODUCT(('AI Risk Register'!$C$5:$C$150="05")*('AI Risk Register'!$T$5:$T$150="Medium"))</f>
        <v>1</v>
      </c>
      <c r="E32" s="21" t="n">
        <f aca="false">SUMPRODUCT(('AI Risk Register'!$C$5:$C$150="05")*('AI Risk Register'!$T$5:$T$150="Low"))</f>
        <v>0</v>
      </c>
      <c r="F32" s="21" t="n">
        <f aca="false">SUMPRODUCT(--('AI Risk Register'!$C$5:$C$150="05"))</f>
        <v>5</v>
      </c>
    </row>
    <row r="33" customFormat="false" ht="15" hidden="false" customHeight="false" outlineLevel="0" collapsed="false">
      <c r="A33" s="59" t="s">
        <v>189</v>
      </c>
      <c r="B33" s="21" t="n">
        <f aca="false">SUMPRODUCT(('AI Risk Register'!$C$5:$C$150="06")*('AI Risk Register'!$T$5:$T$150="Critical"))</f>
        <v>0</v>
      </c>
      <c r="C33" s="21" t="n">
        <f aca="false">SUMPRODUCT(('AI Risk Register'!$C$5:$C$150="06")*('AI Risk Register'!$T$5:$T$150="High"))</f>
        <v>4</v>
      </c>
      <c r="D33" s="21" t="n">
        <f aca="false">SUMPRODUCT(('AI Risk Register'!$C$5:$C$150="06")*('AI Risk Register'!$T$5:$T$150="Medium"))</f>
        <v>0</v>
      </c>
      <c r="E33" s="21" t="n">
        <f aca="false">SUMPRODUCT(('AI Risk Register'!$C$5:$C$150="06")*('AI Risk Register'!$T$5:$T$150="Low"))</f>
        <v>0</v>
      </c>
      <c r="F33" s="21" t="n">
        <f aca="false">SUMPRODUCT(--('AI Risk Register'!$C$5:$C$150="06"))</f>
        <v>4</v>
      </c>
    </row>
    <row r="34" customFormat="false" ht="15" hidden="false" customHeight="false" outlineLevel="0" collapsed="false">
      <c r="A34" s="60" t="s">
        <v>190</v>
      </c>
      <c r="B34" s="21" t="n">
        <f aca="false">SUMPRODUCT(('AI Risk Register'!$C$5:$C$150="07")*('AI Risk Register'!$T$5:$T$150="Critical"))</f>
        <v>0</v>
      </c>
      <c r="C34" s="21" t="n">
        <f aca="false">SUMPRODUCT(('AI Risk Register'!$C$5:$C$150="07")*('AI Risk Register'!$T$5:$T$150="High"))</f>
        <v>5</v>
      </c>
      <c r="D34" s="21" t="n">
        <f aca="false">SUMPRODUCT(('AI Risk Register'!$C$5:$C$150="07")*('AI Risk Register'!$T$5:$T$150="Medium"))</f>
        <v>0</v>
      </c>
      <c r="E34" s="21" t="n">
        <f aca="false">SUMPRODUCT(('AI Risk Register'!$C$5:$C$150="07")*('AI Risk Register'!$T$5:$T$150="Low"))</f>
        <v>0</v>
      </c>
      <c r="F34" s="21" t="n">
        <f aca="false">SUMPRODUCT(--('AI Risk Register'!$C$5:$C$150="07"))</f>
        <v>5</v>
      </c>
    </row>
    <row r="35" customFormat="false" ht="15" hidden="false" customHeight="false" outlineLevel="0" collapsed="false">
      <c r="A35" s="61" t="s">
        <v>191</v>
      </c>
      <c r="B35" s="21" t="n">
        <f aca="false">SUMPRODUCT(('AI Risk Register'!$C$5:$C$150="08")*('AI Risk Register'!$T$5:$T$150="Critical"))</f>
        <v>0</v>
      </c>
      <c r="C35" s="21" t="n">
        <f aca="false">SUMPRODUCT(('AI Risk Register'!$C$5:$C$150="08")*('AI Risk Register'!$T$5:$T$150="High"))</f>
        <v>5</v>
      </c>
      <c r="D35" s="21" t="n">
        <f aca="false">SUMPRODUCT(('AI Risk Register'!$C$5:$C$150="08")*('AI Risk Register'!$T$5:$T$150="Medium"))</f>
        <v>0</v>
      </c>
      <c r="E35" s="21" t="n">
        <f aca="false">SUMPRODUCT(('AI Risk Register'!$C$5:$C$150="08")*('AI Risk Register'!$T$5:$T$150="Low"))</f>
        <v>0</v>
      </c>
      <c r="F35" s="21" t="n">
        <f aca="false">SUMPRODUCT(--('AI Risk Register'!$C$5:$C$150="08"))</f>
        <v>5</v>
      </c>
    </row>
    <row r="36" customFormat="false" ht="15" hidden="false" customHeight="false" outlineLevel="0" collapsed="false">
      <c r="A36" s="62" t="s">
        <v>192</v>
      </c>
      <c r="B36" s="21" t="n">
        <f aca="false">SUMPRODUCT(('AI Risk Register'!$C$5:$C$150="09")*('AI Risk Register'!$T$5:$T$150="Critical"))</f>
        <v>0</v>
      </c>
      <c r="C36" s="21" t="n">
        <f aca="false">SUMPRODUCT(('AI Risk Register'!$C$5:$C$150="09")*('AI Risk Register'!$T$5:$T$150="High"))</f>
        <v>4</v>
      </c>
      <c r="D36" s="21" t="n">
        <f aca="false">SUMPRODUCT(('AI Risk Register'!$C$5:$C$150="09")*('AI Risk Register'!$T$5:$T$150="Medium"))</f>
        <v>0</v>
      </c>
      <c r="E36" s="21" t="n">
        <f aca="false">SUMPRODUCT(('AI Risk Register'!$C$5:$C$150="09")*('AI Risk Register'!$T$5:$T$150="Low"))</f>
        <v>0</v>
      </c>
      <c r="F36" s="21" t="n">
        <f aca="false">SUMPRODUCT(--('AI Risk Register'!$C$5:$C$150="09"))</f>
        <v>4</v>
      </c>
    </row>
    <row r="37" customFormat="false" ht="15" hidden="false" customHeight="false" outlineLevel="0" collapsed="false">
      <c r="A37" s="63" t="s">
        <v>193</v>
      </c>
      <c r="B37" s="21" t="n">
        <f aca="false">SUMPRODUCT(('AI Risk Register'!$C$5:$C$150="10")*('AI Risk Register'!$T$5:$T$150="Critical"))</f>
        <v>0</v>
      </c>
      <c r="C37" s="21" t="n">
        <f aca="false">SUMPRODUCT(('AI Risk Register'!$C$5:$C$150="10")*('AI Risk Register'!$T$5:$T$150="High"))</f>
        <v>3</v>
      </c>
      <c r="D37" s="21" t="n">
        <f aca="false">SUMPRODUCT(('AI Risk Register'!$C$5:$C$150="10")*('AI Risk Register'!$T$5:$T$150="Medium"))</f>
        <v>1</v>
      </c>
      <c r="E37" s="21" t="n">
        <f aca="false">SUMPRODUCT(('AI Risk Register'!$C$5:$C$150="10")*('AI Risk Register'!$T$5:$T$150="Low"))</f>
        <v>0</v>
      </c>
      <c r="F37" s="21" t="n">
        <f aca="false">SUMPRODUCT(--('AI Risk Register'!$C$5:$C$150="10"))</f>
        <v>4</v>
      </c>
    </row>
    <row r="38" customFormat="false" ht="15" hidden="false" customHeight="false" outlineLevel="0" collapsed="false">
      <c r="A38" s="64" t="s">
        <v>194</v>
      </c>
      <c r="B38" s="21" t="n">
        <f aca="false">SUMPRODUCT(('AI Risk Register'!$C$5:$C$150="11")*('AI Risk Register'!$T$5:$T$150="Critical"))</f>
        <v>0</v>
      </c>
      <c r="C38" s="21" t="n">
        <f aca="false">SUMPRODUCT(('AI Risk Register'!$C$5:$C$150="11")*('AI Risk Register'!$T$5:$T$150="High"))</f>
        <v>2</v>
      </c>
      <c r="D38" s="21" t="n">
        <f aca="false">SUMPRODUCT(('AI Risk Register'!$C$5:$C$150="11")*('AI Risk Register'!$T$5:$T$150="Medium"))</f>
        <v>0</v>
      </c>
      <c r="E38" s="21" t="n">
        <f aca="false">SUMPRODUCT(('AI Risk Register'!$C$5:$C$150="11")*('AI Risk Register'!$T$5:$T$150="Low"))</f>
        <v>0</v>
      </c>
      <c r="F38" s="21" t="n">
        <f aca="false">SUMPRODUCT(--('AI Risk Register'!$C$5:$C$150="11"))</f>
        <v>2</v>
      </c>
    </row>
    <row r="39" customFormat="false" ht="23.85" hidden="false" customHeight="false" outlineLevel="0" collapsed="false">
      <c r="A39" s="65" t="s">
        <v>195</v>
      </c>
      <c r="B39" s="21" t="n">
        <f aca="false">SUMPRODUCT(('AI Risk Register'!$C$5:$C$150="12")*('AI Risk Register'!$T$5:$T$150="Critical"))</f>
        <v>0</v>
      </c>
      <c r="C39" s="21" t="n">
        <f aca="false">SUMPRODUCT(('AI Risk Register'!$C$5:$C$150="12")*('AI Risk Register'!$T$5:$T$150="High"))</f>
        <v>6</v>
      </c>
      <c r="D39" s="21" t="n">
        <f aca="false">SUMPRODUCT(('AI Risk Register'!$C$5:$C$150="12")*('AI Risk Register'!$T$5:$T$150="Medium"))</f>
        <v>0</v>
      </c>
      <c r="E39" s="21" t="n">
        <f aca="false">SUMPRODUCT(('AI Risk Register'!$C$5:$C$150="12")*('AI Risk Register'!$T$5:$T$150="Low"))</f>
        <v>0</v>
      </c>
      <c r="F39" s="21" t="n">
        <f aca="false">SUMPRODUCT(--('AI Risk Register'!$C$5:$C$150="12"))</f>
        <v>6</v>
      </c>
    </row>
    <row r="41" customFormat="false" ht="27.75" hidden="false" customHeight="true" outlineLevel="0" collapsed="false">
      <c r="A41" s="9" t="s">
        <v>105</v>
      </c>
      <c r="B41" s="9"/>
      <c r="C41" s="9"/>
      <c r="D41" s="9"/>
      <c r="E41" s="9"/>
      <c r="F41" s="9"/>
    </row>
  </sheetData>
  <mergeCells count="1">
    <mergeCell ref="A41:F41"/>
  </mergeCells>
  <conditionalFormatting sqref="B20:E23">
    <cfRule type="expression" priority="2" aboveAverage="0" equalAverage="0" bottom="0" percent="0" rank="0" text="" dxfId="0">
      <formula>(COLUMN(B20)-1)*(24-ROW(B20))&gt;=Settings!$B$23</formula>
    </cfRule>
    <cfRule type="expression" priority="3" aboveAverage="0" equalAverage="0" bottom="0" percent="0" rank="0" text="" dxfId="1">
      <formula>(COLUMN(B20)-1)*(24-ROW(B20))&gt;=Settings!$B$22</formula>
    </cfRule>
    <cfRule type="expression" priority="4" aboveAverage="0" equalAverage="0" bottom="0" percent="0" rank="0" text="" dxfId="2">
      <formula>(COLUMN(B20)-1)*(24-ROW(B20))&gt;=Settings!$B$21</formula>
    </cfRule>
    <cfRule type="expression" priority="5" aboveAverage="0" equalAverage="0" bottom="0" percent="0" rank="0" text="" dxfId="3">
      <formula>(COLUMN(B20)-1)*(24-ROW(B20))&gt;=Settings!$B$20</formula>
    </cfRule>
  </conditionalFormatting>
  <conditionalFormatting sqref="B28:E39">
    <cfRule type="cellIs" priority="6" operator="greaterThan" aboveAverage="0" equalAverage="0" bottom="0" percent="0" rank="0" text="" dxfId="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BM1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9"/>
    <col collapsed="false" customWidth="true" hidden="false" outlineLevel="0" max="5" min="4" style="0" width="24"/>
    <col collapsed="false" customWidth="true" hidden="false" outlineLevel="0" max="6" min="6" style="0" width="10"/>
    <col collapsed="false" customWidth="true" hidden="false" outlineLevel="0" max="7" min="7" style="0" width="22"/>
    <col collapsed="false" customWidth="true" hidden="false" outlineLevel="0" max="8" min="8" style="0" width="20"/>
    <col collapsed="false" customWidth="true" hidden="false" outlineLevel="0" max="9" min="9" style="0" width="22"/>
    <col collapsed="false" customWidth="true" hidden="false" outlineLevel="0" max="10" min="10" style="0" width="60"/>
    <col collapsed="false" customWidth="true" hidden="false" outlineLevel="0" max="11" min="11" style="0" width="40"/>
    <col collapsed="false" customWidth="true" hidden="false" outlineLevel="0" max="12" min="12" style="0" width="18"/>
    <col collapsed="false" customWidth="true" hidden="false" outlineLevel="0" max="13" min="13" style="0" width="12"/>
    <col collapsed="false" customWidth="true" hidden="false" outlineLevel="0" max="14" min="14" style="0" width="13"/>
    <col collapsed="false" customWidth="true" hidden="false" outlineLevel="0" max="15" min="15" style="0" width="34"/>
    <col collapsed="false" customWidth="true" hidden="false" outlineLevel="0" max="16" min="16" style="0" width="12"/>
    <col collapsed="false" customWidth="true" hidden="false" outlineLevel="0" max="18" min="17" style="0" width="11"/>
    <col collapsed="false" customWidth="true" hidden="false" outlineLevel="0" max="19" min="19" style="0" width="9"/>
    <col collapsed="false" customWidth="true" hidden="false" outlineLevel="0" max="20" min="20" style="0" width="11"/>
    <col collapsed="false" customWidth="true" hidden="false" outlineLevel="0" max="21" min="21" style="0" width="18"/>
    <col collapsed="false" customWidth="true" hidden="false" outlineLevel="0" max="22" min="22" style="0" width="14"/>
    <col collapsed="false" customWidth="true" hidden="false" outlineLevel="0" max="23" min="23" style="0" width="12"/>
    <col collapsed="false" customWidth="true" hidden="false" outlineLevel="0" max="24" min="24" style="0" width="36"/>
    <col collapsed="false" customWidth="true" hidden="false" outlineLevel="0" max="25" min="25" style="0" width="30"/>
    <col collapsed="false" customWidth="true" hidden="false" outlineLevel="0" max="26" min="26" style="0" width="24"/>
    <col collapsed="false" customWidth="true" hidden="false" outlineLevel="0" max="28" min="27" style="0" width="34"/>
    <col collapsed="false" customWidth="true" hidden="false" outlineLevel="0" max="30" min="29" style="0" width="18"/>
    <col collapsed="false" customWidth="true" hidden="false" outlineLevel="0" max="31" min="31" style="0" width="20"/>
    <col collapsed="false" customWidth="true" hidden="false" outlineLevel="0" max="32" min="32" style="0" width="18"/>
    <col collapsed="false" customWidth="true" hidden="false" outlineLevel="0" max="33" min="33" style="0" width="22"/>
    <col collapsed="false" customWidth="true" hidden="false" outlineLevel="0" max="35" min="34" style="0" width="16"/>
    <col collapsed="false" customWidth="true" hidden="false" outlineLevel="0" max="36" min="36" style="0" width="12"/>
    <col collapsed="false" customWidth="true" hidden="false" outlineLevel="0" max="37" min="37" style="0" width="16"/>
    <col collapsed="false" customWidth="true" hidden="false" outlineLevel="0" max="38" min="38" style="0" width="20"/>
    <col collapsed="false" customWidth="true" hidden="false" outlineLevel="0" max="39" min="39" style="0" width="24"/>
    <col collapsed="false" customWidth="true" hidden="false" outlineLevel="0" max="40" min="40" style="0" width="14"/>
    <col collapsed="false" customWidth="true" hidden="false" outlineLevel="0" max="42" min="41" style="0" width="24"/>
    <col collapsed="false" customWidth="true" hidden="false" outlineLevel="0" max="43" min="43" style="0" width="11"/>
    <col collapsed="false" customWidth="true" hidden="false" outlineLevel="0" max="44" min="44" style="0" width="10"/>
    <col collapsed="false" customWidth="true" hidden="false" outlineLevel="0" max="46" min="45" style="0" width="11"/>
    <col collapsed="false" customWidth="true" hidden="false" outlineLevel="0" max="47" min="47" style="0" width="9"/>
    <col collapsed="false" customWidth="true" hidden="false" outlineLevel="0" max="49" min="48" style="0" width="11"/>
    <col collapsed="false" customWidth="true" hidden="false" outlineLevel="0" max="50" min="50" style="0" width="10"/>
    <col collapsed="false" customWidth="true" hidden="false" outlineLevel="0" max="51" min="51" style="0" width="24"/>
    <col collapsed="false" customWidth="true" hidden="false" outlineLevel="0" max="52" min="52" style="0" width="20"/>
    <col collapsed="false" customWidth="true" hidden="false" outlineLevel="0" max="53" min="53" style="0" width="18"/>
    <col collapsed="false" customWidth="true" hidden="false" outlineLevel="0" max="56" min="54" style="0" width="12"/>
    <col collapsed="false" customWidth="true" hidden="false" outlineLevel="0" max="57" min="57" style="0" width="14"/>
    <col collapsed="false" customWidth="true" hidden="false" outlineLevel="0" max="58" min="58" style="0" width="16"/>
    <col collapsed="false" customWidth="true" hidden="false" outlineLevel="0" max="62" min="59" style="0" width="12"/>
    <col collapsed="false" customWidth="true" hidden="false" outlineLevel="0" max="63" min="63" style="0" width="26"/>
    <col collapsed="false" customWidth="true" hidden="false" outlineLevel="0" max="64" min="64" style="0" width="34"/>
    <col collapsed="false" customWidth="true" hidden="false" outlineLevel="0" max="65" min="65" style="0" width="30"/>
  </cols>
  <sheetData>
    <row r="1" customFormat="false" ht="30" hidden="false" customHeight="true" outlineLevel="0" collapsed="false">
      <c r="A1" s="66" t="s">
        <v>82</v>
      </c>
      <c r="B1" s="67"/>
      <c r="C1" s="67"/>
      <c r="D1" s="67"/>
      <c r="E1" s="67"/>
      <c r="F1" s="67"/>
      <c r="G1" s="67"/>
      <c r="H1" s="67"/>
      <c r="I1" s="67"/>
      <c r="J1" s="67"/>
      <c r="K1" s="67"/>
      <c r="L1" s="67"/>
      <c r="M1" s="67"/>
      <c r="N1" s="67"/>
      <c r="O1" s="67"/>
      <c r="P1" s="67"/>
      <c r="Q1" s="67"/>
      <c r="R1" s="67"/>
      <c r="S1" s="67"/>
      <c r="T1" s="67"/>
      <c r="U1" s="67"/>
      <c r="V1" s="67"/>
      <c r="W1" s="67"/>
      <c r="X1" s="67"/>
      <c r="Y1" s="67"/>
      <c r="Z1" s="67"/>
      <c r="AA1" s="67"/>
      <c r="AB1" s="67"/>
      <c r="AC1" s="67"/>
      <c r="AD1" s="67"/>
      <c r="AE1" s="67"/>
      <c r="AF1" s="67"/>
      <c r="AG1" s="67"/>
      <c r="AH1" s="67"/>
      <c r="AI1" s="67"/>
      <c r="AJ1" s="67"/>
      <c r="AK1" s="67"/>
      <c r="AL1" s="67"/>
      <c r="AM1" s="67"/>
      <c r="AN1" s="67"/>
      <c r="AO1" s="67"/>
      <c r="AP1" s="67"/>
      <c r="AQ1" s="67"/>
      <c r="AR1" s="67"/>
      <c r="AS1" s="67"/>
      <c r="AT1" s="67"/>
      <c r="AU1" s="67"/>
      <c r="AV1" s="67"/>
      <c r="AW1" s="67"/>
      <c r="AX1" s="67"/>
      <c r="AY1" s="67"/>
      <c r="AZ1" s="67"/>
      <c r="BA1" s="67"/>
      <c r="BB1" s="67"/>
      <c r="BC1" s="67"/>
      <c r="BD1" s="67"/>
      <c r="BE1" s="67"/>
      <c r="BF1" s="67"/>
      <c r="BG1" s="67"/>
      <c r="BH1" s="67"/>
      <c r="BI1" s="67"/>
      <c r="BJ1" s="67"/>
      <c r="BK1" s="67"/>
      <c r="BL1" s="67"/>
      <c r="BM1" s="67"/>
    </row>
    <row r="2" customFormat="false" ht="30" hidden="false" customHeight="true" outlineLevel="0" collapsed="false">
      <c r="A2" s="68" t="s">
        <v>196</v>
      </c>
      <c r="B2" s="68"/>
      <c r="C2" s="68"/>
      <c r="D2" s="68"/>
      <c r="E2" s="68"/>
      <c r="F2" s="68"/>
      <c r="G2" s="68"/>
      <c r="H2" s="68"/>
      <c r="I2" s="68"/>
      <c r="J2" s="68"/>
      <c r="K2" s="68"/>
      <c r="L2" s="68"/>
      <c r="M2" s="68"/>
      <c r="N2" s="68"/>
    </row>
    <row r="3" customFormat="false" ht="15" hidden="false" customHeight="false" outlineLevel="0" collapsed="false">
      <c r="A3" s="69" t="s">
        <v>197</v>
      </c>
      <c r="B3" s="69"/>
      <c r="C3" s="69"/>
      <c r="D3" s="69"/>
      <c r="E3" s="69"/>
      <c r="F3" s="69"/>
      <c r="G3" s="69"/>
      <c r="H3" s="69"/>
      <c r="I3" s="69"/>
      <c r="J3" s="69"/>
      <c r="K3" s="69"/>
      <c r="L3" s="69"/>
      <c r="M3" s="69"/>
      <c r="N3" s="69"/>
      <c r="O3" s="70" t="s">
        <v>198</v>
      </c>
      <c r="P3" s="70"/>
      <c r="Q3" s="70"/>
      <c r="R3" s="70"/>
      <c r="S3" s="70"/>
      <c r="T3" s="70"/>
      <c r="U3" s="70"/>
      <c r="V3" s="70"/>
      <c r="W3" s="71" t="s">
        <v>199</v>
      </c>
      <c r="X3" s="71"/>
      <c r="Y3" s="71"/>
      <c r="Z3" s="71"/>
      <c r="AA3" s="71"/>
      <c r="AB3" s="71"/>
      <c r="AC3" s="71"/>
      <c r="AD3" s="71"/>
      <c r="AE3" s="71"/>
      <c r="AF3" s="71"/>
      <c r="AG3" s="71"/>
      <c r="AH3" s="71"/>
      <c r="AI3" s="71"/>
      <c r="AJ3" s="71"/>
      <c r="AK3" s="71"/>
      <c r="AL3" s="71"/>
      <c r="AM3" s="71"/>
      <c r="AN3" s="71"/>
      <c r="AO3" s="71"/>
      <c r="AP3" s="71"/>
      <c r="AQ3" s="71"/>
      <c r="AR3" s="71"/>
      <c r="AS3" s="72" t="s">
        <v>200</v>
      </c>
      <c r="AT3" s="72"/>
      <c r="AU3" s="72"/>
      <c r="AV3" s="72"/>
      <c r="AW3" s="72"/>
      <c r="AX3" s="72"/>
      <c r="AY3" s="72"/>
      <c r="AZ3" s="73" t="s">
        <v>201</v>
      </c>
      <c r="BA3" s="73"/>
      <c r="BB3" s="73"/>
      <c r="BC3" s="73"/>
      <c r="BD3" s="73"/>
      <c r="BE3" s="73"/>
      <c r="BF3" s="73"/>
      <c r="BG3" s="73"/>
      <c r="BH3" s="73"/>
      <c r="BI3" s="73"/>
      <c r="BJ3" s="73"/>
      <c r="BK3" s="73"/>
      <c r="BL3" s="73"/>
      <c r="BM3" s="73"/>
    </row>
    <row r="4" customFormat="false" ht="54" hidden="false" customHeight="true" outlineLevel="0" collapsed="false">
      <c r="A4" s="74" t="s">
        <v>202</v>
      </c>
      <c r="B4" s="74" t="s">
        <v>203</v>
      </c>
      <c r="C4" s="74" t="s">
        <v>204</v>
      </c>
      <c r="D4" s="74" t="s">
        <v>205</v>
      </c>
      <c r="E4" s="74" t="s">
        <v>206</v>
      </c>
      <c r="F4" s="74" t="s">
        <v>207</v>
      </c>
      <c r="G4" s="74" t="s">
        <v>208</v>
      </c>
      <c r="H4" s="74" t="s">
        <v>209</v>
      </c>
      <c r="I4" s="74" t="s">
        <v>210</v>
      </c>
      <c r="J4" s="74" t="s">
        <v>211</v>
      </c>
      <c r="K4" s="74" t="s">
        <v>212</v>
      </c>
      <c r="L4" s="74" t="s">
        <v>213</v>
      </c>
      <c r="M4" s="74" t="s">
        <v>214</v>
      </c>
      <c r="N4" s="74" t="s">
        <v>215</v>
      </c>
      <c r="O4" s="75" t="s">
        <v>216</v>
      </c>
      <c r="P4" s="75" t="s">
        <v>217</v>
      </c>
      <c r="Q4" s="75" t="s">
        <v>218</v>
      </c>
      <c r="R4" s="75" t="s">
        <v>219</v>
      </c>
      <c r="S4" s="75" t="s">
        <v>220</v>
      </c>
      <c r="T4" s="75" t="s">
        <v>221</v>
      </c>
      <c r="U4" s="75" t="s">
        <v>222</v>
      </c>
      <c r="V4" s="75" t="s">
        <v>223</v>
      </c>
      <c r="W4" s="76" t="s">
        <v>224</v>
      </c>
      <c r="X4" s="76" t="s">
        <v>225</v>
      </c>
      <c r="Y4" s="76" t="s">
        <v>226</v>
      </c>
      <c r="Z4" s="76" t="s">
        <v>227</v>
      </c>
      <c r="AA4" s="76" t="s">
        <v>228</v>
      </c>
      <c r="AB4" s="76" t="s">
        <v>229</v>
      </c>
      <c r="AC4" s="76" t="s">
        <v>230</v>
      </c>
      <c r="AD4" s="76" t="s">
        <v>231</v>
      </c>
      <c r="AE4" s="76" t="s">
        <v>232</v>
      </c>
      <c r="AF4" s="76" t="s">
        <v>233</v>
      </c>
      <c r="AG4" s="76" t="s">
        <v>234</v>
      </c>
      <c r="AH4" s="76" t="s">
        <v>235</v>
      </c>
      <c r="AI4" s="76" t="s">
        <v>236</v>
      </c>
      <c r="AJ4" s="76" t="s">
        <v>237</v>
      </c>
      <c r="AK4" s="76" t="s">
        <v>238</v>
      </c>
      <c r="AL4" s="76" t="s">
        <v>239</v>
      </c>
      <c r="AM4" s="76" t="s">
        <v>240</v>
      </c>
      <c r="AN4" s="76" t="s">
        <v>241</v>
      </c>
      <c r="AO4" s="76" t="s">
        <v>242</v>
      </c>
      <c r="AP4" s="76" t="s">
        <v>243</v>
      </c>
      <c r="AQ4" s="76" t="s">
        <v>244</v>
      </c>
      <c r="AR4" s="76" t="s">
        <v>245</v>
      </c>
      <c r="AS4" s="16" t="s">
        <v>246</v>
      </c>
      <c r="AT4" s="16" t="s">
        <v>247</v>
      </c>
      <c r="AU4" s="16" t="s">
        <v>248</v>
      </c>
      <c r="AV4" s="16" t="s">
        <v>249</v>
      </c>
      <c r="AW4" s="16" t="s">
        <v>250</v>
      </c>
      <c r="AX4" s="16" t="s">
        <v>251</v>
      </c>
      <c r="AY4" s="16" t="s">
        <v>252</v>
      </c>
      <c r="AZ4" s="77" t="s">
        <v>253</v>
      </c>
      <c r="BA4" s="77" t="s">
        <v>254</v>
      </c>
      <c r="BB4" s="77" t="s">
        <v>255</v>
      </c>
      <c r="BC4" s="77" t="s">
        <v>256</v>
      </c>
      <c r="BD4" s="77" t="s">
        <v>257</v>
      </c>
      <c r="BE4" s="77" t="s">
        <v>258</v>
      </c>
      <c r="BF4" s="77" t="s">
        <v>259</v>
      </c>
      <c r="BG4" s="77" t="s">
        <v>260</v>
      </c>
      <c r="BH4" s="77" t="s">
        <v>261</v>
      </c>
      <c r="BI4" s="77" t="s">
        <v>262</v>
      </c>
      <c r="BJ4" s="77" t="s">
        <v>263</v>
      </c>
      <c r="BK4" s="77" t="s">
        <v>264</v>
      </c>
      <c r="BL4" s="77" t="s">
        <v>265</v>
      </c>
      <c r="BM4" s="77" t="s">
        <v>266</v>
      </c>
    </row>
    <row r="5" customFormat="false" ht="105" hidden="false" customHeight="true" outlineLevel="0" collapsed="false">
      <c r="A5" s="78" t="s">
        <v>267</v>
      </c>
      <c r="B5" s="79" t="s">
        <v>268</v>
      </c>
      <c r="C5" s="80" t="s">
        <v>269</v>
      </c>
      <c r="D5" s="81" t="str">
        <f aca="false">IF(C5="","",IFERROR(INDEX(Lists!$O$2:$O$13,MATCH(C5,Lists!$N$2:$N$13,0)),"Check domain code"))</f>
        <v>Data and Privacy</v>
      </c>
      <c r="E5" s="81" t="str">
        <f aca="false">IF(C5="","",IFERROR(INDEX(Lists!$P$2:$P$13,MATCH(C5,Lists!$N$2:$N$13,0)),""))</f>
        <v>Data protection officer, data owners</v>
      </c>
      <c r="F5" s="80"/>
      <c r="G5" s="82" t="s">
        <v>270</v>
      </c>
      <c r="H5" s="82"/>
      <c r="I5" s="82"/>
      <c r="J5" s="83" t="s">
        <v>271</v>
      </c>
      <c r="K5" s="82"/>
      <c r="L5" s="82"/>
      <c r="M5" s="84" t="s">
        <v>272</v>
      </c>
      <c r="N5" s="85" t="str">
        <f aca="false">IF(COUNTIF(Triage!$E$6:$E$41,"Yes")+COUNTIF(Triage!$E$6:$E$41,"No")=0,"Not triaged",IF(SUMPRODUCT(COUNTIFS(Triage!$A$6:$A$41,{"B1","C3"},Triage!$E$6:$E$41,"Yes"))&gt;0,"Applies","Not triggered"))</f>
        <v>Not triaged</v>
      </c>
      <c r="O5" s="82"/>
      <c r="P5" s="86"/>
      <c r="Q5" s="86" t="n">
        <v>3</v>
      </c>
      <c r="R5" s="86" t="n">
        <v>4</v>
      </c>
      <c r="S5" s="21" t="n">
        <f aca="false">IF(OR(Q5="",R5=""),"",Q5*R5)</f>
        <v>12</v>
      </c>
      <c r="T5" s="85" t="str">
        <f aca="false">IF(S5="","",INDEX(Settings!$A$20:$A$23,MATCH(S5,Settings!$B$20:$B$23,1)))</f>
        <v>Critical</v>
      </c>
      <c r="U5" s="82" t="s">
        <v>273</v>
      </c>
      <c r="V5" s="87"/>
      <c r="W5" s="86"/>
      <c r="X5" s="82"/>
      <c r="Y5" s="88" t="s">
        <v>274</v>
      </c>
      <c r="Z5" s="88" t="s">
        <v>275</v>
      </c>
      <c r="AA5" s="88" t="s">
        <v>276</v>
      </c>
      <c r="AB5" s="88" t="s">
        <v>277</v>
      </c>
      <c r="AC5" s="88" t="s">
        <v>278</v>
      </c>
      <c r="AD5" s="88" t="s">
        <v>279</v>
      </c>
      <c r="AE5" s="88" t="s">
        <v>280</v>
      </c>
      <c r="AF5" s="88" t="s">
        <v>281</v>
      </c>
      <c r="AG5" s="88" t="s">
        <v>282</v>
      </c>
      <c r="AH5" s="88" t="s">
        <v>283</v>
      </c>
      <c r="AI5" s="88" t="s">
        <v>284</v>
      </c>
      <c r="AJ5" s="89" t="s">
        <v>285</v>
      </c>
      <c r="AK5" s="88" t="s">
        <v>286</v>
      </c>
      <c r="AL5" s="88" t="s">
        <v>287</v>
      </c>
      <c r="AM5" s="88" t="s">
        <v>287</v>
      </c>
      <c r="AN5" s="88" t="s">
        <v>287</v>
      </c>
      <c r="AO5" s="88" t="s">
        <v>288</v>
      </c>
      <c r="AP5" s="88" t="s">
        <v>289</v>
      </c>
      <c r="AQ5" s="89" t="n">
        <v>73</v>
      </c>
      <c r="AR5" s="89" t="n">
        <v>84</v>
      </c>
      <c r="AS5" s="86"/>
      <c r="AT5" s="86"/>
      <c r="AU5" s="85" t="str">
        <f aca="false">IF(OR(AS5="",AT5=""),"",AS5*AT5)</f>
        <v/>
      </c>
      <c r="AV5" s="21" t="str">
        <f aca="false">IF(AU5="","",INDEX(Settings!$A$20:$A$23,MATCH(AU5,Settings!$B$20:$B$23,1)))</f>
        <v/>
      </c>
      <c r="AW5" s="85" t="str">
        <f aca="false">IF(AV5&lt;&gt;"",AV5,T5)</f>
        <v>Critical</v>
      </c>
      <c r="AX5" s="85" t="str">
        <f aca="false">IF(AW5="","",IF(MATCH(AW5,Settings!$A$20:$A$23,0)&lt;=MATCH(Settings!$C$28,Settings!$A$20:$A$23,0),"Yes","No"))</f>
        <v>No</v>
      </c>
      <c r="AY5" s="81" t="str">
        <f aca="false">IF(AW5="","",IF(AX5="Yes",INDEX(Settings!$G$20:$G$23,MATCH(AW5,Settings!$A$20:$A$23,0)),INDEX(Settings!$G$20:$G$23,MATCH(AW5,Settings!$A$20:$A$23,0))&amp;" (outside appetite)"))</f>
        <v>Governing body or accountable executive, on the AI Governance Committee's recommendation (outside appetite)</v>
      </c>
      <c r="AZ5" s="82"/>
      <c r="BA5" s="82"/>
      <c r="BB5" s="90"/>
      <c r="BC5" s="91" t="str">
        <f aca="false">IF(OR(BB5="",T5=""),"",BB5+INDEX(Settings!$E$20:$E$23,MATCH(T5,Settings!$A$20:$A$23,0)))</f>
        <v/>
      </c>
      <c r="BD5" s="90"/>
      <c r="BE5" s="82"/>
      <c r="BF5" s="81" t="str">
        <f aca="true">IF(A5="","",IF(OR(BE5="Closed",BE5="Accepted"),"No action",IF(BB5="","Set date identified",IF(TODAY()&gt;BC5,"Deadline exceeded",IF(BC5-TODAY()&lt;=Settings!$C$30,"Deadline approaching","On track")))))</f>
        <v>Set date identified</v>
      </c>
      <c r="BG5" s="90"/>
      <c r="BH5" s="90"/>
      <c r="BI5" s="91" t="str">
        <f aca="false">IF(OR(BH5="",AW5=""),"",EDATE(BH5,INDEX(Settings!$F$20:$F$23,MATCH(AW5,Settings!$A$20:$A$23,0))))</f>
        <v/>
      </c>
      <c r="BJ5" s="85" t="str">
        <f aca="false">IF(T5="","",IF(MAX(IF(T5="",0,MATCH(T5,Settings!$A$20:$A$23,0)),IF(AV5="",0,MATCH(AV5,Settings!$A$20:$A$23,0)))&gt;=MATCH(Settings!$C$29,Settings!$A$20:$A$23,0),"Yes","No"))</f>
        <v>Yes</v>
      </c>
      <c r="BK5" s="82"/>
      <c r="BL5" s="81" t="str">
        <f aca="true">IF(A5="","",IF(TRIM(IF(W5="","Treatment not chosen. ","")&amp;IF(AND(W5="Accept",AX5="No"),"Accepted outside appetite: record approval by "&amp;INDEX(Settings!$G$20:$G$23,MATCH(AW5,Settings!$A$20:$A$23,0))&amp;". ","")&amp;IF(AND(W5="Accept",BG5=""),"Acceptance expiry missing. ","")&amp;IF(AND(BG5&lt;&gt;"",BG5&lt;TODAY()),"Acceptance expired. ","")&amp;IF(AND(W5&lt;&gt;"",W5&lt;&gt;"Accept",AV5=""),"Target rating not set. ","")&amp;IF(AND(BE5="Closed",AX5="No"),"Closed while outside appetite. ","")&amp;IF(AND(W5="Transfer",BE5&lt;&gt;"Transferred",BE5&lt;&gt;"Closed"),"Transfer: record the contract, SLA and audit rights. ","")&amp;IF(AZ5="","Risk owner missing. ","")&amp;IF(K5="","Scenario not written. ",""))="","OK",TRIM(IF(W5="","Treatment not chosen. ","")&amp;IF(AND(W5="Accept",AX5="No"),"Accepted outside appetite: record approval by "&amp;INDEX(Settings!$G$20:$G$23,MATCH(AW5,Settings!$A$20:$A$23,0))&amp;". ","")&amp;IF(AND(W5="Accept",BG5=""),"Acceptance expiry missing. ","")&amp;IF(AND(BG5&lt;&gt;"",BG5&lt;TODAY()),"Acceptance expired. ","")&amp;IF(AND(W5&lt;&gt;"",W5&lt;&gt;"Accept",AV5=""),"Target rating not set. ","")&amp;IF(AND(BE5="Closed",AX5="No"),"Closed while outside appetite. ","")&amp;IF(AND(W5="Transfer",BE5&lt;&gt;"Transferred",BE5&lt;&gt;"Closed"),"Transfer: record the contract, SLA and audit rights. ","")&amp;IF(AZ5="","Risk owner missing. ","")&amp;IF(K5="","Scenario not written. ",""))))</f>
        <v>Treatment not chosen. Risk owner missing. Scenario not written.</v>
      </c>
      <c r="BM5" s="82" t="s">
        <v>290</v>
      </c>
    </row>
    <row r="6" customFormat="false" ht="105" hidden="false" customHeight="true" outlineLevel="0" collapsed="false">
      <c r="A6" s="92" t="s">
        <v>291</v>
      </c>
      <c r="B6" s="93" t="s">
        <v>292</v>
      </c>
      <c r="C6" s="80" t="s">
        <v>293</v>
      </c>
      <c r="D6" s="81" t="str">
        <f aca="false">IF(C6="","",IFERROR(INDEX(Lists!$O$2:$O$13,MATCH(C6,Lists!$N$2:$N$13,0)),"Check domain code"))</f>
        <v>AI Governance and Accountability</v>
      </c>
      <c r="E6" s="81" t="str">
        <f aca="false">IF(C6="","",IFERROR(INDEX(Lists!$P$2:$P$13,MATCH(C6,Lists!$N$2:$N$13,0)),""))</f>
        <v>AI governance committee, chief risk officer</v>
      </c>
      <c r="F6" s="80"/>
      <c r="G6" s="82" t="s">
        <v>270</v>
      </c>
      <c r="H6" s="82"/>
      <c r="I6" s="82"/>
      <c r="J6" s="94" t="s">
        <v>294</v>
      </c>
      <c r="K6" s="82"/>
      <c r="L6" s="82"/>
      <c r="M6" s="95" t="s">
        <v>295</v>
      </c>
      <c r="N6" s="85" t="str">
        <f aca="false">IF(COUNTIF(Triage!$E$6:$E$41,"Yes")+COUNTIF(Triage!$E$6:$E$41,"No")=0,"Not triaged",IF(SUMPRODUCT(COUNTIFS(Triage!$A$6:$A$41,{"D6"},Triage!$E$6:$E$41,"Yes"))&gt;0,"Applies","Not triggered"))</f>
        <v>Not triaged</v>
      </c>
      <c r="O6" s="82"/>
      <c r="P6" s="86"/>
      <c r="Q6" s="86" t="n">
        <v>3</v>
      </c>
      <c r="R6" s="86" t="n">
        <v>3</v>
      </c>
      <c r="S6" s="21" t="n">
        <f aca="false">IF(OR(Q6="",R6=""),"",Q6*R6)</f>
        <v>9</v>
      </c>
      <c r="T6" s="85" t="str">
        <f aca="false">IF(S6="","",INDEX(Settings!$A$20:$A$23,MATCH(S6,Settings!$B$20:$B$23,1)))</f>
        <v>High</v>
      </c>
      <c r="U6" s="82" t="s">
        <v>273</v>
      </c>
      <c r="V6" s="87"/>
      <c r="W6" s="86"/>
      <c r="X6" s="82"/>
      <c r="Y6" s="96" t="s">
        <v>296</v>
      </c>
      <c r="Z6" s="96" t="s">
        <v>297</v>
      </c>
      <c r="AA6" s="96" t="s">
        <v>298</v>
      </c>
      <c r="AB6" s="96" t="s">
        <v>299</v>
      </c>
      <c r="AC6" s="96" t="s">
        <v>300</v>
      </c>
      <c r="AD6" s="96" t="s">
        <v>301</v>
      </c>
      <c r="AE6" s="96" t="s">
        <v>302</v>
      </c>
      <c r="AF6" s="96" t="s">
        <v>303</v>
      </c>
      <c r="AG6" s="96" t="s">
        <v>304</v>
      </c>
      <c r="AH6" s="96" t="s">
        <v>305</v>
      </c>
      <c r="AI6" s="96" t="s">
        <v>306</v>
      </c>
      <c r="AJ6" s="97" t="s">
        <v>307</v>
      </c>
      <c r="AK6" s="96" t="s">
        <v>308</v>
      </c>
      <c r="AL6" s="96" t="s">
        <v>287</v>
      </c>
      <c r="AM6" s="96" t="s">
        <v>309</v>
      </c>
      <c r="AN6" s="96" t="s">
        <v>310</v>
      </c>
      <c r="AO6" s="96" t="s">
        <v>311</v>
      </c>
      <c r="AP6" s="96" t="s">
        <v>312</v>
      </c>
      <c r="AQ6" s="97" t="n">
        <v>182</v>
      </c>
      <c r="AR6" s="97" t="n">
        <v>91</v>
      </c>
      <c r="AS6" s="86"/>
      <c r="AT6" s="86"/>
      <c r="AU6" s="85" t="str">
        <f aca="false">IF(OR(AS6="",AT6=""),"",AS6*AT6)</f>
        <v/>
      </c>
      <c r="AV6" s="21" t="str">
        <f aca="false">IF(AU6="","",INDEX(Settings!$A$20:$A$23,MATCH(AU6,Settings!$B$20:$B$23,1)))</f>
        <v/>
      </c>
      <c r="AW6" s="85" t="str">
        <f aca="false">IF(AV6&lt;&gt;"",AV6,T6)</f>
        <v>High</v>
      </c>
      <c r="AX6" s="85" t="str">
        <f aca="false">IF(AW6="","",IF(MATCH(AW6,Settings!$A$20:$A$23,0)&lt;=MATCH(Settings!$C$28,Settings!$A$20:$A$23,0),"Yes","No"))</f>
        <v>No</v>
      </c>
      <c r="AY6" s="81" t="str">
        <f aca="false">IF(AW6="","",IF(AX6="Yes",INDEX(Settings!$G$20:$G$23,MATCH(AW6,Settings!$A$20:$A$23,0)),INDEX(Settings!$G$20:$G$23,MATCH(AW6,Settings!$A$20:$A$23,0))&amp;" (outside appetite)"))</f>
        <v>AI Governance Committee (outside appetite)</v>
      </c>
      <c r="AZ6" s="82"/>
      <c r="BA6" s="82"/>
      <c r="BB6" s="90"/>
      <c r="BC6" s="91" t="str">
        <f aca="false">IF(OR(BB6="",T6=""),"",BB6+INDEX(Settings!$E$20:$E$23,MATCH(T6,Settings!$A$20:$A$23,0)))</f>
        <v/>
      </c>
      <c r="BD6" s="90"/>
      <c r="BE6" s="82"/>
      <c r="BF6" s="81" t="str">
        <f aca="true">IF(A6="","",IF(OR(BE6="Closed",BE6="Accepted"),"No action",IF(BB6="","Set date identified",IF(TODAY()&gt;BC6,"Deadline exceeded",IF(BC6-TODAY()&lt;=Settings!$C$30,"Deadline approaching","On track")))))</f>
        <v>Set date identified</v>
      </c>
      <c r="BG6" s="90"/>
      <c r="BH6" s="90"/>
      <c r="BI6" s="91" t="str">
        <f aca="false">IF(OR(BH6="",AW6=""),"",EDATE(BH6,INDEX(Settings!$F$20:$F$23,MATCH(AW6,Settings!$A$20:$A$23,0))))</f>
        <v/>
      </c>
      <c r="BJ6" s="85" t="str">
        <f aca="false">IF(T6="","",IF(MAX(IF(T6="",0,MATCH(T6,Settings!$A$20:$A$23,0)),IF(AV6="",0,MATCH(AV6,Settings!$A$20:$A$23,0)))&gt;=MATCH(Settings!$C$29,Settings!$A$20:$A$23,0),"Yes","No"))</f>
        <v>Yes</v>
      </c>
      <c r="BK6" s="82"/>
      <c r="BL6" s="81" t="str">
        <f aca="true">IF(A6="","",IF(TRIM(IF(W6="","Treatment not chosen. ","")&amp;IF(AND(W6="Accept",AX6="No"),"Accepted outside appetite: record approval by "&amp;INDEX(Settings!$G$20:$G$23,MATCH(AW6,Settings!$A$20:$A$23,0))&amp;". ","")&amp;IF(AND(W6="Accept",BG6=""),"Acceptance expiry missing. ","")&amp;IF(AND(BG6&lt;&gt;"",BG6&lt;TODAY()),"Acceptance expired. ","")&amp;IF(AND(W6&lt;&gt;"",W6&lt;&gt;"Accept",AV6=""),"Target rating not set. ","")&amp;IF(AND(BE6="Closed",AX6="No"),"Closed while outside appetite. ","")&amp;IF(AND(W6="Transfer",BE6&lt;&gt;"Transferred",BE6&lt;&gt;"Closed"),"Transfer: record the contract, SLA and audit rights. ","")&amp;IF(AZ6="","Risk owner missing. ","")&amp;IF(K6="","Scenario not written. ",""))="","OK",TRIM(IF(W6="","Treatment not chosen. ","")&amp;IF(AND(W6="Accept",AX6="No"),"Accepted outside appetite: record approval by "&amp;INDEX(Settings!$G$20:$G$23,MATCH(AW6,Settings!$A$20:$A$23,0))&amp;". ","")&amp;IF(AND(W6="Accept",BG6=""),"Acceptance expiry missing. ","")&amp;IF(AND(BG6&lt;&gt;"",BG6&lt;TODAY()),"Acceptance expired. ","")&amp;IF(AND(W6&lt;&gt;"",W6&lt;&gt;"Accept",AV6=""),"Target rating not set. ","")&amp;IF(AND(BE6="Closed",AX6="No"),"Closed while outside appetite. ","")&amp;IF(AND(W6="Transfer",BE6&lt;&gt;"Transferred",BE6&lt;&gt;"Closed"),"Transfer: record the contract, SLA and audit rights. ","")&amp;IF(AZ6="","Risk owner missing. ","")&amp;IF(K6="","Scenario not written. ",""))))</f>
        <v>Treatment not chosen. Risk owner missing. Scenario not written.</v>
      </c>
      <c r="BM6" s="82" t="s">
        <v>313</v>
      </c>
    </row>
    <row r="7" customFormat="false" ht="105" hidden="false" customHeight="true" outlineLevel="0" collapsed="false">
      <c r="A7" s="78" t="s">
        <v>314</v>
      </c>
      <c r="B7" s="79" t="s">
        <v>315</v>
      </c>
      <c r="C7" s="80" t="s">
        <v>269</v>
      </c>
      <c r="D7" s="81" t="str">
        <f aca="false">IF(C7="","",IFERROR(INDEX(Lists!$O$2:$O$13,MATCH(C7,Lists!$N$2:$N$13,0)),"Check domain code"))</f>
        <v>Data and Privacy</v>
      </c>
      <c r="E7" s="81" t="str">
        <f aca="false">IF(C7="","",IFERROR(INDEX(Lists!$P$2:$P$13,MATCH(C7,Lists!$N$2:$N$13,0)),""))</f>
        <v>Data protection officer, data owners</v>
      </c>
      <c r="F7" s="80"/>
      <c r="G7" s="82" t="s">
        <v>270</v>
      </c>
      <c r="H7" s="82"/>
      <c r="I7" s="82"/>
      <c r="J7" s="83" t="s">
        <v>316</v>
      </c>
      <c r="K7" s="82"/>
      <c r="L7" s="82"/>
      <c r="M7" s="84" t="s">
        <v>317</v>
      </c>
      <c r="N7" s="85" t="str">
        <f aca="false">IF(COUNTIF(Triage!$E$6:$E$41,"Yes")+COUNTIF(Triage!$E$6:$E$41,"No")=0,"Not triaged",IF(SUMPRODUCT(COUNTIFS(Triage!$A$6:$A$41,{"B1","B2"},Triage!$E$6:$E$41,"Yes"))&gt;0,"Applies","Not triggered"))</f>
        <v>Not triaged</v>
      </c>
      <c r="O7" s="82"/>
      <c r="P7" s="86"/>
      <c r="Q7" s="86" t="n">
        <v>3</v>
      </c>
      <c r="R7" s="86" t="n">
        <v>4</v>
      </c>
      <c r="S7" s="21" t="n">
        <f aca="false">IF(OR(Q7="",R7=""),"",Q7*R7)</f>
        <v>12</v>
      </c>
      <c r="T7" s="85" t="str">
        <f aca="false">IF(S7="","",INDEX(Settings!$A$20:$A$23,MATCH(S7,Settings!$B$20:$B$23,1)))</f>
        <v>Critical</v>
      </c>
      <c r="U7" s="82" t="s">
        <v>273</v>
      </c>
      <c r="V7" s="87"/>
      <c r="W7" s="86"/>
      <c r="X7" s="82"/>
      <c r="Y7" s="88" t="s">
        <v>318</v>
      </c>
      <c r="Z7" s="88" t="s">
        <v>319</v>
      </c>
      <c r="AA7" s="88" t="s">
        <v>320</v>
      </c>
      <c r="AB7" s="88" t="s">
        <v>321</v>
      </c>
      <c r="AC7" s="88" t="s">
        <v>322</v>
      </c>
      <c r="AD7" s="88" t="s">
        <v>323</v>
      </c>
      <c r="AE7" s="88" t="s">
        <v>324</v>
      </c>
      <c r="AF7" s="88" t="s">
        <v>325</v>
      </c>
      <c r="AG7" s="88" t="s">
        <v>326</v>
      </c>
      <c r="AH7" s="88" t="s">
        <v>283</v>
      </c>
      <c r="AI7" s="88" t="s">
        <v>327</v>
      </c>
      <c r="AJ7" s="89" t="s">
        <v>328</v>
      </c>
      <c r="AK7" s="88" t="s">
        <v>329</v>
      </c>
      <c r="AL7" s="88" t="s">
        <v>330</v>
      </c>
      <c r="AM7" s="88" t="s">
        <v>331</v>
      </c>
      <c r="AN7" s="88" t="s">
        <v>287</v>
      </c>
      <c r="AO7" s="88" t="s">
        <v>332</v>
      </c>
      <c r="AP7" s="88" t="s">
        <v>333</v>
      </c>
      <c r="AQ7" s="89" t="n">
        <v>199</v>
      </c>
      <c r="AR7" s="89" t="n">
        <v>145</v>
      </c>
      <c r="AS7" s="86"/>
      <c r="AT7" s="86"/>
      <c r="AU7" s="85" t="str">
        <f aca="false">IF(OR(AS7="",AT7=""),"",AS7*AT7)</f>
        <v/>
      </c>
      <c r="AV7" s="21" t="str">
        <f aca="false">IF(AU7="","",INDEX(Settings!$A$20:$A$23,MATCH(AU7,Settings!$B$20:$B$23,1)))</f>
        <v/>
      </c>
      <c r="AW7" s="85" t="str">
        <f aca="false">IF(AV7&lt;&gt;"",AV7,T7)</f>
        <v>Critical</v>
      </c>
      <c r="AX7" s="85" t="str">
        <f aca="false">IF(AW7="","",IF(MATCH(AW7,Settings!$A$20:$A$23,0)&lt;=MATCH(Settings!$C$28,Settings!$A$20:$A$23,0),"Yes","No"))</f>
        <v>No</v>
      </c>
      <c r="AY7" s="81" t="str">
        <f aca="false">IF(AW7="","",IF(AX7="Yes",INDEX(Settings!$G$20:$G$23,MATCH(AW7,Settings!$A$20:$A$23,0)),INDEX(Settings!$G$20:$G$23,MATCH(AW7,Settings!$A$20:$A$23,0))&amp;" (outside appetite)"))</f>
        <v>Governing body or accountable executive, on the AI Governance Committee's recommendation (outside appetite)</v>
      </c>
      <c r="AZ7" s="82"/>
      <c r="BA7" s="82"/>
      <c r="BB7" s="90"/>
      <c r="BC7" s="91" t="str">
        <f aca="false">IF(OR(BB7="",T7=""),"",BB7+INDEX(Settings!$E$20:$E$23,MATCH(T7,Settings!$A$20:$A$23,0)))</f>
        <v/>
      </c>
      <c r="BD7" s="90"/>
      <c r="BE7" s="82"/>
      <c r="BF7" s="81" t="str">
        <f aca="true">IF(A7="","",IF(OR(BE7="Closed",BE7="Accepted"),"No action",IF(BB7="","Set date identified",IF(TODAY()&gt;BC7,"Deadline exceeded",IF(BC7-TODAY()&lt;=Settings!$C$30,"Deadline approaching","On track")))))</f>
        <v>Set date identified</v>
      </c>
      <c r="BG7" s="90"/>
      <c r="BH7" s="90"/>
      <c r="BI7" s="91" t="str">
        <f aca="false">IF(OR(BH7="",AW7=""),"",EDATE(BH7,INDEX(Settings!$F$20:$F$23,MATCH(AW7,Settings!$A$20:$A$23,0))))</f>
        <v/>
      </c>
      <c r="BJ7" s="85" t="str">
        <f aca="false">IF(T7="","",IF(MAX(IF(T7="",0,MATCH(T7,Settings!$A$20:$A$23,0)),IF(AV7="",0,MATCH(AV7,Settings!$A$20:$A$23,0)))&gt;=MATCH(Settings!$C$29,Settings!$A$20:$A$23,0),"Yes","No"))</f>
        <v>Yes</v>
      </c>
      <c r="BK7" s="82"/>
      <c r="BL7" s="81" t="str">
        <f aca="true">IF(A7="","",IF(TRIM(IF(W7="","Treatment not chosen. ","")&amp;IF(AND(W7="Accept",AX7="No"),"Accepted outside appetite: record approval by "&amp;INDEX(Settings!$G$20:$G$23,MATCH(AW7,Settings!$A$20:$A$23,0))&amp;". ","")&amp;IF(AND(W7="Accept",BG7=""),"Acceptance expiry missing. ","")&amp;IF(AND(BG7&lt;&gt;"",BG7&lt;TODAY()),"Acceptance expired. ","")&amp;IF(AND(W7&lt;&gt;"",W7&lt;&gt;"Accept",AV7=""),"Target rating not set. ","")&amp;IF(AND(BE7="Closed",AX7="No"),"Closed while outside appetite. ","")&amp;IF(AND(W7="Transfer",BE7&lt;&gt;"Transferred",BE7&lt;&gt;"Closed"),"Transfer: record the contract, SLA and audit rights. ","")&amp;IF(AZ7="","Risk owner missing. ","")&amp;IF(K7="","Scenario not written. ",""))="","OK",TRIM(IF(W7="","Treatment not chosen. ","")&amp;IF(AND(W7="Accept",AX7="No"),"Accepted outside appetite: record approval by "&amp;INDEX(Settings!$G$20:$G$23,MATCH(AW7,Settings!$A$20:$A$23,0))&amp;". ","")&amp;IF(AND(W7="Accept",BG7=""),"Acceptance expiry missing. ","")&amp;IF(AND(BG7&lt;&gt;"",BG7&lt;TODAY()),"Acceptance expired. ","")&amp;IF(AND(W7&lt;&gt;"",W7&lt;&gt;"Accept",AV7=""),"Target rating not set. ","")&amp;IF(AND(BE7="Closed",AX7="No"),"Closed while outside appetite. ","")&amp;IF(AND(W7="Transfer",BE7&lt;&gt;"Transferred",BE7&lt;&gt;"Closed"),"Transfer: record the contract, SLA and audit rights. ","")&amp;IF(AZ7="","Risk owner missing. ","")&amp;IF(K7="","Scenario not written. ",""))))</f>
        <v>Treatment not chosen. Risk owner missing. Scenario not written.</v>
      </c>
      <c r="BM7" s="82" t="s">
        <v>334</v>
      </c>
    </row>
    <row r="8" customFormat="false" ht="105" hidden="false" customHeight="true" outlineLevel="0" collapsed="false">
      <c r="A8" s="92" t="s">
        <v>335</v>
      </c>
      <c r="B8" s="93" t="s">
        <v>336</v>
      </c>
      <c r="C8" s="80" t="s">
        <v>269</v>
      </c>
      <c r="D8" s="81" t="str">
        <f aca="false">IF(C8="","",IFERROR(INDEX(Lists!$O$2:$O$13,MATCH(C8,Lists!$N$2:$N$13,0)),"Check domain code"))</f>
        <v>Data and Privacy</v>
      </c>
      <c r="E8" s="81" t="str">
        <f aca="false">IF(C8="","",IFERROR(INDEX(Lists!$P$2:$P$13,MATCH(C8,Lists!$N$2:$N$13,0)),""))</f>
        <v>Data protection officer, data owners</v>
      </c>
      <c r="F8" s="80"/>
      <c r="G8" s="82" t="s">
        <v>270</v>
      </c>
      <c r="H8" s="82"/>
      <c r="I8" s="82"/>
      <c r="J8" s="94" t="s">
        <v>337</v>
      </c>
      <c r="K8" s="82"/>
      <c r="L8" s="82"/>
      <c r="M8" s="95" t="s">
        <v>338</v>
      </c>
      <c r="N8" s="85" t="str">
        <f aca="false">IF(COUNTIF(Triage!$E$6:$E$41,"Yes")+COUNTIF(Triage!$E$6:$E$41,"No")=0,"Not triaged",IF(SUMPRODUCT(COUNTIFS(Triage!$A$6:$A$41,{"A5"},Triage!$E$6:$E$41,"Yes"))&gt;0,"Applies","Not triggered"))</f>
        <v>Not triaged</v>
      </c>
      <c r="O8" s="82"/>
      <c r="P8" s="86"/>
      <c r="Q8" s="86" t="n">
        <v>3</v>
      </c>
      <c r="R8" s="86" t="n">
        <v>3</v>
      </c>
      <c r="S8" s="21" t="n">
        <f aca="false">IF(OR(Q8="",R8=""),"",Q8*R8)</f>
        <v>9</v>
      </c>
      <c r="T8" s="85" t="str">
        <f aca="false">IF(S8="","",INDEX(Settings!$A$20:$A$23,MATCH(S8,Settings!$B$20:$B$23,1)))</f>
        <v>High</v>
      </c>
      <c r="U8" s="82" t="s">
        <v>273</v>
      </c>
      <c r="V8" s="87"/>
      <c r="W8" s="86"/>
      <c r="X8" s="82"/>
      <c r="Y8" s="96" t="s">
        <v>339</v>
      </c>
      <c r="Z8" s="96" t="s">
        <v>340</v>
      </c>
      <c r="AA8" s="96" t="s">
        <v>341</v>
      </c>
      <c r="AB8" s="96" t="s">
        <v>342</v>
      </c>
      <c r="AC8" s="96" t="s">
        <v>343</v>
      </c>
      <c r="AD8" s="96" t="s">
        <v>344</v>
      </c>
      <c r="AE8" s="96" t="s">
        <v>345</v>
      </c>
      <c r="AF8" s="96" t="s">
        <v>303</v>
      </c>
      <c r="AG8" s="96" t="s">
        <v>346</v>
      </c>
      <c r="AH8" s="96" t="s">
        <v>283</v>
      </c>
      <c r="AI8" s="96" t="s">
        <v>347</v>
      </c>
      <c r="AJ8" s="97" t="s">
        <v>348</v>
      </c>
      <c r="AK8" s="96" t="s">
        <v>349</v>
      </c>
      <c r="AL8" s="96" t="s">
        <v>287</v>
      </c>
      <c r="AM8" s="96" t="s">
        <v>287</v>
      </c>
      <c r="AN8" s="96" t="s">
        <v>287</v>
      </c>
      <c r="AO8" s="96" t="s">
        <v>287</v>
      </c>
      <c r="AP8" s="96" t="s">
        <v>287</v>
      </c>
      <c r="AQ8" s="97" t="n">
        <v>21</v>
      </c>
      <c r="AR8" s="97" t="n">
        <v>18</v>
      </c>
      <c r="AS8" s="86"/>
      <c r="AT8" s="86"/>
      <c r="AU8" s="85" t="str">
        <f aca="false">IF(OR(AS8="",AT8=""),"",AS8*AT8)</f>
        <v/>
      </c>
      <c r="AV8" s="21" t="str">
        <f aca="false">IF(AU8="","",INDEX(Settings!$A$20:$A$23,MATCH(AU8,Settings!$B$20:$B$23,1)))</f>
        <v/>
      </c>
      <c r="AW8" s="85" t="str">
        <f aca="false">IF(AV8&lt;&gt;"",AV8,T8)</f>
        <v>High</v>
      </c>
      <c r="AX8" s="85" t="str">
        <f aca="false">IF(AW8="","",IF(MATCH(AW8,Settings!$A$20:$A$23,0)&lt;=MATCH(Settings!$C$28,Settings!$A$20:$A$23,0),"Yes","No"))</f>
        <v>No</v>
      </c>
      <c r="AY8" s="81" t="str">
        <f aca="false">IF(AW8="","",IF(AX8="Yes",INDEX(Settings!$G$20:$G$23,MATCH(AW8,Settings!$A$20:$A$23,0)),INDEX(Settings!$G$20:$G$23,MATCH(AW8,Settings!$A$20:$A$23,0))&amp;" (outside appetite)"))</f>
        <v>AI Governance Committee (outside appetite)</v>
      </c>
      <c r="AZ8" s="82"/>
      <c r="BA8" s="82"/>
      <c r="BB8" s="90"/>
      <c r="BC8" s="91" t="str">
        <f aca="false">IF(OR(BB8="",T8=""),"",BB8+INDEX(Settings!$E$20:$E$23,MATCH(T8,Settings!$A$20:$A$23,0)))</f>
        <v/>
      </c>
      <c r="BD8" s="90"/>
      <c r="BE8" s="82"/>
      <c r="BF8" s="81" t="str">
        <f aca="true">IF(A8="","",IF(OR(BE8="Closed",BE8="Accepted"),"No action",IF(BB8="","Set date identified",IF(TODAY()&gt;BC8,"Deadline exceeded",IF(BC8-TODAY()&lt;=Settings!$C$30,"Deadline approaching","On track")))))</f>
        <v>Set date identified</v>
      </c>
      <c r="BG8" s="90"/>
      <c r="BH8" s="90"/>
      <c r="BI8" s="91" t="str">
        <f aca="false">IF(OR(BH8="",AW8=""),"",EDATE(BH8,INDEX(Settings!$F$20:$F$23,MATCH(AW8,Settings!$A$20:$A$23,0))))</f>
        <v/>
      </c>
      <c r="BJ8" s="85" t="str">
        <f aca="false">IF(T8="","",IF(MAX(IF(T8="",0,MATCH(T8,Settings!$A$20:$A$23,0)),IF(AV8="",0,MATCH(AV8,Settings!$A$20:$A$23,0)))&gt;=MATCH(Settings!$C$29,Settings!$A$20:$A$23,0),"Yes","No"))</f>
        <v>Yes</v>
      </c>
      <c r="BK8" s="82"/>
      <c r="BL8" s="81" t="str">
        <f aca="true">IF(A8="","",IF(TRIM(IF(W8="","Treatment not chosen. ","")&amp;IF(AND(W8="Accept",AX8="No"),"Accepted outside appetite: record approval by "&amp;INDEX(Settings!$G$20:$G$23,MATCH(AW8,Settings!$A$20:$A$23,0))&amp;". ","")&amp;IF(AND(W8="Accept",BG8=""),"Acceptance expiry missing. ","")&amp;IF(AND(BG8&lt;&gt;"",BG8&lt;TODAY()),"Acceptance expired. ","")&amp;IF(AND(W8&lt;&gt;"",W8&lt;&gt;"Accept",AV8=""),"Target rating not set. ","")&amp;IF(AND(BE8="Closed",AX8="No"),"Closed while outside appetite. ","")&amp;IF(AND(W8="Transfer",BE8&lt;&gt;"Transferred",BE8&lt;&gt;"Closed"),"Transfer: record the contract, SLA and audit rights. ","")&amp;IF(AZ8="","Risk owner missing. ","")&amp;IF(K8="","Scenario not written. ",""))="","OK",TRIM(IF(W8="","Treatment not chosen. ","")&amp;IF(AND(W8="Accept",AX8="No"),"Accepted outside appetite: record approval by "&amp;INDEX(Settings!$G$20:$G$23,MATCH(AW8,Settings!$A$20:$A$23,0))&amp;". ","")&amp;IF(AND(W8="Accept",BG8=""),"Acceptance expiry missing. ","")&amp;IF(AND(BG8&lt;&gt;"",BG8&lt;TODAY()),"Acceptance expired. ","")&amp;IF(AND(W8&lt;&gt;"",W8&lt;&gt;"Accept",AV8=""),"Target rating not set. ","")&amp;IF(AND(BE8="Closed",AX8="No"),"Closed while outside appetite. ","")&amp;IF(AND(W8="Transfer",BE8&lt;&gt;"Transferred",BE8&lt;&gt;"Closed"),"Transfer: record the contract, SLA and audit rights. ","")&amp;IF(AZ8="","Risk owner missing. ","")&amp;IF(K8="","Scenario not written. ",""))))</f>
        <v>Treatment not chosen. Risk owner missing. Scenario not written.</v>
      </c>
      <c r="BM8" s="82" t="s">
        <v>350</v>
      </c>
    </row>
    <row r="9" customFormat="false" ht="105" hidden="false" customHeight="true" outlineLevel="0" collapsed="false">
      <c r="A9" s="78" t="s">
        <v>351</v>
      </c>
      <c r="B9" s="79" t="s">
        <v>352</v>
      </c>
      <c r="C9" s="80" t="s">
        <v>353</v>
      </c>
      <c r="D9" s="81" t="str">
        <f aca="false">IF(C9="","",IFERROR(INDEX(Lists!$O$2:$O$13,MATCH(C9,Lists!$N$2:$N$13,0)),"Check domain code"))</f>
        <v>Security and Adversarial Threats</v>
      </c>
      <c r="E9" s="81" t="str">
        <f aca="false">IF(C9="","",IFERROR(INDEX(Lists!$P$2:$P$13,MATCH(C9,Lists!$N$2:$N$13,0)),""))</f>
        <v>CISO</v>
      </c>
      <c r="F9" s="80"/>
      <c r="G9" s="82" t="s">
        <v>270</v>
      </c>
      <c r="H9" s="82"/>
      <c r="I9" s="82"/>
      <c r="J9" s="83" t="s">
        <v>354</v>
      </c>
      <c r="K9" s="82"/>
      <c r="L9" s="82"/>
      <c r="M9" s="84" t="s">
        <v>355</v>
      </c>
      <c r="N9" s="85" t="str">
        <f aca="false">IF(COUNTIF(Triage!$E$6:$E$41,"Yes")+COUNTIF(Triage!$E$6:$E$41,"No")=0,"Not triaged",IF(SUMPRODUCT(COUNTIFS(Triage!$A$6:$A$41,{"A6","B5","C2"},Triage!$E$6:$E$41,"Yes"))&gt;0,"Applies","Not triggered"))</f>
        <v>Not triaged</v>
      </c>
      <c r="O9" s="82"/>
      <c r="P9" s="86"/>
      <c r="Q9" s="86" t="n">
        <v>2</v>
      </c>
      <c r="R9" s="86" t="n">
        <v>4</v>
      </c>
      <c r="S9" s="21" t="n">
        <f aca="false">IF(OR(Q9="",R9=""),"",Q9*R9)</f>
        <v>8</v>
      </c>
      <c r="T9" s="85" t="str">
        <f aca="false">IF(S9="","",INDEX(Settings!$A$20:$A$23,MATCH(S9,Settings!$B$20:$B$23,1)))</f>
        <v>High</v>
      </c>
      <c r="U9" s="82" t="s">
        <v>273</v>
      </c>
      <c r="V9" s="87"/>
      <c r="W9" s="86"/>
      <c r="X9" s="82"/>
      <c r="Y9" s="88" t="s">
        <v>356</v>
      </c>
      <c r="Z9" s="88" t="s">
        <v>357</v>
      </c>
      <c r="AA9" s="88" t="s">
        <v>358</v>
      </c>
      <c r="AB9" s="88" t="s">
        <v>359</v>
      </c>
      <c r="AC9" s="88" t="s">
        <v>360</v>
      </c>
      <c r="AD9" s="88" t="s">
        <v>361</v>
      </c>
      <c r="AE9" s="88" t="s">
        <v>362</v>
      </c>
      <c r="AF9" s="88" t="s">
        <v>363</v>
      </c>
      <c r="AG9" s="88" t="s">
        <v>364</v>
      </c>
      <c r="AH9" s="88" t="s">
        <v>365</v>
      </c>
      <c r="AI9" s="88" t="s">
        <v>366</v>
      </c>
      <c r="AJ9" s="89" t="s">
        <v>367</v>
      </c>
      <c r="AK9" s="88" t="s">
        <v>368</v>
      </c>
      <c r="AL9" s="88" t="s">
        <v>369</v>
      </c>
      <c r="AM9" s="88" t="s">
        <v>370</v>
      </c>
      <c r="AN9" s="88" t="s">
        <v>371</v>
      </c>
      <c r="AO9" s="88" t="s">
        <v>372</v>
      </c>
      <c r="AP9" s="88" t="s">
        <v>373</v>
      </c>
      <c r="AQ9" s="89" t="n">
        <v>177</v>
      </c>
      <c r="AR9" s="89" t="n">
        <v>149</v>
      </c>
      <c r="AS9" s="86"/>
      <c r="AT9" s="86"/>
      <c r="AU9" s="85" t="str">
        <f aca="false">IF(OR(AS9="",AT9=""),"",AS9*AT9)</f>
        <v/>
      </c>
      <c r="AV9" s="21" t="str">
        <f aca="false">IF(AU9="","",INDEX(Settings!$A$20:$A$23,MATCH(AU9,Settings!$B$20:$B$23,1)))</f>
        <v/>
      </c>
      <c r="AW9" s="85" t="str">
        <f aca="false">IF(AV9&lt;&gt;"",AV9,T9)</f>
        <v>High</v>
      </c>
      <c r="AX9" s="85" t="str">
        <f aca="false">IF(AW9="","",IF(MATCH(AW9,Settings!$A$20:$A$23,0)&lt;=MATCH(Settings!$C$28,Settings!$A$20:$A$23,0),"Yes","No"))</f>
        <v>No</v>
      </c>
      <c r="AY9" s="81" t="str">
        <f aca="false">IF(AW9="","",IF(AX9="Yes",INDEX(Settings!$G$20:$G$23,MATCH(AW9,Settings!$A$20:$A$23,0)),INDEX(Settings!$G$20:$G$23,MATCH(AW9,Settings!$A$20:$A$23,0))&amp;" (outside appetite)"))</f>
        <v>AI Governance Committee (outside appetite)</v>
      </c>
      <c r="AZ9" s="82"/>
      <c r="BA9" s="82"/>
      <c r="BB9" s="90"/>
      <c r="BC9" s="91" t="str">
        <f aca="false">IF(OR(BB9="",T9=""),"",BB9+INDEX(Settings!$E$20:$E$23,MATCH(T9,Settings!$A$20:$A$23,0)))</f>
        <v/>
      </c>
      <c r="BD9" s="90"/>
      <c r="BE9" s="82"/>
      <c r="BF9" s="81" t="str">
        <f aca="true">IF(A9="","",IF(OR(BE9="Closed",BE9="Accepted"),"No action",IF(BB9="","Set date identified",IF(TODAY()&gt;BC9,"Deadline exceeded",IF(BC9-TODAY()&lt;=Settings!$C$30,"Deadline approaching","On track")))))</f>
        <v>Set date identified</v>
      </c>
      <c r="BG9" s="90"/>
      <c r="BH9" s="90"/>
      <c r="BI9" s="91" t="str">
        <f aca="false">IF(OR(BH9="",AW9=""),"",EDATE(BH9,INDEX(Settings!$F$20:$F$23,MATCH(AW9,Settings!$A$20:$A$23,0))))</f>
        <v/>
      </c>
      <c r="BJ9" s="85" t="str">
        <f aca="false">IF(T9="","",IF(MAX(IF(T9="",0,MATCH(T9,Settings!$A$20:$A$23,0)),IF(AV9="",0,MATCH(AV9,Settings!$A$20:$A$23,0)))&gt;=MATCH(Settings!$C$29,Settings!$A$20:$A$23,0),"Yes","No"))</f>
        <v>Yes</v>
      </c>
      <c r="BK9" s="82"/>
      <c r="BL9" s="81" t="str">
        <f aca="true">IF(A9="","",IF(TRIM(IF(W9="","Treatment not chosen. ","")&amp;IF(AND(W9="Accept",AX9="No"),"Accepted outside appetite: record approval by "&amp;INDEX(Settings!$G$20:$G$23,MATCH(AW9,Settings!$A$20:$A$23,0))&amp;". ","")&amp;IF(AND(W9="Accept",BG9=""),"Acceptance expiry missing. ","")&amp;IF(AND(BG9&lt;&gt;"",BG9&lt;TODAY()),"Acceptance expired. ","")&amp;IF(AND(W9&lt;&gt;"",W9&lt;&gt;"Accept",AV9=""),"Target rating not set. ","")&amp;IF(AND(BE9="Closed",AX9="No"),"Closed while outside appetite. ","")&amp;IF(AND(W9="Transfer",BE9&lt;&gt;"Transferred",BE9&lt;&gt;"Closed"),"Transfer: record the contract, SLA and audit rights. ","")&amp;IF(AZ9="","Risk owner missing. ","")&amp;IF(K9="","Scenario not written. ",""))="","OK",TRIM(IF(W9="","Treatment not chosen. ","")&amp;IF(AND(W9="Accept",AX9="No"),"Accepted outside appetite: record approval by "&amp;INDEX(Settings!$G$20:$G$23,MATCH(AW9,Settings!$A$20:$A$23,0))&amp;". ","")&amp;IF(AND(W9="Accept",BG9=""),"Acceptance expiry missing. ","")&amp;IF(AND(BG9&lt;&gt;"",BG9&lt;TODAY()),"Acceptance expired. ","")&amp;IF(AND(W9&lt;&gt;"",W9&lt;&gt;"Accept",AV9=""),"Target rating not set. ","")&amp;IF(AND(BE9="Closed",AX9="No"),"Closed while outside appetite. ","")&amp;IF(AND(W9="Transfer",BE9&lt;&gt;"Transferred",BE9&lt;&gt;"Closed"),"Transfer: record the contract, SLA and audit rights. ","")&amp;IF(AZ9="","Risk owner missing. ","")&amp;IF(K9="","Scenario not written. ",""))))</f>
        <v>Treatment not chosen. Risk owner missing. Scenario not written.</v>
      </c>
      <c r="BM9" s="82" t="s">
        <v>374</v>
      </c>
    </row>
    <row r="10" customFormat="false" ht="105" hidden="false" customHeight="true" outlineLevel="0" collapsed="false">
      <c r="A10" s="92" t="s">
        <v>375</v>
      </c>
      <c r="B10" s="93" t="s">
        <v>376</v>
      </c>
      <c r="C10" s="80" t="s">
        <v>353</v>
      </c>
      <c r="D10" s="81" t="str">
        <f aca="false">IF(C10="","",IFERROR(INDEX(Lists!$O$2:$O$13,MATCH(C10,Lists!$N$2:$N$13,0)),"Check domain code"))</f>
        <v>Security and Adversarial Threats</v>
      </c>
      <c r="E10" s="81" t="str">
        <f aca="false">IF(C10="","",IFERROR(INDEX(Lists!$P$2:$P$13,MATCH(C10,Lists!$N$2:$N$13,0)),""))</f>
        <v>CISO</v>
      </c>
      <c r="F10" s="80"/>
      <c r="G10" s="82" t="s">
        <v>270</v>
      </c>
      <c r="H10" s="82"/>
      <c r="I10" s="82"/>
      <c r="J10" s="94" t="s">
        <v>377</v>
      </c>
      <c r="K10" s="82"/>
      <c r="L10" s="82"/>
      <c r="M10" s="95" t="s">
        <v>378</v>
      </c>
      <c r="N10" s="85" t="str">
        <f aca="false">IF(COUNTIF(Triage!$E$6:$E$41,"Yes")+COUNTIF(Triage!$E$6:$E$41,"No")=0,"Not triaged",IF(SUMPRODUCT(COUNTIFS(Triage!$A$6:$A$41,{"A6","B1","B5"},Triage!$E$6:$E$41,"Yes"))&gt;0,"Applies","Not triggered"))</f>
        <v>Not triaged</v>
      </c>
      <c r="O10" s="82"/>
      <c r="P10" s="86"/>
      <c r="Q10" s="86" t="n">
        <v>2</v>
      </c>
      <c r="R10" s="86" t="n">
        <v>3</v>
      </c>
      <c r="S10" s="21" t="n">
        <f aca="false">IF(OR(Q10="",R10=""),"",Q10*R10)</f>
        <v>6</v>
      </c>
      <c r="T10" s="85" t="str">
        <f aca="false">IF(S10="","",INDEX(Settings!$A$20:$A$23,MATCH(S10,Settings!$B$20:$B$23,1)))</f>
        <v>High</v>
      </c>
      <c r="U10" s="82" t="s">
        <v>273</v>
      </c>
      <c r="V10" s="87"/>
      <c r="W10" s="86"/>
      <c r="X10" s="82"/>
      <c r="Y10" s="96" t="s">
        <v>379</v>
      </c>
      <c r="Z10" s="96" t="s">
        <v>379</v>
      </c>
      <c r="AA10" s="96" t="s">
        <v>380</v>
      </c>
      <c r="AB10" s="96" t="s">
        <v>381</v>
      </c>
      <c r="AC10" s="96" t="s">
        <v>382</v>
      </c>
      <c r="AD10" s="96" t="s">
        <v>383</v>
      </c>
      <c r="AE10" s="96" t="s">
        <v>384</v>
      </c>
      <c r="AF10" s="96" t="s">
        <v>385</v>
      </c>
      <c r="AG10" s="96" t="s">
        <v>386</v>
      </c>
      <c r="AH10" s="96" t="s">
        <v>387</v>
      </c>
      <c r="AI10" s="96" t="s">
        <v>388</v>
      </c>
      <c r="AJ10" s="97" t="s">
        <v>389</v>
      </c>
      <c r="AK10" s="96" t="s">
        <v>390</v>
      </c>
      <c r="AL10" s="96" t="s">
        <v>330</v>
      </c>
      <c r="AM10" s="96" t="s">
        <v>391</v>
      </c>
      <c r="AN10" s="96" t="s">
        <v>392</v>
      </c>
      <c r="AO10" s="96" t="s">
        <v>393</v>
      </c>
      <c r="AP10" s="96" t="s">
        <v>394</v>
      </c>
      <c r="AQ10" s="97" t="n">
        <v>155</v>
      </c>
      <c r="AR10" s="97" t="n">
        <v>157</v>
      </c>
      <c r="AS10" s="86"/>
      <c r="AT10" s="86"/>
      <c r="AU10" s="85" t="str">
        <f aca="false">IF(OR(AS10="",AT10=""),"",AS10*AT10)</f>
        <v/>
      </c>
      <c r="AV10" s="21" t="str">
        <f aca="false">IF(AU10="","",INDEX(Settings!$A$20:$A$23,MATCH(AU10,Settings!$B$20:$B$23,1)))</f>
        <v/>
      </c>
      <c r="AW10" s="85" t="str">
        <f aca="false">IF(AV10&lt;&gt;"",AV10,T10)</f>
        <v>High</v>
      </c>
      <c r="AX10" s="85" t="str">
        <f aca="false">IF(AW10="","",IF(MATCH(AW10,Settings!$A$20:$A$23,0)&lt;=MATCH(Settings!$C$28,Settings!$A$20:$A$23,0),"Yes","No"))</f>
        <v>No</v>
      </c>
      <c r="AY10" s="81" t="str">
        <f aca="false">IF(AW10="","",IF(AX10="Yes",INDEX(Settings!$G$20:$G$23,MATCH(AW10,Settings!$A$20:$A$23,0)),INDEX(Settings!$G$20:$G$23,MATCH(AW10,Settings!$A$20:$A$23,0))&amp;" (outside appetite)"))</f>
        <v>AI Governance Committee (outside appetite)</v>
      </c>
      <c r="AZ10" s="82"/>
      <c r="BA10" s="82"/>
      <c r="BB10" s="90"/>
      <c r="BC10" s="91" t="str">
        <f aca="false">IF(OR(BB10="",T10=""),"",BB10+INDEX(Settings!$E$20:$E$23,MATCH(T10,Settings!$A$20:$A$23,0)))</f>
        <v/>
      </c>
      <c r="BD10" s="90"/>
      <c r="BE10" s="82"/>
      <c r="BF10" s="81" t="str">
        <f aca="true">IF(A10="","",IF(OR(BE10="Closed",BE10="Accepted"),"No action",IF(BB10="","Set date identified",IF(TODAY()&gt;BC10,"Deadline exceeded",IF(BC10-TODAY()&lt;=Settings!$C$30,"Deadline approaching","On track")))))</f>
        <v>Set date identified</v>
      </c>
      <c r="BG10" s="90"/>
      <c r="BH10" s="90"/>
      <c r="BI10" s="91" t="str">
        <f aca="false">IF(OR(BH10="",AW10=""),"",EDATE(BH10,INDEX(Settings!$F$20:$F$23,MATCH(AW10,Settings!$A$20:$A$23,0))))</f>
        <v/>
      </c>
      <c r="BJ10" s="85" t="str">
        <f aca="false">IF(T10="","",IF(MAX(IF(T10="",0,MATCH(T10,Settings!$A$20:$A$23,0)),IF(AV10="",0,MATCH(AV10,Settings!$A$20:$A$23,0)))&gt;=MATCH(Settings!$C$29,Settings!$A$20:$A$23,0),"Yes","No"))</f>
        <v>Yes</v>
      </c>
      <c r="BK10" s="82"/>
      <c r="BL10" s="81" t="str">
        <f aca="true">IF(A10="","",IF(TRIM(IF(W10="","Treatment not chosen. ","")&amp;IF(AND(W10="Accept",AX10="No"),"Accepted outside appetite: record approval by "&amp;INDEX(Settings!$G$20:$G$23,MATCH(AW10,Settings!$A$20:$A$23,0))&amp;". ","")&amp;IF(AND(W10="Accept",BG10=""),"Acceptance expiry missing. ","")&amp;IF(AND(BG10&lt;&gt;"",BG10&lt;TODAY()),"Acceptance expired. ","")&amp;IF(AND(W10&lt;&gt;"",W10&lt;&gt;"Accept",AV10=""),"Target rating not set. ","")&amp;IF(AND(BE10="Closed",AX10="No"),"Closed while outside appetite. ","")&amp;IF(AND(W10="Transfer",BE10&lt;&gt;"Transferred",BE10&lt;&gt;"Closed"),"Transfer: record the contract, SLA and audit rights. ","")&amp;IF(AZ10="","Risk owner missing. ","")&amp;IF(K10="","Scenario not written. ",""))="","OK",TRIM(IF(W10="","Treatment not chosen. ","")&amp;IF(AND(W10="Accept",AX10="No"),"Accepted outside appetite: record approval by "&amp;INDEX(Settings!$G$20:$G$23,MATCH(AW10,Settings!$A$20:$A$23,0))&amp;". ","")&amp;IF(AND(W10="Accept",BG10=""),"Acceptance expiry missing. ","")&amp;IF(AND(BG10&lt;&gt;"",BG10&lt;TODAY()),"Acceptance expired. ","")&amp;IF(AND(W10&lt;&gt;"",W10&lt;&gt;"Accept",AV10=""),"Target rating not set. ","")&amp;IF(AND(BE10="Closed",AX10="No"),"Closed while outside appetite. ","")&amp;IF(AND(W10="Transfer",BE10&lt;&gt;"Transferred",BE10&lt;&gt;"Closed"),"Transfer: record the contract, SLA and audit rights. ","")&amp;IF(AZ10="","Risk owner missing. ","")&amp;IF(K10="","Scenario not written. ",""))))</f>
        <v>Treatment not chosen. Risk owner missing. Scenario not written.</v>
      </c>
      <c r="BM10" s="82" t="s">
        <v>395</v>
      </c>
    </row>
    <row r="11" customFormat="false" ht="105" hidden="false" customHeight="true" outlineLevel="0" collapsed="false">
      <c r="A11" s="78" t="s">
        <v>396</v>
      </c>
      <c r="B11" s="79" t="s">
        <v>397</v>
      </c>
      <c r="C11" s="80" t="s">
        <v>398</v>
      </c>
      <c r="D11" s="81" t="str">
        <f aca="false">IF(C11="","",IFERROR(INDEX(Lists!$O$2:$O$13,MATCH(C11,Lists!$N$2:$N$13,0)),"Check domain code"))</f>
        <v>Autonomy and Delegated Action (Agentic AI)</v>
      </c>
      <c r="E11" s="81" t="str">
        <f aca="false">IF(C11="","",IFERROR(INDEX(Lists!$P$2:$P$13,MATCH(C11,Lists!$N$2:$N$13,0)),""))</f>
        <v>Agent sponsors, AI platform owner</v>
      </c>
      <c r="F11" s="80"/>
      <c r="G11" s="82" t="s">
        <v>270</v>
      </c>
      <c r="H11" s="82"/>
      <c r="I11" s="82"/>
      <c r="J11" s="83" t="s">
        <v>399</v>
      </c>
      <c r="K11" s="82"/>
      <c r="L11" s="82"/>
      <c r="M11" s="84" t="s">
        <v>400</v>
      </c>
      <c r="N11" s="85" t="str">
        <f aca="false">IF(COUNTIF(Triage!$E$6:$E$41,"Yes")+COUNTIF(Triage!$E$6:$E$41,"No")=0,"Not triaged",IF(SUMPRODUCT(COUNTIFS(Triage!$A$6:$A$41,{"A1","A2"},Triage!$E$6:$E$41,"Yes"))&gt;0,"Applies","Not triggered"))</f>
        <v>Not triaged</v>
      </c>
      <c r="O11" s="82"/>
      <c r="P11" s="86"/>
      <c r="Q11" s="86" t="n">
        <v>2</v>
      </c>
      <c r="R11" s="86" t="n">
        <v>4</v>
      </c>
      <c r="S11" s="21" t="n">
        <f aca="false">IF(OR(Q11="",R11=""),"",Q11*R11)</f>
        <v>8</v>
      </c>
      <c r="T11" s="85" t="str">
        <f aca="false">IF(S11="","",INDEX(Settings!$A$20:$A$23,MATCH(S11,Settings!$B$20:$B$23,1)))</f>
        <v>High</v>
      </c>
      <c r="U11" s="82" t="s">
        <v>273</v>
      </c>
      <c r="V11" s="87"/>
      <c r="W11" s="86"/>
      <c r="X11" s="82"/>
      <c r="Y11" s="88" t="s">
        <v>401</v>
      </c>
      <c r="Z11" s="88" t="s">
        <v>402</v>
      </c>
      <c r="AA11" s="88" t="s">
        <v>403</v>
      </c>
      <c r="AB11" s="88" t="s">
        <v>404</v>
      </c>
      <c r="AC11" s="88" t="s">
        <v>405</v>
      </c>
      <c r="AD11" s="88" t="s">
        <v>406</v>
      </c>
      <c r="AE11" s="88" t="s">
        <v>407</v>
      </c>
      <c r="AF11" s="88" t="s">
        <v>408</v>
      </c>
      <c r="AG11" s="88" t="s">
        <v>409</v>
      </c>
      <c r="AH11" s="88" t="s">
        <v>410</v>
      </c>
      <c r="AI11" s="88" t="s">
        <v>411</v>
      </c>
      <c r="AJ11" s="89" t="s">
        <v>412</v>
      </c>
      <c r="AK11" s="88" t="s">
        <v>413</v>
      </c>
      <c r="AL11" s="88" t="s">
        <v>369</v>
      </c>
      <c r="AM11" s="88" t="s">
        <v>414</v>
      </c>
      <c r="AN11" s="88" t="s">
        <v>415</v>
      </c>
      <c r="AO11" s="88" t="s">
        <v>416</v>
      </c>
      <c r="AP11" s="88" t="s">
        <v>417</v>
      </c>
      <c r="AQ11" s="89" t="n">
        <v>257</v>
      </c>
      <c r="AR11" s="89" t="n">
        <v>202</v>
      </c>
      <c r="AS11" s="86"/>
      <c r="AT11" s="86"/>
      <c r="AU11" s="85" t="str">
        <f aca="false">IF(OR(AS11="",AT11=""),"",AS11*AT11)</f>
        <v/>
      </c>
      <c r="AV11" s="21" t="str">
        <f aca="false">IF(AU11="","",INDEX(Settings!$A$20:$A$23,MATCH(AU11,Settings!$B$20:$B$23,1)))</f>
        <v/>
      </c>
      <c r="AW11" s="85" t="str">
        <f aca="false">IF(AV11&lt;&gt;"",AV11,T11)</f>
        <v>High</v>
      </c>
      <c r="AX11" s="85" t="str">
        <f aca="false">IF(AW11="","",IF(MATCH(AW11,Settings!$A$20:$A$23,0)&lt;=MATCH(Settings!$C$28,Settings!$A$20:$A$23,0),"Yes","No"))</f>
        <v>No</v>
      </c>
      <c r="AY11" s="81" t="str">
        <f aca="false">IF(AW11="","",IF(AX11="Yes",INDEX(Settings!$G$20:$G$23,MATCH(AW11,Settings!$A$20:$A$23,0)),INDEX(Settings!$G$20:$G$23,MATCH(AW11,Settings!$A$20:$A$23,0))&amp;" (outside appetite)"))</f>
        <v>AI Governance Committee (outside appetite)</v>
      </c>
      <c r="AZ11" s="82"/>
      <c r="BA11" s="82"/>
      <c r="BB11" s="90"/>
      <c r="BC11" s="91" t="str">
        <f aca="false">IF(OR(BB11="",T11=""),"",BB11+INDEX(Settings!$E$20:$E$23,MATCH(T11,Settings!$A$20:$A$23,0)))</f>
        <v/>
      </c>
      <c r="BD11" s="90"/>
      <c r="BE11" s="82"/>
      <c r="BF11" s="81" t="str">
        <f aca="true">IF(A11="","",IF(OR(BE11="Closed",BE11="Accepted"),"No action",IF(BB11="","Set date identified",IF(TODAY()&gt;BC11,"Deadline exceeded",IF(BC11-TODAY()&lt;=Settings!$C$30,"Deadline approaching","On track")))))</f>
        <v>Set date identified</v>
      </c>
      <c r="BG11" s="90"/>
      <c r="BH11" s="90"/>
      <c r="BI11" s="91" t="str">
        <f aca="false">IF(OR(BH11="",AW11=""),"",EDATE(BH11,INDEX(Settings!$F$20:$F$23,MATCH(AW11,Settings!$A$20:$A$23,0))))</f>
        <v/>
      </c>
      <c r="BJ11" s="85" t="str">
        <f aca="false">IF(T11="","",IF(MAX(IF(T11="",0,MATCH(T11,Settings!$A$20:$A$23,0)),IF(AV11="",0,MATCH(AV11,Settings!$A$20:$A$23,0)))&gt;=MATCH(Settings!$C$29,Settings!$A$20:$A$23,0),"Yes","No"))</f>
        <v>Yes</v>
      </c>
      <c r="BK11" s="82"/>
      <c r="BL11" s="81" t="str">
        <f aca="true">IF(A11="","",IF(TRIM(IF(W11="","Treatment not chosen. ","")&amp;IF(AND(W11="Accept",AX11="No"),"Accepted outside appetite: record approval by "&amp;INDEX(Settings!$G$20:$G$23,MATCH(AW11,Settings!$A$20:$A$23,0))&amp;". ","")&amp;IF(AND(W11="Accept",BG11=""),"Acceptance expiry missing. ","")&amp;IF(AND(BG11&lt;&gt;"",BG11&lt;TODAY()),"Acceptance expired. ","")&amp;IF(AND(W11&lt;&gt;"",W11&lt;&gt;"Accept",AV11=""),"Target rating not set. ","")&amp;IF(AND(BE11="Closed",AX11="No"),"Closed while outside appetite. ","")&amp;IF(AND(W11="Transfer",BE11&lt;&gt;"Transferred",BE11&lt;&gt;"Closed"),"Transfer: record the contract, SLA and audit rights. ","")&amp;IF(AZ11="","Risk owner missing. ","")&amp;IF(K11="","Scenario not written. ",""))="","OK",TRIM(IF(W11="","Treatment not chosen. ","")&amp;IF(AND(W11="Accept",AX11="No"),"Accepted outside appetite: record approval by "&amp;INDEX(Settings!$G$20:$G$23,MATCH(AW11,Settings!$A$20:$A$23,0))&amp;". ","")&amp;IF(AND(W11="Accept",BG11=""),"Acceptance expiry missing. ","")&amp;IF(AND(BG11&lt;&gt;"",BG11&lt;TODAY()),"Acceptance expired. ","")&amp;IF(AND(W11&lt;&gt;"",W11&lt;&gt;"Accept",AV11=""),"Target rating not set. ","")&amp;IF(AND(BE11="Closed",AX11="No"),"Closed while outside appetite. ","")&amp;IF(AND(W11="Transfer",BE11&lt;&gt;"Transferred",BE11&lt;&gt;"Closed"),"Transfer: record the contract, SLA and audit rights. ","")&amp;IF(AZ11="","Risk owner missing. ","")&amp;IF(K11="","Scenario not written. ",""))))</f>
        <v>Treatment not chosen. Risk owner missing. Scenario not written.</v>
      </c>
      <c r="BM11" s="82" t="s">
        <v>418</v>
      </c>
    </row>
    <row r="12" customFormat="false" ht="105" hidden="false" customHeight="true" outlineLevel="0" collapsed="false">
      <c r="A12" s="92" t="s">
        <v>419</v>
      </c>
      <c r="B12" s="93" t="s">
        <v>420</v>
      </c>
      <c r="C12" s="80" t="s">
        <v>421</v>
      </c>
      <c r="D12" s="81" t="str">
        <f aca="false">IF(C12="","",IFERROR(INDEX(Lists!$O$2:$O$13,MATCH(C12,Lists!$N$2:$N$13,0)),"Check domain code"))</f>
        <v>Third-Party and Model Supply Chain</v>
      </c>
      <c r="E12" s="81" t="str">
        <f aca="false">IF(C12="","",IFERROR(INDEX(Lists!$P$2:$P$13,MATCH(C12,Lists!$N$2:$N$13,0)),""))</f>
        <v>Procurement, third-party risk</v>
      </c>
      <c r="F12" s="80"/>
      <c r="G12" s="82" t="s">
        <v>270</v>
      </c>
      <c r="H12" s="82"/>
      <c r="I12" s="82"/>
      <c r="J12" s="94" t="s">
        <v>422</v>
      </c>
      <c r="K12" s="82"/>
      <c r="L12" s="82"/>
      <c r="M12" s="95" t="s">
        <v>423</v>
      </c>
      <c r="N12" s="85" t="str">
        <f aca="false">IF(COUNTIF(Triage!$E$6:$E$41,"Yes")+COUNTIF(Triage!$E$6:$E$41,"No")=0,"Not triaged",IF(SUMPRODUCT(COUNTIFS(Triage!$A$6:$A$41,{"B6"},Triage!$E$6:$E$41,"Yes"))&gt;0,"Applies","Not triggered"))</f>
        <v>Not triaged</v>
      </c>
      <c r="O12" s="82"/>
      <c r="P12" s="86"/>
      <c r="Q12" s="86" t="n">
        <v>2</v>
      </c>
      <c r="R12" s="86" t="n">
        <v>3</v>
      </c>
      <c r="S12" s="21" t="n">
        <f aca="false">IF(OR(Q12="",R12=""),"",Q12*R12)</f>
        <v>6</v>
      </c>
      <c r="T12" s="85" t="str">
        <f aca="false">IF(S12="","",INDEX(Settings!$A$20:$A$23,MATCH(S12,Settings!$B$20:$B$23,1)))</f>
        <v>High</v>
      </c>
      <c r="U12" s="82" t="s">
        <v>273</v>
      </c>
      <c r="V12" s="87"/>
      <c r="W12" s="86"/>
      <c r="X12" s="82"/>
      <c r="Y12" s="96" t="s">
        <v>424</v>
      </c>
      <c r="Z12" s="96" t="s">
        <v>425</v>
      </c>
      <c r="AA12" s="96" t="s">
        <v>426</v>
      </c>
      <c r="AB12" s="96" t="s">
        <v>427</v>
      </c>
      <c r="AC12" s="96" t="s">
        <v>428</v>
      </c>
      <c r="AD12" s="96" t="s">
        <v>429</v>
      </c>
      <c r="AE12" s="96" t="s">
        <v>430</v>
      </c>
      <c r="AF12" s="96" t="s">
        <v>431</v>
      </c>
      <c r="AG12" s="96" t="s">
        <v>432</v>
      </c>
      <c r="AH12" s="96" t="s">
        <v>433</v>
      </c>
      <c r="AI12" s="96" t="s">
        <v>434</v>
      </c>
      <c r="AJ12" s="97" t="s">
        <v>435</v>
      </c>
      <c r="AK12" s="96" t="s">
        <v>436</v>
      </c>
      <c r="AL12" s="96" t="s">
        <v>437</v>
      </c>
      <c r="AM12" s="96" t="s">
        <v>438</v>
      </c>
      <c r="AN12" s="96" t="s">
        <v>439</v>
      </c>
      <c r="AO12" s="96" t="s">
        <v>440</v>
      </c>
      <c r="AP12" s="96" t="s">
        <v>441</v>
      </c>
      <c r="AQ12" s="97" t="n">
        <v>258</v>
      </c>
      <c r="AR12" s="97" t="n">
        <v>195</v>
      </c>
      <c r="AS12" s="86"/>
      <c r="AT12" s="86"/>
      <c r="AU12" s="85" t="str">
        <f aca="false">IF(OR(AS12="",AT12=""),"",AS12*AT12)</f>
        <v/>
      </c>
      <c r="AV12" s="21" t="str">
        <f aca="false">IF(AU12="","",INDEX(Settings!$A$20:$A$23,MATCH(AU12,Settings!$B$20:$B$23,1)))</f>
        <v/>
      </c>
      <c r="AW12" s="85" t="str">
        <f aca="false">IF(AV12&lt;&gt;"",AV12,T12)</f>
        <v>High</v>
      </c>
      <c r="AX12" s="85" t="str">
        <f aca="false">IF(AW12="","",IF(MATCH(AW12,Settings!$A$20:$A$23,0)&lt;=MATCH(Settings!$C$28,Settings!$A$20:$A$23,0),"Yes","No"))</f>
        <v>No</v>
      </c>
      <c r="AY12" s="81" t="str">
        <f aca="false">IF(AW12="","",IF(AX12="Yes",INDEX(Settings!$G$20:$G$23,MATCH(AW12,Settings!$A$20:$A$23,0)),INDEX(Settings!$G$20:$G$23,MATCH(AW12,Settings!$A$20:$A$23,0))&amp;" (outside appetite)"))</f>
        <v>AI Governance Committee (outside appetite)</v>
      </c>
      <c r="AZ12" s="82"/>
      <c r="BA12" s="82"/>
      <c r="BB12" s="90"/>
      <c r="BC12" s="91" t="str">
        <f aca="false">IF(OR(BB12="",T12=""),"",BB12+INDEX(Settings!$E$20:$E$23,MATCH(T12,Settings!$A$20:$A$23,0)))</f>
        <v/>
      </c>
      <c r="BD12" s="90"/>
      <c r="BE12" s="82"/>
      <c r="BF12" s="81" t="str">
        <f aca="true">IF(A12="","",IF(OR(BE12="Closed",BE12="Accepted"),"No action",IF(BB12="","Set date identified",IF(TODAY()&gt;BC12,"Deadline exceeded",IF(BC12-TODAY()&lt;=Settings!$C$30,"Deadline approaching","On track")))))</f>
        <v>Set date identified</v>
      </c>
      <c r="BG12" s="90"/>
      <c r="BH12" s="90"/>
      <c r="BI12" s="91" t="str">
        <f aca="false">IF(OR(BH12="",AW12=""),"",EDATE(BH12,INDEX(Settings!$F$20:$F$23,MATCH(AW12,Settings!$A$20:$A$23,0))))</f>
        <v/>
      </c>
      <c r="BJ12" s="85" t="str">
        <f aca="false">IF(T12="","",IF(MAX(IF(T12="",0,MATCH(T12,Settings!$A$20:$A$23,0)),IF(AV12="",0,MATCH(AV12,Settings!$A$20:$A$23,0)))&gt;=MATCH(Settings!$C$29,Settings!$A$20:$A$23,0),"Yes","No"))</f>
        <v>Yes</v>
      </c>
      <c r="BK12" s="82"/>
      <c r="BL12" s="81" t="str">
        <f aca="true">IF(A12="","",IF(TRIM(IF(W12="","Treatment not chosen. ","")&amp;IF(AND(W12="Accept",AX12="No"),"Accepted outside appetite: record approval by "&amp;INDEX(Settings!$G$20:$G$23,MATCH(AW12,Settings!$A$20:$A$23,0))&amp;". ","")&amp;IF(AND(W12="Accept",BG12=""),"Acceptance expiry missing. ","")&amp;IF(AND(BG12&lt;&gt;"",BG12&lt;TODAY()),"Acceptance expired. ","")&amp;IF(AND(W12&lt;&gt;"",W12&lt;&gt;"Accept",AV12=""),"Target rating not set. ","")&amp;IF(AND(BE12="Closed",AX12="No"),"Closed while outside appetite. ","")&amp;IF(AND(W12="Transfer",BE12&lt;&gt;"Transferred",BE12&lt;&gt;"Closed"),"Transfer: record the contract, SLA and audit rights. ","")&amp;IF(AZ12="","Risk owner missing. ","")&amp;IF(K12="","Scenario not written. ",""))="","OK",TRIM(IF(W12="","Treatment not chosen. ","")&amp;IF(AND(W12="Accept",AX12="No"),"Accepted outside appetite: record approval by "&amp;INDEX(Settings!$G$20:$G$23,MATCH(AW12,Settings!$A$20:$A$23,0))&amp;". ","")&amp;IF(AND(W12="Accept",BG12=""),"Acceptance expiry missing. ","")&amp;IF(AND(BG12&lt;&gt;"",BG12&lt;TODAY()),"Acceptance expired. ","")&amp;IF(AND(W12&lt;&gt;"",W12&lt;&gt;"Accept",AV12=""),"Target rating not set. ","")&amp;IF(AND(BE12="Closed",AX12="No"),"Closed while outside appetite. ","")&amp;IF(AND(W12="Transfer",BE12&lt;&gt;"Transferred",BE12&lt;&gt;"Closed"),"Transfer: record the contract, SLA and audit rights. ","")&amp;IF(AZ12="","Risk owner missing. ","")&amp;IF(K12="","Scenario not written. ",""))))</f>
        <v>Treatment not chosen. Risk owner missing. Scenario not written.</v>
      </c>
      <c r="BM12" s="82" t="s">
        <v>442</v>
      </c>
    </row>
    <row r="13" customFormat="false" ht="105" hidden="false" customHeight="true" outlineLevel="0" collapsed="false">
      <c r="A13" s="78" t="s">
        <v>443</v>
      </c>
      <c r="B13" s="79" t="s">
        <v>444</v>
      </c>
      <c r="C13" s="80" t="s">
        <v>445</v>
      </c>
      <c r="D13" s="81" t="str">
        <f aca="false">IF(C13="","",IFERROR(INDEX(Lists!$O$2:$O$13,MATCH(C13,Lists!$N$2:$N$13,0)),"Check domain code"))</f>
        <v>Operations and Resilience</v>
      </c>
      <c r="E13" s="81" t="str">
        <f aca="false">IF(C13="","",IFERROR(INDEX(Lists!$P$2:$P$13,MATCH(C13,Lists!$N$2:$N$13,0)),""))</f>
        <v>AI platform owner, IT operations</v>
      </c>
      <c r="F13" s="80"/>
      <c r="G13" s="82" t="s">
        <v>270</v>
      </c>
      <c r="H13" s="82"/>
      <c r="I13" s="82"/>
      <c r="J13" s="83" t="s">
        <v>446</v>
      </c>
      <c r="K13" s="82"/>
      <c r="L13" s="82"/>
      <c r="M13" s="84" t="s">
        <v>447</v>
      </c>
      <c r="N13" s="85" t="str">
        <f aca="false">IF(COUNTIF(Triage!$E$6:$E$41,"Yes")+COUNTIF(Triage!$E$6:$E$41,"No")=0,"Not triaged",IF(SUMPRODUCT(COUNTIFS(Triage!$A$6:$A$41,{"D7"},Triage!$E$6:$E$41,"Yes"))&gt;0,"Applies","Not triggered"))</f>
        <v>Not triaged</v>
      </c>
      <c r="O13" s="82"/>
      <c r="P13" s="86"/>
      <c r="Q13" s="86" t="n">
        <v>3</v>
      </c>
      <c r="R13" s="86" t="n">
        <v>3</v>
      </c>
      <c r="S13" s="21" t="n">
        <f aca="false">IF(OR(Q13="",R13=""),"",Q13*R13)</f>
        <v>9</v>
      </c>
      <c r="T13" s="85" t="str">
        <f aca="false">IF(S13="","",INDEX(Settings!$A$20:$A$23,MATCH(S13,Settings!$B$20:$B$23,1)))</f>
        <v>High</v>
      </c>
      <c r="U13" s="82" t="s">
        <v>273</v>
      </c>
      <c r="V13" s="87"/>
      <c r="W13" s="86"/>
      <c r="X13" s="82"/>
      <c r="Y13" s="88" t="s">
        <v>448</v>
      </c>
      <c r="Z13" s="88" t="s">
        <v>449</v>
      </c>
      <c r="AA13" s="88" t="s">
        <v>450</v>
      </c>
      <c r="AB13" s="88" t="s">
        <v>451</v>
      </c>
      <c r="AC13" s="88" t="s">
        <v>452</v>
      </c>
      <c r="AD13" s="88" t="s">
        <v>453</v>
      </c>
      <c r="AE13" s="88" t="s">
        <v>454</v>
      </c>
      <c r="AF13" s="88"/>
      <c r="AG13" s="88"/>
      <c r="AH13" s="88" t="s">
        <v>455</v>
      </c>
      <c r="AI13" s="88" t="s">
        <v>456</v>
      </c>
      <c r="AJ13" s="89" t="s">
        <v>457</v>
      </c>
      <c r="AK13" s="88" t="s">
        <v>458</v>
      </c>
      <c r="AL13" s="88" t="s">
        <v>287</v>
      </c>
      <c r="AM13" s="88" t="s">
        <v>459</v>
      </c>
      <c r="AN13" s="88" t="s">
        <v>460</v>
      </c>
      <c r="AO13" s="88" t="s">
        <v>461</v>
      </c>
      <c r="AP13" s="88" t="s">
        <v>462</v>
      </c>
      <c r="AQ13" s="89" t="n">
        <v>139</v>
      </c>
      <c r="AR13" s="89" t="n">
        <v>98</v>
      </c>
      <c r="AS13" s="86"/>
      <c r="AT13" s="86"/>
      <c r="AU13" s="85" t="str">
        <f aca="false">IF(OR(AS13="",AT13=""),"",AS13*AT13)</f>
        <v/>
      </c>
      <c r="AV13" s="21" t="str">
        <f aca="false">IF(AU13="","",INDEX(Settings!$A$20:$A$23,MATCH(AU13,Settings!$B$20:$B$23,1)))</f>
        <v/>
      </c>
      <c r="AW13" s="85" t="str">
        <f aca="false">IF(AV13&lt;&gt;"",AV13,T13)</f>
        <v>High</v>
      </c>
      <c r="AX13" s="85" t="str">
        <f aca="false">IF(AW13="","",IF(MATCH(AW13,Settings!$A$20:$A$23,0)&lt;=MATCH(Settings!$C$28,Settings!$A$20:$A$23,0),"Yes","No"))</f>
        <v>No</v>
      </c>
      <c r="AY13" s="81" t="str">
        <f aca="false">IF(AW13="","",IF(AX13="Yes",INDEX(Settings!$G$20:$G$23,MATCH(AW13,Settings!$A$20:$A$23,0)),INDEX(Settings!$G$20:$G$23,MATCH(AW13,Settings!$A$20:$A$23,0))&amp;" (outside appetite)"))</f>
        <v>AI Governance Committee (outside appetite)</v>
      </c>
      <c r="AZ13" s="82"/>
      <c r="BA13" s="82"/>
      <c r="BB13" s="90"/>
      <c r="BC13" s="91" t="str">
        <f aca="false">IF(OR(BB13="",T13=""),"",BB13+INDEX(Settings!$E$20:$E$23,MATCH(T13,Settings!$A$20:$A$23,0)))</f>
        <v/>
      </c>
      <c r="BD13" s="90"/>
      <c r="BE13" s="82"/>
      <c r="BF13" s="81" t="str">
        <f aca="true">IF(A13="","",IF(OR(BE13="Closed",BE13="Accepted"),"No action",IF(BB13="","Set date identified",IF(TODAY()&gt;BC13,"Deadline exceeded",IF(BC13-TODAY()&lt;=Settings!$C$30,"Deadline approaching","On track")))))</f>
        <v>Set date identified</v>
      </c>
      <c r="BG13" s="90"/>
      <c r="BH13" s="90"/>
      <c r="BI13" s="91" t="str">
        <f aca="false">IF(OR(BH13="",AW13=""),"",EDATE(BH13,INDEX(Settings!$F$20:$F$23,MATCH(AW13,Settings!$A$20:$A$23,0))))</f>
        <v/>
      </c>
      <c r="BJ13" s="85" t="str">
        <f aca="false">IF(T13="","",IF(MAX(IF(T13="",0,MATCH(T13,Settings!$A$20:$A$23,0)),IF(AV13="",0,MATCH(AV13,Settings!$A$20:$A$23,0)))&gt;=MATCH(Settings!$C$29,Settings!$A$20:$A$23,0),"Yes","No"))</f>
        <v>Yes</v>
      </c>
      <c r="BK13" s="82"/>
      <c r="BL13" s="81" t="str">
        <f aca="true">IF(A13="","",IF(TRIM(IF(W13="","Treatment not chosen. ","")&amp;IF(AND(W13="Accept",AX13="No"),"Accepted outside appetite: record approval by "&amp;INDEX(Settings!$G$20:$G$23,MATCH(AW13,Settings!$A$20:$A$23,0))&amp;". ","")&amp;IF(AND(W13="Accept",BG13=""),"Acceptance expiry missing. ","")&amp;IF(AND(BG13&lt;&gt;"",BG13&lt;TODAY()),"Acceptance expired. ","")&amp;IF(AND(W13&lt;&gt;"",W13&lt;&gt;"Accept",AV13=""),"Target rating not set. ","")&amp;IF(AND(BE13="Closed",AX13="No"),"Closed while outside appetite. ","")&amp;IF(AND(W13="Transfer",BE13&lt;&gt;"Transferred",BE13&lt;&gt;"Closed"),"Transfer: record the contract, SLA and audit rights. ","")&amp;IF(AZ13="","Risk owner missing. ","")&amp;IF(K13="","Scenario not written. ",""))="","OK",TRIM(IF(W13="","Treatment not chosen. ","")&amp;IF(AND(W13="Accept",AX13="No"),"Accepted outside appetite: record approval by "&amp;INDEX(Settings!$G$20:$G$23,MATCH(AW13,Settings!$A$20:$A$23,0))&amp;". ","")&amp;IF(AND(W13="Accept",BG13=""),"Acceptance expiry missing. ","")&amp;IF(AND(BG13&lt;&gt;"",BG13&lt;TODAY()),"Acceptance expired. ","")&amp;IF(AND(W13&lt;&gt;"",W13&lt;&gt;"Accept",AV13=""),"Target rating not set. ","")&amp;IF(AND(BE13="Closed",AX13="No"),"Closed while outside appetite. ","")&amp;IF(AND(W13="Transfer",BE13&lt;&gt;"Transferred",BE13&lt;&gt;"Closed"),"Transfer: record the contract, SLA and audit rights. ","")&amp;IF(AZ13="","Risk owner missing. ","")&amp;IF(K13="","Scenario not written. ",""))))</f>
        <v>Treatment not chosen. Risk owner missing. Scenario not written.</v>
      </c>
      <c r="BM13" s="82" t="s">
        <v>463</v>
      </c>
    </row>
    <row r="14" customFormat="false" ht="105" hidden="false" customHeight="true" outlineLevel="0" collapsed="false">
      <c r="A14" s="92" t="s">
        <v>464</v>
      </c>
      <c r="B14" s="93" t="s">
        <v>465</v>
      </c>
      <c r="C14" s="80" t="s">
        <v>466</v>
      </c>
      <c r="D14" s="81" t="str">
        <f aca="false">IF(C14="","",IFERROR(INDEX(Lists!$O$2:$O$13,MATCH(C14,Lists!$N$2:$N$13,0)),"Check domain code"))</f>
        <v>Legal, Regulatory and Compliance</v>
      </c>
      <c r="E14" s="81" t="str">
        <f aca="false">IF(C14="","",IFERROR(INDEX(Lists!$P$2:$P$13,MATCH(C14,Lists!$N$2:$N$13,0)),""))</f>
        <v>General counsel, compliance</v>
      </c>
      <c r="F14" s="80"/>
      <c r="G14" s="82" t="s">
        <v>270</v>
      </c>
      <c r="H14" s="82"/>
      <c r="I14" s="82"/>
      <c r="J14" s="94" t="s">
        <v>467</v>
      </c>
      <c r="K14" s="82"/>
      <c r="L14" s="82"/>
      <c r="M14" s="95" t="s">
        <v>468</v>
      </c>
      <c r="N14" s="85" t="str">
        <f aca="false">IF(COUNTIF(Triage!$E$6:$E$41,"Yes")+COUNTIF(Triage!$E$6:$E$41,"No")=0,"Not triaged",IF(SUMPRODUCT(COUNTIFS(Triage!$A$6:$A$41,{"B3","B4"},Triage!$E$6:$E$41,"Yes"))&gt;0,"Applies","Not triggered"))</f>
        <v>Not triaged</v>
      </c>
      <c r="O14" s="82"/>
      <c r="P14" s="86"/>
      <c r="Q14" s="86" t="n">
        <v>2</v>
      </c>
      <c r="R14" s="86" t="n">
        <v>4</v>
      </c>
      <c r="S14" s="21" t="n">
        <f aca="false">IF(OR(Q14="",R14=""),"",Q14*R14)</f>
        <v>8</v>
      </c>
      <c r="T14" s="85" t="str">
        <f aca="false">IF(S14="","",INDEX(Settings!$A$20:$A$23,MATCH(S14,Settings!$B$20:$B$23,1)))</f>
        <v>High</v>
      </c>
      <c r="U14" s="82" t="s">
        <v>273</v>
      </c>
      <c r="V14" s="87"/>
      <c r="W14" s="86"/>
      <c r="X14" s="82"/>
      <c r="Y14" s="96" t="s">
        <v>469</v>
      </c>
      <c r="Z14" s="96" t="s">
        <v>470</v>
      </c>
      <c r="AA14" s="96" t="s">
        <v>471</v>
      </c>
      <c r="AB14" s="96" t="s">
        <v>472</v>
      </c>
      <c r="AC14" s="96" t="s">
        <v>473</v>
      </c>
      <c r="AD14" s="96" t="s">
        <v>474</v>
      </c>
      <c r="AE14" s="96" t="s">
        <v>475</v>
      </c>
      <c r="AF14" s="96" t="s">
        <v>303</v>
      </c>
      <c r="AG14" s="96" t="s">
        <v>476</v>
      </c>
      <c r="AH14" s="96" t="s">
        <v>283</v>
      </c>
      <c r="AI14" s="96" t="s">
        <v>477</v>
      </c>
      <c r="AJ14" s="97" t="s">
        <v>478</v>
      </c>
      <c r="AK14" s="96" t="s">
        <v>479</v>
      </c>
      <c r="AL14" s="96" t="s">
        <v>330</v>
      </c>
      <c r="AM14" s="96" t="s">
        <v>480</v>
      </c>
      <c r="AN14" s="96" t="s">
        <v>287</v>
      </c>
      <c r="AO14" s="96" t="s">
        <v>481</v>
      </c>
      <c r="AP14" s="96" t="s">
        <v>482</v>
      </c>
      <c r="AQ14" s="97" t="n">
        <v>200</v>
      </c>
      <c r="AR14" s="97" t="n">
        <v>106</v>
      </c>
      <c r="AS14" s="86"/>
      <c r="AT14" s="86"/>
      <c r="AU14" s="85" t="str">
        <f aca="false">IF(OR(AS14="",AT14=""),"",AS14*AT14)</f>
        <v/>
      </c>
      <c r="AV14" s="21" t="str">
        <f aca="false">IF(AU14="","",INDEX(Settings!$A$20:$A$23,MATCH(AU14,Settings!$B$20:$B$23,1)))</f>
        <v/>
      </c>
      <c r="AW14" s="85" t="str">
        <f aca="false">IF(AV14&lt;&gt;"",AV14,T14)</f>
        <v>High</v>
      </c>
      <c r="AX14" s="85" t="str">
        <f aca="false">IF(AW14="","",IF(MATCH(AW14,Settings!$A$20:$A$23,0)&lt;=MATCH(Settings!$C$28,Settings!$A$20:$A$23,0),"Yes","No"))</f>
        <v>No</v>
      </c>
      <c r="AY14" s="81" t="str">
        <f aca="false">IF(AW14="","",IF(AX14="Yes",INDEX(Settings!$G$20:$G$23,MATCH(AW14,Settings!$A$20:$A$23,0)),INDEX(Settings!$G$20:$G$23,MATCH(AW14,Settings!$A$20:$A$23,0))&amp;" (outside appetite)"))</f>
        <v>AI Governance Committee (outside appetite)</v>
      </c>
      <c r="AZ14" s="82"/>
      <c r="BA14" s="82"/>
      <c r="BB14" s="90"/>
      <c r="BC14" s="91" t="str">
        <f aca="false">IF(OR(BB14="",T14=""),"",BB14+INDEX(Settings!$E$20:$E$23,MATCH(T14,Settings!$A$20:$A$23,0)))</f>
        <v/>
      </c>
      <c r="BD14" s="90"/>
      <c r="BE14" s="82"/>
      <c r="BF14" s="81" t="str">
        <f aca="true">IF(A14="","",IF(OR(BE14="Closed",BE14="Accepted"),"No action",IF(BB14="","Set date identified",IF(TODAY()&gt;BC14,"Deadline exceeded",IF(BC14-TODAY()&lt;=Settings!$C$30,"Deadline approaching","On track")))))</f>
        <v>Set date identified</v>
      </c>
      <c r="BG14" s="90"/>
      <c r="BH14" s="90"/>
      <c r="BI14" s="91" t="str">
        <f aca="false">IF(OR(BH14="",AW14=""),"",EDATE(BH14,INDEX(Settings!$F$20:$F$23,MATCH(AW14,Settings!$A$20:$A$23,0))))</f>
        <v/>
      </c>
      <c r="BJ14" s="85" t="str">
        <f aca="false">IF(T14="","",IF(MAX(IF(T14="",0,MATCH(T14,Settings!$A$20:$A$23,0)),IF(AV14="",0,MATCH(AV14,Settings!$A$20:$A$23,0)))&gt;=MATCH(Settings!$C$29,Settings!$A$20:$A$23,0),"Yes","No"))</f>
        <v>Yes</v>
      </c>
      <c r="BK14" s="82"/>
      <c r="BL14" s="81" t="str">
        <f aca="true">IF(A14="","",IF(TRIM(IF(W14="","Treatment not chosen. ","")&amp;IF(AND(W14="Accept",AX14="No"),"Accepted outside appetite: record approval by "&amp;INDEX(Settings!$G$20:$G$23,MATCH(AW14,Settings!$A$20:$A$23,0))&amp;". ","")&amp;IF(AND(W14="Accept",BG14=""),"Acceptance expiry missing. ","")&amp;IF(AND(BG14&lt;&gt;"",BG14&lt;TODAY()),"Acceptance expired. ","")&amp;IF(AND(W14&lt;&gt;"",W14&lt;&gt;"Accept",AV14=""),"Target rating not set. ","")&amp;IF(AND(BE14="Closed",AX14="No"),"Closed while outside appetite. ","")&amp;IF(AND(W14="Transfer",BE14&lt;&gt;"Transferred",BE14&lt;&gt;"Closed"),"Transfer: record the contract, SLA and audit rights. ","")&amp;IF(AZ14="","Risk owner missing. ","")&amp;IF(K14="","Scenario not written. ",""))="","OK",TRIM(IF(W14="","Treatment not chosen. ","")&amp;IF(AND(W14="Accept",AX14="No"),"Accepted outside appetite: record approval by "&amp;INDEX(Settings!$G$20:$G$23,MATCH(AW14,Settings!$A$20:$A$23,0))&amp;". ","")&amp;IF(AND(W14="Accept",BG14=""),"Acceptance expiry missing. ","")&amp;IF(AND(BG14&lt;&gt;"",BG14&lt;TODAY()),"Acceptance expired. ","")&amp;IF(AND(W14&lt;&gt;"",W14&lt;&gt;"Accept",AV14=""),"Target rating not set. ","")&amp;IF(AND(BE14="Closed",AX14="No"),"Closed while outside appetite. ","")&amp;IF(AND(W14="Transfer",BE14&lt;&gt;"Transferred",BE14&lt;&gt;"Closed"),"Transfer: record the contract, SLA and audit rights. ","")&amp;IF(AZ14="","Risk owner missing. ","")&amp;IF(K14="","Scenario not written. ",""))))</f>
        <v>Treatment not chosen. Risk owner missing. Scenario not written.</v>
      </c>
      <c r="BM14" s="82" t="s">
        <v>483</v>
      </c>
    </row>
    <row r="15" customFormat="false" ht="105" hidden="false" customHeight="true" outlineLevel="0" collapsed="false">
      <c r="A15" s="78" t="s">
        <v>484</v>
      </c>
      <c r="B15" s="79" t="s">
        <v>485</v>
      </c>
      <c r="C15" s="80" t="s">
        <v>445</v>
      </c>
      <c r="D15" s="81" t="str">
        <f aca="false">IF(C15="","",IFERROR(INDEX(Lists!$O$2:$O$13,MATCH(C15,Lists!$N$2:$N$13,0)),"Check domain code"))</f>
        <v>Operations and Resilience</v>
      </c>
      <c r="E15" s="81" t="str">
        <f aca="false">IF(C15="","",IFERROR(INDEX(Lists!$P$2:$P$13,MATCH(C15,Lists!$N$2:$N$13,0)),""))</f>
        <v>AI platform owner, IT operations</v>
      </c>
      <c r="F15" s="80"/>
      <c r="G15" s="82" t="s">
        <v>270</v>
      </c>
      <c r="H15" s="82"/>
      <c r="I15" s="82"/>
      <c r="J15" s="83" t="s">
        <v>486</v>
      </c>
      <c r="K15" s="82"/>
      <c r="L15" s="82"/>
      <c r="M15" s="84" t="s">
        <v>487</v>
      </c>
      <c r="N15" s="85" t="str">
        <f aca="false">IF(COUNTIF(Triage!$E$6:$E$41,"Yes")+COUNTIF(Triage!$E$6:$E$41,"No")=0,"Not triaged",IF(SUMPRODUCT(COUNTIFS(Triage!$A$6:$A$41,{"D2"},Triage!$E$6:$E$41,"Yes"))&gt;0,"Applies","Not triggered"))</f>
        <v>Not triaged</v>
      </c>
      <c r="O15" s="82"/>
      <c r="P15" s="86"/>
      <c r="Q15" s="86" t="n">
        <v>2</v>
      </c>
      <c r="R15" s="86" t="n">
        <v>3</v>
      </c>
      <c r="S15" s="21" t="n">
        <f aca="false">IF(OR(Q15="",R15=""),"",Q15*R15)</f>
        <v>6</v>
      </c>
      <c r="T15" s="85" t="str">
        <f aca="false">IF(S15="","",INDEX(Settings!$A$20:$A$23,MATCH(S15,Settings!$B$20:$B$23,1)))</f>
        <v>High</v>
      </c>
      <c r="U15" s="82" t="s">
        <v>273</v>
      </c>
      <c r="V15" s="87"/>
      <c r="W15" s="86"/>
      <c r="X15" s="82"/>
      <c r="Y15" s="88" t="s">
        <v>488</v>
      </c>
      <c r="Z15" s="88" t="s">
        <v>488</v>
      </c>
      <c r="AA15" s="88" t="s">
        <v>489</v>
      </c>
      <c r="AB15" s="88" t="s">
        <v>490</v>
      </c>
      <c r="AC15" s="88" t="s">
        <v>491</v>
      </c>
      <c r="AD15" s="88" t="s">
        <v>492</v>
      </c>
      <c r="AE15" s="88" t="s">
        <v>493</v>
      </c>
      <c r="AF15" s="88" t="s">
        <v>494</v>
      </c>
      <c r="AG15" s="88" t="s">
        <v>495</v>
      </c>
      <c r="AH15" s="88" t="s">
        <v>496</v>
      </c>
      <c r="AI15" s="88" t="s">
        <v>497</v>
      </c>
      <c r="AJ15" s="89" t="s">
        <v>498</v>
      </c>
      <c r="AK15" s="88" t="s">
        <v>499</v>
      </c>
      <c r="AL15" s="88" t="s">
        <v>287</v>
      </c>
      <c r="AM15" s="88" t="s">
        <v>500</v>
      </c>
      <c r="AN15" s="88" t="s">
        <v>287</v>
      </c>
      <c r="AO15" s="88" t="s">
        <v>501</v>
      </c>
      <c r="AP15" s="88" t="s">
        <v>502</v>
      </c>
      <c r="AQ15" s="89" t="n">
        <v>53</v>
      </c>
      <c r="AR15" s="89" t="n">
        <v>40</v>
      </c>
      <c r="AS15" s="86"/>
      <c r="AT15" s="86"/>
      <c r="AU15" s="85" t="str">
        <f aca="false">IF(OR(AS15="",AT15=""),"",AS15*AT15)</f>
        <v/>
      </c>
      <c r="AV15" s="21" t="str">
        <f aca="false">IF(AU15="","",INDEX(Settings!$A$20:$A$23,MATCH(AU15,Settings!$B$20:$B$23,1)))</f>
        <v/>
      </c>
      <c r="AW15" s="85" t="str">
        <f aca="false">IF(AV15&lt;&gt;"",AV15,T15)</f>
        <v>High</v>
      </c>
      <c r="AX15" s="85" t="str">
        <f aca="false">IF(AW15="","",IF(MATCH(AW15,Settings!$A$20:$A$23,0)&lt;=MATCH(Settings!$C$28,Settings!$A$20:$A$23,0),"Yes","No"))</f>
        <v>No</v>
      </c>
      <c r="AY15" s="81" t="str">
        <f aca="false">IF(AW15="","",IF(AX15="Yes",INDEX(Settings!$G$20:$G$23,MATCH(AW15,Settings!$A$20:$A$23,0)),INDEX(Settings!$G$20:$G$23,MATCH(AW15,Settings!$A$20:$A$23,0))&amp;" (outside appetite)"))</f>
        <v>AI Governance Committee (outside appetite)</v>
      </c>
      <c r="AZ15" s="82"/>
      <c r="BA15" s="82"/>
      <c r="BB15" s="90"/>
      <c r="BC15" s="91" t="str">
        <f aca="false">IF(OR(BB15="",T15=""),"",BB15+INDEX(Settings!$E$20:$E$23,MATCH(T15,Settings!$A$20:$A$23,0)))</f>
        <v/>
      </c>
      <c r="BD15" s="90"/>
      <c r="BE15" s="82"/>
      <c r="BF15" s="81" t="str">
        <f aca="true">IF(A15="","",IF(OR(BE15="Closed",BE15="Accepted"),"No action",IF(BB15="","Set date identified",IF(TODAY()&gt;BC15,"Deadline exceeded",IF(BC15-TODAY()&lt;=Settings!$C$30,"Deadline approaching","On track")))))</f>
        <v>Set date identified</v>
      </c>
      <c r="BG15" s="90"/>
      <c r="BH15" s="90"/>
      <c r="BI15" s="91" t="str">
        <f aca="false">IF(OR(BH15="",AW15=""),"",EDATE(BH15,INDEX(Settings!$F$20:$F$23,MATCH(AW15,Settings!$A$20:$A$23,0))))</f>
        <v/>
      </c>
      <c r="BJ15" s="85" t="str">
        <f aca="false">IF(T15="","",IF(MAX(IF(T15="",0,MATCH(T15,Settings!$A$20:$A$23,0)),IF(AV15="",0,MATCH(AV15,Settings!$A$20:$A$23,0)))&gt;=MATCH(Settings!$C$29,Settings!$A$20:$A$23,0),"Yes","No"))</f>
        <v>Yes</v>
      </c>
      <c r="BK15" s="82"/>
      <c r="BL15" s="81" t="str">
        <f aca="true">IF(A15="","",IF(TRIM(IF(W15="","Treatment not chosen. ","")&amp;IF(AND(W15="Accept",AX15="No"),"Accepted outside appetite: record approval by "&amp;INDEX(Settings!$G$20:$G$23,MATCH(AW15,Settings!$A$20:$A$23,0))&amp;". ","")&amp;IF(AND(W15="Accept",BG15=""),"Acceptance expiry missing. ","")&amp;IF(AND(BG15&lt;&gt;"",BG15&lt;TODAY()),"Acceptance expired. ","")&amp;IF(AND(W15&lt;&gt;"",W15&lt;&gt;"Accept",AV15=""),"Target rating not set. ","")&amp;IF(AND(BE15="Closed",AX15="No"),"Closed while outside appetite. ","")&amp;IF(AND(W15="Transfer",BE15&lt;&gt;"Transferred",BE15&lt;&gt;"Closed"),"Transfer: record the contract, SLA and audit rights. ","")&amp;IF(AZ15="","Risk owner missing. ","")&amp;IF(K15="","Scenario not written. ",""))="","OK",TRIM(IF(W15="","Treatment not chosen. ","")&amp;IF(AND(W15="Accept",AX15="No"),"Accepted outside appetite: record approval by "&amp;INDEX(Settings!$G$20:$G$23,MATCH(AW15,Settings!$A$20:$A$23,0))&amp;". ","")&amp;IF(AND(W15="Accept",BG15=""),"Acceptance expiry missing. ","")&amp;IF(AND(BG15&lt;&gt;"",BG15&lt;TODAY()),"Acceptance expired. ","")&amp;IF(AND(W15&lt;&gt;"",W15&lt;&gt;"Accept",AV15=""),"Target rating not set. ","")&amp;IF(AND(BE15="Closed",AX15="No"),"Closed while outside appetite. ","")&amp;IF(AND(W15="Transfer",BE15&lt;&gt;"Transferred",BE15&lt;&gt;"Closed"),"Transfer: record the contract, SLA and audit rights. ","")&amp;IF(AZ15="","Risk owner missing. ","")&amp;IF(K15="","Scenario not written. ",""))))</f>
        <v>Treatment not chosen. Risk owner missing. Scenario not written.</v>
      </c>
      <c r="BM15" s="82" t="s">
        <v>503</v>
      </c>
    </row>
    <row r="16" customFormat="false" ht="105" hidden="false" customHeight="true" outlineLevel="0" collapsed="false">
      <c r="A16" s="92" t="s">
        <v>504</v>
      </c>
      <c r="B16" s="93" t="s">
        <v>505</v>
      </c>
      <c r="C16" s="80" t="s">
        <v>506</v>
      </c>
      <c r="D16" s="81" t="str">
        <f aca="false">IF(C16="","",IFERROR(INDEX(Lists!$O$2:$O$13,MATCH(C16,Lists!$N$2:$N$13,0)),"Check domain code"))</f>
        <v>Safety, Ethics and Responsible AI</v>
      </c>
      <c r="E16" s="81" t="str">
        <f aca="false">IF(C16="","",IFERROR(INDEX(Lists!$P$2:$P$13,MATCH(C16,Lists!$N$2:$N$13,0)),""))</f>
        <v>Responsible AI lead, product owners</v>
      </c>
      <c r="F16" s="80"/>
      <c r="G16" s="82" t="s">
        <v>270</v>
      </c>
      <c r="H16" s="82"/>
      <c r="I16" s="82"/>
      <c r="J16" s="94" t="s">
        <v>507</v>
      </c>
      <c r="K16" s="82"/>
      <c r="L16" s="82"/>
      <c r="M16" s="95" t="s">
        <v>508</v>
      </c>
      <c r="N16" s="85" t="str">
        <f aca="false">IF(COUNTIF(Triage!$E$6:$E$41,"Yes")+COUNTIF(Triage!$E$6:$E$41,"No")=0,"Not triaged",IF(SUMPRODUCT(COUNTIFS(Triage!$A$6:$A$41,{"C2","C3","C5"},Triage!$E$6:$E$41,"Yes"))&gt;0,"Applies","Not triggered"))</f>
        <v>Not triaged</v>
      </c>
      <c r="O16" s="82"/>
      <c r="P16" s="86"/>
      <c r="Q16" s="86" t="n">
        <v>2</v>
      </c>
      <c r="R16" s="86" t="n">
        <v>3</v>
      </c>
      <c r="S16" s="21" t="n">
        <f aca="false">IF(OR(Q16="",R16=""),"",Q16*R16)</f>
        <v>6</v>
      </c>
      <c r="T16" s="85" t="str">
        <f aca="false">IF(S16="","",INDEX(Settings!$A$20:$A$23,MATCH(S16,Settings!$B$20:$B$23,1)))</f>
        <v>High</v>
      </c>
      <c r="U16" s="82" t="s">
        <v>273</v>
      </c>
      <c r="V16" s="87"/>
      <c r="W16" s="86"/>
      <c r="X16" s="82"/>
      <c r="Y16" s="96" t="s">
        <v>509</v>
      </c>
      <c r="Z16" s="96" t="s">
        <v>340</v>
      </c>
      <c r="AA16" s="96" t="s">
        <v>510</v>
      </c>
      <c r="AB16" s="96" t="s">
        <v>511</v>
      </c>
      <c r="AC16" s="96" t="s">
        <v>512</v>
      </c>
      <c r="AD16" s="96" t="s">
        <v>513</v>
      </c>
      <c r="AE16" s="96" t="s">
        <v>514</v>
      </c>
      <c r="AF16" s="96" t="s">
        <v>515</v>
      </c>
      <c r="AG16" s="96" t="s">
        <v>516</v>
      </c>
      <c r="AH16" s="96" t="s">
        <v>517</v>
      </c>
      <c r="AI16" s="96" t="s">
        <v>518</v>
      </c>
      <c r="AJ16" s="97"/>
      <c r="AK16" s="96" t="s">
        <v>519</v>
      </c>
      <c r="AL16" s="96" t="s">
        <v>520</v>
      </c>
      <c r="AM16" s="96" t="s">
        <v>521</v>
      </c>
      <c r="AN16" s="96" t="s">
        <v>287</v>
      </c>
      <c r="AO16" s="96" t="s">
        <v>522</v>
      </c>
      <c r="AP16" s="96" t="s">
        <v>523</v>
      </c>
      <c r="AQ16" s="97" t="n">
        <v>157</v>
      </c>
      <c r="AR16" s="97" t="n">
        <v>22</v>
      </c>
      <c r="AS16" s="86"/>
      <c r="AT16" s="86"/>
      <c r="AU16" s="85" t="str">
        <f aca="false">IF(OR(AS16="",AT16=""),"",AS16*AT16)</f>
        <v/>
      </c>
      <c r="AV16" s="21" t="str">
        <f aca="false">IF(AU16="","",INDEX(Settings!$A$20:$A$23,MATCH(AU16,Settings!$B$20:$B$23,1)))</f>
        <v/>
      </c>
      <c r="AW16" s="85" t="str">
        <f aca="false">IF(AV16&lt;&gt;"",AV16,T16)</f>
        <v>High</v>
      </c>
      <c r="AX16" s="85" t="str">
        <f aca="false">IF(AW16="","",IF(MATCH(AW16,Settings!$A$20:$A$23,0)&lt;=MATCH(Settings!$C$28,Settings!$A$20:$A$23,0),"Yes","No"))</f>
        <v>No</v>
      </c>
      <c r="AY16" s="81" t="str">
        <f aca="false">IF(AW16="","",IF(AX16="Yes",INDEX(Settings!$G$20:$G$23,MATCH(AW16,Settings!$A$20:$A$23,0)),INDEX(Settings!$G$20:$G$23,MATCH(AW16,Settings!$A$20:$A$23,0))&amp;" (outside appetite)"))</f>
        <v>AI Governance Committee (outside appetite)</v>
      </c>
      <c r="AZ16" s="82"/>
      <c r="BA16" s="82"/>
      <c r="BB16" s="90"/>
      <c r="BC16" s="91" t="str">
        <f aca="false">IF(OR(BB16="",T16=""),"",BB16+INDEX(Settings!$E$20:$E$23,MATCH(T16,Settings!$A$20:$A$23,0)))</f>
        <v/>
      </c>
      <c r="BD16" s="90"/>
      <c r="BE16" s="82"/>
      <c r="BF16" s="81" t="str">
        <f aca="true">IF(A16="","",IF(OR(BE16="Closed",BE16="Accepted"),"No action",IF(BB16="","Set date identified",IF(TODAY()&gt;BC16,"Deadline exceeded",IF(BC16-TODAY()&lt;=Settings!$C$30,"Deadline approaching","On track")))))</f>
        <v>Set date identified</v>
      </c>
      <c r="BG16" s="90"/>
      <c r="BH16" s="90"/>
      <c r="BI16" s="91" t="str">
        <f aca="false">IF(OR(BH16="",AW16=""),"",EDATE(BH16,INDEX(Settings!$F$20:$F$23,MATCH(AW16,Settings!$A$20:$A$23,0))))</f>
        <v/>
      </c>
      <c r="BJ16" s="85" t="str">
        <f aca="false">IF(T16="","",IF(MAX(IF(T16="",0,MATCH(T16,Settings!$A$20:$A$23,0)),IF(AV16="",0,MATCH(AV16,Settings!$A$20:$A$23,0)))&gt;=MATCH(Settings!$C$29,Settings!$A$20:$A$23,0),"Yes","No"))</f>
        <v>Yes</v>
      </c>
      <c r="BK16" s="82"/>
      <c r="BL16" s="81" t="str">
        <f aca="true">IF(A16="","",IF(TRIM(IF(W16="","Treatment not chosen. ","")&amp;IF(AND(W16="Accept",AX16="No"),"Accepted outside appetite: record approval by "&amp;INDEX(Settings!$G$20:$G$23,MATCH(AW16,Settings!$A$20:$A$23,0))&amp;". ","")&amp;IF(AND(W16="Accept",BG16=""),"Acceptance expiry missing. ","")&amp;IF(AND(BG16&lt;&gt;"",BG16&lt;TODAY()),"Acceptance expired. ","")&amp;IF(AND(W16&lt;&gt;"",W16&lt;&gt;"Accept",AV16=""),"Target rating not set. ","")&amp;IF(AND(BE16="Closed",AX16="No"),"Closed while outside appetite. ","")&amp;IF(AND(W16="Transfer",BE16&lt;&gt;"Transferred",BE16&lt;&gt;"Closed"),"Transfer: record the contract, SLA and audit rights. ","")&amp;IF(AZ16="","Risk owner missing. ","")&amp;IF(K16="","Scenario not written. ",""))="","OK",TRIM(IF(W16="","Treatment not chosen. ","")&amp;IF(AND(W16="Accept",AX16="No"),"Accepted outside appetite: record approval by "&amp;INDEX(Settings!$G$20:$G$23,MATCH(AW16,Settings!$A$20:$A$23,0))&amp;". ","")&amp;IF(AND(W16="Accept",BG16=""),"Acceptance expiry missing. ","")&amp;IF(AND(BG16&lt;&gt;"",BG16&lt;TODAY()),"Acceptance expired. ","")&amp;IF(AND(W16&lt;&gt;"",W16&lt;&gt;"Accept",AV16=""),"Target rating not set. ","")&amp;IF(AND(BE16="Closed",AX16="No"),"Closed while outside appetite. ","")&amp;IF(AND(W16="Transfer",BE16&lt;&gt;"Transferred",BE16&lt;&gt;"Closed"),"Transfer: record the contract, SLA and audit rights. ","")&amp;IF(AZ16="","Risk owner missing. ","")&amp;IF(K16="","Scenario not written. ",""))))</f>
        <v>Treatment not chosen. Risk owner missing. Scenario not written.</v>
      </c>
      <c r="BM16" s="82" t="s">
        <v>524</v>
      </c>
    </row>
    <row r="17" customFormat="false" ht="105" hidden="false" customHeight="true" outlineLevel="0" collapsed="false">
      <c r="A17" s="78" t="s">
        <v>525</v>
      </c>
      <c r="B17" s="79" t="s">
        <v>526</v>
      </c>
      <c r="C17" s="80" t="s">
        <v>445</v>
      </c>
      <c r="D17" s="81" t="str">
        <f aca="false">IF(C17="","",IFERROR(INDEX(Lists!$O$2:$O$13,MATCH(C17,Lists!$N$2:$N$13,0)),"Check domain code"))</f>
        <v>Operations and Resilience</v>
      </c>
      <c r="E17" s="81" t="str">
        <f aca="false">IF(C17="","",IFERROR(INDEX(Lists!$P$2:$P$13,MATCH(C17,Lists!$N$2:$N$13,0)),""))</f>
        <v>AI platform owner, IT operations</v>
      </c>
      <c r="F17" s="80"/>
      <c r="G17" s="82" t="s">
        <v>270</v>
      </c>
      <c r="H17" s="82"/>
      <c r="I17" s="82"/>
      <c r="J17" s="83" t="s">
        <v>527</v>
      </c>
      <c r="K17" s="82"/>
      <c r="L17" s="82"/>
      <c r="M17" s="84" t="s">
        <v>528</v>
      </c>
      <c r="N17" s="85" t="str">
        <f aca="false">IF(COUNTIF(Triage!$E$6:$E$41,"Yes")+COUNTIF(Triage!$E$6:$E$41,"No")=0,"Not triaged",IF(SUMPRODUCT(COUNTIFS(Triage!$A$6:$A$41,{"B3","C3","D5"},Triage!$E$6:$E$41,"Yes"))&gt;0,"Applies","Not triggered"))</f>
        <v>Not triaged</v>
      </c>
      <c r="O17" s="82"/>
      <c r="P17" s="86"/>
      <c r="Q17" s="86" t="n">
        <v>2</v>
      </c>
      <c r="R17" s="86" t="n">
        <v>3</v>
      </c>
      <c r="S17" s="21" t="n">
        <f aca="false">IF(OR(Q17="",R17=""),"",Q17*R17)</f>
        <v>6</v>
      </c>
      <c r="T17" s="85" t="str">
        <f aca="false">IF(S17="","",INDEX(Settings!$A$20:$A$23,MATCH(S17,Settings!$B$20:$B$23,1)))</f>
        <v>High</v>
      </c>
      <c r="U17" s="82" t="s">
        <v>273</v>
      </c>
      <c r="V17" s="87"/>
      <c r="W17" s="86"/>
      <c r="X17" s="82"/>
      <c r="Y17" s="88" t="s">
        <v>529</v>
      </c>
      <c r="Z17" s="88" t="s">
        <v>340</v>
      </c>
      <c r="AA17" s="88" t="s">
        <v>530</v>
      </c>
      <c r="AB17" s="88" t="s">
        <v>531</v>
      </c>
      <c r="AC17" s="88" t="s">
        <v>491</v>
      </c>
      <c r="AD17" s="88" t="s">
        <v>532</v>
      </c>
      <c r="AE17" s="88" t="s">
        <v>533</v>
      </c>
      <c r="AF17" s="88"/>
      <c r="AG17" s="88" t="s">
        <v>534</v>
      </c>
      <c r="AH17" s="88" t="s">
        <v>535</v>
      </c>
      <c r="AI17" s="88" t="s">
        <v>536</v>
      </c>
      <c r="AJ17" s="89" t="s">
        <v>537</v>
      </c>
      <c r="AK17" s="88" t="s">
        <v>538</v>
      </c>
      <c r="AL17" s="88" t="s">
        <v>287</v>
      </c>
      <c r="AM17" s="88" t="s">
        <v>539</v>
      </c>
      <c r="AN17" s="88" t="s">
        <v>287</v>
      </c>
      <c r="AO17" s="88" t="s">
        <v>540</v>
      </c>
      <c r="AP17" s="88" t="s">
        <v>541</v>
      </c>
      <c r="AQ17" s="89" t="n">
        <v>35</v>
      </c>
      <c r="AR17" s="89" t="n">
        <v>14</v>
      </c>
      <c r="AS17" s="86"/>
      <c r="AT17" s="86"/>
      <c r="AU17" s="85" t="str">
        <f aca="false">IF(OR(AS17="",AT17=""),"",AS17*AT17)</f>
        <v/>
      </c>
      <c r="AV17" s="21" t="str">
        <f aca="false">IF(AU17="","",INDEX(Settings!$A$20:$A$23,MATCH(AU17,Settings!$B$20:$B$23,1)))</f>
        <v/>
      </c>
      <c r="AW17" s="85" t="str">
        <f aca="false">IF(AV17&lt;&gt;"",AV17,T17)</f>
        <v>High</v>
      </c>
      <c r="AX17" s="85" t="str">
        <f aca="false">IF(AW17="","",IF(MATCH(AW17,Settings!$A$20:$A$23,0)&lt;=MATCH(Settings!$C$28,Settings!$A$20:$A$23,0),"Yes","No"))</f>
        <v>No</v>
      </c>
      <c r="AY17" s="81" t="str">
        <f aca="false">IF(AW17="","",IF(AX17="Yes",INDEX(Settings!$G$20:$G$23,MATCH(AW17,Settings!$A$20:$A$23,0)),INDEX(Settings!$G$20:$G$23,MATCH(AW17,Settings!$A$20:$A$23,0))&amp;" (outside appetite)"))</f>
        <v>AI Governance Committee (outside appetite)</v>
      </c>
      <c r="AZ17" s="82"/>
      <c r="BA17" s="82"/>
      <c r="BB17" s="90"/>
      <c r="BC17" s="91" t="str">
        <f aca="false">IF(OR(BB17="",T17=""),"",BB17+INDEX(Settings!$E$20:$E$23,MATCH(T17,Settings!$A$20:$A$23,0)))</f>
        <v/>
      </c>
      <c r="BD17" s="90"/>
      <c r="BE17" s="82"/>
      <c r="BF17" s="81" t="str">
        <f aca="true">IF(A17="","",IF(OR(BE17="Closed",BE17="Accepted"),"No action",IF(BB17="","Set date identified",IF(TODAY()&gt;BC17,"Deadline exceeded",IF(BC17-TODAY()&lt;=Settings!$C$30,"Deadline approaching","On track")))))</f>
        <v>Set date identified</v>
      </c>
      <c r="BG17" s="90"/>
      <c r="BH17" s="90"/>
      <c r="BI17" s="91" t="str">
        <f aca="false">IF(OR(BH17="",AW17=""),"",EDATE(BH17,INDEX(Settings!$F$20:$F$23,MATCH(AW17,Settings!$A$20:$A$23,0))))</f>
        <v/>
      </c>
      <c r="BJ17" s="85" t="str">
        <f aca="false">IF(T17="","",IF(MAX(IF(T17="",0,MATCH(T17,Settings!$A$20:$A$23,0)),IF(AV17="",0,MATCH(AV17,Settings!$A$20:$A$23,0)))&gt;=MATCH(Settings!$C$29,Settings!$A$20:$A$23,0),"Yes","No"))</f>
        <v>Yes</v>
      </c>
      <c r="BK17" s="82"/>
      <c r="BL17" s="81" t="str">
        <f aca="true">IF(A17="","",IF(TRIM(IF(W17="","Treatment not chosen. ","")&amp;IF(AND(W17="Accept",AX17="No"),"Accepted outside appetite: record approval by "&amp;INDEX(Settings!$G$20:$G$23,MATCH(AW17,Settings!$A$20:$A$23,0))&amp;". ","")&amp;IF(AND(W17="Accept",BG17=""),"Acceptance expiry missing. ","")&amp;IF(AND(BG17&lt;&gt;"",BG17&lt;TODAY()),"Acceptance expired. ","")&amp;IF(AND(W17&lt;&gt;"",W17&lt;&gt;"Accept",AV17=""),"Target rating not set. ","")&amp;IF(AND(BE17="Closed",AX17="No"),"Closed while outside appetite. ","")&amp;IF(AND(W17="Transfer",BE17&lt;&gt;"Transferred",BE17&lt;&gt;"Closed"),"Transfer: record the contract, SLA and audit rights. ","")&amp;IF(AZ17="","Risk owner missing. ","")&amp;IF(K17="","Scenario not written. ",""))="","OK",TRIM(IF(W17="","Treatment not chosen. ","")&amp;IF(AND(W17="Accept",AX17="No"),"Accepted outside appetite: record approval by "&amp;INDEX(Settings!$G$20:$G$23,MATCH(AW17,Settings!$A$20:$A$23,0))&amp;". ","")&amp;IF(AND(W17="Accept",BG17=""),"Acceptance expiry missing. ","")&amp;IF(AND(BG17&lt;&gt;"",BG17&lt;TODAY()),"Acceptance expired. ","")&amp;IF(AND(W17&lt;&gt;"",W17&lt;&gt;"Accept",AV17=""),"Target rating not set. ","")&amp;IF(AND(BE17="Closed",AX17="No"),"Closed while outside appetite. ","")&amp;IF(AND(W17="Transfer",BE17&lt;&gt;"Transferred",BE17&lt;&gt;"Closed"),"Transfer: record the contract, SLA and audit rights. ","")&amp;IF(AZ17="","Risk owner missing. ","")&amp;IF(K17="","Scenario not written. ",""))))</f>
        <v>Treatment not chosen. Risk owner missing. Scenario not written.</v>
      </c>
      <c r="BM17" s="82" t="s">
        <v>542</v>
      </c>
    </row>
    <row r="18" customFormat="false" ht="105" hidden="false" customHeight="true" outlineLevel="0" collapsed="false">
      <c r="A18" s="92" t="s">
        <v>543</v>
      </c>
      <c r="B18" s="93" t="s">
        <v>544</v>
      </c>
      <c r="C18" s="80" t="s">
        <v>506</v>
      </c>
      <c r="D18" s="81" t="str">
        <f aca="false">IF(C18="","",IFERROR(INDEX(Lists!$O$2:$O$13,MATCH(C18,Lists!$N$2:$N$13,0)),"Check domain code"))</f>
        <v>Safety, Ethics and Responsible AI</v>
      </c>
      <c r="E18" s="81" t="str">
        <f aca="false">IF(C18="","",IFERROR(INDEX(Lists!$P$2:$P$13,MATCH(C18,Lists!$N$2:$N$13,0)),""))</f>
        <v>Responsible AI lead, product owners</v>
      </c>
      <c r="F18" s="80"/>
      <c r="G18" s="82" t="s">
        <v>270</v>
      </c>
      <c r="H18" s="82"/>
      <c r="I18" s="82"/>
      <c r="J18" s="94" t="s">
        <v>545</v>
      </c>
      <c r="K18" s="82"/>
      <c r="L18" s="82"/>
      <c r="M18" s="95" t="s">
        <v>546</v>
      </c>
      <c r="N18" s="85" t="str">
        <f aca="false">IF(COUNTIF(Triage!$E$6:$E$41,"Yes")+COUNTIF(Triage!$E$6:$E$41,"No")=0,"Not triaged",IF(SUMPRODUCT(COUNTIFS(Triage!$A$6:$A$41,{"C1"},Triage!$E$6:$E$41,"Yes"))&gt;0,"Applies","Not triggered"))</f>
        <v>Not triaged</v>
      </c>
      <c r="O18" s="82"/>
      <c r="P18" s="86"/>
      <c r="Q18" s="86" t="n">
        <v>2</v>
      </c>
      <c r="R18" s="86" t="n">
        <v>3</v>
      </c>
      <c r="S18" s="21" t="n">
        <f aca="false">IF(OR(Q18="",R18=""),"",Q18*R18)</f>
        <v>6</v>
      </c>
      <c r="T18" s="85" t="str">
        <f aca="false">IF(S18="","",INDEX(Settings!$A$20:$A$23,MATCH(S18,Settings!$B$20:$B$23,1)))</f>
        <v>High</v>
      </c>
      <c r="U18" s="82" t="s">
        <v>273</v>
      </c>
      <c r="V18" s="87"/>
      <c r="W18" s="86"/>
      <c r="X18" s="82"/>
      <c r="Y18" s="96" t="s">
        <v>547</v>
      </c>
      <c r="Z18" s="96" t="s">
        <v>548</v>
      </c>
      <c r="AA18" s="96" t="s">
        <v>549</v>
      </c>
      <c r="AB18" s="96" t="s">
        <v>550</v>
      </c>
      <c r="AC18" s="96" t="s">
        <v>551</v>
      </c>
      <c r="AD18" s="96" t="s">
        <v>552</v>
      </c>
      <c r="AE18" s="96" t="s">
        <v>553</v>
      </c>
      <c r="AF18" s="96" t="s">
        <v>515</v>
      </c>
      <c r="AG18" s="96" t="s">
        <v>516</v>
      </c>
      <c r="AH18" s="96" t="s">
        <v>554</v>
      </c>
      <c r="AI18" s="96" t="s">
        <v>555</v>
      </c>
      <c r="AJ18" s="97" t="s">
        <v>556</v>
      </c>
      <c r="AK18" s="96" t="s">
        <v>557</v>
      </c>
      <c r="AL18" s="96" t="s">
        <v>558</v>
      </c>
      <c r="AM18" s="96" t="s">
        <v>559</v>
      </c>
      <c r="AN18" s="96" t="s">
        <v>287</v>
      </c>
      <c r="AO18" s="96" t="s">
        <v>560</v>
      </c>
      <c r="AP18" s="96" t="s">
        <v>561</v>
      </c>
      <c r="AQ18" s="97" t="n">
        <v>158</v>
      </c>
      <c r="AR18" s="97" t="n">
        <v>25</v>
      </c>
      <c r="AS18" s="86"/>
      <c r="AT18" s="86"/>
      <c r="AU18" s="85" t="str">
        <f aca="false">IF(OR(AS18="",AT18=""),"",AS18*AT18)</f>
        <v/>
      </c>
      <c r="AV18" s="21" t="str">
        <f aca="false">IF(AU18="","",INDEX(Settings!$A$20:$A$23,MATCH(AU18,Settings!$B$20:$B$23,1)))</f>
        <v/>
      </c>
      <c r="AW18" s="85" t="str">
        <f aca="false">IF(AV18&lt;&gt;"",AV18,T18)</f>
        <v>High</v>
      </c>
      <c r="AX18" s="85" t="str">
        <f aca="false">IF(AW18="","",IF(MATCH(AW18,Settings!$A$20:$A$23,0)&lt;=MATCH(Settings!$C$28,Settings!$A$20:$A$23,0),"Yes","No"))</f>
        <v>No</v>
      </c>
      <c r="AY18" s="81" t="str">
        <f aca="false">IF(AW18="","",IF(AX18="Yes",INDEX(Settings!$G$20:$G$23,MATCH(AW18,Settings!$A$20:$A$23,0)),INDEX(Settings!$G$20:$G$23,MATCH(AW18,Settings!$A$20:$A$23,0))&amp;" (outside appetite)"))</f>
        <v>AI Governance Committee (outside appetite)</v>
      </c>
      <c r="AZ18" s="82"/>
      <c r="BA18" s="82"/>
      <c r="BB18" s="90"/>
      <c r="BC18" s="91" t="str">
        <f aca="false">IF(OR(BB18="",T18=""),"",BB18+INDEX(Settings!$E$20:$E$23,MATCH(T18,Settings!$A$20:$A$23,0)))</f>
        <v/>
      </c>
      <c r="BD18" s="90"/>
      <c r="BE18" s="82"/>
      <c r="BF18" s="81" t="str">
        <f aca="true">IF(A18="","",IF(OR(BE18="Closed",BE18="Accepted"),"No action",IF(BB18="","Set date identified",IF(TODAY()&gt;BC18,"Deadline exceeded",IF(BC18-TODAY()&lt;=Settings!$C$30,"Deadline approaching","On track")))))</f>
        <v>Set date identified</v>
      </c>
      <c r="BG18" s="90"/>
      <c r="BH18" s="90"/>
      <c r="BI18" s="91" t="str">
        <f aca="false">IF(OR(BH18="",AW18=""),"",EDATE(BH18,INDEX(Settings!$F$20:$F$23,MATCH(AW18,Settings!$A$20:$A$23,0))))</f>
        <v/>
      </c>
      <c r="BJ18" s="85" t="str">
        <f aca="false">IF(T18="","",IF(MAX(IF(T18="",0,MATCH(T18,Settings!$A$20:$A$23,0)),IF(AV18="",0,MATCH(AV18,Settings!$A$20:$A$23,0)))&gt;=MATCH(Settings!$C$29,Settings!$A$20:$A$23,0),"Yes","No"))</f>
        <v>Yes</v>
      </c>
      <c r="BK18" s="82"/>
      <c r="BL18" s="81" t="str">
        <f aca="true">IF(A18="","",IF(TRIM(IF(W18="","Treatment not chosen. ","")&amp;IF(AND(W18="Accept",AX18="No"),"Accepted outside appetite: record approval by "&amp;INDEX(Settings!$G$20:$G$23,MATCH(AW18,Settings!$A$20:$A$23,0))&amp;". ","")&amp;IF(AND(W18="Accept",BG18=""),"Acceptance expiry missing. ","")&amp;IF(AND(BG18&lt;&gt;"",BG18&lt;TODAY()),"Acceptance expired. ","")&amp;IF(AND(W18&lt;&gt;"",W18&lt;&gt;"Accept",AV18=""),"Target rating not set. ","")&amp;IF(AND(BE18="Closed",AX18="No"),"Closed while outside appetite. ","")&amp;IF(AND(W18="Transfer",BE18&lt;&gt;"Transferred",BE18&lt;&gt;"Closed"),"Transfer: record the contract, SLA and audit rights. ","")&amp;IF(AZ18="","Risk owner missing. ","")&amp;IF(K18="","Scenario not written. ",""))="","OK",TRIM(IF(W18="","Treatment not chosen. ","")&amp;IF(AND(W18="Accept",AX18="No"),"Accepted outside appetite: record approval by "&amp;INDEX(Settings!$G$20:$G$23,MATCH(AW18,Settings!$A$20:$A$23,0))&amp;". ","")&amp;IF(AND(W18="Accept",BG18=""),"Acceptance expiry missing. ","")&amp;IF(AND(BG18&lt;&gt;"",BG18&lt;TODAY()),"Acceptance expired. ","")&amp;IF(AND(W18&lt;&gt;"",W18&lt;&gt;"Accept",AV18=""),"Target rating not set. ","")&amp;IF(AND(BE18="Closed",AX18="No"),"Closed while outside appetite. ","")&amp;IF(AND(W18="Transfer",BE18&lt;&gt;"Transferred",BE18&lt;&gt;"Closed"),"Transfer: record the contract, SLA and audit rights. ","")&amp;IF(AZ18="","Risk owner missing. ","")&amp;IF(K18="","Scenario not written. ",""))))</f>
        <v>Treatment not chosen. Risk owner missing. Scenario not written.</v>
      </c>
      <c r="BM18" s="82" t="s">
        <v>562</v>
      </c>
    </row>
    <row r="19" customFormat="false" ht="105" hidden="false" customHeight="true" outlineLevel="0" collapsed="false">
      <c r="A19" s="78" t="s">
        <v>563</v>
      </c>
      <c r="B19" s="79" t="s">
        <v>564</v>
      </c>
      <c r="C19" s="80" t="s">
        <v>565</v>
      </c>
      <c r="D19" s="81" t="str">
        <f aca="false">IF(C19="","",IFERROR(INDEX(Lists!$O$2:$O$13,MATCH(C19,Lists!$N$2:$N$13,0)),"Check domain code"))</f>
        <v>Model Development and Performance</v>
      </c>
      <c r="E19" s="81" t="str">
        <f aca="false">IF(C19="","",IFERROR(INDEX(Lists!$P$2:$P$13,MATCH(C19,Lists!$N$2:$N$13,0)),""))</f>
        <v>Model owners, model risk management</v>
      </c>
      <c r="F19" s="80"/>
      <c r="G19" s="82" t="s">
        <v>270</v>
      </c>
      <c r="H19" s="82"/>
      <c r="I19" s="82"/>
      <c r="J19" s="83" t="s">
        <v>566</v>
      </c>
      <c r="K19" s="82"/>
      <c r="L19" s="82"/>
      <c r="M19" s="84" t="s">
        <v>567</v>
      </c>
      <c r="N19" s="85" t="str">
        <f aca="false">IF(COUNTIF(Triage!$E$6:$E$41,"Yes")+COUNTIF(Triage!$E$6:$E$41,"No")=0,"Not triaged",IF(SUMPRODUCT(COUNTIFS(Triage!$A$6:$A$41,{"C1","C4","D7"},Triage!$E$6:$E$41,"Yes"))&gt;0,"Applies","Not triggered"))</f>
        <v>Not triaged</v>
      </c>
      <c r="O19" s="82"/>
      <c r="P19" s="86"/>
      <c r="Q19" s="86" t="n">
        <v>2</v>
      </c>
      <c r="R19" s="86" t="n">
        <v>3</v>
      </c>
      <c r="S19" s="21" t="n">
        <f aca="false">IF(OR(Q19="",R19=""),"",Q19*R19)</f>
        <v>6</v>
      </c>
      <c r="T19" s="85" t="str">
        <f aca="false">IF(S19="","",INDEX(Settings!$A$20:$A$23,MATCH(S19,Settings!$B$20:$B$23,1)))</f>
        <v>High</v>
      </c>
      <c r="U19" s="82" t="s">
        <v>273</v>
      </c>
      <c r="V19" s="87"/>
      <c r="W19" s="86"/>
      <c r="X19" s="82"/>
      <c r="Y19" s="88" t="s">
        <v>568</v>
      </c>
      <c r="Z19" s="88" t="s">
        <v>569</v>
      </c>
      <c r="AA19" s="88" t="s">
        <v>570</v>
      </c>
      <c r="AB19" s="88" t="s">
        <v>571</v>
      </c>
      <c r="AC19" s="88" t="s">
        <v>572</v>
      </c>
      <c r="AD19" s="88" t="s">
        <v>573</v>
      </c>
      <c r="AE19" s="88" t="s">
        <v>574</v>
      </c>
      <c r="AF19" s="88"/>
      <c r="AG19" s="88"/>
      <c r="AH19" s="88" t="s">
        <v>575</v>
      </c>
      <c r="AI19" s="88" t="s">
        <v>576</v>
      </c>
      <c r="AJ19" s="89" t="s">
        <v>577</v>
      </c>
      <c r="AK19" s="88" t="s">
        <v>578</v>
      </c>
      <c r="AL19" s="88" t="s">
        <v>287</v>
      </c>
      <c r="AM19" s="88" t="s">
        <v>579</v>
      </c>
      <c r="AN19" s="88" t="s">
        <v>287</v>
      </c>
      <c r="AO19" s="88" t="s">
        <v>580</v>
      </c>
      <c r="AP19" s="88" t="s">
        <v>581</v>
      </c>
      <c r="AQ19" s="89" t="n">
        <v>123</v>
      </c>
      <c r="AR19" s="89" t="n">
        <v>46</v>
      </c>
      <c r="AS19" s="86"/>
      <c r="AT19" s="86"/>
      <c r="AU19" s="85" t="str">
        <f aca="false">IF(OR(AS19="",AT19=""),"",AS19*AT19)</f>
        <v/>
      </c>
      <c r="AV19" s="21" t="str">
        <f aca="false">IF(AU19="","",INDEX(Settings!$A$20:$A$23,MATCH(AU19,Settings!$B$20:$B$23,1)))</f>
        <v/>
      </c>
      <c r="AW19" s="85" t="str">
        <f aca="false">IF(AV19&lt;&gt;"",AV19,T19)</f>
        <v>High</v>
      </c>
      <c r="AX19" s="85" t="str">
        <f aca="false">IF(AW19="","",IF(MATCH(AW19,Settings!$A$20:$A$23,0)&lt;=MATCH(Settings!$C$28,Settings!$A$20:$A$23,0),"Yes","No"))</f>
        <v>No</v>
      </c>
      <c r="AY19" s="81" t="str">
        <f aca="false">IF(AW19="","",IF(AX19="Yes",INDEX(Settings!$G$20:$G$23,MATCH(AW19,Settings!$A$20:$A$23,0)),INDEX(Settings!$G$20:$G$23,MATCH(AW19,Settings!$A$20:$A$23,0))&amp;" (outside appetite)"))</f>
        <v>AI Governance Committee (outside appetite)</v>
      </c>
      <c r="AZ19" s="82"/>
      <c r="BA19" s="82"/>
      <c r="BB19" s="90"/>
      <c r="BC19" s="91" t="str">
        <f aca="false">IF(OR(BB19="",T19=""),"",BB19+INDEX(Settings!$E$20:$E$23,MATCH(T19,Settings!$A$20:$A$23,0)))</f>
        <v/>
      </c>
      <c r="BD19" s="90"/>
      <c r="BE19" s="82"/>
      <c r="BF19" s="81" t="str">
        <f aca="true">IF(A19="","",IF(OR(BE19="Closed",BE19="Accepted"),"No action",IF(BB19="","Set date identified",IF(TODAY()&gt;BC19,"Deadline exceeded",IF(BC19-TODAY()&lt;=Settings!$C$30,"Deadline approaching","On track")))))</f>
        <v>Set date identified</v>
      </c>
      <c r="BG19" s="90"/>
      <c r="BH19" s="90"/>
      <c r="BI19" s="91" t="str">
        <f aca="false">IF(OR(BH19="",AW19=""),"",EDATE(BH19,INDEX(Settings!$F$20:$F$23,MATCH(AW19,Settings!$A$20:$A$23,0))))</f>
        <v/>
      </c>
      <c r="BJ19" s="85" t="str">
        <f aca="false">IF(T19="","",IF(MAX(IF(T19="",0,MATCH(T19,Settings!$A$20:$A$23,0)),IF(AV19="",0,MATCH(AV19,Settings!$A$20:$A$23,0)))&gt;=MATCH(Settings!$C$29,Settings!$A$20:$A$23,0),"Yes","No"))</f>
        <v>Yes</v>
      </c>
      <c r="BK19" s="82"/>
      <c r="BL19" s="81" t="str">
        <f aca="true">IF(A19="","",IF(TRIM(IF(W19="","Treatment not chosen. ","")&amp;IF(AND(W19="Accept",AX19="No"),"Accepted outside appetite: record approval by "&amp;INDEX(Settings!$G$20:$G$23,MATCH(AW19,Settings!$A$20:$A$23,0))&amp;". ","")&amp;IF(AND(W19="Accept",BG19=""),"Acceptance expiry missing. ","")&amp;IF(AND(BG19&lt;&gt;"",BG19&lt;TODAY()),"Acceptance expired. ","")&amp;IF(AND(W19&lt;&gt;"",W19&lt;&gt;"Accept",AV19=""),"Target rating not set. ","")&amp;IF(AND(BE19="Closed",AX19="No"),"Closed while outside appetite. ","")&amp;IF(AND(W19="Transfer",BE19&lt;&gt;"Transferred",BE19&lt;&gt;"Closed"),"Transfer: record the contract, SLA and audit rights. ","")&amp;IF(AZ19="","Risk owner missing. ","")&amp;IF(K19="","Scenario not written. ",""))="","OK",TRIM(IF(W19="","Treatment not chosen. ","")&amp;IF(AND(W19="Accept",AX19="No"),"Accepted outside appetite: record approval by "&amp;INDEX(Settings!$G$20:$G$23,MATCH(AW19,Settings!$A$20:$A$23,0))&amp;". ","")&amp;IF(AND(W19="Accept",BG19=""),"Acceptance expiry missing. ","")&amp;IF(AND(BG19&lt;&gt;"",BG19&lt;TODAY()),"Acceptance expired. ","")&amp;IF(AND(W19&lt;&gt;"",W19&lt;&gt;"Accept",AV19=""),"Target rating not set. ","")&amp;IF(AND(BE19="Closed",AX19="No"),"Closed while outside appetite. ","")&amp;IF(AND(W19="Transfer",BE19&lt;&gt;"Transferred",BE19&lt;&gt;"Closed"),"Transfer: record the contract, SLA and audit rights. ","")&amp;IF(AZ19="","Risk owner missing. ","")&amp;IF(K19="","Scenario not written. ",""))))</f>
        <v>Treatment not chosen. Risk owner missing. Scenario not written.</v>
      </c>
      <c r="BM19" s="82" t="s">
        <v>582</v>
      </c>
    </row>
    <row r="20" customFormat="false" ht="105" hidden="false" customHeight="true" outlineLevel="0" collapsed="false">
      <c r="A20" s="92" t="s">
        <v>583</v>
      </c>
      <c r="B20" s="93" t="s">
        <v>584</v>
      </c>
      <c r="C20" s="80" t="s">
        <v>445</v>
      </c>
      <c r="D20" s="81" t="str">
        <f aca="false">IF(C20="","",IFERROR(INDEX(Lists!$O$2:$O$13,MATCH(C20,Lists!$N$2:$N$13,0)),"Check domain code"))</f>
        <v>Operations and Resilience</v>
      </c>
      <c r="E20" s="81" t="str">
        <f aca="false">IF(C20="","",IFERROR(INDEX(Lists!$P$2:$P$13,MATCH(C20,Lists!$N$2:$N$13,0)),""))</f>
        <v>AI platform owner, IT operations</v>
      </c>
      <c r="F20" s="80"/>
      <c r="G20" s="82" t="s">
        <v>270</v>
      </c>
      <c r="H20" s="82"/>
      <c r="I20" s="82"/>
      <c r="J20" s="94" t="s">
        <v>585</v>
      </c>
      <c r="K20" s="82"/>
      <c r="L20" s="82"/>
      <c r="M20" s="95" t="s">
        <v>586</v>
      </c>
      <c r="N20" s="85" t="str">
        <f aca="false">IF(COUNTIF(Triage!$E$6:$E$41,"Yes")+COUNTIF(Triage!$E$6:$E$41,"No")=0,"Not triaged",IF(SUMPRODUCT(COUNTIFS(Triage!$A$6:$A$41,{"B3","D1"},Triage!$E$6:$E$41,"Yes"))&gt;0,"Applies","Not triggered"))</f>
        <v>Not triaged</v>
      </c>
      <c r="O20" s="82"/>
      <c r="P20" s="86"/>
      <c r="Q20" s="86" t="n">
        <v>3</v>
      </c>
      <c r="R20" s="86" t="n">
        <v>2</v>
      </c>
      <c r="S20" s="21" t="n">
        <f aca="false">IF(OR(Q20="",R20=""),"",Q20*R20)</f>
        <v>6</v>
      </c>
      <c r="T20" s="85" t="str">
        <f aca="false">IF(S20="","",INDEX(Settings!$A$20:$A$23,MATCH(S20,Settings!$B$20:$B$23,1)))</f>
        <v>High</v>
      </c>
      <c r="U20" s="82" t="s">
        <v>273</v>
      </c>
      <c r="V20" s="87"/>
      <c r="W20" s="86"/>
      <c r="X20" s="82"/>
      <c r="Y20" s="96" t="s">
        <v>587</v>
      </c>
      <c r="Z20" s="96" t="s">
        <v>588</v>
      </c>
      <c r="AA20" s="96" t="s">
        <v>589</v>
      </c>
      <c r="AB20" s="96" t="s">
        <v>590</v>
      </c>
      <c r="AC20" s="96" t="s">
        <v>591</v>
      </c>
      <c r="AD20" s="96" t="s">
        <v>592</v>
      </c>
      <c r="AE20" s="96" t="s">
        <v>593</v>
      </c>
      <c r="AF20" s="96" t="s">
        <v>594</v>
      </c>
      <c r="AG20" s="96" t="s">
        <v>595</v>
      </c>
      <c r="AH20" s="96" t="s">
        <v>596</v>
      </c>
      <c r="AI20" s="96" t="s">
        <v>597</v>
      </c>
      <c r="AJ20" s="97" t="s">
        <v>598</v>
      </c>
      <c r="AK20" s="96" t="s">
        <v>599</v>
      </c>
      <c r="AL20" s="96" t="s">
        <v>287</v>
      </c>
      <c r="AM20" s="96" t="s">
        <v>600</v>
      </c>
      <c r="AN20" s="96" t="s">
        <v>287</v>
      </c>
      <c r="AO20" s="96" t="s">
        <v>372</v>
      </c>
      <c r="AP20" s="96" t="s">
        <v>601</v>
      </c>
      <c r="AQ20" s="97" t="n">
        <v>175</v>
      </c>
      <c r="AR20" s="97" t="n">
        <v>104</v>
      </c>
      <c r="AS20" s="86"/>
      <c r="AT20" s="86"/>
      <c r="AU20" s="85" t="str">
        <f aca="false">IF(OR(AS20="",AT20=""),"",AS20*AT20)</f>
        <v/>
      </c>
      <c r="AV20" s="21" t="str">
        <f aca="false">IF(AU20="","",INDEX(Settings!$A$20:$A$23,MATCH(AU20,Settings!$B$20:$B$23,1)))</f>
        <v/>
      </c>
      <c r="AW20" s="85" t="str">
        <f aca="false">IF(AV20&lt;&gt;"",AV20,T20)</f>
        <v>High</v>
      </c>
      <c r="AX20" s="85" t="str">
        <f aca="false">IF(AW20="","",IF(MATCH(AW20,Settings!$A$20:$A$23,0)&lt;=MATCH(Settings!$C$28,Settings!$A$20:$A$23,0),"Yes","No"))</f>
        <v>No</v>
      </c>
      <c r="AY20" s="81" t="str">
        <f aca="false">IF(AW20="","",IF(AX20="Yes",INDEX(Settings!$G$20:$G$23,MATCH(AW20,Settings!$A$20:$A$23,0)),INDEX(Settings!$G$20:$G$23,MATCH(AW20,Settings!$A$20:$A$23,0))&amp;" (outside appetite)"))</f>
        <v>AI Governance Committee (outside appetite)</v>
      </c>
      <c r="AZ20" s="82"/>
      <c r="BA20" s="82"/>
      <c r="BB20" s="90"/>
      <c r="BC20" s="91" t="str">
        <f aca="false">IF(OR(BB20="",T20=""),"",BB20+INDEX(Settings!$E$20:$E$23,MATCH(T20,Settings!$A$20:$A$23,0)))</f>
        <v/>
      </c>
      <c r="BD20" s="90"/>
      <c r="BE20" s="82"/>
      <c r="BF20" s="81" t="str">
        <f aca="true">IF(A20="","",IF(OR(BE20="Closed",BE20="Accepted"),"No action",IF(BB20="","Set date identified",IF(TODAY()&gt;BC20,"Deadline exceeded",IF(BC20-TODAY()&lt;=Settings!$C$30,"Deadline approaching","On track")))))</f>
        <v>Set date identified</v>
      </c>
      <c r="BG20" s="90"/>
      <c r="BH20" s="90"/>
      <c r="BI20" s="91" t="str">
        <f aca="false">IF(OR(BH20="",AW20=""),"",EDATE(BH20,INDEX(Settings!$F$20:$F$23,MATCH(AW20,Settings!$A$20:$A$23,0))))</f>
        <v/>
      </c>
      <c r="BJ20" s="85" t="str">
        <f aca="false">IF(T20="","",IF(MAX(IF(T20="",0,MATCH(T20,Settings!$A$20:$A$23,0)),IF(AV20="",0,MATCH(AV20,Settings!$A$20:$A$23,0)))&gt;=MATCH(Settings!$C$29,Settings!$A$20:$A$23,0),"Yes","No"))</f>
        <v>Yes</v>
      </c>
      <c r="BK20" s="82"/>
      <c r="BL20" s="81" t="str">
        <f aca="true">IF(A20="","",IF(TRIM(IF(W20="","Treatment not chosen. ","")&amp;IF(AND(W20="Accept",AX20="No"),"Accepted outside appetite: record approval by "&amp;INDEX(Settings!$G$20:$G$23,MATCH(AW20,Settings!$A$20:$A$23,0))&amp;". ","")&amp;IF(AND(W20="Accept",BG20=""),"Acceptance expiry missing. ","")&amp;IF(AND(BG20&lt;&gt;"",BG20&lt;TODAY()),"Acceptance expired. ","")&amp;IF(AND(W20&lt;&gt;"",W20&lt;&gt;"Accept",AV20=""),"Target rating not set. ","")&amp;IF(AND(BE20="Closed",AX20="No"),"Closed while outside appetite. ","")&amp;IF(AND(W20="Transfer",BE20&lt;&gt;"Transferred",BE20&lt;&gt;"Closed"),"Transfer: record the contract, SLA and audit rights. ","")&amp;IF(AZ20="","Risk owner missing. ","")&amp;IF(K20="","Scenario not written. ",""))="","OK",TRIM(IF(W20="","Treatment not chosen. ","")&amp;IF(AND(W20="Accept",AX20="No"),"Accepted outside appetite: record approval by "&amp;INDEX(Settings!$G$20:$G$23,MATCH(AW20,Settings!$A$20:$A$23,0))&amp;". ","")&amp;IF(AND(W20="Accept",BG20=""),"Acceptance expiry missing. ","")&amp;IF(AND(BG20&lt;&gt;"",BG20&lt;TODAY()),"Acceptance expired. ","")&amp;IF(AND(W20&lt;&gt;"",W20&lt;&gt;"Accept",AV20=""),"Target rating not set. ","")&amp;IF(AND(BE20="Closed",AX20="No"),"Closed while outside appetite. ","")&amp;IF(AND(W20="Transfer",BE20&lt;&gt;"Transferred",BE20&lt;&gt;"Closed"),"Transfer: record the contract, SLA and audit rights. ","")&amp;IF(AZ20="","Risk owner missing. ","")&amp;IF(K20="","Scenario not written. ",""))))</f>
        <v>Treatment not chosen. Risk owner missing. Scenario not written.</v>
      </c>
      <c r="BM20" s="82" t="s">
        <v>602</v>
      </c>
    </row>
    <row r="21" customFormat="false" ht="105" hidden="false" customHeight="true" outlineLevel="0" collapsed="false">
      <c r="A21" s="78" t="s">
        <v>603</v>
      </c>
      <c r="B21" s="79" t="s">
        <v>604</v>
      </c>
      <c r="C21" s="80" t="s">
        <v>565</v>
      </c>
      <c r="D21" s="81" t="str">
        <f aca="false">IF(C21="","",IFERROR(INDEX(Lists!$O$2:$O$13,MATCH(C21,Lists!$N$2:$N$13,0)),"Check domain code"))</f>
        <v>Model Development and Performance</v>
      </c>
      <c r="E21" s="81" t="str">
        <f aca="false">IF(C21="","",IFERROR(INDEX(Lists!$P$2:$P$13,MATCH(C21,Lists!$N$2:$N$13,0)),""))</f>
        <v>Model owners, model risk management</v>
      </c>
      <c r="F21" s="80"/>
      <c r="G21" s="82" t="s">
        <v>270</v>
      </c>
      <c r="H21" s="82"/>
      <c r="I21" s="82"/>
      <c r="J21" s="83" t="s">
        <v>605</v>
      </c>
      <c r="K21" s="82"/>
      <c r="L21" s="82"/>
      <c r="M21" s="84" t="s">
        <v>606</v>
      </c>
      <c r="N21" s="85" t="str">
        <f aca="false">IF(COUNTIF(Triage!$E$6:$E$41,"Yes")+COUNTIF(Triage!$E$6:$E$41,"No")=0,"Not triaged",IF(SUMPRODUCT(COUNTIFS(Triage!$A$6:$A$41,{"B5","B6"},Triage!$E$6:$E$41,"Yes"))&gt;0,"Applies","Not triggered"))</f>
        <v>Not triaged</v>
      </c>
      <c r="O21" s="82"/>
      <c r="P21" s="86"/>
      <c r="Q21" s="86" t="n">
        <v>2</v>
      </c>
      <c r="R21" s="86" t="n">
        <v>3</v>
      </c>
      <c r="S21" s="21" t="n">
        <f aca="false">IF(OR(Q21="",R21=""),"",Q21*R21)</f>
        <v>6</v>
      </c>
      <c r="T21" s="85" t="str">
        <f aca="false">IF(S21="","",INDEX(Settings!$A$20:$A$23,MATCH(S21,Settings!$B$20:$B$23,1)))</f>
        <v>High</v>
      </c>
      <c r="U21" s="82" t="s">
        <v>273</v>
      </c>
      <c r="V21" s="87"/>
      <c r="W21" s="86"/>
      <c r="X21" s="82"/>
      <c r="Y21" s="88" t="s">
        <v>607</v>
      </c>
      <c r="Z21" s="88" t="s">
        <v>608</v>
      </c>
      <c r="AA21" s="88" t="s">
        <v>609</v>
      </c>
      <c r="AB21" s="88" t="s">
        <v>610</v>
      </c>
      <c r="AC21" s="88" t="s">
        <v>611</v>
      </c>
      <c r="AD21" s="88" t="s">
        <v>612</v>
      </c>
      <c r="AE21" s="88" t="s">
        <v>613</v>
      </c>
      <c r="AF21" s="88" t="s">
        <v>594</v>
      </c>
      <c r="AG21" s="88" t="s">
        <v>614</v>
      </c>
      <c r="AH21" s="88" t="s">
        <v>615</v>
      </c>
      <c r="AI21" s="88" t="s">
        <v>616</v>
      </c>
      <c r="AJ21" s="89" t="s">
        <v>617</v>
      </c>
      <c r="AK21" s="88" t="s">
        <v>618</v>
      </c>
      <c r="AL21" s="88" t="s">
        <v>287</v>
      </c>
      <c r="AM21" s="88" t="s">
        <v>619</v>
      </c>
      <c r="AN21" s="88" t="s">
        <v>287</v>
      </c>
      <c r="AO21" s="88" t="s">
        <v>620</v>
      </c>
      <c r="AP21" s="88" t="s">
        <v>621</v>
      </c>
      <c r="AQ21" s="89" t="n">
        <v>133</v>
      </c>
      <c r="AR21" s="89" t="n">
        <v>86</v>
      </c>
      <c r="AS21" s="86"/>
      <c r="AT21" s="86"/>
      <c r="AU21" s="85" t="str">
        <f aca="false">IF(OR(AS21="",AT21=""),"",AS21*AT21)</f>
        <v/>
      </c>
      <c r="AV21" s="21" t="str">
        <f aca="false">IF(AU21="","",INDEX(Settings!$A$20:$A$23,MATCH(AU21,Settings!$B$20:$B$23,1)))</f>
        <v/>
      </c>
      <c r="AW21" s="85" t="str">
        <f aca="false">IF(AV21&lt;&gt;"",AV21,T21)</f>
        <v>High</v>
      </c>
      <c r="AX21" s="85" t="str">
        <f aca="false">IF(AW21="","",IF(MATCH(AW21,Settings!$A$20:$A$23,0)&lt;=MATCH(Settings!$C$28,Settings!$A$20:$A$23,0),"Yes","No"))</f>
        <v>No</v>
      </c>
      <c r="AY21" s="81" t="str">
        <f aca="false">IF(AW21="","",IF(AX21="Yes",INDEX(Settings!$G$20:$G$23,MATCH(AW21,Settings!$A$20:$A$23,0)),INDEX(Settings!$G$20:$G$23,MATCH(AW21,Settings!$A$20:$A$23,0))&amp;" (outside appetite)"))</f>
        <v>AI Governance Committee (outside appetite)</v>
      </c>
      <c r="AZ21" s="82"/>
      <c r="BA21" s="82"/>
      <c r="BB21" s="90"/>
      <c r="BC21" s="91" t="str">
        <f aca="false">IF(OR(BB21="",T21=""),"",BB21+INDEX(Settings!$E$20:$E$23,MATCH(T21,Settings!$A$20:$A$23,0)))</f>
        <v/>
      </c>
      <c r="BD21" s="90"/>
      <c r="BE21" s="82"/>
      <c r="BF21" s="81" t="str">
        <f aca="true">IF(A21="","",IF(OR(BE21="Closed",BE21="Accepted"),"No action",IF(BB21="","Set date identified",IF(TODAY()&gt;BC21,"Deadline exceeded",IF(BC21-TODAY()&lt;=Settings!$C$30,"Deadline approaching","On track")))))</f>
        <v>Set date identified</v>
      </c>
      <c r="BG21" s="90"/>
      <c r="BH21" s="90"/>
      <c r="BI21" s="91" t="str">
        <f aca="false">IF(OR(BH21="",AW21=""),"",EDATE(BH21,INDEX(Settings!$F$20:$F$23,MATCH(AW21,Settings!$A$20:$A$23,0))))</f>
        <v/>
      </c>
      <c r="BJ21" s="85" t="str">
        <f aca="false">IF(T21="","",IF(MAX(IF(T21="",0,MATCH(T21,Settings!$A$20:$A$23,0)),IF(AV21="",0,MATCH(AV21,Settings!$A$20:$A$23,0)))&gt;=MATCH(Settings!$C$29,Settings!$A$20:$A$23,0),"Yes","No"))</f>
        <v>Yes</v>
      </c>
      <c r="BK21" s="82"/>
      <c r="BL21" s="81" t="str">
        <f aca="true">IF(A21="","",IF(TRIM(IF(W21="","Treatment not chosen. ","")&amp;IF(AND(W21="Accept",AX21="No"),"Accepted outside appetite: record approval by "&amp;INDEX(Settings!$G$20:$G$23,MATCH(AW21,Settings!$A$20:$A$23,0))&amp;". ","")&amp;IF(AND(W21="Accept",BG21=""),"Acceptance expiry missing. ","")&amp;IF(AND(BG21&lt;&gt;"",BG21&lt;TODAY()),"Acceptance expired. ","")&amp;IF(AND(W21&lt;&gt;"",W21&lt;&gt;"Accept",AV21=""),"Target rating not set. ","")&amp;IF(AND(BE21="Closed",AX21="No"),"Closed while outside appetite. ","")&amp;IF(AND(W21="Transfer",BE21&lt;&gt;"Transferred",BE21&lt;&gt;"Closed"),"Transfer: record the contract, SLA and audit rights. ","")&amp;IF(AZ21="","Risk owner missing. ","")&amp;IF(K21="","Scenario not written. ",""))="","OK",TRIM(IF(W21="","Treatment not chosen. ","")&amp;IF(AND(W21="Accept",AX21="No"),"Accepted outside appetite: record approval by "&amp;INDEX(Settings!$G$20:$G$23,MATCH(AW21,Settings!$A$20:$A$23,0))&amp;". ","")&amp;IF(AND(W21="Accept",BG21=""),"Acceptance expiry missing. ","")&amp;IF(AND(BG21&lt;&gt;"",BG21&lt;TODAY()),"Acceptance expired. ","")&amp;IF(AND(W21&lt;&gt;"",W21&lt;&gt;"Accept",AV21=""),"Target rating not set. ","")&amp;IF(AND(BE21="Closed",AX21="No"),"Closed while outside appetite. ","")&amp;IF(AND(W21="Transfer",BE21&lt;&gt;"Transferred",BE21&lt;&gt;"Closed"),"Transfer: record the contract, SLA and audit rights. ","")&amp;IF(AZ21="","Risk owner missing. ","")&amp;IF(K21="","Scenario not written. ",""))))</f>
        <v>Treatment not chosen. Risk owner missing. Scenario not written.</v>
      </c>
      <c r="BM21" s="82" t="s">
        <v>622</v>
      </c>
    </row>
    <row r="22" customFormat="false" ht="105" hidden="false" customHeight="true" outlineLevel="0" collapsed="false">
      <c r="A22" s="92" t="s">
        <v>623</v>
      </c>
      <c r="B22" s="93" t="s">
        <v>624</v>
      </c>
      <c r="C22" s="80" t="s">
        <v>293</v>
      </c>
      <c r="D22" s="81" t="str">
        <f aca="false">IF(C22="","",IFERROR(INDEX(Lists!$O$2:$O$13,MATCH(C22,Lists!$N$2:$N$13,0)),"Check domain code"))</f>
        <v>AI Governance and Accountability</v>
      </c>
      <c r="E22" s="81" t="str">
        <f aca="false">IF(C22="","",IFERROR(INDEX(Lists!$P$2:$P$13,MATCH(C22,Lists!$N$2:$N$13,0)),""))</f>
        <v>AI governance committee, chief risk officer</v>
      </c>
      <c r="F22" s="80"/>
      <c r="G22" s="82" t="s">
        <v>270</v>
      </c>
      <c r="H22" s="82"/>
      <c r="I22" s="82"/>
      <c r="J22" s="94" t="s">
        <v>625</v>
      </c>
      <c r="K22" s="82"/>
      <c r="L22" s="82"/>
      <c r="M22" s="95" t="s">
        <v>626</v>
      </c>
      <c r="N22" s="85" t="str">
        <f aca="false">IF(COUNTIF(Triage!$E$6:$E$41,"Yes")+COUNTIF(Triage!$E$6:$E$41,"No")=0,"Not triaged",IF(SUMPRODUCT(COUNTIFS(Triage!$A$6:$A$41,{"A2","D6"},Triage!$E$6:$E$41,"Yes"))&gt;0,"Applies","Not triggered"))</f>
        <v>Not triaged</v>
      </c>
      <c r="O22" s="82"/>
      <c r="P22" s="86"/>
      <c r="Q22" s="86" t="n">
        <v>2</v>
      </c>
      <c r="R22" s="86" t="n">
        <v>3</v>
      </c>
      <c r="S22" s="21" t="n">
        <f aca="false">IF(OR(Q22="",R22=""),"",Q22*R22)</f>
        <v>6</v>
      </c>
      <c r="T22" s="85" t="str">
        <f aca="false">IF(S22="","",INDEX(Settings!$A$20:$A$23,MATCH(S22,Settings!$B$20:$B$23,1)))</f>
        <v>High</v>
      </c>
      <c r="U22" s="82" t="s">
        <v>273</v>
      </c>
      <c r="V22" s="87"/>
      <c r="W22" s="86"/>
      <c r="X22" s="82"/>
      <c r="Y22" s="96" t="s">
        <v>627</v>
      </c>
      <c r="Z22" s="96" t="s">
        <v>628</v>
      </c>
      <c r="AA22" s="96" t="s">
        <v>629</v>
      </c>
      <c r="AB22" s="96" t="s">
        <v>630</v>
      </c>
      <c r="AC22" s="96" t="s">
        <v>631</v>
      </c>
      <c r="AD22" s="96" t="s">
        <v>632</v>
      </c>
      <c r="AE22" s="96" t="s">
        <v>633</v>
      </c>
      <c r="AF22" s="96" t="s">
        <v>634</v>
      </c>
      <c r="AG22" s="96"/>
      <c r="AH22" s="96" t="s">
        <v>635</v>
      </c>
      <c r="AI22" s="96" t="s">
        <v>636</v>
      </c>
      <c r="AJ22" s="97" t="s">
        <v>637</v>
      </c>
      <c r="AK22" s="96" t="s">
        <v>638</v>
      </c>
      <c r="AL22" s="96" t="s">
        <v>287</v>
      </c>
      <c r="AM22" s="96" t="s">
        <v>639</v>
      </c>
      <c r="AN22" s="96" t="s">
        <v>287</v>
      </c>
      <c r="AO22" s="96" t="s">
        <v>640</v>
      </c>
      <c r="AP22" s="96" t="s">
        <v>641</v>
      </c>
      <c r="AQ22" s="97" t="n">
        <v>175</v>
      </c>
      <c r="AR22" s="97" t="n">
        <v>40</v>
      </c>
      <c r="AS22" s="86"/>
      <c r="AT22" s="86"/>
      <c r="AU22" s="85" t="str">
        <f aca="false">IF(OR(AS22="",AT22=""),"",AS22*AT22)</f>
        <v/>
      </c>
      <c r="AV22" s="21" t="str">
        <f aca="false">IF(AU22="","",INDEX(Settings!$A$20:$A$23,MATCH(AU22,Settings!$B$20:$B$23,1)))</f>
        <v/>
      </c>
      <c r="AW22" s="85" t="str">
        <f aca="false">IF(AV22&lt;&gt;"",AV22,T22)</f>
        <v>High</v>
      </c>
      <c r="AX22" s="85" t="str">
        <f aca="false">IF(AW22="","",IF(MATCH(AW22,Settings!$A$20:$A$23,0)&lt;=MATCH(Settings!$C$28,Settings!$A$20:$A$23,0),"Yes","No"))</f>
        <v>No</v>
      </c>
      <c r="AY22" s="81" t="str">
        <f aca="false">IF(AW22="","",IF(AX22="Yes",INDEX(Settings!$G$20:$G$23,MATCH(AW22,Settings!$A$20:$A$23,0)),INDEX(Settings!$G$20:$G$23,MATCH(AW22,Settings!$A$20:$A$23,0))&amp;" (outside appetite)"))</f>
        <v>AI Governance Committee (outside appetite)</v>
      </c>
      <c r="AZ22" s="82"/>
      <c r="BA22" s="82"/>
      <c r="BB22" s="90"/>
      <c r="BC22" s="91" t="str">
        <f aca="false">IF(OR(BB22="",T22=""),"",BB22+INDEX(Settings!$E$20:$E$23,MATCH(T22,Settings!$A$20:$A$23,0)))</f>
        <v/>
      </c>
      <c r="BD22" s="90"/>
      <c r="BE22" s="82"/>
      <c r="BF22" s="81" t="str">
        <f aca="true">IF(A22="","",IF(OR(BE22="Closed",BE22="Accepted"),"No action",IF(BB22="","Set date identified",IF(TODAY()&gt;BC22,"Deadline exceeded",IF(BC22-TODAY()&lt;=Settings!$C$30,"Deadline approaching","On track")))))</f>
        <v>Set date identified</v>
      </c>
      <c r="BG22" s="90"/>
      <c r="BH22" s="90"/>
      <c r="BI22" s="91" t="str">
        <f aca="false">IF(OR(BH22="",AW22=""),"",EDATE(BH22,INDEX(Settings!$F$20:$F$23,MATCH(AW22,Settings!$A$20:$A$23,0))))</f>
        <v/>
      </c>
      <c r="BJ22" s="85" t="str">
        <f aca="false">IF(T22="","",IF(MAX(IF(T22="",0,MATCH(T22,Settings!$A$20:$A$23,0)),IF(AV22="",0,MATCH(AV22,Settings!$A$20:$A$23,0)))&gt;=MATCH(Settings!$C$29,Settings!$A$20:$A$23,0),"Yes","No"))</f>
        <v>Yes</v>
      </c>
      <c r="BK22" s="82"/>
      <c r="BL22" s="81" t="str">
        <f aca="true">IF(A22="","",IF(TRIM(IF(W22="","Treatment not chosen. ","")&amp;IF(AND(W22="Accept",AX22="No"),"Accepted outside appetite: record approval by "&amp;INDEX(Settings!$G$20:$G$23,MATCH(AW22,Settings!$A$20:$A$23,0))&amp;". ","")&amp;IF(AND(W22="Accept",BG22=""),"Acceptance expiry missing. ","")&amp;IF(AND(BG22&lt;&gt;"",BG22&lt;TODAY()),"Acceptance expired. ","")&amp;IF(AND(W22&lt;&gt;"",W22&lt;&gt;"Accept",AV22=""),"Target rating not set. ","")&amp;IF(AND(BE22="Closed",AX22="No"),"Closed while outside appetite. ","")&amp;IF(AND(W22="Transfer",BE22&lt;&gt;"Transferred",BE22&lt;&gt;"Closed"),"Transfer: record the contract, SLA and audit rights. ","")&amp;IF(AZ22="","Risk owner missing. ","")&amp;IF(K22="","Scenario not written. ",""))="","OK",TRIM(IF(W22="","Treatment not chosen. ","")&amp;IF(AND(W22="Accept",AX22="No"),"Accepted outside appetite: record approval by "&amp;INDEX(Settings!$G$20:$G$23,MATCH(AW22,Settings!$A$20:$A$23,0))&amp;". ","")&amp;IF(AND(W22="Accept",BG22=""),"Acceptance expiry missing. ","")&amp;IF(AND(BG22&lt;&gt;"",BG22&lt;TODAY()),"Acceptance expired. ","")&amp;IF(AND(W22&lt;&gt;"",W22&lt;&gt;"Accept",AV22=""),"Target rating not set. ","")&amp;IF(AND(BE22="Closed",AX22="No"),"Closed while outside appetite. ","")&amp;IF(AND(W22="Transfer",BE22&lt;&gt;"Transferred",BE22&lt;&gt;"Closed"),"Transfer: record the contract, SLA and audit rights. ","")&amp;IF(AZ22="","Risk owner missing. ","")&amp;IF(K22="","Scenario not written. ",""))))</f>
        <v>Treatment not chosen. Risk owner missing. Scenario not written.</v>
      </c>
      <c r="BM22" s="82" t="s">
        <v>642</v>
      </c>
    </row>
    <row r="23" customFormat="false" ht="105" hidden="false" customHeight="true" outlineLevel="0" collapsed="false">
      <c r="A23" s="78" t="s">
        <v>643</v>
      </c>
      <c r="B23" s="79" t="s">
        <v>644</v>
      </c>
      <c r="C23" s="80" t="s">
        <v>506</v>
      </c>
      <c r="D23" s="81" t="str">
        <f aca="false">IF(C23="","",IFERROR(INDEX(Lists!$O$2:$O$13,MATCH(C23,Lists!$N$2:$N$13,0)),"Check domain code"))</f>
        <v>Safety, Ethics and Responsible AI</v>
      </c>
      <c r="E23" s="81" t="str">
        <f aca="false">IF(C23="","",IFERROR(INDEX(Lists!$P$2:$P$13,MATCH(C23,Lists!$N$2:$N$13,0)),""))</f>
        <v>Responsible AI lead, product owners</v>
      </c>
      <c r="F23" s="80"/>
      <c r="G23" s="82" t="s">
        <v>270</v>
      </c>
      <c r="H23" s="82"/>
      <c r="I23" s="82"/>
      <c r="J23" s="83" t="s">
        <v>645</v>
      </c>
      <c r="K23" s="82"/>
      <c r="L23" s="82"/>
      <c r="M23" s="84" t="s">
        <v>646</v>
      </c>
      <c r="N23" s="85" t="str">
        <f aca="false">IF(COUNTIF(Triage!$E$6:$E$41,"Yes")+COUNTIF(Triage!$E$6:$E$41,"No")=0,"Not triaged",IF(SUMPRODUCT(COUNTIFS(Triage!$A$6:$A$41,{"A2","C1","C5"},Triage!$E$6:$E$41,"Yes"))&gt;0,"Applies","Not triggered"))</f>
        <v>Not triaged</v>
      </c>
      <c r="O23" s="82"/>
      <c r="P23" s="86"/>
      <c r="Q23" s="86" t="n">
        <v>2</v>
      </c>
      <c r="R23" s="86" t="n">
        <v>3</v>
      </c>
      <c r="S23" s="21" t="n">
        <f aca="false">IF(OR(Q23="",R23=""),"",Q23*R23)</f>
        <v>6</v>
      </c>
      <c r="T23" s="85" t="str">
        <f aca="false">IF(S23="","",INDEX(Settings!$A$20:$A$23,MATCH(S23,Settings!$B$20:$B$23,1)))</f>
        <v>High</v>
      </c>
      <c r="U23" s="82" t="s">
        <v>273</v>
      </c>
      <c r="V23" s="87"/>
      <c r="W23" s="86"/>
      <c r="X23" s="82"/>
      <c r="Y23" s="88" t="s">
        <v>647</v>
      </c>
      <c r="Z23" s="88" t="s">
        <v>648</v>
      </c>
      <c r="AA23" s="88" t="s">
        <v>649</v>
      </c>
      <c r="AB23" s="88" t="s">
        <v>650</v>
      </c>
      <c r="AC23" s="88" t="s">
        <v>651</v>
      </c>
      <c r="AD23" s="88" t="s">
        <v>652</v>
      </c>
      <c r="AE23" s="88" t="s">
        <v>653</v>
      </c>
      <c r="AF23" s="88" t="s">
        <v>634</v>
      </c>
      <c r="AG23" s="88" t="s">
        <v>654</v>
      </c>
      <c r="AH23" s="88" t="s">
        <v>655</v>
      </c>
      <c r="AI23" s="88" t="s">
        <v>656</v>
      </c>
      <c r="AJ23" s="89" t="s">
        <v>657</v>
      </c>
      <c r="AK23" s="88" t="s">
        <v>658</v>
      </c>
      <c r="AL23" s="88" t="s">
        <v>659</v>
      </c>
      <c r="AM23" s="88" t="s">
        <v>660</v>
      </c>
      <c r="AN23" s="88" t="s">
        <v>287</v>
      </c>
      <c r="AO23" s="88" t="s">
        <v>661</v>
      </c>
      <c r="AP23" s="88" t="s">
        <v>662</v>
      </c>
      <c r="AQ23" s="89" t="n">
        <v>135</v>
      </c>
      <c r="AR23" s="89" t="n">
        <v>19</v>
      </c>
      <c r="AS23" s="86"/>
      <c r="AT23" s="86"/>
      <c r="AU23" s="85" t="str">
        <f aca="false">IF(OR(AS23="",AT23=""),"",AS23*AT23)</f>
        <v/>
      </c>
      <c r="AV23" s="21" t="str">
        <f aca="false">IF(AU23="","",INDEX(Settings!$A$20:$A$23,MATCH(AU23,Settings!$B$20:$B$23,1)))</f>
        <v/>
      </c>
      <c r="AW23" s="85" t="str">
        <f aca="false">IF(AV23&lt;&gt;"",AV23,T23)</f>
        <v>High</v>
      </c>
      <c r="AX23" s="85" t="str">
        <f aca="false">IF(AW23="","",IF(MATCH(AW23,Settings!$A$20:$A$23,0)&lt;=MATCH(Settings!$C$28,Settings!$A$20:$A$23,0),"Yes","No"))</f>
        <v>No</v>
      </c>
      <c r="AY23" s="81" t="str">
        <f aca="false">IF(AW23="","",IF(AX23="Yes",INDEX(Settings!$G$20:$G$23,MATCH(AW23,Settings!$A$20:$A$23,0)),INDEX(Settings!$G$20:$G$23,MATCH(AW23,Settings!$A$20:$A$23,0))&amp;" (outside appetite)"))</f>
        <v>AI Governance Committee (outside appetite)</v>
      </c>
      <c r="AZ23" s="82"/>
      <c r="BA23" s="82"/>
      <c r="BB23" s="90"/>
      <c r="BC23" s="91" t="str">
        <f aca="false">IF(OR(BB23="",T23=""),"",BB23+INDEX(Settings!$E$20:$E$23,MATCH(T23,Settings!$A$20:$A$23,0)))</f>
        <v/>
      </c>
      <c r="BD23" s="90"/>
      <c r="BE23" s="82"/>
      <c r="BF23" s="81" t="str">
        <f aca="true">IF(A23="","",IF(OR(BE23="Closed",BE23="Accepted"),"No action",IF(BB23="","Set date identified",IF(TODAY()&gt;BC23,"Deadline exceeded",IF(BC23-TODAY()&lt;=Settings!$C$30,"Deadline approaching","On track")))))</f>
        <v>Set date identified</v>
      </c>
      <c r="BG23" s="90"/>
      <c r="BH23" s="90"/>
      <c r="BI23" s="91" t="str">
        <f aca="false">IF(OR(BH23="",AW23=""),"",EDATE(BH23,INDEX(Settings!$F$20:$F$23,MATCH(AW23,Settings!$A$20:$A$23,0))))</f>
        <v/>
      </c>
      <c r="BJ23" s="85" t="str">
        <f aca="false">IF(T23="","",IF(MAX(IF(T23="",0,MATCH(T23,Settings!$A$20:$A$23,0)),IF(AV23="",0,MATCH(AV23,Settings!$A$20:$A$23,0)))&gt;=MATCH(Settings!$C$29,Settings!$A$20:$A$23,0),"Yes","No"))</f>
        <v>Yes</v>
      </c>
      <c r="BK23" s="82"/>
      <c r="BL23" s="81" t="str">
        <f aca="true">IF(A23="","",IF(TRIM(IF(W23="","Treatment not chosen. ","")&amp;IF(AND(W23="Accept",AX23="No"),"Accepted outside appetite: record approval by "&amp;INDEX(Settings!$G$20:$G$23,MATCH(AW23,Settings!$A$20:$A$23,0))&amp;". ","")&amp;IF(AND(W23="Accept",BG23=""),"Acceptance expiry missing. ","")&amp;IF(AND(BG23&lt;&gt;"",BG23&lt;TODAY()),"Acceptance expired. ","")&amp;IF(AND(W23&lt;&gt;"",W23&lt;&gt;"Accept",AV23=""),"Target rating not set. ","")&amp;IF(AND(BE23="Closed",AX23="No"),"Closed while outside appetite. ","")&amp;IF(AND(W23="Transfer",BE23&lt;&gt;"Transferred",BE23&lt;&gt;"Closed"),"Transfer: record the contract, SLA and audit rights. ","")&amp;IF(AZ23="","Risk owner missing. ","")&amp;IF(K23="","Scenario not written. ",""))="","OK",TRIM(IF(W23="","Treatment not chosen. ","")&amp;IF(AND(W23="Accept",AX23="No"),"Accepted outside appetite: record approval by "&amp;INDEX(Settings!$G$20:$G$23,MATCH(AW23,Settings!$A$20:$A$23,0))&amp;". ","")&amp;IF(AND(W23="Accept",BG23=""),"Acceptance expiry missing. ","")&amp;IF(AND(BG23&lt;&gt;"",BG23&lt;TODAY()),"Acceptance expired. ","")&amp;IF(AND(W23&lt;&gt;"",W23&lt;&gt;"Accept",AV23=""),"Target rating not set. ","")&amp;IF(AND(BE23="Closed",AX23="No"),"Closed while outside appetite. ","")&amp;IF(AND(W23="Transfer",BE23&lt;&gt;"Transferred",BE23&lt;&gt;"Closed"),"Transfer: record the contract, SLA and audit rights. ","")&amp;IF(AZ23="","Risk owner missing. ","")&amp;IF(K23="","Scenario not written. ",""))))</f>
        <v>Treatment not chosen. Risk owner missing. Scenario not written.</v>
      </c>
      <c r="BM23" s="82" t="s">
        <v>663</v>
      </c>
    </row>
    <row r="24" customFormat="false" ht="105" hidden="false" customHeight="true" outlineLevel="0" collapsed="false">
      <c r="A24" s="92" t="s">
        <v>664</v>
      </c>
      <c r="B24" s="93" t="s">
        <v>665</v>
      </c>
      <c r="C24" s="80" t="s">
        <v>666</v>
      </c>
      <c r="D24" s="81" t="str">
        <f aca="false">IF(C24="","",IFERROR(INDEX(Lists!$O$2:$O$13,MATCH(C24,Lists!$N$2:$N$13,0)),"Check domain code"))</f>
        <v>Workforce, Human and Societal</v>
      </c>
      <c r="E24" s="81" t="str">
        <f aca="false">IF(C24="","",IFERROR(INDEX(Lists!$P$2:$P$13,MATCH(C24,Lists!$N$2:$N$13,0)),""))</f>
        <v>HR, communications</v>
      </c>
      <c r="F24" s="80"/>
      <c r="G24" s="82" t="s">
        <v>270</v>
      </c>
      <c r="H24" s="82"/>
      <c r="I24" s="82"/>
      <c r="J24" s="94" t="s">
        <v>667</v>
      </c>
      <c r="K24" s="82"/>
      <c r="L24" s="82"/>
      <c r="M24" s="95" t="s">
        <v>668</v>
      </c>
      <c r="N24" s="85" t="str">
        <f aca="false">IF(COUNTIF(Triage!$E$6:$E$41,"Yes")+COUNTIF(Triage!$E$6:$E$41,"No")=0,"Not triaged",IF(SUMPRODUCT(COUNTIFS(Triage!$A$6:$A$41,{"C2","D4"},Triage!$E$6:$E$41,"Yes"))&gt;0,"Applies","Not triggered"))</f>
        <v>Not triaged</v>
      </c>
      <c r="O24" s="82"/>
      <c r="P24" s="86"/>
      <c r="Q24" s="86" t="n">
        <v>2</v>
      </c>
      <c r="R24" s="86" t="n">
        <v>3</v>
      </c>
      <c r="S24" s="21" t="n">
        <f aca="false">IF(OR(Q24="",R24=""),"",Q24*R24)</f>
        <v>6</v>
      </c>
      <c r="T24" s="85" t="str">
        <f aca="false">IF(S24="","",INDEX(Settings!$A$20:$A$23,MATCH(S24,Settings!$B$20:$B$23,1)))</f>
        <v>High</v>
      </c>
      <c r="U24" s="82" t="s">
        <v>273</v>
      </c>
      <c r="V24" s="87"/>
      <c r="W24" s="86"/>
      <c r="X24" s="82"/>
      <c r="Y24" s="96" t="s">
        <v>669</v>
      </c>
      <c r="Z24" s="96" t="s">
        <v>670</v>
      </c>
      <c r="AA24" s="96" t="s">
        <v>671</v>
      </c>
      <c r="AB24" s="96" t="s">
        <v>672</v>
      </c>
      <c r="AC24" s="96" t="s">
        <v>673</v>
      </c>
      <c r="AD24" s="96" t="s">
        <v>674</v>
      </c>
      <c r="AE24" s="96" t="s">
        <v>675</v>
      </c>
      <c r="AF24" s="96" t="s">
        <v>594</v>
      </c>
      <c r="AG24" s="96" t="s">
        <v>516</v>
      </c>
      <c r="AH24" s="96" t="s">
        <v>676</v>
      </c>
      <c r="AI24" s="96" t="s">
        <v>677</v>
      </c>
      <c r="AJ24" s="97" t="s">
        <v>678</v>
      </c>
      <c r="AK24" s="96" t="s">
        <v>679</v>
      </c>
      <c r="AL24" s="96" t="s">
        <v>680</v>
      </c>
      <c r="AM24" s="96" t="s">
        <v>681</v>
      </c>
      <c r="AN24" s="96" t="s">
        <v>287</v>
      </c>
      <c r="AO24" s="96" t="s">
        <v>682</v>
      </c>
      <c r="AP24" s="96" t="s">
        <v>683</v>
      </c>
      <c r="AQ24" s="97" t="n">
        <v>172</v>
      </c>
      <c r="AR24" s="97" t="n">
        <v>84</v>
      </c>
      <c r="AS24" s="86"/>
      <c r="AT24" s="86"/>
      <c r="AU24" s="85" t="str">
        <f aca="false">IF(OR(AS24="",AT24=""),"",AS24*AT24)</f>
        <v/>
      </c>
      <c r="AV24" s="21" t="str">
        <f aca="false">IF(AU24="","",INDEX(Settings!$A$20:$A$23,MATCH(AU24,Settings!$B$20:$B$23,1)))</f>
        <v/>
      </c>
      <c r="AW24" s="85" t="str">
        <f aca="false">IF(AV24&lt;&gt;"",AV24,T24)</f>
        <v>High</v>
      </c>
      <c r="AX24" s="85" t="str">
        <f aca="false">IF(AW24="","",IF(MATCH(AW24,Settings!$A$20:$A$23,0)&lt;=MATCH(Settings!$C$28,Settings!$A$20:$A$23,0),"Yes","No"))</f>
        <v>No</v>
      </c>
      <c r="AY24" s="81" t="str">
        <f aca="false">IF(AW24="","",IF(AX24="Yes",INDEX(Settings!$G$20:$G$23,MATCH(AW24,Settings!$A$20:$A$23,0)),INDEX(Settings!$G$20:$G$23,MATCH(AW24,Settings!$A$20:$A$23,0))&amp;" (outside appetite)"))</f>
        <v>AI Governance Committee (outside appetite)</v>
      </c>
      <c r="AZ24" s="82"/>
      <c r="BA24" s="82"/>
      <c r="BB24" s="90"/>
      <c r="BC24" s="91" t="str">
        <f aca="false">IF(OR(BB24="",T24=""),"",BB24+INDEX(Settings!$E$20:$E$23,MATCH(T24,Settings!$A$20:$A$23,0)))</f>
        <v/>
      </c>
      <c r="BD24" s="90"/>
      <c r="BE24" s="82"/>
      <c r="BF24" s="81" t="str">
        <f aca="true">IF(A24="","",IF(OR(BE24="Closed",BE24="Accepted"),"No action",IF(BB24="","Set date identified",IF(TODAY()&gt;BC24,"Deadline exceeded",IF(BC24-TODAY()&lt;=Settings!$C$30,"Deadline approaching","On track")))))</f>
        <v>Set date identified</v>
      </c>
      <c r="BG24" s="90"/>
      <c r="BH24" s="90"/>
      <c r="BI24" s="91" t="str">
        <f aca="false">IF(OR(BH24="",AW24=""),"",EDATE(BH24,INDEX(Settings!$F$20:$F$23,MATCH(AW24,Settings!$A$20:$A$23,0))))</f>
        <v/>
      </c>
      <c r="BJ24" s="85" t="str">
        <f aca="false">IF(T24="","",IF(MAX(IF(T24="",0,MATCH(T24,Settings!$A$20:$A$23,0)),IF(AV24="",0,MATCH(AV24,Settings!$A$20:$A$23,0)))&gt;=MATCH(Settings!$C$29,Settings!$A$20:$A$23,0),"Yes","No"))</f>
        <v>Yes</v>
      </c>
      <c r="BK24" s="82"/>
      <c r="BL24" s="81" t="str">
        <f aca="true">IF(A24="","",IF(TRIM(IF(W24="","Treatment not chosen. ","")&amp;IF(AND(W24="Accept",AX24="No"),"Accepted outside appetite: record approval by "&amp;INDEX(Settings!$G$20:$G$23,MATCH(AW24,Settings!$A$20:$A$23,0))&amp;". ","")&amp;IF(AND(W24="Accept",BG24=""),"Acceptance expiry missing. ","")&amp;IF(AND(BG24&lt;&gt;"",BG24&lt;TODAY()),"Acceptance expired. ","")&amp;IF(AND(W24&lt;&gt;"",W24&lt;&gt;"Accept",AV24=""),"Target rating not set. ","")&amp;IF(AND(BE24="Closed",AX24="No"),"Closed while outside appetite. ","")&amp;IF(AND(W24="Transfer",BE24&lt;&gt;"Transferred",BE24&lt;&gt;"Closed"),"Transfer: record the contract, SLA and audit rights. ","")&amp;IF(AZ24="","Risk owner missing. ","")&amp;IF(K24="","Scenario not written. ",""))="","OK",TRIM(IF(W24="","Treatment not chosen. ","")&amp;IF(AND(W24="Accept",AX24="No"),"Accepted outside appetite: record approval by "&amp;INDEX(Settings!$G$20:$G$23,MATCH(AW24,Settings!$A$20:$A$23,0))&amp;". ","")&amp;IF(AND(W24="Accept",BG24=""),"Acceptance expiry missing. ","")&amp;IF(AND(BG24&lt;&gt;"",BG24&lt;TODAY()),"Acceptance expired. ","")&amp;IF(AND(W24&lt;&gt;"",W24&lt;&gt;"Accept",AV24=""),"Target rating not set. ","")&amp;IF(AND(BE24="Closed",AX24="No"),"Closed while outside appetite. ","")&amp;IF(AND(W24="Transfer",BE24&lt;&gt;"Transferred",BE24&lt;&gt;"Closed"),"Transfer: record the contract, SLA and audit rights. ","")&amp;IF(AZ24="","Risk owner missing. ","")&amp;IF(K24="","Scenario not written. ",""))))</f>
        <v>Treatment not chosen. Risk owner missing. Scenario not written.</v>
      </c>
      <c r="BM24" s="82" t="s">
        <v>684</v>
      </c>
    </row>
    <row r="25" customFormat="false" ht="105" hidden="false" customHeight="true" outlineLevel="0" collapsed="false">
      <c r="A25" s="78" t="s">
        <v>685</v>
      </c>
      <c r="B25" s="79" t="s">
        <v>686</v>
      </c>
      <c r="C25" s="80" t="s">
        <v>398</v>
      </c>
      <c r="D25" s="81" t="str">
        <f aca="false">IF(C25="","",IFERROR(INDEX(Lists!$O$2:$O$13,MATCH(C25,Lists!$N$2:$N$13,0)),"Check domain code"))</f>
        <v>Autonomy and Delegated Action (Agentic AI)</v>
      </c>
      <c r="E25" s="81" t="str">
        <f aca="false">IF(C25="","",IFERROR(INDEX(Lists!$P$2:$P$13,MATCH(C25,Lists!$N$2:$N$13,0)),""))</f>
        <v>Agent sponsors, AI platform owner</v>
      </c>
      <c r="F25" s="80"/>
      <c r="G25" s="82" t="s">
        <v>270</v>
      </c>
      <c r="H25" s="82"/>
      <c r="I25" s="82"/>
      <c r="J25" s="83" t="s">
        <v>687</v>
      </c>
      <c r="K25" s="82"/>
      <c r="L25" s="82"/>
      <c r="M25" s="84" t="s">
        <v>688</v>
      </c>
      <c r="N25" s="85" t="str">
        <f aca="false">IF(COUNTIF(Triage!$E$6:$E$41,"Yes")+COUNTIF(Triage!$E$6:$E$41,"No")=0,"Not triaged",IF(SUMPRODUCT(COUNTIFS(Triage!$A$6:$A$41,{"A3"},Triage!$E$6:$E$41,"Yes"))&gt;0,"Applies","Not triggered"))</f>
        <v>Not triaged</v>
      </c>
      <c r="O25" s="82"/>
      <c r="P25" s="86"/>
      <c r="Q25" s="86" t="n">
        <v>2</v>
      </c>
      <c r="R25" s="86" t="n">
        <v>3</v>
      </c>
      <c r="S25" s="21" t="n">
        <f aca="false">IF(OR(Q25="",R25=""),"",Q25*R25)</f>
        <v>6</v>
      </c>
      <c r="T25" s="85" t="str">
        <f aca="false">IF(S25="","",INDEX(Settings!$A$20:$A$23,MATCH(S25,Settings!$B$20:$B$23,1)))</f>
        <v>High</v>
      </c>
      <c r="U25" s="82" t="s">
        <v>273</v>
      </c>
      <c r="V25" s="87"/>
      <c r="W25" s="86"/>
      <c r="X25" s="82"/>
      <c r="Y25" s="88" t="s">
        <v>689</v>
      </c>
      <c r="Z25" s="88" t="s">
        <v>690</v>
      </c>
      <c r="AA25" s="88" t="s">
        <v>691</v>
      </c>
      <c r="AB25" s="88" t="s">
        <v>692</v>
      </c>
      <c r="AC25" s="88" t="s">
        <v>693</v>
      </c>
      <c r="AD25" s="88" t="s">
        <v>694</v>
      </c>
      <c r="AE25" s="88" t="s">
        <v>695</v>
      </c>
      <c r="AF25" s="88" t="s">
        <v>696</v>
      </c>
      <c r="AG25" s="88" t="s">
        <v>697</v>
      </c>
      <c r="AH25" s="88" t="s">
        <v>698</v>
      </c>
      <c r="AI25" s="88" t="s">
        <v>699</v>
      </c>
      <c r="AJ25" s="89" t="s">
        <v>700</v>
      </c>
      <c r="AK25" s="88" t="s">
        <v>701</v>
      </c>
      <c r="AL25" s="88" t="s">
        <v>287</v>
      </c>
      <c r="AM25" s="88" t="s">
        <v>702</v>
      </c>
      <c r="AN25" s="88" t="s">
        <v>392</v>
      </c>
      <c r="AO25" s="88" t="s">
        <v>703</v>
      </c>
      <c r="AP25" s="88" t="s">
        <v>502</v>
      </c>
      <c r="AQ25" s="89" t="n">
        <v>74</v>
      </c>
      <c r="AR25" s="89" t="n">
        <v>31</v>
      </c>
      <c r="AS25" s="86"/>
      <c r="AT25" s="86"/>
      <c r="AU25" s="85" t="str">
        <f aca="false">IF(OR(AS25="",AT25=""),"",AS25*AT25)</f>
        <v/>
      </c>
      <c r="AV25" s="21" t="str">
        <f aca="false">IF(AU25="","",INDEX(Settings!$A$20:$A$23,MATCH(AU25,Settings!$B$20:$B$23,1)))</f>
        <v/>
      </c>
      <c r="AW25" s="85" t="str">
        <f aca="false">IF(AV25&lt;&gt;"",AV25,T25)</f>
        <v>High</v>
      </c>
      <c r="AX25" s="85" t="str">
        <f aca="false">IF(AW25="","",IF(MATCH(AW25,Settings!$A$20:$A$23,0)&lt;=MATCH(Settings!$C$28,Settings!$A$20:$A$23,0),"Yes","No"))</f>
        <v>No</v>
      </c>
      <c r="AY25" s="81" t="str">
        <f aca="false">IF(AW25="","",IF(AX25="Yes",INDEX(Settings!$G$20:$G$23,MATCH(AW25,Settings!$A$20:$A$23,0)),INDEX(Settings!$G$20:$G$23,MATCH(AW25,Settings!$A$20:$A$23,0))&amp;" (outside appetite)"))</f>
        <v>AI Governance Committee (outside appetite)</v>
      </c>
      <c r="AZ25" s="82"/>
      <c r="BA25" s="82"/>
      <c r="BB25" s="90"/>
      <c r="BC25" s="91" t="str">
        <f aca="false">IF(OR(BB25="",T25=""),"",BB25+INDEX(Settings!$E$20:$E$23,MATCH(T25,Settings!$A$20:$A$23,0)))</f>
        <v/>
      </c>
      <c r="BD25" s="90"/>
      <c r="BE25" s="82"/>
      <c r="BF25" s="81" t="str">
        <f aca="true">IF(A25="","",IF(OR(BE25="Closed",BE25="Accepted"),"No action",IF(BB25="","Set date identified",IF(TODAY()&gt;BC25,"Deadline exceeded",IF(BC25-TODAY()&lt;=Settings!$C$30,"Deadline approaching","On track")))))</f>
        <v>Set date identified</v>
      </c>
      <c r="BG25" s="90"/>
      <c r="BH25" s="90"/>
      <c r="BI25" s="91" t="str">
        <f aca="false">IF(OR(BH25="",AW25=""),"",EDATE(BH25,INDEX(Settings!$F$20:$F$23,MATCH(AW25,Settings!$A$20:$A$23,0))))</f>
        <v/>
      </c>
      <c r="BJ25" s="85" t="str">
        <f aca="false">IF(T25="","",IF(MAX(IF(T25="",0,MATCH(T25,Settings!$A$20:$A$23,0)),IF(AV25="",0,MATCH(AV25,Settings!$A$20:$A$23,0)))&gt;=MATCH(Settings!$C$29,Settings!$A$20:$A$23,0),"Yes","No"))</f>
        <v>Yes</v>
      </c>
      <c r="BK25" s="82"/>
      <c r="BL25" s="81" t="str">
        <f aca="true">IF(A25="","",IF(TRIM(IF(W25="","Treatment not chosen. ","")&amp;IF(AND(W25="Accept",AX25="No"),"Accepted outside appetite: record approval by "&amp;INDEX(Settings!$G$20:$G$23,MATCH(AW25,Settings!$A$20:$A$23,0))&amp;". ","")&amp;IF(AND(W25="Accept",BG25=""),"Acceptance expiry missing. ","")&amp;IF(AND(BG25&lt;&gt;"",BG25&lt;TODAY()),"Acceptance expired. ","")&amp;IF(AND(W25&lt;&gt;"",W25&lt;&gt;"Accept",AV25=""),"Target rating not set. ","")&amp;IF(AND(BE25="Closed",AX25="No"),"Closed while outside appetite. ","")&amp;IF(AND(W25="Transfer",BE25&lt;&gt;"Transferred",BE25&lt;&gt;"Closed"),"Transfer: record the contract, SLA and audit rights. ","")&amp;IF(AZ25="","Risk owner missing. ","")&amp;IF(K25="","Scenario not written. ",""))="","OK",TRIM(IF(W25="","Treatment not chosen. ","")&amp;IF(AND(W25="Accept",AX25="No"),"Accepted outside appetite: record approval by "&amp;INDEX(Settings!$G$20:$G$23,MATCH(AW25,Settings!$A$20:$A$23,0))&amp;". ","")&amp;IF(AND(W25="Accept",BG25=""),"Acceptance expiry missing. ","")&amp;IF(AND(BG25&lt;&gt;"",BG25&lt;TODAY()),"Acceptance expired. ","")&amp;IF(AND(W25&lt;&gt;"",W25&lt;&gt;"Accept",AV25=""),"Target rating not set. ","")&amp;IF(AND(BE25="Closed",AX25="No"),"Closed while outside appetite. ","")&amp;IF(AND(W25="Transfer",BE25&lt;&gt;"Transferred",BE25&lt;&gt;"Closed"),"Transfer: record the contract, SLA and audit rights. ","")&amp;IF(AZ25="","Risk owner missing. ","")&amp;IF(K25="","Scenario not written. ",""))))</f>
        <v>Treatment not chosen. Risk owner missing. Scenario not written.</v>
      </c>
      <c r="BM25" s="82" t="s">
        <v>704</v>
      </c>
    </row>
    <row r="26" customFormat="false" ht="105" hidden="false" customHeight="true" outlineLevel="0" collapsed="false">
      <c r="A26" s="92" t="s">
        <v>705</v>
      </c>
      <c r="B26" s="93" t="s">
        <v>706</v>
      </c>
      <c r="C26" s="80" t="s">
        <v>398</v>
      </c>
      <c r="D26" s="81" t="str">
        <f aca="false">IF(C26="","",IFERROR(INDEX(Lists!$O$2:$O$13,MATCH(C26,Lists!$N$2:$N$13,0)),"Check domain code"))</f>
        <v>Autonomy and Delegated Action (Agentic AI)</v>
      </c>
      <c r="E26" s="81" t="str">
        <f aca="false">IF(C26="","",IFERROR(INDEX(Lists!$P$2:$P$13,MATCH(C26,Lists!$N$2:$N$13,0)),""))</f>
        <v>Agent sponsors, AI platform owner</v>
      </c>
      <c r="F26" s="80"/>
      <c r="G26" s="82" t="s">
        <v>270</v>
      </c>
      <c r="H26" s="82"/>
      <c r="I26" s="82"/>
      <c r="J26" s="94" t="s">
        <v>707</v>
      </c>
      <c r="K26" s="82"/>
      <c r="L26" s="82"/>
      <c r="M26" s="95" t="s">
        <v>708</v>
      </c>
      <c r="N26" s="85" t="str">
        <f aca="false">IF(COUNTIF(Triage!$E$6:$E$41,"Yes")+COUNTIF(Triage!$E$6:$E$41,"No")=0,"Not triaged",IF(SUMPRODUCT(COUNTIFS(Triage!$A$6:$A$41,{"A1","A5"},Triage!$E$6:$E$41,"Yes"))&gt;0,"Applies","Not triggered"))</f>
        <v>Not triaged</v>
      </c>
      <c r="O26" s="82"/>
      <c r="P26" s="86"/>
      <c r="Q26" s="86" t="n">
        <v>2</v>
      </c>
      <c r="R26" s="86" t="n">
        <v>4</v>
      </c>
      <c r="S26" s="21" t="n">
        <f aca="false">IF(OR(Q26="",R26=""),"",Q26*R26)</f>
        <v>8</v>
      </c>
      <c r="T26" s="85" t="str">
        <f aca="false">IF(S26="","",INDEX(Settings!$A$20:$A$23,MATCH(S26,Settings!$B$20:$B$23,1)))</f>
        <v>High</v>
      </c>
      <c r="U26" s="82" t="s">
        <v>273</v>
      </c>
      <c r="V26" s="87"/>
      <c r="W26" s="86"/>
      <c r="X26" s="82"/>
      <c r="Y26" s="96" t="s">
        <v>709</v>
      </c>
      <c r="Z26" s="96" t="s">
        <v>710</v>
      </c>
      <c r="AA26" s="96" t="s">
        <v>711</v>
      </c>
      <c r="AB26" s="96" t="s">
        <v>712</v>
      </c>
      <c r="AC26" s="96" t="s">
        <v>713</v>
      </c>
      <c r="AD26" s="96" t="s">
        <v>714</v>
      </c>
      <c r="AE26" s="96" t="s">
        <v>715</v>
      </c>
      <c r="AF26" s="96" t="s">
        <v>716</v>
      </c>
      <c r="AG26" s="96" t="s">
        <v>717</v>
      </c>
      <c r="AH26" s="96" t="s">
        <v>718</v>
      </c>
      <c r="AI26" s="96" t="s">
        <v>719</v>
      </c>
      <c r="AJ26" s="97" t="s">
        <v>720</v>
      </c>
      <c r="AK26" s="96" t="s">
        <v>721</v>
      </c>
      <c r="AL26" s="96" t="s">
        <v>287</v>
      </c>
      <c r="AM26" s="96" t="s">
        <v>722</v>
      </c>
      <c r="AN26" s="96" t="s">
        <v>723</v>
      </c>
      <c r="AO26" s="96" t="s">
        <v>287</v>
      </c>
      <c r="AP26" s="96" t="s">
        <v>724</v>
      </c>
      <c r="AQ26" s="97" t="n">
        <v>80</v>
      </c>
      <c r="AR26" s="97" t="n">
        <v>117</v>
      </c>
      <c r="AS26" s="86"/>
      <c r="AT26" s="86"/>
      <c r="AU26" s="85" t="str">
        <f aca="false">IF(OR(AS26="",AT26=""),"",AS26*AT26)</f>
        <v/>
      </c>
      <c r="AV26" s="21" t="str">
        <f aca="false">IF(AU26="","",INDEX(Settings!$A$20:$A$23,MATCH(AU26,Settings!$B$20:$B$23,1)))</f>
        <v/>
      </c>
      <c r="AW26" s="85" t="str">
        <f aca="false">IF(AV26&lt;&gt;"",AV26,T26)</f>
        <v>High</v>
      </c>
      <c r="AX26" s="85" t="str">
        <f aca="false">IF(AW26="","",IF(MATCH(AW26,Settings!$A$20:$A$23,0)&lt;=MATCH(Settings!$C$28,Settings!$A$20:$A$23,0),"Yes","No"))</f>
        <v>No</v>
      </c>
      <c r="AY26" s="81" t="str">
        <f aca="false">IF(AW26="","",IF(AX26="Yes",INDEX(Settings!$G$20:$G$23,MATCH(AW26,Settings!$A$20:$A$23,0)),INDEX(Settings!$G$20:$G$23,MATCH(AW26,Settings!$A$20:$A$23,0))&amp;" (outside appetite)"))</f>
        <v>AI Governance Committee (outside appetite)</v>
      </c>
      <c r="AZ26" s="82"/>
      <c r="BA26" s="82"/>
      <c r="BB26" s="90"/>
      <c r="BC26" s="91" t="str">
        <f aca="false">IF(OR(BB26="",T26=""),"",BB26+INDEX(Settings!$E$20:$E$23,MATCH(T26,Settings!$A$20:$A$23,0)))</f>
        <v/>
      </c>
      <c r="BD26" s="90"/>
      <c r="BE26" s="82"/>
      <c r="BF26" s="81" t="str">
        <f aca="true">IF(A26="","",IF(OR(BE26="Closed",BE26="Accepted"),"No action",IF(BB26="","Set date identified",IF(TODAY()&gt;BC26,"Deadline exceeded",IF(BC26-TODAY()&lt;=Settings!$C$30,"Deadline approaching","On track")))))</f>
        <v>Set date identified</v>
      </c>
      <c r="BG26" s="90"/>
      <c r="BH26" s="90"/>
      <c r="BI26" s="91" t="str">
        <f aca="false">IF(OR(BH26="",AW26=""),"",EDATE(BH26,INDEX(Settings!$F$20:$F$23,MATCH(AW26,Settings!$A$20:$A$23,0))))</f>
        <v/>
      </c>
      <c r="BJ26" s="85" t="str">
        <f aca="false">IF(T26="","",IF(MAX(IF(T26="",0,MATCH(T26,Settings!$A$20:$A$23,0)),IF(AV26="",0,MATCH(AV26,Settings!$A$20:$A$23,0)))&gt;=MATCH(Settings!$C$29,Settings!$A$20:$A$23,0),"Yes","No"))</f>
        <v>Yes</v>
      </c>
      <c r="BK26" s="82"/>
      <c r="BL26" s="81" t="str">
        <f aca="true">IF(A26="","",IF(TRIM(IF(W26="","Treatment not chosen. ","")&amp;IF(AND(W26="Accept",AX26="No"),"Accepted outside appetite: record approval by "&amp;INDEX(Settings!$G$20:$G$23,MATCH(AW26,Settings!$A$20:$A$23,0))&amp;". ","")&amp;IF(AND(W26="Accept",BG26=""),"Acceptance expiry missing. ","")&amp;IF(AND(BG26&lt;&gt;"",BG26&lt;TODAY()),"Acceptance expired. ","")&amp;IF(AND(W26&lt;&gt;"",W26&lt;&gt;"Accept",AV26=""),"Target rating not set. ","")&amp;IF(AND(BE26="Closed",AX26="No"),"Closed while outside appetite. ","")&amp;IF(AND(W26="Transfer",BE26&lt;&gt;"Transferred",BE26&lt;&gt;"Closed"),"Transfer: record the contract, SLA and audit rights. ","")&amp;IF(AZ26="","Risk owner missing. ","")&amp;IF(K26="","Scenario not written. ",""))="","OK",TRIM(IF(W26="","Treatment not chosen. ","")&amp;IF(AND(W26="Accept",AX26="No"),"Accepted outside appetite: record approval by "&amp;INDEX(Settings!$G$20:$G$23,MATCH(AW26,Settings!$A$20:$A$23,0))&amp;". ","")&amp;IF(AND(W26="Accept",BG26=""),"Acceptance expiry missing. ","")&amp;IF(AND(BG26&lt;&gt;"",BG26&lt;TODAY()),"Acceptance expired. ","")&amp;IF(AND(W26&lt;&gt;"",W26&lt;&gt;"Accept",AV26=""),"Target rating not set. ","")&amp;IF(AND(BE26="Closed",AX26="No"),"Closed while outside appetite. ","")&amp;IF(AND(W26="Transfer",BE26&lt;&gt;"Transferred",BE26&lt;&gt;"Closed"),"Transfer: record the contract, SLA and audit rights. ","")&amp;IF(AZ26="","Risk owner missing. ","")&amp;IF(K26="","Scenario not written. ",""))))</f>
        <v>Treatment not chosen. Risk owner missing. Scenario not written.</v>
      </c>
      <c r="BM26" s="82" t="s">
        <v>725</v>
      </c>
    </row>
    <row r="27" customFormat="false" ht="105" hidden="false" customHeight="true" outlineLevel="0" collapsed="false">
      <c r="A27" s="78" t="s">
        <v>726</v>
      </c>
      <c r="B27" s="79" t="s">
        <v>727</v>
      </c>
      <c r="C27" s="80" t="s">
        <v>398</v>
      </c>
      <c r="D27" s="81" t="str">
        <f aca="false">IF(C27="","",IFERROR(INDEX(Lists!$O$2:$O$13,MATCH(C27,Lists!$N$2:$N$13,0)),"Check domain code"))</f>
        <v>Autonomy and Delegated Action (Agentic AI)</v>
      </c>
      <c r="E27" s="81" t="str">
        <f aca="false">IF(C27="","",IFERROR(INDEX(Lists!$P$2:$P$13,MATCH(C27,Lists!$N$2:$N$13,0)),""))</f>
        <v>Agent sponsors, AI platform owner</v>
      </c>
      <c r="F27" s="80"/>
      <c r="G27" s="82" t="s">
        <v>270</v>
      </c>
      <c r="H27" s="82"/>
      <c r="I27" s="82"/>
      <c r="J27" s="83" t="s">
        <v>728</v>
      </c>
      <c r="K27" s="82"/>
      <c r="L27" s="82"/>
      <c r="M27" s="84" t="s">
        <v>729</v>
      </c>
      <c r="N27" s="85" t="str">
        <f aca="false">IF(COUNTIF(Triage!$E$6:$E$41,"Yes")+COUNTIF(Triage!$E$6:$E$41,"No")=0,"Not triaged",IF(SUMPRODUCT(COUNTIFS(Triage!$A$6:$A$41,{"A4"},Triage!$E$6:$E$41,"Yes"))&gt;0,"Applies","Not triggered"))</f>
        <v>Not triaged</v>
      </c>
      <c r="O27" s="82"/>
      <c r="P27" s="86"/>
      <c r="Q27" s="86" t="n">
        <v>2</v>
      </c>
      <c r="R27" s="86" t="n">
        <v>4</v>
      </c>
      <c r="S27" s="21" t="n">
        <f aca="false">IF(OR(Q27="",R27=""),"",Q27*R27)</f>
        <v>8</v>
      </c>
      <c r="T27" s="85" t="str">
        <f aca="false">IF(S27="","",INDEX(Settings!$A$20:$A$23,MATCH(S27,Settings!$B$20:$B$23,1)))</f>
        <v>High</v>
      </c>
      <c r="U27" s="82" t="s">
        <v>273</v>
      </c>
      <c r="V27" s="87"/>
      <c r="W27" s="86"/>
      <c r="X27" s="82"/>
      <c r="Y27" s="88" t="s">
        <v>730</v>
      </c>
      <c r="Z27" s="88" t="s">
        <v>731</v>
      </c>
      <c r="AA27" s="88" t="s">
        <v>732</v>
      </c>
      <c r="AB27" s="88" t="s">
        <v>733</v>
      </c>
      <c r="AC27" s="88" t="s">
        <v>734</v>
      </c>
      <c r="AD27" s="88" t="s">
        <v>735</v>
      </c>
      <c r="AE27" s="88" t="s">
        <v>736</v>
      </c>
      <c r="AF27" s="88" t="s">
        <v>737</v>
      </c>
      <c r="AG27" s="88" t="s">
        <v>738</v>
      </c>
      <c r="AH27" s="88" t="s">
        <v>739</v>
      </c>
      <c r="AI27" s="88" t="s">
        <v>740</v>
      </c>
      <c r="AJ27" s="89" t="s">
        <v>741</v>
      </c>
      <c r="AK27" s="88" t="s">
        <v>742</v>
      </c>
      <c r="AL27" s="88" t="s">
        <v>743</v>
      </c>
      <c r="AM27" s="88" t="s">
        <v>744</v>
      </c>
      <c r="AN27" s="88" t="s">
        <v>745</v>
      </c>
      <c r="AO27" s="88" t="s">
        <v>287</v>
      </c>
      <c r="AP27" s="88" t="s">
        <v>746</v>
      </c>
      <c r="AQ27" s="89" t="n">
        <v>74</v>
      </c>
      <c r="AR27" s="89" t="n">
        <v>39</v>
      </c>
      <c r="AS27" s="86"/>
      <c r="AT27" s="86"/>
      <c r="AU27" s="85" t="str">
        <f aca="false">IF(OR(AS27="",AT27=""),"",AS27*AT27)</f>
        <v/>
      </c>
      <c r="AV27" s="21" t="str">
        <f aca="false">IF(AU27="","",INDEX(Settings!$A$20:$A$23,MATCH(AU27,Settings!$B$20:$B$23,1)))</f>
        <v/>
      </c>
      <c r="AW27" s="85" t="str">
        <f aca="false">IF(AV27&lt;&gt;"",AV27,T27)</f>
        <v>High</v>
      </c>
      <c r="AX27" s="85" t="str">
        <f aca="false">IF(AW27="","",IF(MATCH(AW27,Settings!$A$20:$A$23,0)&lt;=MATCH(Settings!$C$28,Settings!$A$20:$A$23,0),"Yes","No"))</f>
        <v>No</v>
      </c>
      <c r="AY27" s="81" t="str">
        <f aca="false">IF(AW27="","",IF(AX27="Yes",INDEX(Settings!$G$20:$G$23,MATCH(AW27,Settings!$A$20:$A$23,0)),INDEX(Settings!$G$20:$G$23,MATCH(AW27,Settings!$A$20:$A$23,0))&amp;" (outside appetite)"))</f>
        <v>AI Governance Committee (outside appetite)</v>
      </c>
      <c r="AZ27" s="82"/>
      <c r="BA27" s="82"/>
      <c r="BB27" s="90"/>
      <c r="BC27" s="91" t="str">
        <f aca="false">IF(OR(BB27="",T27=""),"",BB27+INDEX(Settings!$E$20:$E$23,MATCH(T27,Settings!$A$20:$A$23,0)))</f>
        <v/>
      </c>
      <c r="BD27" s="90"/>
      <c r="BE27" s="82"/>
      <c r="BF27" s="81" t="str">
        <f aca="true">IF(A27="","",IF(OR(BE27="Closed",BE27="Accepted"),"No action",IF(BB27="","Set date identified",IF(TODAY()&gt;BC27,"Deadline exceeded",IF(BC27-TODAY()&lt;=Settings!$C$30,"Deadline approaching","On track")))))</f>
        <v>Set date identified</v>
      </c>
      <c r="BG27" s="90"/>
      <c r="BH27" s="90"/>
      <c r="BI27" s="91" t="str">
        <f aca="false">IF(OR(BH27="",AW27=""),"",EDATE(BH27,INDEX(Settings!$F$20:$F$23,MATCH(AW27,Settings!$A$20:$A$23,0))))</f>
        <v/>
      </c>
      <c r="BJ27" s="85" t="str">
        <f aca="false">IF(T27="","",IF(MAX(IF(T27="",0,MATCH(T27,Settings!$A$20:$A$23,0)),IF(AV27="",0,MATCH(AV27,Settings!$A$20:$A$23,0)))&gt;=MATCH(Settings!$C$29,Settings!$A$20:$A$23,0),"Yes","No"))</f>
        <v>Yes</v>
      </c>
      <c r="BK27" s="82"/>
      <c r="BL27" s="81" t="str">
        <f aca="true">IF(A27="","",IF(TRIM(IF(W27="","Treatment not chosen. ","")&amp;IF(AND(W27="Accept",AX27="No"),"Accepted outside appetite: record approval by "&amp;INDEX(Settings!$G$20:$G$23,MATCH(AW27,Settings!$A$20:$A$23,0))&amp;". ","")&amp;IF(AND(W27="Accept",BG27=""),"Acceptance expiry missing. ","")&amp;IF(AND(BG27&lt;&gt;"",BG27&lt;TODAY()),"Acceptance expired. ","")&amp;IF(AND(W27&lt;&gt;"",W27&lt;&gt;"Accept",AV27=""),"Target rating not set. ","")&amp;IF(AND(BE27="Closed",AX27="No"),"Closed while outside appetite. ","")&amp;IF(AND(W27="Transfer",BE27&lt;&gt;"Transferred",BE27&lt;&gt;"Closed"),"Transfer: record the contract, SLA and audit rights. ","")&amp;IF(AZ27="","Risk owner missing. ","")&amp;IF(K27="","Scenario not written. ",""))="","OK",TRIM(IF(W27="","Treatment not chosen. ","")&amp;IF(AND(W27="Accept",AX27="No"),"Accepted outside appetite: record approval by "&amp;INDEX(Settings!$G$20:$G$23,MATCH(AW27,Settings!$A$20:$A$23,0))&amp;". ","")&amp;IF(AND(W27="Accept",BG27=""),"Acceptance expiry missing. ","")&amp;IF(AND(BG27&lt;&gt;"",BG27&lt;TODAY()),"Acceptance expired. ","")&amp;IF(AND(W27&lt;&gt;"",W27&lt;&gt;"Accept",AV27=""),"Target rating not set. ","")&amp;IF(AND(BE27="Closed",AX27="No"),"Closed while outside appetite. ","")&amp;IF(AND(W27="Transfer",BE27&lt;&gt;"Transferred",BE27&lt;&gt;"Closed"),"Transfer: record the contract, SLA and audit rights. ","")&amp;IF(AZ27="","Risk owner missing. ","")&amp;IF(K27="","Scenario not written. ",""))))</f>
        <v>Treatment not chosen. Risk owner missing. Scenario not written.</v>
      </c>
      <c r="BM27" s="82" t="s">
        <v>747</v>
      </c>
    </row>
    <row r="28" customFormat="false" ht="105" hidden="false" customHeight="true" outlineLevel="0" collapsed="false">
      <c r="A28" s="92" t="s">
        <v>748</v>
      </c>
      <c r="B28" s="93" t="s">
        <v>749</v>
      </c>
      <c r="C28" s="80" t="s">
        <v>398</v>
      </c>
      <c r="D28" s="81" t="str">
        <f aca="false">IF(C28="","",IFERROR(INDEX(Lists!$O$2:$O$13,MATCH(C28,Lists!$N$2:$N$13,0)),"Check domain code"))</f>
        <v>Autonomy and Delegated Action (Agentic AI)</v>
      </c>
      <c r="E28" s="81" t="str">
        <f aca="false">IF(C28="","",IFERROR(INDEX(Lists!$P$2:$P$13,MATCH(C28,Lists!$N$2:$N$13,0)),""))</f>
        <v>Agent sponsors, AI platform owner</v>
      </c>
      <c r="F28" s="80"/>
      <c r="G28" s="82" t="s">
        <v>270</v>
      </c>
      <c r="H28" s="82"/>
      <c r="I28" s="82"/>
      <c r="J28" s="94" t="s">
        <v>750</v>
      </c>
      <c r="K28" s="82"/>
      <c r="L28" s="82"/>
      <c r="M28" s="95" t="s">
        <v>751</v>
      </c>
      <c r="N28" s="85" t="str">
        <f aca="false">IF(COUNTIF(Triage!$E$6:$E$41,"Yes")+COUNTIF(Triage!$E$6:$E$41,"No")=0,"Not triaged",IF(SUMPRODUCT(COUNTIFS(Triage!$A$6:$A$41,{"A1","A6"},Triage!$E$6:$E$41,"Yes"))&gt;0,"Applies","Not triggered"))</f>
        <v>Not triaged</v>
      </c>
      <c r="O28" s="82"/>
      <c r="P28" s="86"/>
      <c r="Q28" s="86" t="n">
        <v>2</v>
      </c>
      <c r="R28" s="86" t="n">
        <v>4</v>
      </c>
      <c r="S28" s="21" t="n">
        <f aca="false">IF(OR(Q28="",R28=""),"",Q28*R28)</f>
        <v>8</v>
      </c>
      <c r="T28" s="85" t="str">
        <f aca="false">IF(S28="","",INDEX(Settings!$A$20:$A$23,MATCH(S28,Settings!$B$20:$B$23,1)))</f>
        <v>High</v>
      </c>
      <c r="U28" s="82" t="s">
        <v>273</v>
      </c>
      <c r="V28" s="87"/>
      <c r="W28" s="86"/>
      <c r="X28" s="82"/>
      <c r="Y28" s="96" t="s">
        <v>752</v>
      </c>
      <c r="Z28" s="96" t="s">
        <v>752</v>
      </c>
      <c r="AA28" s="96" t="s">
        <v>753</v>
      </c>
      <c r="AB28" s="96" t="s">
        <v>754</v>
      </c>
      <c r="AC28" s="96" t="s">
        <v>755</v>
      </c>
      <c r="AD28" s="96" t="s">
        <v>756</v>
      </c>
      <c r="AE28" s="96" t="s">
        <v>757</v>
      </c>
      <c r="AF28" s="96" t="s">
        <v>758</v>
      </c>
      <c r="AG28" s="96" t="s">
        <v>759</v>
      </c>
      <c r="AH28" s="96" t="s">
        <v>760</v>
      </c>
      <c r="AI28" s="96" t="s">
        <v>761</v>
      </c>
      <c r="AJ28" s="97" t="s">
        <v>762</v>
      </c>
      <c r="AK28" s="96" t="s">
        <v>763</v>
      </c>
      <c r="AL28" s="96" t="s">
        <v>369</v>
      </c>
      <c r="AM28" s="96" t="s">
        <v>764</v>
      </c>
      <c r="AN28" s="96" t="s">
        <v>765</v>
      </c>
      <c r="AO28" s="96" t="s">
        <v>766</v>
      </c>
      <c r="AP28" s="96" t="s">
        <v>767</v>
      </c>
      <c r="AQ28" s="97" t="n">
        <v>122</v>
      </c>
      <c r="AR28" s="97" t="n">
        <v>93</v>
      </c>
      <c r="AS28" s="86"/>
      <c r="AT28" s="86"/>
      <c r="AU28" s="85" t="str">
        <f aca="false">IF(OR(AS28="",AT28=""),"",AS28*AT28)</f>
        <v/>
      </c>
      <c r="AV28" s="21" t="str">
        <f aca="false">IF(AU28="","",INDEX(Settings!$A$20:$A$23,MATCH(AU28,Settings!$B$20:$B$23,1)))</f>
        <v/>
      </c>
      <c r="AW28" s="85" t="str">
        <f aca="false">IF(AV28&lt;&gt;"",AV28,T28)</f>
        <v>High</v>
      </c>
      <c r="AX28" s="85" t="str">
        <f aca="false">IF(AW28="","",IF(MATCH(AW28,Settings!$A$20:$A$23,0)&lt;=MATCH(Settings!$C$28,Settings!$A$20:$A$23,0),"Yes","No"))</f>
        <v>No</v>
      </c>
      <c r="AY28" s="81" t="str">
        <f aca="false">IF(AW28="","",IF(AX28="Yes",INDEX(Settings!$G$20:$G$23,MATCH(AW28,Settings!$A$20:$A$23,0)),INDEX(Settings!$G$20:$G$23,MATCH(AW28,Settings!$A$20:$A$23,0))&amp;" (outside appetite)"))</f>
        <v>AI Governance Committee (outside appetite)</v>
      </c>
      <c r="AZ28" s="82"/>
      <c r="BA28" s="82"/>
      <c r="BB28" s="90"/>
      <c r="BC28" s="91" t="str">
        <f aca="false">IF(OR(BB28="",T28=""),"",BB28+INDEX(Settings!$E$20:$E$23,MATCH(T28,Settings!$A$20:$A$23,0)))</f>
        <v/>
      </c>
      <c r="BD28" s="90"/>
      <c r="BE28" s="82"/>
      <c r="BF28" s="81" t="str">
        <f aca="true">IF(A28="","",IF(OR(BE28="Closed",BE28="Accepted"),"No action",IF(BB28="","Set date identified",IF(TODAY()&gt;BC28,"Deadline exceeded",IF(BC28-TODAY()&lt;=Settings!$C$30,"Deadline approaching","On track")))))</f>
        <v>Set date identified</v>
      </c>
      <c r="BG28" s="90"/>
      <c r="BH28" s="90"/>
      <c r="BI28" s="91" t="str">
        <f aca="false">IF(OR(BH28="",AW28=""),"",EDATE(BH28,INDEX(Settings!$F$20:$F$23,MATCH(AW28,Settings!$A$20:$A$23,0))))</f>
        <v/>
      </c>
      <c r="BJ28" s="85" t="str">
        <f aca="false">IF(T28="","",IF(MAX(IF(T28="",0,MATCH(T28,Settings!$A$20:$A$23,0)),IF(AV28="",0,MATCH(AV28,Settings!$A$20:$A$23,0)))&gt;=MATCH(Settings!$C$29,Settings!$A$20:$A$23,0),"Yes","No"))</f>
        <v>Yes</v>
      </c>
      <c r="BK28" s="82"/>
      <c r="BL28" s="81" t="str">
        <f aca="true">IF(A28="","",IF(TRIM(IF(W28="","Treatment not chosen. ","")&amp;IF(AND(W28="Accept",AX28="No"),"Accepted outside appetite: record approval by "&amp;INDEX(Settings!$G$20:$G$23,MATCH(AW28,Settings!$A$20:$A$23,0))&amp;". ","")&amp;IF(AND(W28="Accept",BG28=""),"Acceptance expiry missing. ","")&amp;IF(AND(BG28&lt;&gt;"",BG28&lt;TODAY()),"Acceptance expired. ","")&amp;IF(AND(W28&lt;&gt;"",W28&lt;&gt;"Accept",AV28=""),"Target rating not set. ","")&amp;IF(AND(BE28="Closed",AX28="No"),"Closed while outside appetite. ","")&amp;IF(AND(W28="Transfer",BE28&lt;&gt;"Transferred",BE28&lt;&gt;"Closed"),"Transfer: record the contract, SLA and audit rights. ","")&amp;IF(AZ28="","Risk owner missing. ","")&amp;IF(K28="","Scenario not written. ",""))="","OK",TRIM(IF(W28="","Treatment not chosen. ","")&amp;IF(AND(W28="Accept",AX28="No"),"Accepted outside appetite: record approval by "&amp;INDEX(Settings!$G$20:$G$23,MATCH(AW28,Settings!$A$20:$A$23,0))&amp;". ","")&amp;IF(AND(W28="Accept",BG28=""),"Acceptance expiry missing. ","")&amp;IF(AND(BG28&lt;&gt;"",BG28&lt;TODAY()),"Acceptance expired. ","")&amp;IF(AND(W28&lt;&gt;"",W28&lt;&gt;"Accept",AV28=""),"Target rating not set. ","")&amp;IF(AND(BE28="Closed",AX28="No"),"Closed while outside appetite. ","")&amp;IF(AND(W28="Transfer",BE28&lt;&gt;"Transferred",BE28&lt;&gt;"Closed"),"Transfer: record the contract, SLA and audit rights. ","")&amp;IF(AZ28="","Risk owner missing. ","")&amp;IF(K28="","Scenario not written. ",""))))</f>
        <v>Treatment not chosen. Risk owner missing. Scenario not written.</v>
      </c>
      <c r="BM28" s="82" t="s">
        <v>768</v>
      </c>
    </row>
    <row r="29" customFormat="false" ht="105" hidden="false" customHeight="true" outlineLevel="0" collapsed="false">
      <c r="A29" s="78" t="s">
        <v>769</v>
      </c>
      <c r="B29" s="79" t="s">
        <v>770</v>
      </c>
      <c r="C29" s="80" t="s">
        <v>398</v>
      </c>
      <c r="D29" s="81" t="str">
        <f aca="false">IF(C29="","",IFERROR(INDEX(Lists!$O$2:$O$13,MATCH(C29,Lists!$N$2:$N$13,0)),"Check domain code"))</f>
        <v>Autonomy and Delegated Action (Agentic AI)</v>
      </c>
      <c r="E29" s="81" t="str">
        <f aca="false">IF(C29="","",IFERROR(INDEX(Lists!$P$2:$P$13,MATCH(C29,Lists!$N$2:$N$13,0)),""))</f>
        <v>Agent sponsors, AI platform owner</v>
      </c>
      <c r="F29" s="80"/>
      <c r="G29" s="82" t="s">
        <v>270</v>
      </c>
      <c r="H29" s="82"/>
      <c r="I29" s="82"/>
      <c r="J29" s="83" t="s">
        <v>771</v>
      </c>
      <c r="K29" s="82"/>
      <c r="L29" s="82"/>
      <c r="M29" s="84" t="s">
        <v>729</v>
      </c>
      <c r="N29" s="85" t="str">
        <f aca="false">IF(COUNTIF(Triage!$E$6:$E$41,"Yes")+COUNTIF(Triage!$E$6:$E$41,"No")=0,"Not triaged",IF(SUMPRODUCT(COUNTIFS(Triage!$A$6:$A$41,{"A4"},Triage!$E$6:$E$41,"Yes"))&gt;0,"Applies","Not triggered"))</f>
        <v>Not triaged</v>
      </c>
      <c r="O29" s="82"/>
      <c r="P29" s="86"/>
      <c r="Q29" s="86" t="n">
        <v>2</v>
      </c>
      <c r="R29" s="86" t="n">
        <v>3</v>
      </c>
      <c r="S29" s="21" t="n">
        <f aca="false">IF(OR(Q29="",R29=""),"",Q29*R29)</f>
        <v>6</v>
      </c>
      <c r="T29" s="85" t="str">
        <f aca="false">IF(S29="","",INDEX(Settings!$A$20:$A$23,MATCH(S29,Settings!$B$20:$B$23,1)))</f>
        <v>High</v>
      </c>
      <c r="U29" s="82" t="s">
        <v>273</v>
      </c>
      <c r="V29" s="87"/>
      <c r="W29" s="86"/>
      <c r="X29" s="82"/>
      <c r="Y29" s="88" t="s">
        <v>772</v>
      </c>
      <c r="Z29" s="88" t="s">
        <v>772</v>
      </c>
      <c r="AA29" s="88" t="s">
        <v>773</v>
      </c>
      <c r="AB29" s="88" t="s">
        <v>774</v>
      </c>
      <c r="AC29" s="88" t="s">
        <v>775</v>
      </c>
      <c r="AD29" s="88" t="s">
        <v>776</v>
      </c>
      <c r="AE29" s="88" t="s">
        <v>777</v>
      </c>
      <c r="AF29" s="88" t="s">
        <v>778</v>
      </c>
      <c r="AG29" s="88" t="s">
        <v>779</v>
      </c>
      <c r="AH29" s="88" t="s">
        <v>780</v>
      </c>
      <c r="AI29" s="88" t="s">
        <v>781</v>
      </c>
      <c r="AJ29" s="89" t="s">
        <v>782</v>
      </c>
      <c r="AK29" s="88" t="s">
        <v>783</v>
      </c>
      <c r="AL29" s="88" t="s">
        <v>287</v>
      </c>
      <c r="AM29" s="88" t="s">
        <v>784</v>
      </c>
      <c r="AN29" s="88" t="s">
        <v>287</v>
      </c>
      <c r="AO29" s="88" t="s">
        <v>703</v>
      </c>
      <c r="AP29" s="88" t="s">
        <v>785</v>
      </c>
      <c r="AQ29" s="89" t="n">
        <v>89</v>
      </c>
      <c r="AR29" s="89" t="n">
        <v>77</v>
      </c>
      <c r="AS29" s="86"/>
      <c r="AT29" s="86"/>
      <c r="AU29" s="85" t="str">
        <f aca="false">IF(OR(AS29="",AT29=""),"",AS29*AT29)</f>
        <v/>
      </c>
      <c r="AV29" s="21" t="str">
        <f aca="false">IF(AU29="","",INDEX(Settings!$A$20:$A$23,MATCH(AU29,Settings!$B$20:$B$23,1)))</f>
        <v/>
      </c>
      <c r="AW29" s="85" t="str">
        <f aca="false">IF(AV29&lt;&gt;"",AV29,T29)</f>
        <v>High</v>
      </c>
      <c r="AX29" s="85" t="str">
        <f aca="false">IF(AW29="","",IF(MATCH(AW29,Settings!$A$20:$A$23,0)&lt;=MATCH(Settings!$C$28,Settings!$A$20:$A$23,0),"Yes","No"))</f>
        <v>No</v>
      </c>
      <c r="AY29" s="81" t="str">
        <f aca="false">IF(AW29="","",IF(AX29="Yes",INDEX(Settings!$G$20:$G$23,MATCH(AW29,Settings!$A$20:$A$23,0)),INDEX(Settings!$G$20:$G$23,MATCH(AW29,Settings!$A$20:$A$23,0))&amp;" (outside appetite)"))</f>
        <v>AI Governance Committee (outside appetite)</v>
      </c>
      <c r="AZ29" s="82"/>
      <c r="BA29" s="82"/>
      <c r="BB29" s="90"/>
      <c r="BC29" s="91" t="str">
        <f aca="false">IF(OR(BB29="",T29=""),"",BB29+INDEX(Settings!$E$20:$E$23,MATCH(T29,Settings!$A$20:$A$23,0)))</f>
        <v/>
      </c>
      <c r="BD29" s="90"/>
      <c r="BE29" s="82"/>
      <c r="BF29" s="81" t="str">
        <f aca="true">IF(A29="","",IF(OR(BE29="Closed",BE29="Accepted"),"No action",IF(BB29="","Set date identified",IF(TODAY()&gt;BC29,"Deadline exceeded",IF(BC29-TODAY()&lt;=Settings!$C$30,"Deadline approaching","On track")))))</f>
        <v>Set date identified</v>
      </c>
      <c r="BG29" s="90"/>
      <c r="BH29" s="90"/>
      <c r="BI29" s="91" t="str">
        <f aca="false">IF(OR(BH29="",AW29=""),"",EDATE(BH29,INDEX(Settings!$F$20:$F$23,MATCH(AW29,Settings!$A$20:$A$23,0))))</f>
        <v/>
      </c>
      <c r="BJ29" s="85" t="str">
        <f aca="false">IF(T29="","",IF(MAX(IF(T29="",0,MATCH(T29,Settings!$A$20:$A$23,0)),IF(AV29="",0,MATCH(AV29,Settings!$A$20:$A$23,0)))&gt;=MATCH(Settings!$C$29,Settings!$A$20:$A$23,0),"Yes","No"))</f>
        <v>Yes</v>
      </c>
      <c r="BK29" s="82"/>
      <c r="BL29" s="81" t="str">
        <f aca="true">IF(A29="","",IF(TRIM(IF(W29="","Treatment not chosen. ","")&amp;IF(AND(W29="Accept",AX29="No"),"Accepted outside appetite: record approval by "&amp;INDEX(Settings!$G$20:$G$23,MATCH(AW29,Settings!$A$20:$A$23,0))&amp;". ","")&amp;IF(AND(W29="Accept",BG29=""),"Acceptance expiry missing. ","")&amp;IF(AND(BG29&lt;&gt;"",BG29&lt;TODAY()),"Acceptance expired. ","")&amp;IF(AND(W29&lt;&gt;"",W29&lt;&gt;"Accept",AV29=""),"Target rating not set. ","")&amp;IF(AND(BE29="Closed",AX29="No"),"Closed while outside appetite. ","")&amp;IF(AND(W29="Transfer",BE29&lt;&gt;"Transferred",BE29&lt;&gt;"Closed"),"Transfer: record the contract, SLA and audit rights. ","")&amp;IF(AZ29="","Risk owner missing. ","")&amp;IF(K29="","Scenario not written. ",""))="","OK",TRIM(IF(W29="","Treatment not chosen. ","")&amp;IF(AND(W29="Accept",AX29="No"),"Accepted outside appetite: record approval by "&amp;INDEX(Settings!$G$20:$G$23,MATCH(AW29,Settings!$A$20:$A$23,0))&amp;". ","")&amp;IF(AND(W29="Accept",BG29=""),"Acceptance expiry missing. ","")&amp;IF(AND(BG29&lt;&gt;"",BG29&lt;TODAY()),"Acceptance expired. ","")&amp;IF(AND(W29&lt;&gt;"",W29&lt;&gt;"Accept",AV29=""),"Target rating not set. ","")&amp;IF(AND(BE29="Closed",AX29="No"),"Closed while outside appetite. ","")&amp;IF(AND(W29="Transfer",BE29&lt;&gt;"Transferred",BE29&lt;&gt;"Closed"),"Transfer: record the contract, SLA and audit rights. ","")&amp;IF(AZ29="","Risk owner missing. ","")&amp;IF(K29="","Scenario not written. ",""))))</f>
        <v>Treatment not chosen. Risk owner missing. Scenario not written.</v>
      </c>
      <c r="BM29" s="82" t="s">
        <v>786</v>
      </c>
    </row>
    <row r="30" customFormat="false" ht="105" hidden="false" customHeight="true" outlineLevel="0" collapsed="false">
      <c r="A30" s="92" t="s">
        <v>787</v>
      </c>
      <c r="B30" s="93" t="s">
        <v>788</v>
      </c>
      <c r="C30" s="80" t="s">
        <v>353</v>
      </c>
      <c r="D30" s="81" t="str">
        <f aca="false">IF(C30="","",IFERROR(INDEX(Lists!$O$2:$O$13,MATCH(C30,Lists!$N$2:$N$13,0)),"Check domain code"))</f>
        <v>Security and Adversarial Threats</v>
      </c>
      <c r="E30" s="81" t="str">
        <f aca="false">IF(C30="","",IFERROR(INDEX(Lists!$P$2:$P$13,MATCH(C30,Lists!$N$2:$N$13,0)),""))</f>
        <v>CISO</v>
      </c>
      <c r="F30" s="80"/>
      <c r="G30" s="82" t="s">
        <v>270</v>
      </c>
      <c r="H30" s="82"/>
      <c r="I30" s="82"/>
      <c r="J30" s="94" t="s">
        <v>789</v>
      </c>
      <c r="K30" s="82"/>
      <c r="L30" s="82"/>
      <c r="M30" s="95" t="s">
        <v>790</v>
      </c>
      <c r="N30" s="85" t="str">
        <f aca="false">IF(COUNTIF(Triage!$E$6:$E$41,"Yes")+COUNTIF(Triage!$E$6:$E$41,"No")=0,"Not triaged",IF(SUMPRODUCT(COUNTIFS(Triage!$A$6:$A$41,{"D3"},Triage!$E$6:$E$41,"Yes"))&gt;0,"Applies","Not triggered"))</f>
        <v>Not triaged</v>
      </c>
      <c r="O30" s="82"/>
      <c r="P30" s="86"/>
      <c r="Q30" s="86" t="n">
        <v>2</v>
      </c>
      <c r="R30" s="86" t="n">
        <v>2</v>
      </c>
      <c r="S30" s="21" t="n">
        <f aca="false">IF(OR(Q30="",R30=""),"",Q30*R30)</f>
        <v>4</v>
      </c>
      <c r="T30" s="85" t="str">
        <f aca="false">IF(S30="","",INDEX(Settings!$A$20:$A$23,MATCH(S30,Settings!$B$20:$B$23,1)))</f>
        <v>Medium</v>
      </c>
      <c r="U30" s="82" t="s">
        <v>273</v>
      </c>
      <c r="V30" s="87"/>
      <c r="W30" s="86"/>
      <c r="X30" s="82"/>
      <c r="Y30" s="96" t="s">
        <v>791</v>
      </c>
      <c r="Z30" s="96" t="s">
        <v>791</v>
      </c>
      <c r="AA30" s="96" t="s">
        <v>792</v>
      </c>
      <c r="AB30" s="96" t="s">
        <v>793</v>
      </c>
      <c r="AC30" s="96" t="s">
        <v>794</v>
      </c>
      <c r="AD30" s="96" t="s">
        <v>795</v>
      </c>
      <c r="AE30" s="96" t="s">
        <v>796</v>
      </c>
      <c r="AF30" s="96" t="s">
        <v>797</v>
      </c>
      <c r="AG30" s="96" t="s">
        <v>798</v>
      </c>
      <c r="AH30" s="96" t="s">
        <v>799</v>
      </c>
      <c r="AI30" s="96" t="s">
        <v>800</v>
      </c>
      <c r="AJ30" s="97" t="s">
        <v>801</v>
      </c>
      <c r="AK30" s="96" t="s">
        <v>802</v>
      </c>
      <c r="AL30" s="96" t="s">
        <v>287</v>
      </c>
      <c r="AM30" s="96" t="s">
        <v>803</v>
      </c>
      <c r="AN30" s="96" t="s">
        <v>287</v>
      </c>
      <c r="AO30" s="96" t="s">
        <v>804</v>
      </c>
      <c r="AP30" s="96" t="s">
        <v>805</v>
      </c>
      <c r="AQ30" s="97" t="n">
        <v>56</v>
      </c>
      <c r="AR30" s="97" t="n">
        <v>36</v>
      </c>
      <c r="AS30" s="86"/>
      <c r="AT30" s="86"/>
      <c r="AU30" s="85" t="str">
        <f aca="false">IF(OR(AS30="",AT30=""),"",AS30*AT30)</f>
        <v/>
      </c>
      <c r="AV30" s="21" t="str">
        <f aca="false">IF(AU30="","",INDEX(Settings!$A$20:$A$23,MATCH(AU30,Settings!$B$20:$B$23,1)))</f>
        <v/>
      </c>
      <c r="AW30" s="85" t="str">
        <f aca="false">IF(AV30&lt;&gt;"",AV30,T30)</f>
        <v>Medium</v>
      </c>
      <c r="AX30" s="85" t="str">
        <f aca="false">IF(AW30="","",IF(MATCH(AW30,Settings!$A$20:$A$23,0)&lt;=MATCH(Settings!$C$28,Settings!$A$20:$A$23,0),"Yes","No"))</f>
        <v>Yes</v>
      </c>
      <c r="AY30" s="81" t="str">
        <f aca="false">IF(AW30="","",IF(AX30="Yes",INDEX(Settings!$G$20:$G$23,MATCH(AW30,Settings!$A$20:$A$23,0)),INDEX(Settings!$G$20:$G$23,MATCH(AW30,Settings!$A$20:$A$23,0))&amp;" (outside appetite)"))</f>
        <v>Risk owner, with GRC / Compliance agreement</v>
      </c>
      <c r="AZ30" s="82"/>
      <c r="BA30" s="82"/>
      <c r="BB30" s="90"/>
      <c r="BC30" s="91" t="str">
        <f aca="false">IF(OR(BB30="",T30=""),"",BB30+INDEX(Settings!$E$20:$E$23,MATCH(T30,Settings!$A$20:$A$23,0)))</f>
        <v/>
      </c>
      <c r="BD30" s="90"/>
      <c r="BE30" s="82"/>
      <c r="BF30" s="81" t="str">
        <f aca="true">IF(A30="","",IF(OR(BE30="Closed",BE30="Accepted"),"No action",IF(BB30="","Set date identified",IF(TODAY()&gt;BC30,"Deadline exceeded",IF(BC30-TODAY()&lt;=Settings!$C$30,"Deadline approaching","On track")))))</f>
        <v>Set date identified</v>
      </c>
      <c r="BG30" s="90"/>
      <c r="BH30" s="90"/>
      <c r="BI30" s="91" t="str">
        <f aca="false">IF(OR(BH30="",AW30=""),"",EDATE(BH30,INDEX(Settings!$F$20:$F$23,MATCH(AW30,Settings!$A$20:$A$23,0))))</f>
        <v/>
      </c>
      <c r="BJ30" s="85" t="str">
        <f aca="false">IF(T30="","",IF(MAX(IF(T30="",0,MATCH(T30,Settings!$A$20:$A$23,0)),IF(AV30="",0,MATCH(AV30,Settings!$A$20:$A$23,0)))&gt;=MATCH(Settings!$C$29,Settings!$A$20:$A$23,0),"Yes","No"))</f>
        <v>No</v>
      </c>
      <c r="BK30" s="82"/>
      <c r="BL30" s="81" t="str">
        <f aca="true">IF(A30="","",IF(TRIM(IF(W30="","Treatment not chosen. ","")&amp;IF(AND(W30="Accept",AX30="No"),"Accepted outside appetite: record approval by "&amp;INDEX(Settings!$G$20:$G$23,MATCH(AW30,Settings!$A$20:$A$23,0))&amp;". ","")&amp;IF(AND(W30="Accept",BG30=""),"Acceptance expiry missing. ","")&amp;IF(AND(BG30&lt;&gt;"",BG30&lt;TODAY()),"Acceptance expired. ","")&amp;IF(AND(W30&lt;&gt;"",W30&lt;&gt;"Accept",AV30=""),"Target rating not set. ","")&amp;IF(AND(BE30="Closed",AX30="No"),"Closed while outside appetite. ","")&amp;IF(AND(W30="Transfer",BE30&lt;&gt;"Transferred",BE30&lt;&gt;"Closed"),"Transfer: record the contract, SLA and audit rights. ","")&amp;IF(AZ30="","Risk owner missing. ","")&amp;IF(K30="","Scenario not written. ",""))="","OK",TRIM(IF(W30="","Treatment not chosen. ","")&amp;IF(AND(W30="Accept",AX30="No"),"Accepted outside appetite: record approval by "&amp;INDEX(Settings!$G$20:$G$23,MATCH(AW30,Settings!$A$20:$A$23,0))&amp;". ","")&amp;IF(AND(W30="Accept",BG30=""),"Acceptance expiry missing. ","")&amp;IF(AND(BG30&lt;&gt;"",BG30&lt;TODAY()),"Acceptance expired. ","")&amp;IF(AND(W30&lt;&gt;"",W30&lt;&gt;"Accept",AV30=""),"Target rating not set. ","")&amp;IF(AND(BE30="Closed",AX30="No"),"Closed while outside appetite. ","")&amp;IF(AND(W30="Transfer",BE30&lt;&gt;"Transferred",BE30&lt;&gt;"Closed"),"Transfer: record the contract, SLA and audit rights. ","")&amp;IF(AZ30="","Risk owner missing. ","")&amp;IF(K30="","Scenario not written. ",""))))</f>
        <v>Treatment not chosen. Risk owner missing. Scenario not written.</v>
      </c>
      <c r="BM30" s="82" t="s">
        <v>806</v>
      </c>
    </row>
    <row r="31" customFormat="false" ht="105" hidden="false" customHeight="true" outlineLevel="0" collapsed="false">
      <c r="A31" s="78" t="s">
        <v>807</v>
      </c>
      <c r="B31" s="79" t="s">
        <v>808</v>
      </c>
      <c r="C31" s="80" t="s">
        <v>466</v>
      </c>
      <c r="D31" s="81" t="str">
        <f aca="false">IF(C31="","",IFERROR(INDEX(Lists!$O$2:$O$13,MATCH(C31,Lists!$N$2:$N$13,0)),"Check domain code"))</f>
        <v>Legal, Regulatory and Compliance</v>
      </c>
      <c r="E31" s="81" t="str">
        <f aca="false">IF(C31="","",IFERROR(INDEX(Lists!$P$2:$P$13,MATCH(C31,Lists!$N$2:$N$13,0)),""))</f>
        <v>General counsel, compliance</v>
      </c>
      <c r="F31" s="80"/>
      <c r="G31" s="82" t="s">
        <v>270</v>
      </c>
      <c r="H31" s="82"/>
      <c r="I31" s="82"/>
      <c r="J31" s="83" t="s">
        <v>809</v>
      </c>
      <c r="K31" s="82"/>
      <c r="L31" s="82"/>
      <c r="M31" s="84" t="s">
        <v>810</v>
      </c>
      <c r="N31" s="85" t="str">
        <f aca="false">IF(COUNTIF(Triage!$E$6:$E$41,"Yes")+COUNTIF(Triage!$E$6:$E$41,"No")=0,"Not triaged",IF(SUMPRODUCT(COUNTIFS(Triage!$A$6:$A$41,{"D4"},Triage!$E$6:$E$41,"Yes"))&gt;0,"Applies","Not triggered"))</f>
        <v>Not triaged</v>
      </c>
      <c r="O31" s="82"/>
      <c r="P31" s="86"/>
      <c r="Q31" s="86" t="n">
        <v>2</v>
      </c>
      <c r="R31" s="86" t="n">
        <v>3</v>
      </c>
      <c r="S31" s="21" t="n">
        <f aca="false">IF(OR(Q31="",R31=""),"",Q31*R31)</f>
        <v>6</v>
      </c>
      <c r="T31" s="85" t="str">
        <f aca="false">IF(S31="","",INDEX(Settings!$A$20:$A$23,MATCH(S31,Settings!$B$20:$B$23,1)))</f>
        <v>High</v>
      </c>
      <c r="U31" s="82" t="s">
        <v>273</v>
      </c>
      <c r="V31" s="87"/>
      <c r="W31" s="86"/>
      <c r="X31" s="82"/>
      <c r="Y31" s="88" t="s">
        <v>811</v>
      </c>
      <c r="Z31" s="88" t="s">
        <v>812</v>
      </c>
      <c r="AA31" s="88" t="s">
        <v>813</v>
      </c>
      <c r="AB31" s="88" t="s">
        <v>814</v>
      </c>
      <c r="AC31" s="88" t="s">
        <v>815</v>
      </c>
      <c r="AD31" s="88" t="s">
        <v>816</v>
      </c>
      <c r="AE31" s="88" t="s">
        <v>817</v>
      </c>
      <c r="AF31" s="88" t="s">
        <v>281</v>
      </c>
      <c r="AG31" s="88" t="s">
        <v>304</v>
      </c>
      <c r="AH31" s="88" t="s">
        <v>818</v>
      </c>
      <c r="AI31" s="88" t="s">
        <v>819</v>
      </c>
      <c r="AJ31" s="89" t="s">
        <v>285</v>
      </c>
      <c r="AK31" s="88" t="s">
        <v>820</v>
      </c>
      <c r="AL31" s="88" t="s">
        <v>821</v>
      </c>
      <c r="AM31" s="88" t="s">
        <v>822</v>
      </c>
      <c r="AN31" s="88" t="s">
        <v>287</v>
      </c>
      <c r="AO31" s="88" t="s">
        <v>332</v>
      </c>
      <c r="AP31" s="88" t="s">
        <v>333</v>
      </c>
      <c r="AQ31" s="89" t="n">
        <v>168</v>
      </c>
      <c r="AR31" s="89" t="n">
        <v>73</v>
      </c>
      <c r="AS31" s="86"/>
      <c r="AT31" s="86"/>
      <c r="AU31" s="85" t="str">
        <f aca="false">IF(OR(AS31="",AT31=""),"",AS31*AT31)</f>
        <v/>
      </c>
      <c r="AV31" s="21" t="str">
        <f aca="false">IF(AU31="","",INDEX(Settings!$A$20:$A$23,MATCH(AU31,Settings!$B$20:$B$23,1)))</f>
        <v/>
      </c>
      <c r="AW31" s="85" t="str">
        <f aca="false">IF(AV31&lt;&gt;"",AV31,T31)</f>
        <v>High</v>
      </c>
      <c r="AX31" s="85" t="str">
        <f aca="false">IF(AW31="","",IF(MATCH(AW31,Settings!$A$20:$A$23,0)&lt;=MATCH(Settings!$C$28,Settings!$A$20:$A$23,0),"Yes","No"))</f>
        <v>No</v>
      </c>
      <c r="AY31" s="81" t="str">
        <f aca="false">IF(AW31="","",IF(AX31="Yes",INDEX(Settings!$G$20:$G$23,MATCH(AW31,Settings!$A$20:$A$23,0)),INDEX(Settings!$G$20:$G$23,MATCH(AW31,Settings!$A$20:$A$23,0))&amp;" (outside appetite)"))</f>
        <v>AI Governance Committee (outside appetite)</v>
      </c>
      <c r="AZ31" s="82"/>
      <c r="BA31" s="82"/>
      <c r="BB31" s="90"/>
      <c r="BC31" s="91" t="str">
        <f aca="false">IF(OR(BB31="",T31=""),"",BB31+INDEX(Settings!$E$20:$E$23,MATCH(T31,Settings!$A$20:$A$23,0)))</f>
        <v/>
      </c>
      <c r="BD31" s="90"/>
      <c r="BE31" s="82"/>
      <c r="BF31" s="81" t="str">
        <f aca="true">IF(A31="","",IF(OR(BE31="Closed",BE31="Accepted"),"No action",IF(BB31="","Set date identified",IF(TODAY()&gt;BC31,"Deadline exceeded",IF(BC31-TODAY()&lt;=Settings!$C$30,"Deadline approaching","On track")))))</f>
        <v>Set date identified</v>
      </c>
      <c r="BG31" s="90"/>
      <c r="BH31" s="90"/>
      <c r="BI31" s="91" t="str">
        <f aca="false">IF(OR(BH31="",AW31=""),"",EDATE(BH31,INDEX(Settings!$F$20:$F$23,MATCH(AW31,Settings!$A$20:$A$23,0))))</f>
        <v/>
      </c>
      <c r="BJ31" s="85" t="str">
        <f aca="false">IF(T31="","",IF(MAX(IF(T31="",0,MATCH(T31,Settings!$A$20:$A$23,0)),IF(AV31="",0,MATCH(AV31,Settings!$A$20:$A$23,0)))&gt;=MATCH(Settings!$C$29,Settings!$A$20:$A$23,0),"Yes","No"))</f>
        <v>Yes</v>
      </c>
      <c r="BK31" s="82"/>
      <c r="BL31" s="81" t="str">
        <f aca="true">IF(A31="","",IF(TRIM(IF(W31="","Treatment not chosen. ","")&amp;IF(AND(W31="Accept",AX31="No"),"Accepted outside appetite: record approval by "&amp;INDEX(Settings!$G$20:$G$23,MATCH(AW31,Settings!$A$20:$A$23,0))&amp;". ","")&amp;IF(AND(W31="Accept",BG31=""),"Acceptance expiry missing. ","")&amp;IF(AND(BG31&lt;&gt;"",BG31&lt;TODAY()),"Acceptance expired. ","")&amp;IF(AND(W31&lt;&gt;"",W31&lt;&gt;"Accept",AV31=""),"Target rating not set. ","")&amp;IF(AND(BE31="Closed",AX31="No"),"Closed while outside appetite. ","")&amp;IF(AND(W31="Transfer",BE31&lt;&gt;"Transferred",BE31&lt;&gt;"Closed"),"Transfer: record the contract, SLA and audit rights. ","")&amp;IF(AZ31="","Risk owner missing. ","")&amp;IF(K31="","Scenario not written. ",""))="","OK",TRIM(IF(W31="","Treatment not chosen. ","")&amp;IF(AND(W31="Accept",AX31="No"),"Accepted outside appetite: record approval by "&amp;INDEX(Settings!$G$20:$G$23,MATCH(AW31,Settings!$A$20:$A$23,0))&amp;". ","")&amp;IF(AND(W31="Accept",BG31=""),"Acceptance expiry missing. ","")&amp;IF(AND(BG31&lt;&gt;"",BG31&lt;TODAY()),"Acceptance expired. ","")&amp;IF(AND(W31&lt;&gt;"",W31&lt;&gt;"Accept",AV31=""),"Target rating not set. ","")&amp;IF(AND(BE31="Closed",AX31="No"),"Closed while outside appetite. ","")&amp;IF(AND(W31="Transfer",BE31&lt;&gt;"Transferred",BE31&lt;&gt;"Closed"),"Transfer: record the contract, SLA and audit rights. ","")&amp;IF(AZ31="","Risk owner missing. ","")&amp;IF(K31="","Scenario not written. ",""))))</f>
        <v>Treatment not chosen. Risk owner missing. Scenario not written.</v>
      </c>
      <c r="BM31" s="82" t="s">
        <v>823</v>
      </c>
    </row>
    <row r="32" customFormat="false" ht="105" hidden="false" customHeight="true" outlineLevel="0" collapsed="false">
      <c r="A32" s="92" t="s">
        <v>824</v>
      </c>
      <c r="B32" s="93" t="s">
        <v>825</v>
      </c>
      <c r="C32" s="80" t="s">
        <v>466</v>
      </c>
      <c r="D32" s="81" t="str">
        <f aca="false">IF(C32="","",IFERROR(INDEX(Lists!$O$2:$O$13,MATCH(C32,Lists!$N$2:$N$13,0)),"Check domain code"))</f>
        <v>Legal, Regulatory and Compliance</v>
      </c>
      <c r="E32" s="81" t="str">
        <f aca="false">IF(C32="","",IFERROR(INDEX(Lists!$P$2:$P$13,MATCH(C32,Lists!$N$2:$N$13,0)),""))</f>
        <v>General counsel, compliance</v>
      </c>
      <c r="F32" s="80"/>
      <c r="G32" s="82" t="s">
        <v>270</v>
      </c>
      <c r="H32" s="82"/>
      <c r="I32" s="82"/>
      <c r="J32" s="94" t="s">
        <v>826</v>
      </c>
      <c r="K32" s="82"/>
      <c r="L32" s="82"/>
      <c r="M32" s="95" t="s">
        <v>827</v>
      </c>
      <c r="N32" s="85" t="str">
        <f aca="false">IF(COUNTIF(Triage!$E$6:$E$41,"Yes")+COUNTIF(Triage!$E$6:$E$41,"No")=0,"Not triaged",IF(SUMPRODUCT(COUNTIFS(Triage!$A$6:$A$41,{"B2","C1","C4"},Triage!$E$6:$E$41,"Yes"))&gt;0,"Applies","Not triggered"))</f>
        <v>Not triaged</v>
      </c>
      <c r="O32" s="82"/>
      <c r="P32" s="86"/>
      <c r="Q32" s="86" t="n">
        <v>2</v>
      </c>
      <c r="R32" s="86" t="n">
        <v>4</v>
      </c>
      <c r="S32" s="21" t="n">
        <f aca="false">IF(OR(Q32="",R32=""),"",Q32*R32)</f>
        <v>8</v>
      </c>
      <c r="T32" s="85" t="str">
        <f aca="false">IF(S32="","",INDEX(Settings!$A$20:$A$23,MATCH(S32,Settings!$B$20:$B$23,1)))</f>
        <v>High</v>
      </c>
      <c r="U32" s="82" t="s">
        <v>273</v>
      </c>
      <c r="V32" s="87"/>
      <c r="W32" s="86"/>
      <c r="X32" s="82"/>
      <c r="Y32" s="96" t="s">
        <v>828</v>
      </c>
      <c r="Z32" s="96" t="s">
        <v>829</v>
      </c>
      <c r="AA32" s="96" t="s">
        <v>830</v>
      </c>
      <c r="AB32" s="96" t="s">
        <v>831</v>
      </c>
      <c r="AC32" s="96" t="s">
        <v>832</v>
      </c>
      <c r="AD32" s="96" t="s">
        <v>833</v>
      </c>
      <c r="AE32" s="96" t="s">
        <v>834</v>
      </c>
      <c r="AF32" s="96" t="s">
        <v>835</v>
      </c>
      <c r="AG32" s="96" t="s">
        <v>304</v>
      </c>
      <c r="AH32" s="96" t="s">
        <v>655</v>
      </c>
      <c r="AI32" s="96" t="s">
        <v>836</v>
      </c>
      <c r="AJ32" s="97" t="s">
        <v>837</v>
      </c>
      <c r="AK32" s="96" t="s">
        <v>838</v>
      </c>
      <c r="AL32" s="96" t="s">
        <v>287</v>
      </c>
      <c r="AM32" s="96" t="s">
        <v>839</v>
      </c>
      <c r="AN32" s="96" t="s">
        <v>287</v>
      </c>
      <c r="AO32" s="96" t="s">
        <v>840</v>
      </c>
      <c r="AP32" s="96" t="s">
        <v>841</v>
      </c>
      <c r="AQ32" s="97" t="n">
        <v>251</v>
      </c>
      <c r="AR32" s="97" t="n">
        <v>81</v>
      </c>
      <c r="AS32" s="86"/>
      <c r="AT32" s="86"/>
      <c r="AU32" s="85" t="str">
        <f aca="false">IF(OR(AS32="",AT32=""),"",AS32*AT32)</f>
        <v/>
      </c>
      <c r="AV32" s="21" t="str">
        <f aca="false">IF(AU32="","",INDEX(Settings!$A$20:$A$23,MATCH(AU32,Settings!$B$20:$B$23,1)))</f>
        <v/>
      </c>
      <c r="AW32" s="85" t="str">
        <f aca="false">IF(AV32&lt;&gt;"",AV32,T32)</f>
        <v>High</v>
      </c>
      <c r="AX32" s="85" t="str">
        <f aca="false">IF(AW32="","",IF(MATCH(AW32,Settings!$A$20:$A$23,0)&lt;=MATCH(Settings!$C$28,Settings!$A$20:$A$23,0),"Yes","No"))</f>
        <v>No</v>
      </c>
      <c r="AY32" s="81" t="str">
        <f aca="false">IF(AW32="","",IF(AX32="Yes",INDEX(Settings!$G$20:$G$23,MATCH(AW32,Settings!$A$20:$A$23,0)),INDEX(Settings!$G$20:$G$23,MATCH(AW32,Settings!$A$20:$A$23,0))&amp;" (outside appetite)"))</f>
        <v>AI Governance Committee (outside appetite)</v>
      </c>
      <c r="AZ32" s="82"/>
      <c r="BA32" s="82"/>
      <c r="BB32" s="90"/>
      <c r="BC32" s="91" t="str">
        <f aca="false">IF(OR(BB32="",T32=""),"",BB32+INDEX(Settings!$E$20:$E$23,MATCH(T32,Settings!$A$20:$A$23,0)))</f>
        <v/>
      </c>
      <c r="BD32" s="90"/>
      <c r="BE32" s="82"/>
      <c r="BF32" s="81" t="str">
        <f aca="true">IF(A32="","",IF(OR(BE32="Closed",BE32="Accepted"),"No action",IF(BB32="","Set date identified",IF(TODAY()&gt;BC32,"Deadline exceeded",IF(BC32-TODAY()&lt;=Settings!$C$30,"Deadline approaching","On track")))))</f>
        <v>Set date identified</v>
      </c>
      <c r="BG32" s="90"/>
      <c r="BH32" s="90"/>
      <c r="BI32" s="91" t="str">
        <f aca="false">IF(OR(BH32="",AW32=""),"",EDATE(BH32,INDEX(Settings!$F$20:$F$23,MATCH(AW32,Settings!$A$20:$A$23,0))))</f>
        <v/>
      </c>
      <c r="BJ32" s="85" t="str">
        <f aca="false">IF(T32="","",IF(MAX(IF(T32="",0,MATCH(T32,Settings!$A$20:$A$23,0)),IF(AV32="",0,MATCH(AV32,Settings!$A$20:$A$23,0)))&gt;=MATCH(Settings!$C$29,Settings!$A$20:$A$23,0),"Yes","No"))</f>
        <v>Yes</v>
      </c>
      <c r="BK32" s="82"/>
      <c r="BL32" s="81" t="str">
        <f aca="true">IF(A32="","",IF(TRIM(IF(W32="","Treatment not chosen. ","")&amp;IF(AND(W32="Accept",AX32="No"),"Accepted outside appetite: record approval by "&amp;INDEX(Settings!$G$20:$G$23,MATCH(AW32,Settings!$A$20:$A$23,0))&amp;". ","")&amp;IF(AND(W32="Accept",BG32=""),"Acceptance expiry missing. ","")&amp;IF(AND(BG32&lt;&gt;"",BG32&lt;TODAY()),"Acceptance expired. ","")&amp;IF(AND(W32&lt;&gt;"",W32&lt;&gt;"Accept",AV32=""),"Target rating not set. ","")&amp;IF(AND(BE32="Closed",AX32="No"),"Closed while outside appetite. ","")&amp;IF(AND(W32="Transfer",BE32&lt;&gt;"Transferred",BE32&lt;&gt;"Closed"),"Transfer: record the contract, SLA and audit rights. ","")&amp;IF(AZ32="","Risk owner missing. ","")&amp;IF(K32="","Scenario not written. ",""))="","OK",TRIM(IF(W32="","Treatment not chosen. ","")&amp;IF(AND(W32="Accept",AX32="No"),"Accepted outside appetite: record approval by "&amp;INDEX(Settings!$G$20:$G$23,MATCH(AW32,Settings!$A$20:$A$23,0))&amp;". ","")&amp;IF(AND(W32="Accept",BG32=""),"Acceptance expiry missing. ","")&amp;IF(AND(BG32&lt;&gt;"",BG32&lt;TODAY()),"Acceptance expired. ","")&amp;IF(AND(W32&lt;&gt;"",W32&lt;&gt;"Accept",AV32=""),"Target rating not set. ","")&amp;IF(AND(BE32="Closed",AX32="No"),"Closed while outside appetite. ","")&amp;IF(AND(W32="Transfer",BE32&lt;&gt;"Transferred",BE32&lt;&gt;"Closed"),"Transfer: record the contract, SLA and audit rights. ","")&amp;IF(AZ32="","Risk owner missing. ","")&amp;IF(K32="","Scenario not written. ",""))))</f>
        <v>Treatment not chosen. Risk owner missing. Scenario not written.</v>
      </c>
      <c r="BM32" s="82" t="s">
        <v>842</v>
      </c>
    </row>
    <row r="33" customFormat="false" ht="105" hidden="false" customHeight="true" outlineLevel="0" collapsed="false">
      <c r="A33" s="78" t="s">
        <v>843</v>
      </c>
      <c r="B33" s="79" t="s">
        <v>844</v>
      </c>
      <c r="C33" s="80" t="s">
        <v>845</v>
      </c>
      <c r="D33" s="81" t="str">
        <f aca="false">IF(C33="","",IFERROR(INDEX(Lists!$O$2:$O$13,MATCH(C33,Lists!$N$2:$N$13,0)),"Check domain code"))</f>
        <v>Strategy and Value Realization</v>
      </c>
      <c r="E33" s="81" t="str">
        <f aca="false">IF(C33="","",IFERROR(INDEX(Lists!$P$2:$P$13,MATCH(C33,Lists!$N$2:$N$13,0)),""))</f>
        <v>Executive sponsor, business owners</v>
      </c>
      <c r="F33" s="80"/>
      <c r="G33" s="82" t="s">
        <v>270</v>
      </c>
      <c r="H33" s="82"/>
      <c r="I33" s="82"/>
      <c r="J33" s="83" t="s">
        <v>846</v>
      </c>
      <c r="K33" s="82"/>
      <c r="L33" s="82"/>
      <c r="M33" s="84" t="s">
        <v>847</v>
      </c>
      <c r="N33" s="85" t="str">
        <f aca="false">IF(COUNTIF(Triage!$E$6:$E$41,"Yes")+COUNTIF(Triage!$E$6:$E$41,"No")=0,"Not triaged",IF(SUMPRODUCT(COUNTIFS(Triage!$A$6:$A$41,{"E1"},Triage!$E$6:$E$41,"Yes"))&gt;0,"Applies","Not triggered"))</f>
        <v>Not triaged</v>
      </c>
      <c r="O33" s="82"/>
      <c r="P33" s="86"/>
      <c r="Q33" s="86" t="n">
        <v>2</v>
      </c>
      <c r="R33" s="86" t="n">
        <v>3</v>
      </c>
      <c r="S33" s="21" t="n">
        <f aca="false">IF(OR(Q33="",R33=""),"",Q33*R33)</f>
        <v>6</v>
      </c>
      <c r="T33" s="85" t="str">
        <f aca="false">IF(S33="","",INDEX(Settings!$A$20:$A$23,MATCH(S33,Settings!$B$20:$B$23,1)))</f>
        <v>High</v>
      </c>
      <c r="U33" s="82" t="s">
        <v>273</v>
      </c>
      <c r="V33" s="87"/>
      <c r="W33" s="86"/>
      <c r="X33" s="82"/>
      <c r="Y33" s="88" t="s">
        <v>848</v>
      </c>
      <c r="Z33" s="88" t="s">
        <v>849</v>
      </c>
      <c r="AA33" s="88" t="s">
        <v>850</v>
      </c>
      <c r="AB33" s="88" t="s">
        <v>851</v>
      </c>
      <c r="AC33" s="88" t="s">
        <v>852</v>
      </c>
      <c r="AD33" s="88" t="s">
        <v>853</v>
      </c>
      <c r="AE33" s="88" t="s">
        <v>854</v>
      </c>
      <c r="AF33" s="88"/>
      <c r="AG33" s="88"/>
      <c r="AH33" s="88" t="s">
        <v>855</v>
      </c>
      <c r="AI33" s="88" t="s">
        <v>856</v>
      </c>
      <c r="AJ33" s="89" t="s">
        <v>637</v>
      </c>
      <c r="AK33" s="88" t="s">
        <v>857</v>
      </c>
      <c r="AL33" s="88" t="s">
        <v>287</v>
      </c>
      <c r="AM33" s="88" t="s">
        <v>858</v>
      </c>
      <c r="AN33" s="88" t="s">
        <v>287</v>
      </c>
      <c r="AO33" s="88" t="s">
        <v>287</v>
      </c>
      <c r="AP33" s="88" t="s">
        <v>287</v>
      </c>
      <c r="AQ33" s="89" t="n">
        <v>4</v>
      </c>
      <c r="AR33" s="89" t="n">
        <v>29</v>
      </c>
      <c r="AS33" s="86"/>
      <c r="AT33" s="86"/>
      <c r="AU33" s="85" t="str">
        <f aca="false">IF(OR(AS33="",AT33=""),"",AS33*AT33)</f>
        <v/>
      </c>
      <c r="AV33" s="21" t="str">
        <f aca="false">IF(AU33="","",INDEX(Settings!$A$20:$A$23,MATCH(AU33,Settings!$B$20:$B$23,1)))</f>
        <v/>
      </c>
      <c r="AW33" s="85" t="str">
        <f aca="false">IF(AV33&lt;&gt;"",AV33,T33)</f>
        <v>High</v>
      </c>
      <c r="AX33" s="85" t="str">
        <f aca="false">IF(AW33="","",IF(MATCH(AW33,Settings!$A$20:$A$23,0)&lt;=MATCH(Settings!$C$28,Settings!$A$20:$A$23,0),"Yes","No"))</f>
        <v>No</v>
      </c>
      <c r="AY33" s="81" t="str">
        <f aca="false">IF(AW33="","",IF(AX33="Yes",INDEX(Settings!$G$20:$G$23,MATCH(AW33,Settings!$A$20:$A$23,0)),INDEX(Settings!$G$20:$G$23,MATCH(AW33,Settings!$A$20:$A$23,0))&amp;" (outside appetite)"))</f>
        <v>AI Governance Committee (outside appetite)</v>
      </c>
      <c r="AZ33" s="82"/>
      <c r="BA33" s="82"/>
      <c r="BB33" s="90"/>
      <c r="BC33" s="91" t="str">
        <f aca="false">IF(OR(BB33="",T33=""),"",BB33+INDEX(Settings!$E$20:$E$23,MATCH(T33,Settings!$A$20:$A$23,0)))</f>
        <v/>
      </c>
      <c r="BD33" s="90"/>
      <c r="BE33" s="82"/>
      <c r="BF33" s="81" t="str">
        <f aca="true">IF(A33="","",IF(OR(BE33="Closed",BE33="Accepted"),"No action",IF(BB33="","Set date identified",IF(TODAY()&gt;BC33,"Deadline exceeded",IF(BC33-TODAY()&lt;=Settings!$C$30,"Deadline approaching","On track")))))</f>
        <v>Set date identified</v>
      </c>
      <c r="BG33" s="90"/>
      <c r="BH33" s="90"/>
      <c r="BI33" s="91" t="str">
        <f aca="false">IF(OR(BH33="",AW33=""),"",EDATE(BH33,INDEX(Settings!$F$20:$F$23,MATCH(AW33,Settings!$A$20:$A$23,0))))</f>
        <v/>
      </c>
      <c r="BJ33" s="85" t="str">
        <f aca="false">IF(T33="","",IF(MAX(IF(T33="",0,MATCH(T33,Settings!$A$20:$A$23,0)),IF(AV33="",0,MATCH(AV33,Settings!$A$20:$A$23,0)))&gt;=MATCH(Settings!$C$29,Settings!$A$20:$A$23,0),"Yes","No"))</f>
        <v>Yes</v>
      </c>
      <c r="BK33" s="82"/>
      <c r="BL33" s="81" t="str">
        <f aca="true">IF(A33="","",IF(TRIM(IF(W33="","Treatment not chosen. ","")&amp;IF(AND(W33="Accept",AX33="No"),"Accepted outside appetite: record approval by "&amp;INDEX(Settings!$G$20:$G$23,MATCH(AW33,Settings!$A$20:$A$23,0))&amp;". ","")&amp;IF(AND(W33="Accept",BG33=""),"Acceptance expiry missing. ","")&amp;IF(AND(BG33&lt;&gt;"",BG33&lt;TODAY()),"Acceptance expired. ","")&amp;IF(AND(W33&lt;&gt;"",W33&lt;&gt;"Accept",AV33=""),"Target rating not set. ","")&amp;IF(AND(BE33="Closed",AX33="No"),"Closed while outside appetite. ","")&amp;IF(AND(W33="Transfer",BE33&lt;&gt;"Transferred",BE33&lt;&gt;"Closed"),"Transfer: record the contract, SLA and audit rights. ","")&amp;IF(AZ33="","Risk owner missing. ","")&amp;IF(K33="","Scenario not written. ",""))="","OK",TRIM(IF(W33="","Treatment not chosen. ","")&amp;IF(AND(W33="Accept",AX33="No"),"Accepted outside appetite: record approval by "&amp;INDEX(Settings!$G$20:$G$23,MATCH(AW33,Settings!$A$20:$A$23,0))&amp;". ","")&amp;IF(AND(W33="Accept",BG33=""),"Acceptance expiry missing. ","")&amp;IF(AND(BG33&lt;&gt;"",BG33&lt;TODAY()),"Acceptance expired. ","")&amp;IF(AND(W33&lt;&gt;"",W33&lt;&gt;"Accept",AV33=""),"Target rating not set. ","")&amp;IF(AND(BE33="Closed",AX33="No"),"Closed while outside appetite. ","")&amp;IF(AND(W33="Transfer",BE33&lt;&gt;"Transferred",BE33&lt;&gt;"Closed"),"Transfer: record the contract, SLA and audit rights. ","")&amp;IF(AZ33="","Risk owner missing. ","")&amp;IF(K33="","Scenario not written. ",""))))</f>
        <v>Treatment not chosen. Risk owner missing. Scenario not written.</v>
      </c>
      <c r="BM33" s="82" t="s">
        <v>859</v>
      </c>
    </row>
    <row r="34" customFormat="false" ht="105" hidden="false" customHeight="true" outlineLevel="0" collapsed="false">
      <c r="A34" s="92" t="s">
        <v>860</v>
      </c>
      <c r="B34" s="93" t="s">
        <v>861</v>
      </c>
      <c r="C34" s="80" t="s">
        <v>862</v>
      </c>
      <c r="D34" s="81" t="str">
        <f aca="false">IF(C34="","",IFERROR(INDEX(Lists!$O$2:$O$13,MATCH(C34,Lists!$N$2:$N$13,0)),"Check domain code"))</f>
        <v>Financial and Resource</v>
      </c>
      <c r="E34" s="81" t="str">
        <f aca="false">IF(C34="","",IFERROR(INDEX(Lists!$P$2:$P$13,MATCH(C34,Lists!$N$2:$N$13,0)),""))</f>
        <v>CFO, FinOps</v>
      </c>
      <c r="F34" s="80"/>
      <c r="G34" s="82" t="s">
        <v>270</v>
      </c>
      <c r="H34" s="82"/>
      <c r="I34" s="82"/>
      <c r="J34" s="94" t="s">
        <v>863</v>
      </c>
      <c r="K34" s="82"/>
      <c r="L34" s="82"/>
      <c r="M34" s="95" t="s">
        <v>864</v>
      </c>
      <c r="N34" s="85" t="str">
        <f aca="false">IF(COUNTIF(Triage!$E$6:$E$41,"Yes")+COUNTIF(Triage!$E$6:$E$41,"No")=0,"Not triaged",IF(SUMPRODUCT(COUNTIFS(Triage!$A$6:$A$41,{"E1","E2"},Triage!$E$6:$E$41,"Yes"))&gt;0,"Applies","Not triggered"))</f>
        <v>Not triaged</v>
      </c>
      <c r="O34" s="82"/>
      <c r="P34" s="86"/>
      <c r="Q34" s="86" t="n">
        <v>2</v>
      </c>
      <c r="R34" s="86" t="n">
        <v>3</v>
      </c>
      <c r="S34" s="21" t="n">
        <f aca="false">IF(OR(Q34="",R34=""),"",Q34*R34)</f>
        <v>6</v>
      </c>
      <c r="T34" s="85" t="str">
        <f aca="false">IF(S34="","",INDEX(Settings!$A$20:$A$23,MATCH(S34,Settings!$B$20:$B$23,1)))</f>
        <v>High</v>
      </c>
      <c r="U34" s="82" t="s">
        <v>273</v>
      </c>
      <c r="V34" s="87"/>
      <c r="W34" s="86"/>
      <c r="X34" s="82"/>
      <c r="Y34" s="96" t="s">
        <v>865</v>
      </c>
      <c r="Z34" s="96" t="s">
        <v>866</v>
      </c>
      <c r="AA34" s="96" t="s">
        <v>867</v>
      </c>
      <c r="AB34" s="96" t="s">
        <v>868</v>
      </c>
      <c r="AC34" s="96" t="s">
        <v>869</v>
      </c>
      <c r="AD34" s="96" t="s">
        <v>870</v>
      </c>
      <c r="AE34" s="96" t="s">
        <v>871</v>
      </c>
      <c r="AF34" s="96" t="s">
        <v>872</v>
      </c>
      <c r="AG34" s="96" t="s">
        <v>873</v>
      </c>
      <c r="AH34" s="96" t="s">
        <v>855</v>
      </c>
      <c r="AI34" s="96" t="s">
        <v>874</v>
      </c>
      <c r="AJ34" s="97" t="s">
        <v>875</v>
      </c>
      <c r="AK34" s="96" t="s">
        <v>876</v>
      </c>
      <c r="AL34" s="96" t="s">
        <v>287</v>
      </c>
      <c r="AM34" s="96" t="s">
        <v>877</v>
      </c>
      <c r="AN34" s="96" t="s">
        <v>287</v>
      </c>
      <c r="AO34" s="96" t="s">
        <v>287</v>
      </c>
      <c r="AP34" s="96" t="s">
        <v>287</v>
      </c>
      <c r="AQ34" s="97" t="n">
        <v>3</v>
      </c>
      <c r="AR34" s="97" t="n">
        <v>64</v>
      </c>
      <c r="AS34" s="86"/>
      <c r="AT34" s="86"/>
      <c r="AU34" s="85" t="str">
        <f aca="false">IF(OR(AS34="",AT34=""),"",AS34*AT34)</f>
        <v/>
      </c>
      <c r="AV34" s="21" t="str">
        <f aca="false">IF(AU34="","",INDEX(Settings!$A$20:$A$23,MATCH(AU34,Settings!$B$20:$B$23,1)))</f>
        <v/>
      </c>
      <c r="AW34" s="85" t="str">
        <f aca="false">IF(AV34&lt;&gt;"",AV34,T34)</f>
        <v>High</v>
      </c>
      <c r="AX34" s="85" t="str">
        <f aca="false">IF(AW34="","",IF(MATCH(AW34,Settings!$A$20:$A$23,0)&lt;=MATCH(Settings!$C$28,Settings!$A$20:$A$23,0),"Yes","No"))</f>
        <v>No</v>
      </c>
      <c r="AY34" s="81" t="str">
        <f aca="false">IF(AW34="","",IF(AX34="Yes",INDEX(Settings!$G$20:$G$23,MATCH(AW34,Settings!$A$20:$A$23,0)),INDEX(Settings!$G$20:$G$23,MATCH(AW34,Settings!$A$20:$A$23,0))&amp;" (outside appetite)"))</f>
        <v>AI Governance Committee (outside appetite)</v>
      </c>
      <c r="AZ34" s="82"/>
      <c r="BA34" s="82"/>
      <c r="BB34" s="90"/>
      <c r="BC34" s="91" t="str">
        <f aca="false">IF(OR(BB34="",T34=""),"",BB34+INDEX(Settings!$E$20:$E$23,MATCH(T34,Settings!$A$20:$A$23,0)))</f>
        <v/>
      </c>
      <c r="BD34" s="90"/>
      <c r="BE34" s="82"/>
      <c r="BF34" s="81" t="str">
        <f aca="true">IF(A34="","",IF(OR(BE34="Closed",BE34="Accepted"),"No action",IF(BB34="","Set date identified",IF(TODAY()&gt;BC34,"Deadline exceeded",IF(BC34-TODAY()&lt;=Settings!$C$30,"Deadline approaching","On track")))))</f>
        <v>Set date identified</v>
      </c>
      <c r="BG34" s="90"/>
      <c r="BH34" s="90"/>
      <c r="BI34" s="91" t="str">
        <f aca="false">IF(OR(BH34="",AW34=""),"",EDATE(BH34,INDEX(Settings!$F$20:$F$23,MATCH(AW34,Settings!$A$20:$A$23,0))))</f>
        <v/>
      </c>
      <c r="BJ34" s="85" t="str">
        <f aca="false">IF(T34="","",IF(MAX(IF(T34="",0,MATCH(T34,Settings!$A$20:$A$23,0)),IF(AV34="",0,MATCH(AV34,Settings!$A$20:$A$23,0)))&gt;=MATCH(Settings!$C$29,Settings!$A$20:$A$23,0),"Yes","No"))</f>
        <v>Yes</v>
      </c>
      <c r="BK34" s="82"/>
      <c r="BL34" s="81" t="str">
        <f aca="true">IF(A34="","",IF(TRIM(IF(W34="","Treatment not chosen. ","")&amp;IF(AND(W34="Accept",AX34="No"),"Accepted outside appetite: record approval by "&amp;INDEX(Settings!$G$20:$G$23,MATCH(AW34,Settings!$A$20:$A$23,0))&amp;". ","")&amp;IF(AND(W34="Accept",BG34=""),"Acceptance expiry missing. ","")&amp;IF(AND(BG34&lt;&gt;"",BG34&lt;TODAY()),"Acceptance expired. ","")&amp;IF(AND(W34&lt;&gt;"",W34&lt;&gt;"Accept",AV34=""),"Target rating not set. ","")&amp;IF(AND(BE34="Closed",AX34="No"),"Closed while outside appetite. ","")&amp;IF(AND(W34="Transfer",BE34&lt;&gt;"Transferred",BE34&lt;&gt;"Closed"),"Transfer: record the contract, SLA and audit rights. ","")&amp;IF(AZ34="","Risk owner missing. ","")&amp;IF(K34="","Scenario not written. ",""))="","OK",TRIM(IF(W34="","Treatment not chosen. ","")&amp;IF(AND(W34="Accept",AX34="No"),"Accepted outside appetite: record approval by "&amp;INDEX(Settings!$G$20:$G$23,MATCH(AW34,Settings!$A$20:$A$23,0))&amp;". ","")&amp;IF(AND(W34="Accept",BG34=""),"Acceptance expiry missing. ","")&amp;IF(AND(BG34&lt;&gt;"",BG34&lt;TODAY()),"Acceptance expired. ","")&amp;IF(AND(W34&lt;&gt;"",W34&lt;&gt;"Accept",AV34=""),"Target rating not set. ","")&amp;IF(AND(BE34="Closed",AX34="No"),"Closed while outside appetite. ","")&amp;IF(AND(W34="Transfer",BE34&lt;&gt;"Transferred",BE34&lt;&gt;"Closed"),"Transfer: record the contract, SLA and audit rights. ","")&amp;IF(AZ34="","Risk owner missing. ","")&amp;IF(K34="","Scenario not written. ",""))))</f>
        <v>Treatment not chosen. Risk owner missing. Scenario not written.</v>
      </c>
      <c r="BM34" s="82" t="s">
        <v>878</v>
      </c>
    </row>
    <row r="35" customFormat="false" ht="105" hidden="false" customHeight="true" outlineLevel="0" collapsed="false">
      <c r="A35" s="78" t="s">
        <v>879</v>
      </c>
      <c r="B35" s="79" t="s">
        <v>880</v>
      </c>
      <c r="C35" s="80" t="s">
        <v>421</v>
      </c>
      <c r="D35" s="81" t="str">
        <f aca="false">IF(C35="","",IFERROR(INDEX(Lists!$O$2:$O$13,MATCH(C35,Lists!$N$2:$N$13,0)),"Check domain code"))</f>
        <v>Third-Party and Model Supply Chain</v>
      </c>
      <c r="E35" s="81" t="str">
        <f aca="false">IF(C35="","",IFERROR(INDEX(Lists!$P$2:$P$13,MATCH(C35,Lists!$N$2:$N$13,0)),""))</f>
        <v>Procurement, third-party risk</v>
      </c>
      <c r="F35" s="80"/>
      <c r="G35" s="82" t="s">
        <v>270</v>
      </c>
      <c r="H35" s="82"/>
      <c r="I35" s="82"/>
      <c r="J35" s="83" t="s">
        <v>881</v>
      </c>
      <c r="K35" s="82"/>
      <c r="L35" s="82"/>
      <c r="M35" s="84" t="s">
        <v>882</v>
      </c>
      <c r="N35" s="85" t="str">
        <f aca="false">IF(COUNTIF(Triage!$E$6:$E$41,"Yes")+COUNTIF(Triage!$E$6:$E$41,"No")=0,"Not triaged",IF(SUMPRODUCT(COUNTIFS(Triage!$A$6:$A$41,{"E3"},Triage!$E$6:$E$41,"Yes"))&gt;0,"Applies","Not triggered"))</f>
        <v>Not triaged</v>
      </c>
      <c r="O35" s="82"/>
      <c r="P35" s="86"/>
      <c r="Q35" s="86" t="n">
        <v>2</v>
      </c>
      <c r="R35" s="86" t="n">
        <v>3</v>
      </c>
      <c r="S35" s="21" t="n">
        <f aca="false">IF(OR(Q35="",R35=""),"",Q35*R35)</f>
        <v>6</v>
      </c>
      <c r="T35" s="85" t="str">
        <f aca="false">IF(S35="","",INDEX(Settings!$A$20:$A$23,MATCH(S35,Settings!$B$20:$B$23,1)))</f>
        <v>High</v>
      </c>
      <c r="U35" s="82" t="s">
        <v>273</v>
      </c>
      <c r="V35" s="87"/>
      <c r="W35" s="86"/>
      <c r="X35" s="82"/>
      <c r="Y35" s="88" t="s">
        <v>883</v>
      </c>
      <c r="Z35" s="88" t="s">
        <v>884</v>
      </c>
      <c r="AA35" s="88" t="s">
        <v>885</v>
      </c>
      <c r="AB35" s="88" t="s">
        <v>886</v>
      </c>
      <c r="AC35" s="88" t="s">
        <v>887</v>
      </c>
      <c r="AD35" s="88" t="s">
        <v>888</v>
      </c>
      <c r="AE35" s="88" t="s">
        <v>889</v>
      </c>
      <c r="AF35" s="88" t="s">
        <v>890</v>
      </c>
      <c r="AG35" s="88" t="s">
        <v>595</v>
      </c>
      <c r="AH35" s="88" t="s">
        <v>855</v>
      </c>
      <c r="AI35" s="88" t="s">
        <v>891</v>
      </c>
      <c r="AJ35" s="89" t="s">
        <v>892</v>
      </c>
      <c r="AK35" s="88" t="s">
        <v>893</v>
      </c>
      <c r="AL35" s="88" t="s">
        <v>287</v>
      </c>
      <c r="AM35" s="88" t="s">
        <v>894</v>
      </c>
      <c r="AN35" s="88" t="s">
        <v>287</v>
      </c>
      <c r="AO35" s="88" t="s">
        <v>287</v>
      </c>
      <c r="AP35" s="88" t="s">
        <v>287</v>
      </c>
      <c r="AQ35" s="89" t="n">
        <v>4</v>
      </c>
      <c r="AR35" s="89" t="n">
        <v>61</v>
      </c>
      <c r="AS35" s="86"/>
      <c r="AT35" s="86"/>
      <c r="AU35" s="85" t="str">
        <f aca="false">IF(OR(AS35="",AT35=""),"",AS35*AT35)</f>
        <v/>
      </c>
      <c r="AV35" s="21" t="str">
        <f aca="false">IF(AU35="","",INDEX(Settings!$A$20:$A$23,MATCH(AU35,Settings!$B$20:$B$23,1)))</f>
        <v/>
      </c>
      <c r="AW35" s="85" t="str">
        <f aca="false">IF(AV35&lt;&gt;"",AV35,T35)</f>
        <v>High</v>
      </c>
      <c r="AX35" s="85" t="str">
        <f aca="false">IF(AW35="","",IF(MATCH(AW35,Settings!$A$20:$A$23,0)&lt;=MATCH(Settings!$C$28,Settings!$A$20:$A$23,0),"Yes","No"))</f>
        <v>No</v>
      </c>
      <c r="AY35" s="81" t="str">
        <f aca="false">IF(AW35="","",IF(AX35="Yes",INDEX(Settings!$G$20:$G$23,MATCH(AW35,Settings!$A$20:$A$23,0)),INDEX(Settings!$G$20:$G$23,MATCH(AW35,Settings!$A$20:$A$23,0))&amp;" (outside appetite)"))</f>
        <v>AI Governance Committee (outside appetite)</v>
      </c>
      <c r="AZ35" s="82"/>
      <c r="BA35" s="82"/>
      <c r="BB35" s="90"/>
      <c r="BC35" s="91" t="str">
        <f aca="false">IF(OR(BB35="",T35=""),"",BB35+INDEX(Settings!$E$20:$E$23,MATCH(T35,Settings!$A$20:$A$23,0)))</f>
        <v/>
      </c>
      <c r="BD35" s="90"/>
      <c r="BE35" s="82"/>
      <c r="BF35" s="81" t="str">
        <f aca="true">IF(A35="","",IF(OR(BE35="Closed",BE35="Accepted"),"No action",IF(BB35="","Set date identified",IF(TODAY()&gt;BC35,"Deadline exceeded",IF(BC35-TODAY()&lt;=Settings!$C$30,"Deadline approaching","On track")))))</f>
        <v>Set date identified</v>
      </c>
      <c r="BG35" s="90"/>
      <c r="BH35" s="90"/>
      <c r="BI35" s="91" t="str">
        <f aca="false">IF(OR(BH35="",AW35=""),"",EDATE(BH35,INDEX(Settings!$F$20:$F$23,MATCH(AW35,Settings!$A$20:$A$23,0))))</f>
        <v/>
      </c>
      <c r="BJ35" s="85" t="str">
        <f aca="false">IF(T35="","",IF(MAX(IF(T35="",0,MATCH(T35,Settings!$A$20:$A$23,0)),IF(AV35="",0,MATCH(AV35,Settings!$A$20:$A$23,0)))&gt;=MATCH(Settings!$C$29,Settings!$A$20:$A$23,0),"Yes","No"))</f>
        <v>Yes</v>
      </c>
      <c r="BK35" s="82"/>
      <c r="BL35" s="81" t="str">
        <f aca="true">IF(A35="","",IF(TRIM(IF(W35="","Treatment not chosen. ","")&amp;IF(AND(W35="Accept",AX35="No"),"Accepted outside appetite: record approval by "&amp;INDEX(Settings!$G$20:$G$23,MATCH(AW35,Settings!$A$20:$A$23,0))&amp;". ","")&amp;IF(AND(W35="Accept",BG35=""),"Acceptance expiry missing. ","")&amp;IF(AND(BG35&lt;&gt;"",BG35&lt;TODAY()),"Acceptance expired. ","")&amp;IF(AND(W35&lt;&gt;"",W35&lt;&gt;"Accept",AV35=""),"Target rating not set. ","")&amp;IF(AND(BE35="Closed",AX35="No"),"Closed while outside appetite. ","")&amp;IF(AND(W35="Transfer",BE35&lt;&gt;"Transferred",BE35&lt;&gt;"Closed"),"Transfer: record the contract, SLA and audit rights. ","")&amp;IF(AZ35="","Risk owner missing. ","")&amp;IF(K35="","Scenario not written. ",""))="","OK",TRIM(IF(W35="","Treatment not chosen. ","")&amp;IF(AND(W35="Accept",AX35="No"),"Accepted outside appetite: record approval by "&amp;INDEX(Settings!$G$20:$G$23,MATCH(AW35,Settings!$A$20:$A$23,0))&amp;". ","")&amp;IF(AND(W35="Accept",BG35=""),"Acceptance expiry missing. ","")&amp;IF(AND(BG35&lt;&gt;"",BG35&lt;TODAY()),"Acceptance expired. ","")&amp;IF(AND(W35&lt;&gt;"",W35&lt;&gt;"Accept",AV35=""),"Target rating not set. ","")&amp;IF(AND(BE35="Closed",AX35="No"),"Closed while outside appetite. ","")&amp;IF(AND(W35="Transfer",BE35&lt;&gt;"Transferred",BE35&lt;&gt;"Closed"),"Transfer: record the contract, SLA and audit rights. ","")&amp;IF(AZ35="","Risk owner missing. ","")&amp;IF(K35="","Scenario not written. ",""))))</f>
        <v>Treatment not chosen. Risk owner missing. Scenario not written.</v>
      </c>
      <c r="BM35" s="82" t="s">
        <v>895</v>
      </c>
    </row>
    <row r="36" customFormat="false" ht="105" hidden="false" customHeight="true" outlineLevel="0" collapsed="false">
      <c r="A36" s="92" t="s">
        <v>896</v>
      </c>
      <c r="B36" s="93" t="s">
        <v>897</v>
      </c>
      <c r="C36" s="80" t="s">
        <v>421</v>
      </c>
      <c r="D36" s="81" t="str">
        <f aca="false">IF(C36="","",IFERROR(INDEX(Lists!$O$2:$O$13,MATCH(C36,Lists!$N$2:$N$13,0)),"Check domain code"))</f>
        <v>Third-Party and Model Supply Chain</v>
      </c>
      <c r="E36" s="81" t="str">
        <f aca="false">IF(C36="","",IFERROR(INDEX(Lists!$P$2:$P$13,MATCH(C36,Lists!$N$2:$N$13,0)),""))</f>
        <v>Procurement, third-party risk</v>
      </c>
      <c r="F36" s="80"/>
      <c r="G36" s="82" t="s">
        <v>270</v>
      </c>
      <c r="H36" s="82"/>
      <c r="I36" s="82"/>
      <c r="J36" s="94" t="s">
        <v>898</v>
      </c>
      <c r="K36" s="82"/>
      <c r="L36" s="82"/>
      <c r="M36" s="95" t="s">
        <v>899</v>
      </c>
      <c r="N36" s="85" t="str">
        <f aca="false">IF(COUNTIF(Triage!$E$6:$E$41,"Yes")+COUNTIF(Triage!$E$6:$E$41,"No")=0,"Not triaged",IF(SUMPRODUCT(COUNTIFS(Triage!$A$6:$A$41,{"E4"},Triage!$E$6:$E$41,"Yes"))&gt;0,"Applies","Not triggered"))</f>
        <v>Not triaged</v>
      </c>
      <c r="O36" s="82"/>
      <c r="P36" s="86"/>
      <c r="Q36" s="86" t="n">
        <v>2</v>
      </c>
      <c r="R36" s="86" t="n">
        <v>3</v>
      </c>
      <c r="S36" s="21" t="n">
        <f aca="false">IF(OR(Q36="",R36=""),"",Q36*R36)</f>
        <v>6</v>
      </c>
      <c r="T36" s="85" t="str">
        <f aca="false">IF(S36="","",INDEX(Settings!$A$20:$A$23,MATCH(S36,Settings!$B$20:$B$23,1)))</f>
        <v>High</v>
      </c>
      <c r="U36" s="82" t="s">
        <v>273</v>
      </c>
      <c r="V36" s="87"/>
      <c r="W36" s="86"/>
      <c r="X36" s="82"/>
      <c r="Y36" s="96" t="s">
        <v>900</v>
      </c>
      <c r="Z36" s="96" t="s">
        <v>849</v>
      </c>
      <c r="AA36" s="96" t="s">
        <v>901</v>
      </c>
      <c r="AB36" s="96" t="s">
        <v>902</v>
      </c>
      <c r="AC36" s="96" t="s">
        <v>903</v>
      </c>
      <c r="AD36" s="96" t="s">
        <v>904</v>
      </c>
      <c r="AE36" s="96" t="s">
        <v>905</v>
      </c>
      <c r="AF36" s="96" t="s">
        <v>594</v>
      </c>
      <c r="AG36" s="96" t="s">
        <v>906</v>
      </c>
      <c r="AH36" s="96" t="s">
        <v>855</v>
      </c>
      <c r="AI36" s="96" t="s">
        <v>907</v>
      </c>
      <c r="AJ36" s="97" t="s">
        <v>908</v>
      </c>
      <c r="AK36" s="96" t="s">
        <v>909</v>
      </c>
      <c r="AL36" s="96" t="s">
        <v>558</v>
      </c>
      <c r="AM36" s="96" t="s">
        <v>910</v>
      </c>
      <c r="AN36" s="96" t="s">
        <v>287</v>
      </c>
      <c r="AO36" s="96" t="s">
        <v>287</v>
      </c>
      <c r="AP36" s="96" t="s">
        <v>287</v>
      </c>
      <c r="AQ36" s="97" t="n">
        <v>3</v>
      </c>
      <c r="AR36" s="97" t="n">
        <v>79</v>
      </c>
      <c r="AS36" s="86"/>
      <c r="AT36" s="86"/>
      <c r="AU36" s="85" t="str">
        <f aca="false">IF(OR(AS36="",AT36=""),"",AS36*AT36)</f>
        <v/>
      </c>
      <c r="AV36" s="21" t="str">
        <f aca="false">IF(AU36="","",INDEX(Settings!$A$20:$A$23,MATCH(AU36,Settings!$B$20:$B$23,1)))</f>
        <v/>
      </c>
      <c r="AW36" s="85" t="str">
        <f aca="false">IF(AV36&lt;&gt;"",AV36,T36)</f>
        <v>High</v>
      </c>
      <c r="AX36" s="85" t="str">
        <f aca="false">IF(AW36="","",IF(MATCH(AW36,Settings!$A$20:$A$23,0)&lt;=MATCH(Settings!$C$28,Settings!$A$20:$A$23,0),"Yes","No"))</f>
        <v>No</v>
      </c>
      <c r="AY36" s="81" t="str">
        <f aca="false">IF(AW36="","",IF(AX36="Yes",INDEX(Settings!$G$20:$G$23,MATCH(AW36,Settings!$A$20:$A$23,0)),INDEX(Settings!$G$20:$G$23,MATCH(AW36,Settings!$A$20:$A$23,0))&amp;" (outside appetite)"))</f>
        <v>AI Governance Committee (outside appetite)</v>
      </c>
      <c r="AZ36" s="82"/>
      <c r="BA36" s="82"/>
      <c r="BB36" s="90"/>
      <c r="BC36" s="91" t="str">
        <f aca="false">IF(OR(BB36="",T36=""),"",BB36+INDEX(Settings!$E$20:$E$23,MATCH(T36,Settings!$A$20:$A$23,0)))</f>
        <v/>
      </c>
      <c r="BD36" s="90"/>
      <c r="BE36" s="82"/>
      <c r="BF36" s="81" t="str">
        <f aca="true">IF(A36="","",IF(OR(BE36="Closed",BE36="Accepted"),"No action",IF(BB36="","Set date identified",IF(TODAY()&gt;BC36,"Deadline exceeded",IF(BC36-TODAY()&lt;=Settings!$C$30,"Deadline approaching","On track")))))</f>
        <v>Set date identified</v>
      </c>
      <c r="BG36" s="90"/>
      <c r="BH36" s="90"/>
      <c r="BI36" s="91" t="str">
        <f aca="false">IF(OR(BH36="",AW36=""),"",EDATE(BH36,INDEX(Settings!$F$20:$F$23,MATCH(AW36,Settings!$A$20:$A$23,0))))</f>
        <v/>
      </c>
      <c r="BJ36" s="85" t="str">
        <f aca="false">IF(T36="","",IF(MAX(IF(T36="",0,MATCH(T36,Settings!$A$20:$A$23,0)),IF(AV36="",0,MATCH(AV36,Settings!$A$20:$A$23,0)))&gt;=MATCH(Settings!$C$29,Settings!$A$20:$A$23,0),"Yes","No"))</f>
        <v>Yes</v>
      </c>
      <c r="BK36" s="82"/>
      <c r="BL36" s="81" t="str">
        <f aca="true">IF(A36="","",IF(TRIM(IF(W36="","Treatment not chosen. ","")&amp;IF(AND(W36="Accept",AX36="No"),"Accepted outside appetite: record approval by "&amp;INDEX(Settings!$G$20:$G$23,MATCH(AW36,Settings!$A$20:$A$23,0))&amp;". ","")&amp;IF(AND(W36="Accept",BG36=""),"Acceptance expiry missing. ","")&amp;IF(AND(BG36&lt;&gt;"",BG36&lt;TODAY()),"Acceptance expired. ","")&amp;IF(AND(W36&lt;&gt;"",W36&lt;&gt;"Accept",AV36=""),"Target rating not set. ","")&amp;IF(AND(BE36="Closed",AX36="No"),"Closed while outside appetite. ","")&amp;IF(AND(W36="Transfer",BE36&lt;&gt;"Transferred",BE36&lt;&gt;"Closed"),"Transfer: record the contract, SLA and audit rights. ","")&amp;IF(AZ36="","Risk owner missing. ","")&amp;IF(K36="","Scenario not written. ",""))="","OK",TRIM(IF(W36="","Treatment not chosen. ","")&amp;IF(AND(W36="Accept",AX36="No"),"Accepted outside appetite: record approval by "&amp;INDEX(Settings!$G$20:$G$23,MATCH(AW36,Settings!$A$20:$A$23,0))&amp;". ","")&amp;IF(AND(W36="Accept",BG36=""),"Acceptance expiry missing. ","")&amp;IF(AND(BG36&lt;&gt;"",BG36&lt;TODAY()),"Acceptance expired. ","")&amp;IF(AND(W36&lt;&gt;"",W36&lt;&gt;"Accept",AV36=""),"Target rating not set. ","")&amp;IF(AND(BE36="Closed",AX36="No"),"Closed while outside appetite. ","")&amp;IF(AND(W36="Transfer",BE36&lt;&gt;"Transferred",BE36&lt;&gt;"Closed"),"Transfer: record the contract, SLA and audit rights. ","")&amp;IF(AZ36="","Risk owner missing. ","")&amp;IF(K36="","Scenario not written. ",""))))</f>
        <v>Treatment not chosen. Risk owner missing. Scenario not written.</v>
      </c>
      <c r="BM36" s="82" t="s">
        <v>911</v>
      </c>
    </row>
    <row r="37" customFormat="false" ht="105" hidden="false" customHeight="true" outlineLevel="0" collapsed="false">
      <c r="A37" s="78" t="s">
        <v>912</v>
      </c>
      <c r="B37" s="79" t="s">
        <v>913</v>
      </c>
      <c r="C37" s="80" t="s">
        <v>666</v>
      </c>
      <c r="D37" s="81" t="str">
        <f aca="false">IF(C37="","",IFERROR(INDEX(Lists!$O$2:$O$13,MATCH(C37,Lists!$N$2:$N$13,0)),"Check domain code"))</f>
        <v>Workforce, Human and Societal</v>
      </c>
      <c r="E37" s="81" t="str">
        <f aca="false">IF(C37="","",IFERROR(INDEX(Lists!$P$2:$P$13,MATCH(C37,Lists!$N$2:$N$13,0)),""))</f>
        <v>HR, communications</v>
      </c>
      <c r="F37" s="80"/>
      <c r="G37" s="82" t="s">
        <v>270</v>
      </c>
      <c r="H37" s="82"/>
      <c r="I37" s="82"/>
      <c r="J37" s="83" t="s">
        <v>914</v>
      </c>
      <c r="K37" s="82"/>
      <c r="L37" s="82"/>
      <c r="M37" s="84" t="s">
        <v>915</v>
      </c>
      <c r="N37" s="85" t="str">
        <f aca="false">IF(COUNTIF(Triage!$E$6:$E$41,"Yes")+COUNTIF(Triage!$E$6:$E$41,"No")=0,"Not triaged",IF(SUMPRODUCT(COUNTIFS(Triage!$A$6:$A$41,{"E5"},Triage!$E$6:$E$41,"Yes"))&gt;0,"Applies","Not triggered"))</f>
        <v>Not triaged</v>
      </c>
      <c r="O37" s="82"/>
      <c r="P37" s="86"/>
      <c r="Q37" s="86" t="n">
        <v>2</v>
      </c>
      <c r="R37" s="86" t="n">
        <v>3</v>
      </c>
      <c r="S37" s="21" t="n">
        <f aca="false">IF(OR(Q37="",R37=""),"",Q37*R37)</f>
        <v>6</v>
      </c>
      <c r="T37" s="85" t="str">
        <f aca="false">IF(S37="","",INDEX(Settings!$A$20:$A$23,MATCH(S37,Settings!$B$20:$B$23,1)))</f>
        <v>High</v>
      </c>
      <c r="U37" s="82" t="s">
        <v>273</v>
      </c>
      <c r="V37" s="87"/>
      <c r="W37" s="86"/>
      <c r="X37" s="82"/>
      <c r="Y37" s="88" t="s">
        <v>916</v>
      </c>
      <c r="Z37" s="88" t="s">
        <v>340</v>
      </c>
      <c r="AA37" s="88" t="s">
        <v>917</v>
      </c>
      <c r="AB37" s="88" t="s">
        <v>918</v>
      </c>
      <c r="AC37" s="88" t="s">
        <v>919</v>
      </c>
      <c r="AD37" s="88" t="s">
        <v>920</v>
      </c>
      <c r="AE37" s="88" t="s">
        <v>921</v>
      </c>
      <c r="AF37" s="88" t="s">
        <v>634</v>
      </c>
      <c r="AG37" s="88" t="s">
        <v>534</v>
      </c>
      <c r="AH37" s="88" t="s">
        <v>855</v>
      </c>
      <c r="AI37" s="88" t="s">
        <v>922</v>
      </c>
      <c r="AJ37" s="89" t="s">
        <v>923</v>
      </c>
      <c r="AK37" s="88" t="s">
        <v>924</v>
      </c>
      <c r="AL37" s="88" t="s">
        <v>287</v>
      </c>
      <c r="AM37" s="88" t="s">
        <v>925</v>
      </c>
      <c r="AN37" s="88" t="s">
        <v>287</v>
      </c>
      <c r="AO37" s="88" t="s">
        <v>287</v>
      </c>
      <c r="AP37" s="88" t="s">
        <v>287</v>
      </c>
      <c r="AQ37" s="89" t="n">
        <v>2</v>
      </c>
      <c r="AR37" s="89" t="n">
        <v>20</v>
      </c>
      <c r="AS37" s="86"/>
      <c r="AT37" s="86"/>
      <c r="AU37" s="85" t="str">
        <f aca="false">IF(OR(AS37="",AT37=""),"",AS37*AT37)</f>
        <v/>
      </c>
      <c r="AV37" s="21" t="str">
        <f aca="false">IF(AU37="","",INDEX(Settings!$A$20:$A$23,MATCH(AU37,Settings!$B$20:$B$23,1)))</f>
        <v/>
      </c>
      <c r="AW37" s="85" t="str">
        <f aca="false">IF(AV37&lt;&gt;"",AV37,T37)</f>
        <v>High</v>
      </c>
      <c r="AX37" s="85" t="str">
        <f aca="false">IF(AW37="","",IF(MATCH(AW37,Settings!$A$20:$A$23,0)&lt;=MATCH(Settings!$C$28,Settings!$A$20:$A$23,0),"Yes","No"))</f>
        <v>No</v>
      </c>
      <c r="AY37" s="81" t="str">
        <f aca="false">IF(AW37="","",IF(AX37="Yes",INDEX(Settings!$G$20:$G$23,MATCH(AW37,Settings!$A$20:$A$23,0)),INDEX(Settings!$G$20:$G$23,MATCH(AW37,Settings!$A$20:$A$23,0))&amp;" (outside appetite)"))</f>
        <v>AI Governance Committee (outside appetite)</v>
      </c>
      <c r="AZ37" s="82"/>
      <c r="BA37" s="82"/>
      <c r="BB37" s="90"/>
      <c r="BC37" s="91" t="str">
        <f aca="false">IF(OR(BB37="",T37=""),"",BB37+INDEX(Settings!$E$20:$E$23,MATCH(T37,Settings!$A$20:$A$23,0)))</f>
        <v/>
      </c>
      <c r="BD37" s="90"/>
      <c r="BE37" s="82"/>
      <c r="BF37" s="81" t="str">
        <f aca="true">IF(A37="","",IF(OR(BE37="Closed",BE37="Accepted"),"No action",IF(BB37="","Set date identified",IF(TODAY()&gt;BC37,"Deadline exceeded",IF(BC37-TODAY()&lt;=Settings!$C$30,"Deadline approaching","On track")))))</f>
        <v>Set date identified</v>
      </c>
      <c r="BG37" s="90"/>
      <c r="BH37" s="90"/>
      <c r="BI37" s="91" t="str">
        <f aca="false">IF(OR(BH37="",AW37=""),"",EDATE(BH37,INDEX(Settings!$F$20:$F$23,MATCH(AW37,Settings!$A$20:$A$23,0))))</f>
        <v/>
      </c>
      <c r="BJ37" s="85" t="str">
        <f aca="false">IF(T37="","",IF(MAX(IF(T37="",0,MATCH(T37,Settings!$A$20:$A$23,0)),IF(AV37="",0,MATCH(AV37,Settings!$A$20:$A$23,0)))&gt;=MATCH(Settings!$C$29,Settings!$A$20:$A$23,0),"Yes","No"))</f>
        <v>Yes</v>
      </c>
      <c r="BK37" s="82"/>
      <c r="BL37" s="81" t="str">
        <f aca="true">IF(A37="","",IF(TRIM(IF(W37="","Treatment not chosen. ","")&amp;IF(AND(W37="Accept",AX37="No"),"Accepted outside appetite: record approval by "&amp;INDEX(Settings!$G$20:$G$23,MATCH(AW37,Settings!$A$20:$A$23,0))&amp;". ","")&amp;IF(AND(W37="Accept",BG37=""),"Acceptance expiry missing. ","")&amp;IF(AND(BG37&lt;&gt;"",BG37&lt;TODAY()),"Acceptance expired. ","")&amp;IF(AND(W37&lt;&gt;"",W37&lt;&gt;"Accept",AV37=""),"Target rating not set. ","")&amp;IF(AND(BE37="Closed",AX37="No"),"Closed while outside appetite. ","")&amp;IF(AND(W37="Transfer",BE37&lt;&gt;"Transferred",BE37&lt;&gt;"Closed"),"Transfer: record the contract, SLA and audit rights. ","")&amp;IF(AZ37="","Risk owner missing. ","")&amp;IF(K37="","Scenario not written. ",""))="","OK",TRIM(IF(W37="","Treatment not chosen. ","")&amp;IF(AND(W37="Accept",AX37="No"),"Accepted outside appetite: record approval by "&amp;INDEX(Settings!$G$20:$G$23,MATCH(AW37,Settings!$A$20:$A$23,0))&amp;". ","")&amp;IF(AND(W37="Accept",BG37=""),"Acceptance expiry missing. ","")&amp;IF(AND(BG37&lt;&gt;"",BG37&lt;TODAY()),"Acceptance expired. ","")&amp;IF(AND(W37&lt;&gt;"",W37&lt;&gt;"Accept",AV37=""),"Target rating not set. ","")&amp;IF(AND(BE37="Closed",AX37="No"),"Closed while outside appetite. ","")&amp;IF(AND(W37="Transfer",BE37&lt;&gt;"Transferred",BE37&lt;&gt;"Closed"),"Transfer: record the contract, SLA and audit rights. ","")&amp;IF(AZ37="","Risk owner missing. ","")&amp;IF(K37="","Scenario not written. ",""))))</f>
        <v>Treatment not chosen. Risk owner missing. Scenario not written.</v>
      </c>
      <c r="BM37" s="82" t="s">
        <v>926</v>
      </c>
    </row>
    <row r="38" customFormat="false" ht="105" hidden="false" customHeight="true" outlineLevel="0" collapsed="false">
      <c r="A38" s="92" t="s">
        <v>927</v>
      </c>
      <c r="B38" s="93" t="s">
        <v>928</v>
      </c>
      <c r="C38" s="80" t="s">
        <v>666</v>
      </c>
      <c r="D38" s="81" t="str">
        <f aca="false">IF(C38="","",IFERROR(INDEX(Lists!$O$2:$O$13,MATCH(C38,Lists!$N$2:$N$13,0)),"Check domain code"))</f>
        <v>Workforce, Human and Societal</v>
      </c>
      <c r="E38" s="81" t="str">
        <f aca="false">IF(C38="","",IFERROR(INDEX(Lists!$P$2:$P$13,MATCH(C38,Lists!$N$2:$N$13,0)),""))</f>
        <v>HR, communications</v>
      </c>
      <c r="F38" s="80"/>
      <c r="G38" s="82" t="s">
        <v>270</v>
      </c>
      <c r="H38" s="82"/>
      <c r="I38" s="82"/>
      <c r="J38" s="94" t="s">
        <v>929</v>
      </c>
      <c r="K38" s="82"/>
      <c r="L38" s="82"/>
      <c r="M38" s="95" t="s">
        <v>915</v>
      </c>
      <c r="N38" s="85" t="str">
        <f aca="false">IF(COUNTIF(Triage!$E$6:$E$41,"Yes")+COUNTIF(Triage!$E$6:$E$41,"No")=0,"Not triaged",IF(SUMPRODUCT(COUNTIFS(Triage!$A$6:$A$41,{"E5"},Triage!$E$6:$E$41,"Yes"))&gt;0,"Applies","Not triggered"))</f>
        <v>Not triaged</v>
      </c>
      <c r="O38" s="82"/>
      <c r="P38" s="86"/>
      <c r="Q38" s="86" t="n">
        <v>2</v>
      </c>
      <c r="R38" s="86" t="n">
        <v>2</v>
      </c>
      <c r="S38" s="21" t="n">
        <f aca="false">IF(OR(Q38="",R38=""),"",Q38*R38)</f>
        <v>4</v>
      </c>
      <c r="T38" s="85" t="str">
        <f aca="false">IF(S38="","",INDEX(Settings!$A$20:$A$23,MATCH(S38,Settings!$B$20:$B$23,1)))</f>
        <v>Medium</v>
      </c>
      <c r="U38" s="82" t="s">
        <v>273</v>
      </c>
      <c r="V38" s="87"/>
      <c r="W38" s="86"/>
      <c r="X38" s="82"/>
      <c r="Y38" s="96" t="s">
        <v>930</v>
      </c>
      <c r="Z38" s="96" t="s">
        <v>931</v>
      </c>
      <c r="AA38" s="96" t="s">
        <v>932</v>
      </c>
      <c r="AB38" s="96" t="s">
        <v>933</v>
      </c>
      <c r="AC38" s="96" t="s">
        <v>934</v>
      </c>
      <c r="AD38" s="96" t="s">
        <v>935</v>
      </c>
      <c r="AE38" s="96" t="s">
        <v>936</v>
      </c>
      <c r="AF38" s="96"/>
      <c r="AG38" s="96"/>
      <c r="AH38" s="96" t="s">
        <v>855</v>
      </c>
      <c r="AI38" s="96" t="s">
        <v>937</v>
      </c>
      <c r="AJ38" s="97" t="s">
        <v>657</v>
      </c>
      <c r="AK38" s="96" t="s">
        <v>658</v>
      </c>
      <c r="AL38" s="96" t="s">
        <v>287</v>
      </c>
      <c r="AM38" s="96" t="s">
        <v>938</v>
      </c>
      <c r="AN38" s="96" t="s">
        <v>287</v>
      </c>
      <c r="AO38" s="96" t="s">
        <v>287</v>
      </c>
      <c r="AP38" s="96" t="s">
        <v>287</v>
      </c>
      <c r="AQ38" s="97" t="n">
        <v>2</v>
      </c>
      <c r="AR38" s="97" t="n">
        <v>10</v>
      </c>
      <c r="AS38" s="86"/>
      <c r="AT38" s="86"/>
      <c r="AU38" s="85" t="str">
        <f aca="false">IF(OR(AS38="",AT38=""),"",AS38*AT38)</f>
        <v/>
      </c>
      <c r="AV38" s="21" t="str">
        <f aca="false">IF(AU38="","",INDEX(Settings!$A$20:$A$23,MATCH(AU38,Settings!$B$20:$B$23,1)))</f>
        <v/>
      </c>
      <c r="AW38" s="85" t="str">
        <f aca="false">IF(AV38&lt;&gt;"",AV38,T38)</f>
        <v>Medium</v>
      </c>
      <c r="AX38" s="85" t="str">
        <f aca="false">IF(AW38="","",IF(MATCH(AW38,Settings!$A$20:$A$23,0)&lt;=MATCH(Settings!$C$28,Settings!$A$20:$A$23,0),"Yes","No"))</f>
        <v>Yes</v>
      </c>
      <c r="AY38" s="81" t="str">
        <f aca="false">IF(AW38="","",IF(AX38="Yes",INDEX(Settings!$G$20:$G$23,MATCH(AW38,Settings!$A$20:$A$23,0)),INDEX(Settings!$G$20:$G$23,MATCH(AW38,Settings!$A$20:$A$23,0))&amp;" (outside appetite)"))</f>
        <v>Risk owner, with GRC / Compliance agreement</v>
      </c>
      <c r="AZ38" s="82"/>
      <c r="BA38" s="82"/>
      <c r="BB38" s="90"/>
      <c r="BC38" s="91" t="str">
        <f aca="false">IF(OR(BB38="",T38=""),"",BB38+INDEX(Settings!$E$20:$E$23,MATCH(T38,Settings!$A$20:$A$23,0)))</f>
        <v/>
      </c>
      <c r="BD38" s="90"/>
      <c r="BE38" s="82"/>
      <c r="BF38" s="81" t="str">
        <f aca="true">IF(A38="","",IF(OR(BE38="Closed",BE38="Accepted"),"No action",IF(BB38="","Set date identified",IF(TODAY()&gt;BC38,"Deadline exceeded",IF(BC38-TODAY()&lt;=Settings!$C$30,"Deadline approaching","On track")))))</f>
        <v>Set date identified</v>
      </c>
      <c r="BG38" s="90"/>
      <c r="BH38" s="90"/>
      <c r="BI38" s="91" t="str">
        <f aca="false">IF(OR(BH38="",AW38=""),"",EDATE(BH38,INDEX(Settings!$F$20:$F$23,MATCH(AW38,Settings!$A$20:$A$23,0))))</f>
        <v/>
      </c>
      <c r="BJ38" s="85" t="str">
        <f aca="false">IF(T38="","",IF(MAX(IF(T38="",0,MATCH(T38,Settings!$A$20:$A$23,0)),IF(AV38="",0,MATCH(AV38,Settings!$A$20:$A$23,0)))&gt;=MATCH(Settings!$C$29,Settings!$A$20:$A$23,0),"Yes","No"))</f>
        <v>No</v>
      </c>
      <c r="BK38" s="82"/>
      <c r="BL38" s="81" t="str">
        <f aca="true">IF(A38="","",IF(TRIM(IF(W38="","Treatment not chosen. ","")&amp;IF(AND(W38="Accept",AX38="No"),"Accepted outside appetite: record approval by "&amp;INDEX(Settings!$G$20:$G$23,MATCH(AW38,Settings!$A$20:$A$23,0))&amp;". ","")&amp;IF(AND(W38="Accept",BG38=""),"Acceptance expiry missing. ","")&amp;IF(AND(BG38&lt;&gt;"",BG38&lt;TODAY()),"Acceptance expired. ","")&amp;IF(AND(W38&lt;&gt;"",W38&lt;&gt;"Accept",AV38=""),"Target rating not set. ","")&amp;IF(AND(BE38="Closed",AX38="No"),"Closed while outside appetite. ","")&amp;IF(AND(W38="Transfer",BE38&lt;&gt;"Transferred",BE38&lt;&gt;"Closed"),"Transfer: record the contract, SLA and audit rights. ","")&amp;IF(AZ38="","Risk owner missing. ","")&amp;IF(K38="","Scenario not written. ",""))="","OK",TRIM(IF(W38="","Treatment not chosen. ","")&amp;IF(AND(W38="Accept",AX38="No"),"Accepted outside appetite: record approval by "&amp;INDEX(Settings!$G$20:$G$23,MATCH(AW38,Settings!$A$20:$A$23,0))&amp;". ","")&amp;IF(AND(W38="Accept",BG38=""),"Acceptance expiry missing. ","")&amp;IF(AND(BG38&lt;&gt;"",BG38&lt;TODAY()),"Acceptance expired. ","")&amp;IF(AND(W38&lt;&gt;"",W38&lt;&gt;"Accept",AV38=""),"Target rating not set. ","")&amp;IF(AND(BE38="Closed",AX38="No"),"Closed while outside appetite. ","")&amp;IF(AND(W38="Transfer",BE38&lt;&gt;"Transferred",BE38&lt;&gt;"Closed"),"Transfer: record the contract, SLA and audit rights. ","")&amp;IF(AZ38="","Risk owner missing. ","")&amp;IF(K38="","Scenario not written. ",""))))</f>
        <v>Treatment not chosen. Risk owner missing. Scenario not written.</v>
      </c>
      <c r="BM38" s="82" t="s">
        <v>939</v>
      </c>
    </row>
    <row r="39" customFormat="false" ht="105" hidden="false" customHeight="true" outlineLevel="0" collapsed="false">
      <c r="A39" s="78" t="s">
        <v>940</v>
      </c>
      <c r="B39" s="79" t="s">
        <v>941</v>
      </c>
      <c r="C39" s="80" t="s">
        <v>862</v>
      </c>
      <c r="D39" s="81" t="str">
        <f aca="false">IF(C39="","",IFERROR(INDEX(Lists!$O$2:$O$13,MATCH(C39,Lists!$N$2:$N$13,0)),"Check domain code"))</f>
        <v>Financial and Resource</v>
      </c>
      <c r="E39" s="81" t="str">
        <f aca="false">IF(C39="","",IFERROR(INDEX(Lists!$P$2:$P$13,MATCH(C39,Lists!$N$2:$N$13,0)),""))</f>
        <v>CFO, FinOps</v>
      </c>
      <c r="F39" s="80"/>
      <c r="G39" s="82" t="s">
        <v>270</v>
      </c>
      <c r="H39" s="82"/>
      <c r="I39" s="82"/>
      <c r="J39" s="83" t="s">
        <v>942</v>
      </c>
      <c r="K39" s="82"/>
      <c r="L39" s="82"/>
      <c r="M39" s="84" t="s">
        <v>943</v>
      </c>
      <c r="N39" s="85" t="str">
        <f aca="false">IF(COUNTIF(Triage!$E$6:$E$41,"Yes")+COUNTIF(Triage!$E$6:$E$41,"No")=0,"Not triaged",IF(SUMPRODUCT(COUNTIFS(Triage!$A$6:$A$41,{"E2"},Triage!$E$6:$E$41,"Yes"))&gt;0,"Applies","Not triggered"))</f>
        <v>Not triaged</v>
      </c>
      <c r="O39" s="82"/>
      <c r="P39" s="86"/>
      <c r="Q39" s="86" t="n">
        <v>3</v>
      </c>
      <c r="R39" s="86" t="n">
        <v>2</v>
      </c>
      <c r="S39" s="21" t="n">
        <f aca="false">IF(OR(Q39="",R39=""),"",Q39*R39)</f>
        <v>6</v>
      </c>
      <c r="T39" s="85" t="str">
        <f aca="false">IF(S39="","",INDEX(Settings!$A$20:$A$23,MATCH(S39,Settings!$B$20:$B$23,1)))</f>
        <v>High</v>
      </c>
      <c r="U39" s="82" t="s">
        <v>273</v>
      </c>
      <c r="V39" s="87"/>
      <c r="W39" s="86"/>
      <c r="X39" s="82"/>
      <c r="Y39" s="88" t="s">
        <v>944</v>
      </c>
      <c r="Z39" s="88" t="s">
        <v>944</v>
      </c>
      <c r="AA39" s="88" t="s">
        <v>945</v>
      </c>
      <c r="AB39" s="88" t="s">
        <v>946</v>
      </c>
      <c r="AC39" s="88" t="s">
        <v>947</v>
      </c>
      <c r="AD39" s="88" t="s">
        <v>948</v>
      </c>
      <c r="AE39" s="88" t="s">
        <v>949</v>
      </c>
      <c r="AF39" s="88" t="s">
        <v>950</v>
      </c>
      <c r="AG39" s="88" t="s">
        <v>951</v>
      </c>
      <c r="AH39" s="88" t="s">
        <v>855</v>
      </c>
      <c r="AI39" s="88" t="s">
        <v>952</v>
      </c>
      <c r="AJ39" s="89"/>
      <c r="AK39" s="88" t="s">
        <v>953</v>
      </c>
      <c r="AL39" s="88" t="s">
        <v>954</v>
      </c>
      <c r="AM39" s="88" t="s">
        <v>955</v>
      </c>
      <c r="AN39" s="88" t="s">
        <v>287</v>
      </c>
      <c r="AO39" s="88" t="s">
        <v>287</v>
      </c>
      <c r="AP39" s="88" t="s">
        <v>287</v>
      </c>
      <c r="AQ39" s="89" t="n">
        <v>2</v>
      </c>
      <c r="AR39" s="89" t="n">
        <v>30</v>
      </c>
      <c r="AS39" s="86"/>
      <c r="AT39" s="86"/>
      <c r="AU39" s="85" t="str">
        <f aca="false">IF(OR(AS39="",AT39=""),"",AS39*AT39)</f>
        <v/>
      </c>
      <c r="AV39" s="21" t="str">
        <f aca="false">IF(AU39="","",INDEX(Settings!$A$20:$A$23,MATCH(AU39,Settings!$B$20:$B$23,1)))</f>
        <v/>
      </c>
      <c r="AW39" s="85" t="str">
        <f aca="false">IF(AV39&lt;&gt;"",AV39,T39)</f>
        <v>High</v>
      </c>
      <c r="AX39" s="85" t="str">
        <f aca="false">IF(AW39="","",IF(MATCH(AW39,Settings!$A$20:$A$23,0)&lt;=MATCH(Settings!$C$28,Settings!$A$20:$A$23,0),"Yes","No"))</f>
        <v>No</v>
      </c>
      <c r="AY39" s="81" t="str">
        <f aca="false">IF(AW39="","",IF(AX39="Yes",INDEX(Settings!$G$20:$G$23,MATCH(AW39,Settings!$A$20:$A$23,0)),INDEX(Settings!$G$20:$G$23,MATCH(AW39,Settings!$A$20:$A$23,0))&amp;" (outside appetite)"))</f>
        <v>AI Governance Committee (outside appetite)</v>
      </c>
      <c r="AZ39" s="82"/>
      <c r="BA39" s="82"/>
      <c r="BB39" s="90"/>
      <c r="BC39" s="91" t="str">
        <f aca="false">IF(OR(BB39="",T39=""),"",BB39+INDEX(Settings!$E$20:$E$23,MATCH(T39,Settings!$A$20:$A$23,0)))</f>
        <v/>
      </c>
      <c r="BD39" s="90"/>
      <c r="BE39" s="82"/>
      <c r="BF39" s="81" t="str">
        <f aca="true">IF(A39="","",IF(OR(BE39="Closed",BE39="Accepted"),"No action",IF(BB39="","Set date identified",IF(TODAY()&gt;BC39,"Deadline exceeded",IF(BC39-TODAY()&lt;=Settings!$C$30,"Deadline approaching","On track")))))</f>
        <v>Set date identified</v>
      </c>
      <c r="BG39" s="90"/>
      <c r="BH39" s="90"/>
      <c r="BI39" s="91" t="str">
        <f aca="false">IF(OR(BH39="",AW39=""),"",EDATE(BH39,INDEX(Settings!$F$20:$F$23,MATCH(AW39,Settings!$A$20:$A$23,0))))</f>
        <v/>
      </c>
      <c r="BJ39" s="85" t="str">
        <f aca="false">IF(T39="","",IF(MAX(IF(T39="",0,MATCH(T39,Settings!$A$20:$A$23,0)),IF(AV39="",0,MATCH(AV39,Settings!$A$20:$A$23,0)))&gt;=MATCH(Settings!$C$29,Settings!$A$20:$A$23,0),"Yes","No"))</f>
        <v>Yes</v>
      </c>
      <c r="BK39" s="82"/>
      <c r="BL39" s="81" t="str">
        <f aca="true">IF(A39="","",IF(TRIM(IF(W39="","Treatment not chosen. ","")&amp;IF(AND(W39="Accept",AX39="No"),"Accepted outside appetite: record approval by "&amp;INDEX(Settings!$G$20:$G$23,MATCH(AW39,Settings!$A$20:$A$23,0))&amp;". ","")&amp;IF(AND(W39="Accept",BG39=""),"Acceptance expiry missing. ","")&amp;IF(AND(BG39&lt;&gt;"",BG39&lt;TODAY()),"Acceptance expired. ","")&amp;IF(AND(W39&lt;&gt;"",W39&lt;&gt;"Accept",AV39=""),"Target rating not set. ","")&amp;IF(AND(BE39="Closed",AX39="No"),"Closed while outside appetite. ","")&amp;IF(AND(W39="Transfer",BE39&lt;&gt;"Transferred",BE39&lt;&gt;"Closed"),"Transfer: record the contract, SLA and audit rights. ","")&amp;IF(AZ39="","Risk owner missing. ","")&amp;IF(K39="","Scenario not written. ",""))="","OK",TRIM(IF(W39="","Treatment not chosen. ","")&amp;IF(AND(W39="Accept",AX39="No"),"Accepted outside appetite: record approval by "&amp;INDEX(Settings!$G$20:$G$23,MATCH(AW39,Settings!$A$20:$A$23,0))&amp;". ","")&amp;IF(AND(W39="Accept",BG39=""),"Acceptance expiry missing. ","")&amp;IF(AND(BG39&lt;&gt;"",BG39&lt;TODAY()),"Acceptance expired. ","")&amp;IF(AND(W39&lt;&gt;"",W39&lt;&gt;"Accept",AV39=""),"Target rating not set. ","")&amp;IF(AND(BE39="Closed",AX39="No"),"Closed while outside appetite. ","")&amp;IF(AND(W39="Transfer",BE39&lt;&gt;"Transferred",BE39&lt;&gt;"Closed"),"Transfer: record the contract, SLA and audit rights. ","")&amp;IF(AZ39="","Risk owner missing. ","")&amp;IF(K39="","Scenario not written. ",""))))</f>
        <v>Treatment not chosen. Risk owner missing. Scenario not written.</v>
      </c>
      <c r="BM39" s="82" t="s">
        <v>956</v>
      </c>
    </row>
    <row r="40" customFormat="false" ht="105" hidden="false" customHeight="true" outlineLevel="0" collapsed="false">
      <c r="A40" s="92" t="s">
        <v>957</v>
      </c>
      <c r="B40" s="93" t="s">
        <v>958</v>
      </c>
      <c r="C40" s="80" t="s">
        <v>466</v>
      </c>
      <c r="D40" s="81" t="str">
        <f aca="false">IF(C40="","",IFERROR(INDEX(Lists!$O$2:$O$13,MATCH(C40,Lists!$N$2:$N$13,0)),"Check domain code"))</f>
        <v>Legal, Regulatory and Compliance</v>
      </c>
      <c r="E40" s="81" t="str">
        <f aca="false">IF(C40="","",IFERROR(INDEX(Lists!$P$2:$P$13,MATCH(C40,Lists!$N$2:$N$13,0)),""))</f>
        <v>General counsel, compliance</v>
      </c>
      <c r="F40" s="80"/>
      <c r="G40" s="82" t="s">
        <v>270</v>
      </c>
      <c r="H40" s="82"/>
      <c r="I40" s="82"/>
      <c r="J40" s="94" t="s">
        <v>959</v>
      </c>
      <c r="K40" s="82"/>
      <c r="L40" s="82"/>
      <c r="M40" s="95" t="s">
        <v>960</v>
      </c>
      <c r="N40" s="85" t="str">
        <f aca="false">IF(COUNTIF(Triage!$E$6:$E$41,"Yes")+COUNTIF(Triage!$E$6:$E$41,"No")=0,"Not triaged",IF(SUMPRODUCT(COUNTIFS(Triage!$A$6:$A$41,{"E6"},Triage!$E$6:$E$41,"Yes"))&gt;0,"Applies","Not triggered"))</f>
        <v>Not triaged</v>
      </c>
      <c r="O40" s="82"/>
      <c r="P40" s="86"/>
      <c r="Q40" s="86" t="n">
        <v>2</v>
      </c>
      <c r="R40" s="86" t="n">
        <v>3</v>
      </c>
      <c r="S40" s="21" t="n">
        <f aca="false">IF(OR(Q40="",R40=""),"",Q40*R40)</f>
        <v>6</v>
      </c>
      <c r="T40" s="85" t="str">
        <f aca="false">IF(S40="","",INDEX(Settings!$A$20:$A$23,MATCH(S40,Settings!$B$20:$B$23,1)))</f>
        <v>High</v>
      </c>
      <c r="U40" s="82" t="s">
        <v>273</v>
      </c>
      <c r="V40" s="87"/>
      <c r="W40" s="86"/>
      <c r="X40" s="82"/>
      <c r="Y40" s="96" t="s">
        <v>961</v>
      </c>
      <c r="Z40" s="96" t="s">
        <v>884</v>
      </c>
      <c r="AA40" s="96" t="s">
        <v>962</v>
      </c>
      <c r="AB40" s="96" t="s">
        <v>963</v>
      </c>
      <c r="AC40" s="96" t="s">
        <v>964</v>
      </c>
      <c r="AD40" s="96" t="s">
        <v>965</v>
      </c>
      <c r="AE40" s="96" t="s">
        <v>966</v>
      </c>
      <c r="AF40" s="96" t="s">
        <v>890</v>
      </c>
      <c r="AG40" s="96" t="s">
        <v>906</v>
      </c>
      <c r="AH40" s="96" t="s">
        <v>855</v>
      </c>
      <c r="AI40" s="96" t="s">
        <v>967</v>
      </c>
      <c r="AJ40" s="97" t="s">
        <v>741</v>
      </c>
      <c r="AK40" s="96" t="s">
        <v>968</v>
      </c>
      <c r="AL40" s="96" t="s">
        <v>287</v>
      </c>
      <c r="AM40" s="96" t="s">
        <v>969</v>
      </c>
      <c r="AN40" s="96" t="s">
        <v>287</v>
      </c>
      <c r="AO40" s="96" t="s">
        <v>287</v>
      </c>
      <c r="AP40" s="96" t="s">
        <v>287</v>
      </c>
      <c r="AQ40" s="97" t="n">
        <v>3</v>
      </c>
      <c r="AR40" s="97" t="n">
        <v>53</v>
      </c>
      <c r="AS40" s="86"/>
      <c r="AT40" s="86"/>
      <c r="AU40" s="85" t="str">
        <f aca="false">IF(OR(AS40="",AT40=""),"",AS40*AT40)</f>
        <v/>
      </c>
      <c r="AV40" s="21" t="str">
        <f aca="false">IF(AU40="","",INDEX(Settings!$A$20:$A$23,MATCH(AU40,Settings!$B$20:$B$23,1)))</f>
        <v/>
      </c>
      <c r="AW40" s="85" t="str">
        <f aca="false">IF(AV40&lt;&gt;"",AV40,T40)</f>
        <v>High</v>
      </c>
      <c r="AX40" s="85" t="str">
        <f aca="false">IF(AW40="","",IF(MATCH(AW40,Settings!$A$20:$A$23,0)&lt;=MATCH(Settings!$C$28,Settings!$A$20:$A$23,0),"Yes","No"))</f>
        <v>No</v>
      </c>
      <c r="AY40" s="81" t="str">
        <f aca="false">IF(AW40="","",IF(AX40="Yes",INDEX(Settings!$G$20:$G$23,MATCH(AW40,Settings!$A$20:$A$23,0)),INDEX(Settings!$G$20:$G$23,MATCH(AW40,Settings!$A$20:$A$23,0))&amp;" (outside appetite)"))</f>
        <v>AI Governance Committee (outside appetite)</v>
      </c>
      <c r="AZ40" s="82"/>
      <c r="BA40" s="82"/>
      <c r="BB40" s="90"/>
      <c r="BC40" s="91" t="str">
        <f aca="false">IF(OR(BB40="",T40=""),"",BB40+INDEX(Settings!$E$20:$E$23,MATCH(T40,Settings!$A$20:$A$23,0)))</f>
        <v/>
      </c>
      <c r="BD40" s="90"/>
      <c r="BE40" s="82"/>
      <c r="BF40" s="81" t="str">
        <f aca="true">IF(A40="","",IF(OR(BE40="Closed",BE40="Accepted"),"No action",IF(BB40="","Set date identified",IF(TODAY()&gt;BC40,"Deadline exceeded",IF(BC40-TODAY()&lt;=Settings!$C$30,"Deadline approaching","On track")))))</f>
        <v>Set date identified</v>
      </c>
      <c r="BG40" s="90"/>
      <c r="BH40" s="90"/>
      <c r="BI40" s="91" t="str">
        <f aca="false">IF(OR(BH40="",AW40=""),"",EDATE(BH40,INDEX(Settings!$F$20:$F$23,MATCH(AW40,Settings!$A$20:$A$23,0))))</f>
        <v/>
      </c>
      <c r="BJ40" s="85" t="str">
        <f aca="false">IF(T40="","",IF(MAX(IF(T40="",0,MATCH(T40,Settings!$A$20:$A$23,0)),IF(AV40="",0,MATCH(AV40,Settings!$A$20:$A$23,0)))&gt;=MATCH(Settings!$C$29,Settings!$A$20:$A$23,0),"Yes","No"))</f>
        <v>Yes</v>
      </c>
      <c r="BK40" s="82"/>
      <c r="BL40" s="81" t="str">
        <f aca="true">IF(A40="","",IF(TRIM(IF(W40="","Treatment not chosen. ","")&amp;IF(AND(W40="Accept",AX40="No"),"Accepted outside appetite: record approval by "&amp;INDEX(Settings!$G$20:$G$23,MATCH(AW40,Settings!$A$20:$A$23,0))&amp;". ","")&amp;IF(AND(W40="Accept",BG40=""),"Acceptance expiry missing. ","")&amp;IF(AND(BG40&lt;&gt;"",BG40&lt;TODAY()),"Acceptance expired. ","")&amp;IF(AND(W40&lt;&gt;"",W40&lt;&gt;"Accept",AV40=""),"Target rating not set. ","")&amp;IF(AND(BE40="Closed",AX40="No"),"Closed while outside appetite. ","")&amp;IF(AND(W40="Transfer",BE40&lt;&gt;"Transferred",BE40&lt;&gt;"Closed"),"Transfer: record the contract, SLA and audit rights. ","")&amp;IF(AZ40="","Risk owner missing. ","")&amp;IF(K40="","Scenario not written. ",""))="","OK",TRIM(IF(W40="","Treatment not chosen. ","")&amp;IF(AND(W40="Accept",AX40="No"),"Accepted outside appetite: record approval by "&amp;INDEX(Settings!$G$20:$G$23,MATCH(AW40,Settings!$A$20:$A$23,0))&amp;". ","")&amp;IF(AND(W40="Accept",BG40=""),"Acceptance expiry missing. ","")&amp;IF(AND(BG40&lt;&gt;"",BG40&lt;TODAY()),"Acceptance expired. ","")&amp;IF(AND(W40&lt;&gt;"",W40&lt;&gt;"Accept",AV40=""),"Target rating not set. ","")&amp;IF(AND(BE40="Closed",AX40="No"),"Closed while outside appetite. ","")&amp;IF(AND(W40="Transfer",BE40&lt;&gt;"Transferred",BE40&lt;&gt;"Closed"),"Transfer: record the contract, SLA and audit rights. ","")&amp;IF(AZ40="","Risk owner missing. ","")&amp;IF(K40="","Scenario not written. ",""))))</f>
        <v>Treatment not chosen. Risk owner missing. Scenario not written.</v>
      </c>
      <c r="BM40" s="82" t="s">
        <v>970</v>
      </c>
    </row>
    <row r="41" customFormat="false" ht="105" hidden="false" customHeight="true" outlineLevel="0" collapsed="false">
      <c r="A41" s="78" t="s">
        <v>971</v>
      </c>
      <c r="B41" s="79" t="s">
        <v>972</v>
      </c>
      <c r="C41" s="80" t="s">
        <v>466</v>
      </c>
      <c r="D41" s="81" t="str">
        <f aca="false">IF(C41="","",IFERROR(INDEX(Lists!$O$2:$O$13,MATCH(C41,Lists!$N$2:$N$13,0)),"Check domain code"))</f>
        <v>Legal, Regulatory and Compliance</v>
      </c>
      <c r="E41" s="81" t="str">
        <f aca="false">IF(C41="","",IFERROR(INDEX(Lists!$P$2:$P$13,MATCH(C41,Lists!$N$2:$N$13,0)),""))</f>
        <v>General counsel, compliance</v>
      </c>
      <c r="F41" s="80"/>
      <c r="G41" s="82" t="s">
        <v>270</v>
      </c>
      <c r="H41" s="82"/>
      <c r="I41" s="82"/>
      <c r="J41" s="83" t="s">
        <v>973</v>
      </c>
      <c r="K41" s="82"/>
      <c r="L41" s="82"/>
      <c r="M41" s="84" t="s">
        <v>960</v>
      </c>
      <c r="N41" s="85" t="str">
        <f aca="false">IF(COUNTIF(Triage!$E$6:$E$41,"Yes")+COUNTIF(Triage!$E$6:$E$41,"No")=0,"Not triaged",IF(SUMPRODUCT(COUNTIFS(Triage!$A$6:$A$41,{"E6"},Triage!$E$6:$E$41,"Yes"))&gt;0,"Applies","Not triggered"))</f>
        <v>Not triaged</v>
      </c>
      <c r="O41" s="82"/>
      <c r="P41" s="86"/>
      <c r="Q41" s="86" t="n">
        <v>2</v>
      </c>
      <c r="R41" s="86" t="n">
        <v>3</v>
      </c>
      <c r="S41" s="21" t="n">
        <f aca="false">IF(OR(Q41="",R41=""),"",Q41*R41)</f>
        <v>6</v>
      </c>
      <c r="T41" s="85" t="str">
        <f aca="false">IF(S41="","",INDEX(Settings!$A$20:$A$23,MATCH(S41,Settings!$B$20:$B$23,1)))</f>
        <v>High</v>
      </c>
      <c r="U41" s="82" t="s">
        <v>273</v>
      </c>
      <c r="V41" s="87"/>
      <c r="W41" s="86"/>
      <c r="X41" s="82"/>
      <c r="Y41" s="88" t="s">
        <v>974</v>
      </c>
      <c r="Z41" s="88" t="s">
        <v>975</v>
      </c>
      <c r="AA41" s="88" t="s">
        <v>976</v>
      </c>
      <c r="AB41" s="88" t="s">
        <v>977</v>
      </c>
      <c r="AC41" s="88" t="s">
        <v>978</v>
      </c>
      <c r="AD41" s="88" t="s">
        <v>979</v>
      </c>
      <c r="AE41" s="88" t="s">
        <v>980</v>
      </c>
      <c r="AF41" s="88" t="s">
        <v>281</v>
      </c>
      <c r="AG41" s="88" t="s">
        <v>304</v>
      </c>
      <c r="AH41" s="88" t="s">
        <v>855</v>
      </c>
      <c r="AI41" s="88" t="s">
        <v>981</v>
      </c>
      <c r="AJ41" s="89" t="s">
        <v>982</v>
      </c>
      <c r="AK41" s="88" t="s">
        <v>983</v>
      </c>
      <c r="AL41" s="88" t="s">
        <v>287</v>
      </c>
      <c r="AM41" s="88" t="s">
        <v>984</v>
      </c>
      <c r="AN41" s="88" t="s">
        <v>287</v>
      </c>
      <c r="AO41" s="88" t="s">
        <v>287</v>
      </c>
      <c r="AP41" s="88" t="s">
        <v>287</v>
      </c>
      <c r="AQ41" s="89" t="n">
        <v>1</v>
      </c>
      <c r="AR41" s="89" t="n">
        <v>70</v>
      </c>
      <c r="AS41" s="86"/>
      <c r="AT41" s="86"/>
      <c r="AU41" s="85" t="str">
        <f aca="false">IF(OR(AS41="",AT41=""),"",AS41*AT41)</f>
        <v/>
      </c>
      <c r="AV41" s="21" t="str">
        <f aca="false">IF(AU41="","",INDEX(Settings!$A$20:$A$23,MATCH(AU41,Settings!$B$20:$B$23,1)))</f>
        <v/>
      </c>
      <c r="AW41" s="85" t="str">
        <f aca="false">IF(AV41&lt;&gt;"",AV41,T41)</f>
        <v>High</v>
      </c>
      <c r="AX41" s="85" t="str">
        <f aca="false">IF(AW41="","",IF(MATCH(AW41,Settings!$A$20:$A$23,0)&lt;=MATCH(Settings!$C$28,Settings!$A$20:$A$23,0),"Yes","No"))</f>
        <v>No</v>
      </c>
      <c r="AY41" s="81" t="str">
        <f aca="false">IF(AW41="","",IF(AX41="Yes",INDEX(Settings!$G$20:$G$23,MATCH(AW41,Settings!$A$20:$A$23,0)),INDEX(Settings!$G$20:$G$23,MATCH(AW41,Settings!$A$20:$A$23,0))&amp;" (outside appetite)"))</f>
        <v>AI Governance Committee (outside appetite)</v>
      </c>
      <c r="AZ41" s="82"/>
      <c r="BA41" s="82"/>
      <c r="BB41" s="90"/>
      <c r="BC41" s="91" t="str">
        <f aca="false">IF(OR(BB41="",T41=""),"",BB41+INDEX(Settings!$E$20:$E$23,MATCH(T41,Settings!$A$20:$A$23,0)))</f>
        <v/>
      </c>
      <c r="BD41" s="90"/>
      <c r="BE41" s="82"/>
      <c r="BF41" s="81" t="str">
        <f aca="true">IF(A41="","",IF(OR(BE41="Closed",BE41="Accepted"),"No action",IF(BB41="","Set date identified",IF(TODAY()&gt;BC41,"Deadline exceeded",IF(BC41-TODAY()&lt;=Settings!$C$30,"Deadline approaching","On track")))))</f>
        <v>Set date identified</v>
      </c>
      <c r="BG41" s="90"/>
      <c r="BH41" s="90"/>
      <c r="BI41" s="91" t="str">
        <f aca="false">IF(OR(BH41="",AW41=""),"",EDATE(BH41,INDEX(Settings!$F$20:$F$23,MATCH(AW41,Settings!$A$20:$A$23,0))))</f>
        <v/>
      </c>
      <c r="BJ41" s="85" t="str">
        <f aca="false">IF(T41="","",IF(MAX(IF(T41="",0,MATCH(T41,Settings!$A$20:$A$23,0)),IF(AV41="",0,MATCH(AV41,Settings!$A$20:$A$23,0)))&gt;=MATCH(Settings!$C$29,Settings!$A$20:$A$23,0),"Yes","No"))</f>
        <v>Yes</v>
      </c>
      <c r="BK41" s="82"/>
      <c r="BL41" s="81" t="str">
        <f aca="true">IF(A41="","",IF(TRIM(IF(W41="","Treatment not chosen. ","")&amp;IF(AND(W41="Accept",AX41="No"),"Accepted outside appetite: record approval by "&amp;INDEX(Settings!$G$20:$G$23,MATCH(AW41,Settings!$A$20:$A$23,0))&amp;". ","")&amp;IF(AND(W41="Accept",BG41=""),"Acceptance expiry missing. ","")&amp;IF(AND(BG41&lt;&gt;"",BG41&lt;TODAY()),"Acceptance expired. ","")&amp;IF(AND(W41&lt;&gt;"",W41&lt;&gt;"Accept",AV41=""),"Target rating not set. ","")&amp;IF(AND(BE41="Closed",AX41="No"),"Closed while outside appetite. ","")&amp;IF(AND(W41="Transfer",BE41&lt;&gt;"Transferred",BE41&lt;&gt;"Closed"),"Transfer: record the contract, SLA and audit rights. ","")&amp;IF(AZ41="","Risk owner missing. ","")&amp;IF(K41="","Scenario not written. ",""))="","OK",TRIM(IF(W41="","Treatment not chosen. ","")&amp;IF(AND(W41="Accept",AX41="No"),"Accepted outside appetite: record approval by "&amp;INDEX(Settings!$G$20:$G$23,MATCH(AW41,Settings!$A$20:$A$23,0))&amp;". ","")&amp;IF(AND(W41="Accept",BG41=""),"Acceptance expiry missing. ","")&amp;IF(AND(BG41&lt;&gt;"",BG41&lt;TODAY()),"Acceptance expired. ","")&amp;IF(AND(W41&lt;&gt;"",W41&lt;&gt;"Accept",AV41=""),"Target rating not set. ","")&amp;IF(AND(BE41="Closed",AX41="No"),"Closed while outside appetite. ","")&amp;IF(AND(W41="Transfer",BE41&lt;&gt;"Transferred",BE41&lt;&gt;"Closed"),"Transfer: record the contract, SLA and audit rights. ","")&amp;IF(AZ41="","Risk owner missing. ","")&amp;IF(K41="","Scenario not written. ",""))))</f>
        <v>Treatment not chosen. Risk owner missing. Scenario not written.</v>
      </c>
      <c r="BM41" s="82" t="s">
        <v>985</v>
      </c>
    </row>
    <row r="42" customFormat="false" ht="105" hidden="false" customHeight="true" outlineLevel="0" collapsed="false">
      <c r="A42" s="92" t="s">
        <v>986</v>
      </c>
      <c r="B42" s="93" t="s">
        <v>987</v>
      </c>
      <c r="C42" s="80" t="s">
        <v>269</v>
      </c>
      <c r="D42" s="81" t="str">
        <f aca="false">IF(C42="","",IFERROR(INDEX(Lists!$O$2:$O$13,MATCH(C42,Lists!$N$2:$N$13,0)),"Check domain code"))</f>
        <v>Data and Privacy</v>
      </c>
      <c r="E42" s="81" t="str">
        <f aca="false">IF(C42="","",IFERROR(INDEX(Lists!$P$2:$P$13,MATCH(C42,Lists!$N$2:$N$13,0)),""))</f>
        <v>Data protection officer, data owners</v>
      </c>
      <c r="F42" s="80"/>
      <c r="G42" s="82" t="s">
        <v>270</v>
      </c>
      <c r="H42" s="82"/>
      <c r="I42" s="82"/>
      <c r="J42" s="94" t="s">
        <v>988</v>
      </c>
      <c r="K42" s="82"/>
      <c r="L42" s="82"/>
      <c r="M42" s="95" t="s">
        <v>989</v>
      </c>
      <c r="N42" s="85" t="str">
        <f aca="false">IF(COUNTIF(Triage!$E$6:$E$41,"Yes")+COUNTIF(Triage!$E$6:$E$41,"No")=0,"Not triaged",IF(SUMPRODUCT(COUNTIFS(Triage!$A$6:$A$41,{"E7"},Triage!$E$6:$E$41,"Yes"))&gt;0,"Applies","Not triggered"))</f>
        <v>Not triaged</v>
      </c>
      <c r="O42" s="82"/>
      <c r="P42" s="86"/>
      <c r="Q42" s="86" t="n">
        <v>2</v>
      </c>
      <c r="R42" s="86" t="n">
        <v>3</v>
      </c>
      <c r="S42" s="21" t="n">
        <f aca="false">IF(OR(Q42="",R42=""),"",Q42*R42)</f>
        <v>6</v>
      </c>
      <c r="T42" s="85" t="str">
        <f aca="false">IF(S42="","",INDEX(Settings!$A$20:$A$23,MATCH(S42,Settings!$B$20:$B$23,1)))</f>
        <v>High</v>
      </c>
      <c r="U42" s="82" t="s">
        <v>273</v>
      </c>
      <c r="V42" s="87"/>
      <c r="W42" s="86"/>
      <c r="X42" s="82"/>
      <c r="Y42" s="96" t="s">
        <v>990</v>
      </c>
      <c r="Z42" s="96" t="s">
        <v>449</v>
      </c>
      <c r="AA42" s="96" t="s">
        <v>991</v>
      </c>
      <c r="AB42" s="96" t="s">
        <v>992</v>
      </c>
      <c r="AC42" s="96" t="s">
        <v>993</v>
      </c>
      <c r="AD42" s="96" t="s">
        <v>994</v>
      </c>
      <c r="AE42" s="96" t="s">
        <v>995</v>
      </c>
      <c r="AF42" s="96"/>
      <c r="AG42" s="96"/>
      <c r="AH42" s="96" t="s">
        <v>855</v>
      </c>
      <c r="AI42" s="96" t="s">
        <v>996</v>
      </c>
      <c r="AJ42" s="97" t="s">
        <v>997</v>
      </c>
      <c r="AK42" s="96" t="s">
        <v>998</v>
      </c>
      <c r="AL42" s="96" t="s">
        <v>287</v>
      </c>
      <c r="AM42" s="96" t="s">
        <v>999</v>
      </c>
      <c r="AN42" s="96" t="s">
        <v>287</v>
      </c>
      <c r="AO42" s="96" t="s">
        <v>287</v>
      </c>
      <c r="AP42" s="96" t="s">
        <v>287</v>
      </c>
      <c r="AQ42" s="97" t="n">
        <v>1</v>
      </c>
      <c r="AR42" s="97" t="n">
        <v>77</v>
      </c>
      <c r="AS42" s="86"/>
      <c r="AT42" s="86"/>
      <c r="AU42" s="85" t="str">
        <f aca="false">IF(OR(AS42="",AT42=""),"",AS42*AT42)</f>
        <v/>
      </c>
      <c r="AV42" s="21" t="str">
        <f aca="false">IF(AU42="","",INDEX(Settings!$A$20:$A$23,MATCH(AU42,Settings!$B$20:$B$23,1)))</f>
        <v/>
      </c>
      <c r="AW42" s="85" t="str">
        <f aca="false">IF(AV42&lt;&gt;"",AV42,T42)</f>
        <v>High</v>
      </c>
      <c r="AX42" s="85" t="str">
        <f aca="false">IF(AW42="","",IF(MATCH(AW42,Settings!$A$20:$A$23,0)&lt;=MATCH(Settings!$C$28,Settings!$A$20:$A$23,0),"Yes","No"))</f>
        <v>No</v>
      </c>
      <c r="AY42" s="81" t="str">
        <f aca="false">IF(AW42="","",IF(AX42="Yes",INDEX(Settings!$G$20:$G$23,MATCH(AW42,Settings!$A$20:$A$23,0)),INDEX(Settings!$G$20:$G$23,MATCH(AW42,Settings!$A$20:$A$23,0))&amp;" (outside appetite)"))</f>
        <v>AI Governance Committee (outside appetite)</v>
      </c>
      <c r="AZ42" s="82"/>
      <c r="BA42" s="82"/>
      <c r="BB42" s="90"/>
      <c r="BC42" s="91" t="str">
        <f aca="false">IF(OR(BB42="",T42=""),"",BB42+INDEX(Settings!$E$20:$E$23,MATCH(T42,Settings!$A$20:$A$23,0)))</f>
        <v/>
      </c>
      <c r="BD42" s="90"/>
      <c r="BE42" s="82"/>
      <c r="BF42" s="81" t="str">
        <f aca="true">IF(A42="","",IF(OR(BE42="Closed",BE42="Accepted"),"No action",IF(BB42="","Set date identified",IF(TODAY()&gt;BC42,"Deadline exceeded",IF(BC42-TODAY()&lt;=Settings!$C$30,"Deadline approaching","On track")))))</f>
        <v>Set date identified</v>
      </c>
      <c r="BG42" s="90"/>
      <c r="BH42" s="90"/>
      <c r="BI42" s="91" t="str">
        <f aca="false">IF(OR(BH42="",AW42=""),"",EDATE(BH42,INDEX(Settings!$F$20:$F$23,MATCH(AW42,Settings!$A$20:$A$23,0))))</f>
        <v/>
      </c>
      <c r="BJ42" s="85" t="str">
        <f aca="false">IF(T42="","",IF(MAX(IF(T42="",0,MATCH(T42,Settings!$A$20:$A$23,0)),IF(AV42="",0,MATCH(AV42,Settings!$A$20:$A$23,0)))&gt;=MATCH(Settings!$C$29,Settings!$A$20:$A$23,0),"Yes","No"))</f>
        <v>Yes</v>
      </c>
      <c r="BK42" s="82"/>
      <c r="BL42" s="81" t="str">
        <f aca="true">IF(A42="","",IF(TRIM(IF(W42="","Treatment not chosen. ","")&amp;IF(AND(W42="Accept",AX42="No"),"Accepted outside appetite: record approval by "&amp;INDEX(Settings!$G$20:$G$23,MATCH(AW42,Settings!$A$20:$A$23,0))&amp;". ","")&amp;IF(AND(W42="Accept",BG42=""),"Acceptance expiry missing. ","")&amp;IF(AND(BG42&lt;&gt;"",BG42&lt;TODAY()),"Acceptance expired. ","")&amp;IF(AND(W42&lt;&gt;"",W42&lt;&gt;"Accept",AV42=""),"Target rating not set. ","")&amp;IF(AND(BE42="Closed",AX42="No"),"Closed while outside appetite. ","")&amp;IF(AND(W42="Transfer",BE42&lt;&gt;"Transferred",BE42&lt;&gt;"Closed"),"Transfer: record the contract, SLA and audit rights. ","")&amp;IF(AZ42="","Risk owner missing. ","")&amp;IF(K42="","Scenario not written. ",""))="","OK",TRIM(IF(W42="","Treatment not chosen. ","")&amp;IF(AND(W42="Accept",AX42="No"),"Accepted outside appetite: record approval by "&amp;INDEX(Settings!$G$20:$G$23,MATCH(AW42,Settings!$A$20:$A$23,0))&amp;". ","")&amp;IF(AND(W42="Accept",BG42=""),"Acceptance expiry missing. ","")&amp;IF(AND(BG42&lt;&gt;"",BG42&lt;TODAY()),"Acceptance expired. ","")&amp;IF(AND(W42&lt;&gt;"",W42&lt;&gt;"Accept",AV42=""),"Target rating not set. ","")&amp;IF(AND(BE42="Closed",AX42="No"),"Closed while outside appetite. ","")&amp;IF(AND(W42="Transfer",BE42&lt;&gt;"Transferred",BE42&lt;&gt;"Closed"),"Transfer: record the contract, SLA and audit rights. ","")&amp;IF(AZ42="","Risk owner missing. ","")&amp;IF(K42="","Scenario not written. ",""))))</f>
        <v>Treatment not chosen. Risk owner missing. Scenario not written.</v>
      </c>
      <c r="BM42" s="82" t="s">
        <v>1000</v>
      </c>
    </row>
    <row r="43" customFormat="false" ht="105" hidden="false" customHeight="true" outlineLevel="0" collapsed="false">
      <c r="A43" s="78" t="s">
        <v>1001</v>
      </c>
      <c r="B43" s="79" t="s">
        <v>1002</v>
      </c>
      <c r="C43" s="80" t="s">
        <v>565</v>
      </c>
      <c r="D43" s="81" t="str">
        <f aca="false">IF(C43="","",IFERROR(INDEX(Lists!$O$2:$O$13,MATCH(C43,Lists!$N$2:$N$13,0)),"Check domain code"))</f>
        <v>Model Development and Performance</v>
      </c>
      <c r="E43" s="81" t="str">
        <f aca="false">IF(C43="","",IFERROR(INDEX(Lists!$P$2:$P$13,MATCH(C43,Lists!$N$2:$N$13,0)),""))</f>
        <v>Model owners, model risk management</v>
      </c>
      <c r="F43" s="80"/>
      <c r="G43" s="82" t="s">
        <v>270</v>
      </c>
      <c r="H43" s="82"/>
      <c r="I43" s="82"/>
      <c r="J43" s="83" t="s">
        <v>1003</v>
      </c>
      <c r="K43" s="82"/>
      <c r="L43" s="82"/>
      <c r="M43" s="84" t="s">
        <v>1004</v>
      </c>
      <c r="N43" s="85" t="str">
        <f aca="false">IF(COUNTIF(Triage!$E$6:$E$41,"Yes")+COUNTIF(Triage!$E$6:$E$41,"No")=0,"Not triaged",IF(SUMPRODUCT(COUNTIFS(Triage!$A$6:$A$41,{"E8"},Triage!$E$6:$E$41,"Yes"))&gt;0,"Applies","Not triggered"))</f>
        <v>Not triaged</v>
      </c>
      <c r="O43" s="82"/>
      <c r="P43" s="86"/>
      <c r="Q43" s="86" t="n">
        <v>2</v>
      </c>
      <c r="R43" s="86" t="n">
        <v>3</v>
      </c>
      <c r="S43" s="21" t="n">
        <f aca="false">IF(OR(Q43="",R43=""),"",Q43*R43)</f>
        <v>6</v>
      </c>
      <c r="T43" s="85" t="str">
        <f aca="false">IF(S43="","",INDEX(Settings!$A$20:$A$23,MATCH(S43,Settings!$B$20:$B$23,1)))</f>
        <v>High</v>
      </c>
      <c r="U43" s="82" t="s">
        <v>273</v>
      </c>
      <c r="V43" s="87"/>
      <c r="W43" s="86"/>
      <c r="X43" s="82"/>
      <c r="Y43" s="88" t="s">
        <v>1005</v>
      </c>
      <c r="Z43" s="88" t="s">
        <v>548</v>
      </c>
      <c r="AA43" s="88" t="s">
        <v>1006</v>
      </c>
      <c r="AB43" s="88" t="s">
        <v>1007</v>
      </c>
      <c r="AC43" s="88" t="s">
        <v>1008</v>
      </c>
      <c r="AD43" s="88" t="s">
        <v>1009</v>
      </c>
      <c r="AE43" s="88" t="s">
        <v>1010</v>
      </c>
      <c r="AF43" s="88" t="s">
        <v>594</v>
      </c>
      <c r="AG43" s="88"/>
      <c r="AH43" s="88" t="s">
        <v>855</v>
      </c>
      <c r="AI43" s="88" t="s">
        <v>1011</v>
      </c>
      <c r="AJ43" s="89" t="s">
        <v>1012</v>
      </c>
      <c r="AK43" s="88" t="s">
        <v>1013</v>
      </c>
      <c r="AL43" s="88" t="s">
        <v>287</v>
      </c>
      <c r="AM43" s="88" t="s">
        <v>1014</v>
      </c>
      <c r="AN43" s="88" t="s">
        <v>287</v>
      </c>
      <c r="AO43" s="88" t="s">
        <v>287</v>
      </c>
      <c r="AP43" s="88" t="s">
        <v>287</v>
      </c>
      <c r="AQ43" s="89" t="n">
        <v>1</v>
      </c>
      <c r="AR43" s="89" t="n">
        <v>61</v>
      </c>
      <c r="AS43" s="86"/>
      <c r="AT43" s="86"/>
      <c r="AU43" s="85" t="str">
        <f aca="false">IF(OR(AS43="",AT43=""),"",AS43*AT43)</f>
        <v/>
      </c>
      <c r="AV43" s="21" t="str">
        <f aca="false">IF(AU43="","",INDEX(Settings!$A$20:$A$23,MATCH(AU43,Settings!$B$20:$B$23,1)))</f>
        <v/>
      </c>
      <c r="AW43" s="85" t="str">
        <f aca="false">IF(AV43&lt;&gt;"",AV43,T43)</f>
        <v>High</v>
      </c>
      <c r="AX43" s="85" t="str">
        <f aca="false">IF(AW43="","",IF(MATCH(AW43,Settings!$A$20:$A$23,0)&lt;=MATCH(Settings!$C$28,Settings!$A$20:$A$23,0),"Yes","No"))</f>
        <v>No</v>
      </c>
      <c r="AY43" s="81" t="str">
        <f aca="false">IF(AW43="","",IF(AX43="Yes",INDEX(Settings!$G$20:$G$23,MATCH(AW43,Settings!$A$20:$A$23,0)),INDEX(Settings!$G$20:$G$23,MATCH(AW43,Settings!$A$20:$A$23,0))&amp;" (outside appetite)"))</f>
        <v>AI Governance Committee (outside appetite)</v>
      </c>
      <c r="AZ43" s="82"/>
      <c r="BA43" s="82"/>
      <c r="BB43" s="90"/>
      <c r="BC43" s="91" t="str">
        <f aca="false">IF(OR(BB43="",T43=""),"",BB43+INDEX(Settings!$E$20:$E$23,MATCH(T43,Settings!$A$20:$A$23,0)))</f>
        <v/>
      </c>
      <c r="BD43" s="90"/>
      <c r="BE43" s="82"/>
      <c r="BF43" s="81" t="str">
        <f aca="true">IF(A43="","",IF(OR(BE43="Closed",BE43="Accepted"),"No action",IF(BB43="","Set date identified",IF(TODAY()&gt;BC43,"Deadline exceeded",IF(BC43-TODAY()&lt;=Settings!$C$30,"Deadline approaching","On track")))))</f>
        <v>Set date identified</v>
      </c>
      <c r="BG43" s="90"/>
      <c r="BH43" s="90"/>
      <c r="BI43" s="91" t="str">
        <f aca="false">IF(OR(BH43="",AW43=""),"",EDATE(BH43,INDEX(Settings!$F$20:$F$23,MATCH(AW43,Settings!$A$20:$A$23,0))))</f>
        <v/>
      </c>
      <c r="BJ43" s="85" t="str">
        <f aca="false">IF(T43="","",IF(MAX(IF(T43="",0,MATCH(T43,Settings!$A$20:$A$23,0)),IF(AV43="",0,MATCH(AV43,Settings!$A$20:$A$23,0)))&gt;=MATCH(Settings!$C$29,Settings!$A$20:$A$23,0),"Yes","No"))</f>
        <v>Yes</v>
      </c>
      <c r="BK43" s="82"/>
      <c r="BL43" s="81" t="str">
        <f aca="true">IF(A43="","",IF(TRIM(IF(W43="","Treatment not chosen. ","")&amp;IF(AND(W43="Accept",AX43="No"),"Accepted outside appetite: record approval by "&amp;INDEX(Settings!$G$20:$G$23,MATCH(AW43,Settings!$A$20:$A$23,0))&amp;". ","")&amp;IF(AND(W43="Accept",BG43=""),"Acceptance expiry missing. ","")&amp;IF(AND(BG43&lt;&gt;"",BG43&lt;TODAY()),"Acceptance expired. ","")&amp;IF(AND(W43&lt;&gt;"",W43&lt;&gt;"Accept",AV43=""),"Target rating not set. ","")&amp;IF(AND(BE43="Closed",AX43="No"),"Closed while outside appetite. ","")&amp;IF(AND(W43="Transfer",BE43&lt;&gt;"Transferred",BE43&lt;&gt;"Closed"),"Transfer: record the contract, SLA and audit rights. ","")&amp;IF(AZ43="","Risk owner missing. ","")&amp;IF(K43="","Scenario not written. ",""))="","OK",TRIM(IF(W43="","Treatment not chosen. ","")&amp;IF(AND(W43="Accept",AX43="No"),"Accepted outside appetite: record approval by "&amp;INDEX(Settings!$G$20:$G$23,MATCH(AW43,Settings!$A$20:$A$23,0))&amp;". ","")&amp;IF(AND(W43="Accept",BG43=""),"Acceptance expiry missing. ","")&amp;IF(AND(BG43&lt;&gt;"",BG43&lt;TODAY()),"Acceptance expired. ","")&amp;IF(AND(W43&lt;&gt;"",W43&lt;&gt;"Accept",AV43=""),"Target rating not set. ","")&amp;IF(AND(BE43="Closed",AX43="No"),"Closed while outside appetite. ","")&amp;IF(AND(W43="Transfer",BE43&lt;&gt;"Transferred",BE43&lt;&gt;"Closed"),"Transfer: record the contract, SLA and audit rights. ","")&amp;IF(AZ43="","Risk owner missing. ","")&amp;IF(K43="","Scenario not written. ",""))))</f>
        <v>Treatment not chosen. Risk owner missing. Scenario not written.</v>
      </c>
      <c r="BM43" s="82" t="s">
        <v>1015</v>
      </c>
    </row>
    <row r="44" customFormat="false" ht="105" hidden="false" customHeight="true" outlineLevel="0" collapsed="false">
      <c r="A44" s="92" t="s">
        <v>1016</v>
      </c>
      <c r="B44" s="93" t="s">
        <v>1017</v>
      </c>
      <c r="C44" s="80" t="s">
        <v>293</v>
      </c>
      <c r="D44" s="81" t="str">
        <f aca="false">IF(C44="","",IFERROR(INDEX(Lists!$O$2:$O$13,MATCH(C44,Lists!$N$2:$N$13,0)),"Check domain code"))</f>
        <v>AI Governance and Accountability</v>
      </c>
      <c r="E44" s="81" t="str">
        <f aca="false">IF(C44="","",IFERROR(INDEX(Lists!$P$2:$P$13,MATCH(C44,Lists!$N$2:$N$13,0)),""))</f>
        <v>AI governance committee, chief risk officer</v>
      </c>
      <c r="F44" s="80"/>
      <c r="G44" s="82" t="s">
        <v>270</v>
      </c>
      <c r="H44" s="82"/>
      <c r="I44" s="82"/>
      <c r="J44" s="94" t="s">
        <v>1018</v>
      </c>
      <c r="K44" s="82"/>
      <c r="L44" s="82"/>
      <c r="M44" s="95" t="s">
        <v>1004</v>
      </c>
      <c r="N44" s="85" t="str">
        <f aca="false">IF(COUNTIF(Triage!$E$6:$E$41,"Yes")+COUNTIF(Triage!$E$6:$E$41,"No")=0,"Not triaged",IF(SUMPRODUCT(COUNTIFS(Triage!$A$6:$A$41,{"E8"},Triage!$E$6:$E$41,"Yes"))&gt;0,"Applies","Not triggered"))</f>
        <v>Not triaged</v>
      </c>
      <c r="O44" s="82"/>
      <c r="P44" s="86"/>
      <c r="Q44" s="86" t="n">
        <v>2</v>
      </c>
      <c r="R44" s="86" t="n">
        <v>3</v>
      </c>
      <c r="S44" s="21" t="n">
        <f aca="false">IF(OR(Q44="",R44=""),"",Q44*R44)</f>
        <v>6</v>
      </c>
      <c r="T44" s="85" t="str">
        <f aca="false">IF(S44="","",INDEX(Settings!$A$20:$A$23,MATCH(S44,Settings!$B$20:$B$23,1)))</f>
        <v>High</v>
      </c>
      <c r="U44" s="82" t="s">
        <v>273</v>
      </c>
      <c r="V44" s="87"/>
      <c r="W44" s="86"/>
      <c r="X44" s="82"/>
      <c r="Y44" s="96" t="s">
        <v>1019</v>
      </c>
      <c r="Z44" s="96" t="s">
        <v>1020</v>
      </c>
      <c r="AA44" s="96" t="s">
        <v>1021</v>
      </c>
      <c r="AB44" s="96" t="s">
        <v>1022</v>
      </c>
      <c r="AC44" s="96" t="s">
        <v>1023</v>
      </c>
      <c r="AD44" s="96" t="s">
        <v>1024</v>
      </c>
      <c r="AE44" s="96" t="s">
        <v>1025</v>
      </c>
      <c r="AF44" s="96"/>
      <c r="AG44" s="96"/>
      <c r="AH44" s="96" t="s">
        <v>855</v>
      </c>
      <c r="AI44" s="96" t="s">
        <v>1026</v>
      </c>
      <c r="AJ44" s="97" t="s">
        <v>1027</v>
      </c>
      <c r="AK44" s="96" t="s">
        <v>1028</v>
      </c>
      <c r="AL44" s="96" t="s">
        <v>287</v>
      </c>
      <c r="AM44" s="96" t="s">
        <v>1029</v>
      </c>
      <c r="AN44" s="96" t="s">
        <v>287</v>
      </c>
      <c r="AO44" s="96" t="s">
        <v>287</v>
      </c>
      <c r="AP44" s="96" t="s">
        <v>287</v>
      </c>
      <c r="AQ44" s="97" t="n">
        <v>1</v>
      </c>
      <c r="AR44" s="97" t="n">
        <v>58</v>
      </c>
      <c r="AS44" s="86"/>
      <c r="AT44" s="86"/>
      <c r="AU44" s="85" t="str">
        <f aca="false">IF(OR(AS44="",AT44=""),"",AS44*AT44)</f>
        <v/>
      </c>
      <c r="AV44" s="21" t="str">
        <f aca="false">IF(AU44="","",INDEX(Settings!$A$20:$A$23,MATCH(AU44,Settings!$B$20:$B$23,1)))</f>
        <v/>
      </c>
      <c r="AW44" s="85" t="str">
        <f aca="false">IF(AV44&lt;&gt;"",AV44,T44)</f>
        <v>High</v>
      </c>
      <c r="AX44" s="85" t="str">
        <f aca="false">IF(AW44="","",IF(MATCH(AW44,Settings!$A$20:$A$23,0)&lt;=MATCH(Settings!$C$28,Settings!$A$20:$A$23,0),"Yes","No"))</f>
        <v>No</v>
      </c>
      <c r="AY44" s="81" t="str">
        <f aca="false">IF(AW44="","",IF(AX44="Yes",INDEX(Settings!$G$20:$G$23,MATCH(AW44,Settings!$A$20:$A$23,0)),INDEX(Settings!$G$20:$G$23,MATCH(AW44,Settings!$A$20:$A$23,0))&amp;" (outside appetite)"))</f>
        <v>AI Governance Committee (outside appetite)</v>
      </c>
      <c r="AZ44" s="82"/>
      <c r="BA44" s="82"/>
      <c r="BB44" s="90"/>
      <c r="BC44" s="91" t="str">
        <f aca="false">IF(OR(BB44="",T44=""),"",BB44+INDEX(Settings!$E$20:$E$23,MATCH(T44,Settings!$A$20:$A$23,0)))</f>
        <v/>
      </c>
      <c r="BD44" s="90"/>
      <c r="BE44" s="82"/>
      <c r="BF44" s="81" t="str">
        <f aca="true">IF(A44="","",IF(OR(BE44="Closed",BE44="Accepted"),"No action",IF(BB44="","Set date identified",IF(TODAY()&gt;BC44,"Deadline exceeded",IF(BC44-TODAY()&lt;=Settings!$C$30,"Deadline approaching","On track")))))</f>
        <v>Set date identified</v>
      </c>
      <c r="BG44" s="90"/>
      <c r="BH44" s="90"/>
      <c r="BI44" s="91" t="str">
        <f aca="false">IF(OR(BH44="",AW44=""),"",EDATE(BH44,INDEX(Settings!$F$20:$F$23,MATCH(AW44,Settings!$A$20:$A$23,0))))</f>
        <v/>
      </c>
      <c r="BJ44" s="85" t="str">
        <f aca="false">IF(T44="","",IF(MAX(IF(T44="",0,MATCH(T44,Settings!$A$20:$A$23,0)),IF(AV44="",0,MATCH(AV44,Settings!$A$20:$A$23,0)))&gt;=MATCH(Settings!$C$29,Settings!$A$20:$A$23,0),"Yes","No"))</f>
        <v>Yes</v>
      </c>
      <c r="BK44" s="82"/>
      <c r="BL44" s="81" t="str">
        <f aca="true">IF(A44="","",IF(TRIM(IF(W44="","Treatment not chosen. ","")&amp;IF(AND(W44="Accept",AX44="No"),"Accepted outside appetite: record approval by "&amp;INDEX(Settings!$G$20:$G$23,MATCH(AW44,Settings!$A$20:$A$23,0))&amp;". ","")&amp;IF(AND(W44="Accept",BG44=""),"Acceptance expiry missing. ","")&amp;IF(AND(BG44&lt;&gt;"",BG44&lt;TODAY()),"Acceptance expired. ","")&amp;IF(AND(W44&lt;&gt;"",W44&lt;&gt;"Accept",AV44=""),"Target rating not set. ","")&amp;IF(AND(BE44="Closed",AX44="No"),"Closed while outside appetite. ","")&amp;IF(AND(W44="Transfer",BE44&lt;&gt;"Transferred",BE44&lt;&gt;"Closed"),"Transfer: record the contract, SLA and audit rights. ","")&amp;IF(AZ44="","Risk owner missing. ","")&amp;IF(K44="","Scenario not written. ",""))="","OK",TRIM(IF(W44="","Treatment not chosen. ","")&amp;IF(AND(W44="Accept",AX44="No"),"Accepted outside appetite: record approval by "&amp;INDEX(Settings!$G$20:$G$23,MATCH(AW44,Settings!$A$20:$A$23,0))&amp;". ","")&amp;IF(AND(W44="Accept",BG44=""),"Acceptance expiry missing. ","")&amp;IF(AND(BG44&lt;&gt;"",BG44&lt;TODAY()),"Acceptance expired. ","")&amp;IF(AND(W44&lt;&gt;"",W44&lt;&gt;"Accept",AV44=""),"Target rating not set. ","")&amp;IF(AND(BE44="Closed",AX44="No"),"Closed while outside appetite. ","")&amp;IF(AND(W44="Transfer",BE44&lt;&gt;"Transferred",BE44&lt;&gt;"Closed"),"Transfer: record the contract, SLA and audit rights. ","")&amp;IF(AZ44="","Risk owner missing. ","")&amp;IF(K44="","Scenario not written. ",""))))</f>
        <v>Treatment not chosen. Risk owner missing. Scenario not written.</v>
      </c>
      <c r="BM44" s="82" t="s">
        <v>1030</v>
      </c>
    </row>
    <row r="45" customFormat="false" ht="105" hidden="false" customHeight="true" outlineLevel="0" collapsed="false">
      <c r="A45" s="78" t="s">
        <v>1031</v>
      </c>
      <c r="B45" s="79" t="s">
        <v>1032</v>
      </c>
      <c r="C45" s="80" t="s">
        <v>666</v>
      </c>
      <c r="D45" s="81" t="str">
        <f aca="false">IF(C45="","",IFERROR(INDEX(Lists!$O$2:$O$13,MATCH(C45,Lists!$N$2:$N$13,0)),"Check domain code"))</f>
        <v>Workforce, Human and Societal</v>
      </c>
      <c r="E45" s="81" t="str">
        <f aca="false">IF(C45="","",IFERROR(INDEX(Lists!$P$2:$P$13,MATCH(C45,Lists!$N$2:$N$13,0)),""))</f>
        <v>HR, communications</v>
      </c>
      <c r="F45" s="80"/>
      <c r="G45" s="82" t="s">
        <v>270</v>
      </c>
      <c r="H45" s="82"/>
      <c r="I45" s="82"/>
      <c r="J45" s="83" t="s">
        <v>1033</v>
      </c>
      <c r="K45" s="82"/>
      <c r="L45" s="82"/>
      <c r="M45" s="84" t="s">
        <v>1034</v>
      </c>
      <c r="N45" s="85" t="str">
        <f aca="false">IF(COUNTIF(Triage!$E$6:$E$41,"Yes")+COUNTIF(Triage!$E$6:$E$41,"No")=0,"Not triaged",IF(SUMPRODUCT(COUNTIFS(Triage!$A$6:$A$41,{"E9"},Triage!$E$6:$E$41,"Yes"))&gt;0,"Applies","Not triggered"))</f>
        <v>Not triaged</v>
      </c>
      <c r="O45" s="82"/>
      <c r="P45" s="86"/>
      <c r="Q45" s="86" t="n">
        <v>2</v>
      </c>
      <c r="R45" s="86" t="n">
        <v>3</v>
      </c>
      <c r="S45" s="21" t="n">
        <f aca="false">IF(OR(Q45="",R45=""),"",Q45*R45)</f>
        <v>6</v>
      </c>
      <c r="T45" s="85" t="str">
        <f aca="false">IF(S45="","",INDEX(Settings!$A$20:$A$23,MATCH(S45,Settings!$B$20:$B$23,1)))</f>
        <v>High</v>
      </c>
      <c r="U45" s="82" t="s">
        <v>273</v>
      </c>
      <c r="V45" s="87"/>
      <c r="W45" s="86"/>
      <c r="X45" s="82"/>
      <c r="Y45" s="88" t="s">
        <v>1035</v>
      </c>
      <c r="Z45" s="88" t="s">
        <v>1036</v>
      </c>
      <c r="AA45" s="88" t="s">
        <v>1037</v>
      </c>
      <c r="AB45" s="88" t="s">
        <v>1038</v>
      </c>
      <c r="AC45" s="88" t="s">
        <v>1039</v>
      </c>
      <c r="AD45" s="88" t="s">
        <v>1040</v>
      </c>
      <c r="AE45" s="88" t="s">
        <v>1041</v>
      </c>
      <c r="AF45" s="88" t="s">
        <v>1042</v>
      </c>
      <c r="AG45" s="88" t="s">
        <v>1043</v>
      </c>
      <c r="AH45" s="88" t="s">
        <v>855</v>
      </c>
      <c r="AI45" s="88" t="s">
        <v>1044</v>
      </c>
      <c r="AJ45" s="89" t="s">
        <v>875</v>
      </c>
      <c r="AK45" s="88" t="s">
        <v>1045</v>
      </c>
      <c r="AL45" s="88" t="s">
        <v>287</v>
      </c>
      <c r="AM45" s="88" t="s">
        <v>1046</v>
      </c>
      <c r="AN45" s="88" t="s">
        <v>287</v>
      </c>
      <c r="AO45" s="88" t="s">
        <v>287</v>
      </c>
      <c r="AP45" s="88" t="s">
        <v>287</v>
      </c>
      <c r="AQ45" s="89" t="n">
        <v>2</v>
      </c>
      <c r="AR45" s="89" t="n">
        <v>42</v>
      </c>
      <c r="AS45" s="86"/>
      <c r="AT45" s="86"/>
      <c r="AU45" s="85" t="str">
        <f aca="false">IF(OR(AS45="",AT45=""),"",AS45*AT45)</f>
        <v/>
      </c>
      <c r="AV45" s="21" t="str">
        <f aca="false">IF(AU45="","",INDEX(Settings!$A$20:$A$23,MATCH(AU45,Settings!$B$20:$B$23,1)))</f>
        <v/>
      </c>
      <c r="AW45" s="85" t="str">
        <f aca="false">IF(AV45&lt;&gt;"",AV45,T45)</f>
        <v>High</v>
      </c>
      <c r="AX45" s="85" t="str">
        <f aca="false">IF(AW45="","",IF(MATCH(AW45,Settings!$A$20:$A$23,0)&lt;=MATCH(Settings!$C$28,Settings!$A$20:$A$23,0),"Yes","No"))</f>
        <v>No</v>
      </c>
      <c r="AY45" s="81" t="str">
        <f aca="false">IF(AW45="","",IF(AX45="Yes",INDEX(Settings!$G$20:$G$23,MATCH(AW45,Settings!$A$20:$A$23,0)),INDEX(Settings!$G$20:$G$23,MATCH(AW45,Settings!$A$20:$A$23,0))&amp;" (outside appetite)"))</f>
        <v>AI Governance Committee (outside appetite)</v>
      </c>
      <c r="AZ45" s="82"/>
      <c r="BA45" s="82"/>
      <c r="BB45" s="90"/>
      <c r="BC45" s="91" t="str">
        <f aca="false">IF(OR(BB45="",T45=""),"",BB45+INDEX(Settings!$E$20:$E$23,MATCH(T45,Settings!$A$20:$A$23,0)))</f>
        <v/>
      </c>
      <c r="BD45" s="90"/>
      <c r="BE45" s="82"/>
      <c r="BF45" s="81" t="str">
        <f aca="true">IF(A45="","",IF(OR(BE45="Closed",BE45="Accepted"),"No action",IF(BB45="","Set date identified",IF(TODAY()&gt;BC45,"Deadline exceeded",IF(BC45-TODAY()&lt;=Settings!$C$30,"Deadline approaching","On track")))))</f>
        <v>Set date identified</v>
      </c>
      <c r="BG45" s="90"/>
      <c r="BH45" s="90"/>
      <c r="BI45" s="91" t="str">
        <f aca="false">IF(OR(BH45="",AW45=""),"",EDATE(BH45,INDEX(Settings!$F$20:$F$23,MATCH(AW45,Settings!$A$20:$A$23,0))))</f>
        <v/>
      </c>
      <c r="BJ45" s="85" t="str">
        <f aca="false">IF(T45="","",IF(MAX(IF(T45="",0,MATCH(T45,Settings!$A$20:$A$23,0)),IF(AV45="",0,MATCH(AV45,Settings!$A$20:$A$23,0)))&gt;=MATCH(Settings!$C$29,Settings!$A$20:$A$23,0),"Yes","No"))</f>
        <v>Yes</v>
      </c>
      <c r="BK45" s="82"/>
      <c r="BL45" s="81" t="str">
        <f aca="true">IF(A45="","",IF(TRIM(IF(W45="","Treatment not chosen. ","")&amp;IF(AND(W45="Accept",AX45="No"),"Accepted outside appetite: record approval by "&amp;INDEX(Settings!$G$20:$G$23,MATCH(AW45,Settings!$A$20:$A$23,0))&amp;". ","")&amp;IF(AND(W45="Accept",BG45=""),"Acceptance expiry missing. ","")&amp;IF(AND(BG45&lt;&gt;"",BG45&lt;TODAY()),"Acceptance expired. ","")&amp;IF(AND(W45&lt;&gt;"",W45&lt;&gt;"Accept",AV45=""),"Target rating not set. ","")&amp;IF(AND(BE45="Closed",AX45="No"),"Closed while outside appetite. ","")&amp;IF(AND(W45="Transfer",BE45&lt;&gt;"Transferred",BE45&lt;&gt;"Closed"),"Transfer: record the contract, SLA and audit rights. ","")&amp;IF(AZ45="","Risk owner missing. ","")&amp;IF(K45="","Scenario not written. ",""))="","OK",TRIM(IF(W45="","Treatment not chosen. ","")&amp;IF(AND(W45="Accept",AX45="No"),"Accepted outside appetite: record approval by "&amp;INDEX(Settings!$G$20:$G$23,MATCH(AW45,Settings!$A$20:$A$23,0))&amp;". ","")&amp;IF(AND(W45="Accept",BG45=""),"Acceptance expiry missing. ","")&amp;IF(AND(BG45&lt;&gt;"",BG45&lt;TODAY()),"Acceptance expired. ","")&amp;IF(AND(W45&lt;&gt;"",W45&lt;&gt;"Accept",AV45=""),"Target rating not set. ","")&amp;IF(AND(BE45="Closed",AX45="No"),"Closed while outside appetite. ","")&amp;IF(AND(W45="Transfer",BE45&lt;&gt;"Transferred",BE45&lt;&gt;"Closed"),"Transfer: record the contract, SLA and audit rights. ","")&amp;IF(AZ45="","Risk owner missing. ","")&amp;IF(K45="","Scenario not written. ",""))))</f>
        <v>Treatment not chosen. Risk owner missing. Scenario not written.</v>
      </c>
      <c r="BM45" s="82" t="s">
        <v>1047</v>
      </c>
    </row>
    <row r="46" customFormat="false" ht="105" hidden="false" customHeight="true" outlineLevel="0" collapsed="false">
      <c r="A46" s="92" t="s">
        <v>1048</v>
      </c>
      <c r="B46" s="93" t="s">
        <v>1049</v>
      </c>
      <c r="C46" s="80" t="s">
        <v>506</v>
      </c>
      <c r="D46" s="81" t="str">
        <f aca="false">IF(C46="","",IFERROR(INDEX(Lists!$O$2:$O$13,MATCH(C46,Lists!$N$2:$N$13,0)),"Check domain code"))</f>
        <v>Safety, Ethics and Responsible AI</v>
      </c>
      <c r="E46" s="81" t="str">
        <f aca="false">IF(C46="","",IFERROR(INDEX(Lists!$P$2:$P$13,MATCH(C46,Lists!$N$2:$N$13,0)),""))</f>
        <v>Responsible AI lead, product owners</v>
      </c>
      <c r="F46" s="80"/>
      <c r="G46" s="82" t="s">
        <v>270</v>
      </c>
      <c r="H46" s="82"/>
      <c r="I46" s="82"/>
      <c r="J46" s="94" t="s">
        <v>1050</v>
      </c>
      <c r="K46" s="82"/>
      <c r="L46" s="82"/>
      <c r="M46" s="95" t="s">
        <v>1051</v>
      </c>
      <c r="N46" s="85" t="str">
        <f aca="false">IF(COUNTIF(Triage!$E$6:$E$41,"Yes")+COUNTIF(Triage!$E$6:$E$41,"No")=0,"Not triaged",IF(SUMPRODUCT(COUNTIFS(Triage!$A$6:$A$41,{"E10"},Triage!$E$6:$E$41,"Yes"))&gt;0,"Applies","Not triggered"))</f>
        <v>Not triaged</v>
      </c>
      <c r="O46" s="82"/>
      <c r="P46" s="86"/>
      <c r="Q46" s="86" t="n">
        <v>2</v>
      </c>
      <c r="R46" s="86" t="n">
        <v>3</v>
      </c>
      <c r="S46" s="21" t="n">
        <f aca="false">IF(OR(Q46="",R46=""),"",Q46*R46)</f>
        <v>6</v>
      </c>
      <c r="T46" s="85" t="str">
        <f aca="false">IF(S46="","",INDEX(Settings!$A$20:$A$23,MATCH(S46,Settings!$B$20:$B$23,1)))</f>
        <v>High</v>
      </c>
      <c r="U46" s="82" t="s">
        <v>273</v>
      </c>
      <c r="V46" s="87"/>
      <c r="W46" s="86"/>
      <c r="X46" s="82"/>
      <c r="Y46" s="96" t="s">
        <v>1052</v>
      </c>
      <c r="Z46" s="96" t="s">
        <v>931</v>
      </c>
      <c r="AA46" s="96" t="s">
        <v>1053</v>
      </c>
      <c r="AB46" s="96" t="s">
        <v>1054</v>
      </c>
      <c r="AC46" s="96" t="s">
        <v>1055</v>
      </c>
      <c r="AD46" s="96" t="s">
        <v>1056</v>
      </c>
      <c r="AE46" s="96" t="s">
        <v>1057</v>
      </c>
      <c r="AF46" s="96" t="s">
        <v>515</v>
      </c>
      <c r="AG46" s="96" t="s">
        <v>516</v>
      </c>
      <c r="AH46" s="96" t="s">
        <v>855</v>
      </c>
      <c r="AI46" s="96" t="s">
        <v>1058</v>
      </c>
      <c r="AJ46" s="97"/>
      <c r="AK46" s="96" t="s">
        <v>1059</v>
      </c>
      <c r="AL46" s="96" t="s">
        <v>659</v>
      </c>
      <c r="AM46" s="96" t="s">
        <v>1060</v>
      </c>
      <c r="AN46" s="96" t="s">
        <v>287</v>
      </c>
      <c r="AO46" s="96" t="s">
        <v>287</v>
      </c>
      <c r="AP46" s="96" t="s">
        <v>287</v>
      </c>
      <c r="AQ46" s="97" t="n">
        <v>3</v>
      </c>
      <c r="AR46" s="97" t="n">
        <v>20</v>
      </c>
      <c r="AS46" s="86"/>
      <c r="AT46" s="86"/>
      <c r="AU46" s="85" t="str">
        <f aca="false">IF(OR(AS46="",AT46=""),"",AS46*AT46)</f>
        <v/>
      </c>
      <c r="AV46" s="21" t="str">
        <f aca="false">IF(AU46="","",INDEX(Settings!$A$20:$A$23,MATCH(AU46,Settings!$B$20:$B$23,1)))</f>
        <v/>
      </c>
      <c r="AW46" s="85" t="str">
        <f aca="false">IF(AV46&lt;&gt;"",AV46,T46)</f>
        <v>High</v>
      </c>
      <c r="AX46" s="85" t="str">
        <f aca="false">IF(AW46="","",IF(MATCH(AW46,Settings!$A$20:$A$23,0)&lt;=MATCH(Settings!$C$28,Settings!$A$20:$A$23,0),"Yes","No"))</f>
        <v>No</v>
      </c>
      <c r="AY46" s="81" t="str">
        <f aca="false">IF(AW46="","",IF(AX46="Yes",INDEX(Settings!$G$20:$G$23,MATCH(AW46,Settings!$A$20:$A$23,0)),INDEX(Settings!$G$20:$G$23,MATCH(AW46,Settings!$A$20:$A$23,0))&amp;" (outside appetite)"))</f>
        <v>AI Governance Committee (outside appetite)</v>
      </c>
      <c r="AZ46" s="82"/>
      <c r="BA46" s="82"/>
      <c r="BB46" s="90"/>
      <c r="BC46" s="91" t="str">
        <f aca="false">IF(OR(BB46="",T46=""),"",BB46+INDEX(Settings!$E$20:$E$23,MATCH(T46,Settings!$A$20:$A$23,0)))</f>
        <v/>
      </c>
      <c r="BD46" s="90"/>
      <c r="BE46" s="82"/>
      <c r="BF46" s="81" t="str">
        <f aca="true">IF(A46="","",IF(OR(BE46="Closed",BE46="Accepted"),"No action",IF(BB46="","Set date identified",IF(TODAY()&gt;BC46,"Deadline exceeded",IF(BC46-TODAY()&lt;=Settings!$C$30,"Deadline approaching","On track")))))</f>
        <v>Set date identified</v>
      </c>
      <c r="BG46" s="90"/>
      <c r="BH46" s="90"/>
      <c r="BI46" s="91" t="str">
        <f aca="false">IF(OR(BH46="",AW46=""),"",EDATE(BH46,INDEX(Settings!$F$20:$F$23,MATCH(AW46,Settings!$A$20:$A$23,0))))</f>
        <v/>
      </c>
      <c r="BJ46" s="85" t="str">
        <f aca="false">IF(T46="","",IF(MAX(IF(T46="",0,MATCH(T46,Settings!$A$20:$A$23,0)),IF(AV46="",0,MATCH(AV46,Settings!$A$20:$A$23,0)))&gt;=MATCH(Settings!$C$29,Settings!$A$20:$A$23,0),"Yes","No"))</f>
        <v>Yes</v>
      </c>
      <c r="BK46" s="82"/>
      <c r="BL46" s="81" t="str">
        <f aca="true">IF(A46="","",IF(TRIM(IF(W46="","Treatment not chosen. ","")&amp;IF(AND(W46="Accept",AX46="No"),"Accepted outside appetite: record approval by "&amp;INDEX(Settings!$G$20:$G$23,MATCH(AW46,Settings!$A$20:$A$23,0))&amp;". ","")&amp;IF(AND(W46="Accept",BG46=""),"Acceptance expiry missing. ","")&amp;IF(AND(BG46&lt;&gt;"",BG46&lt;TODAY()),"Acceptance expired. ","")&amp;IF(AND(W46&lt;&gt;"",W46&lt;&gt;"Accept",AV46=""),"Target rating not set. ","")&amp;IF(AND(BE46="Closed",AX46="No"),"Closed while outside appetite. ","")&amp;IF(AND(W46="Transfer",BE46&lt;&gt;"Transferred",BE46&lt;&gt;"Closed"),"Transfer: record the contract, SLA and audit rights. ","")&amp;IF(AZ46="","Risk owner missing. ","")&amp;IF(K46="","Scenario not written. ",""))="","OK",TRIM(IF(W46="","Treatment not chosen. ","")&amp;IF(AND(W46="Accept",AX46="No"),"Accepted outside appetite: record approval by "&amp;INDEX(Settings!$G$20:$G$23,MATCH(AW46,Settings!$A$20:$A$23,0))&amp;". ","")&amp;IF(AND(W46="Accept",BG46=""),"Acceptance expiry missing. ","")&amp;IF(AND(BG46&lt;&gt;"",BG46&lt;TODAY()),"Acceptance expired. ","")&amp;IF(AND(W46&lt;&gt;"",W46&lt;&gt;"Accept",AV46=""),"Target rating not set. ","")&amp;IF(AND(BE46="Closed",AX46="No"),"Closed while outside appetite. ","")&amp;IF(AND(W46="Transfer",BE46&lt;&gt;"Transferred",BE46&lt;&gt;"Closed"),"Transfer: record the contract, SLA and audit rights. ","")&amp;IF(AZ46="","Risk owner missing. ","")&amp;IF(K46="","Scenario not written. ",""))))</f>
        <v>Treatment not chosen. Risk owner missing. Scenario not written.</v>
      </c>
      <c r="BM46" s="82" t="s">
        <v>1061</v>
      </c>
    </row>
    <row r="47" customFormat="false" ht="105" hidden="false" customHeight="true" outlineLevel="0" collapsed="false">
      <c r="A47" s="78" t="s">
        <v>1062</v>
      </c>
      <c r="B47" s="79" t="s">
        <v>1063</v>
      </c>
      <c r="C47" s="80" t="s">
        <v>353</v>
      </c>
      <c r="D47" s="81" t="str">
        <f aca="false">IF(C47="","",IFERROR(INDEX(Lists!$O$2:$O$13,MATCH(C47,Lists!$N$2:$N$13,0)),"Check domain code"))</f>
        <v>Security and Adversarial Threats</v>
      </c>
      <c r="E47" s="81" t="str">
        <f aca="false">IF(C47="","",IFERROR(INDEX(Lists!$P$2:$P$13,MATCH(C47,Lists!$N$2:$N$13,0)),""))</f>
        <v>CISO</v>
      </c>
      <c r="F47" s="80"/>
      <c r="G47" s="82" t="s">
        <v>270</v>
      </c>
      <c r="H47" s="82"/>
      <c r="I47" s="82"/>
      <c r="J47" s="83" t="s">
        <v>1064</v>
      </c>
      <c r="K47" s="82"/>
      <c r="L47" s="82"/>
      <c r="M47" s="84" t="s">
        <v>1065</v>
      </c>
      <c r="N47" s="85" t="str">
        <f aca="false">IF(COUNTIF(Triage!$E$6:$E$41,"Yes")+COUNTIF(Triage!$E$6:$E$41,"No")=0,"Not triaged",IF(SUMPRODUCT(COUNTIFS(Triage!$A$6:$A$41,{"E11"},Triage!$E$6:$E$41,"Yes"))&gt;0,"Applies","Not triggered"))</f>
        <v>Not triaged</v>
      </c>
      <c r="O47" s="82"/>
      <c r="P47" s="86"/>
      <c r="Q47" s="86" t="n">
        <v>2</v>
      </c>
      <c r="R47" s="86" t="n">
        <v>3</v>
      </c>
      <c r="S47" s="21" t="n">
        <f aca="false">IF(OR(Q47="",R47=""),"",Q47*R47)</f>
        <v>6</v>
      </c>
      <c r="T47" s="85" t="str">
        <f aca="false">IF(S47="","",INDEX(Settings!$A$20:$A$23,MATCH(S47,Settings!$B$20:$B$23,1)))</f>
        <v>High</v>
      </c>
      <c r="U47" s="82" t="s">
        <v>273</v>
      </c>
      <c r="V47" s="87"/>
      <c r="W47" s="86"/>
      <c r="X47" s="82"/>
      <c r="Y47" s="88" t="s">
        <v>1066</v>
      </c>
      <c r="Z47" s="88" t="s">
        <v>548</v>
      </c>
      <c r="AA47" s="88" t="s">
        <v>1067</v>
      </c>
      <c r="AB47" s="88" t="s">
        <v>1068</v>
      </c>
      <c r="AC47" s="88" t="s">
        <v>1069</v>
      </c>
      <c r="AD47" s="88" t="s">
        <v>1070</v>
      </c>
      <c r="AE47" s="88" t="s">
        <v>1071</v>
      </c>
      <c r="AF47" s="88" t="s">
        <v>303</v>
      </c>
      <c r="AG47" s="88" t="s">
        <v>1072</v>
      </c>
      <c r="AH47" s="88" t="s">
        <v>855</v>
      </c>
      <c r="AI47" s="88" t="s">
        <v>1073</v>
      </c>
      <c r="AJ47" s="89" t="s">
        <v>1074</v>
      </c>
      <c r="AK47" s="88" t="s">
        <v>1075</v>
      </c>
      <c r="AL47" s="88" t="s">
        <v>287</v>
      </c>
      <c r="AM47" s="88" t="s">
        <v>1076</v>
      </c>
      <c r="AN47" s="88" t="s">
        <v>287</v>
      </c>
      <c r="AO47" s="88" t="s">
        <v>287</v>
      </c>
      <c r="AP47" s="88" t="s">
        <v>287</v>
      </c>
      <c r="AQ47" s="89" t="n">
        <v>1</v>
      </c>
      <c r="AR47" s="89" t="n">
        <v>48</v>
      </c>
      <c r="AS47" s="86"/>
      <c r="AT47" s="86"/>
      <c r="AU47" s="85" t="str">
        <f aca="false">IF(OR(AS47="",AT47=""),"",AS47*AT47)</f>
        <v/>
      </c>
      <c r="AV47" s="21" t="str">
        <f aca="false">IF(AU47="","",INDEX(Settings!$A$20:$A$23,MATCH(AU47,Settings!$B$20:$B$23,1)))</f>
        <v/>
      </c>
      <c r="AW47" s="85" t="str">
        <f aca="false">IF(AV47&lt;&gt;"",AV47,T47)</f>
        <v>High</v>
      </c>
      <c r="AX47" s="85" t="str">
        <f aca="false">IF(AW47="","",IF(MATCH(AW47,Settings!$A$20:$A$23,0)&lt;=MATCH(Settings!$C$28,Settings!$A$20:$A$23,0),"Yes","No"))</f>
        <v>No</v>
      </c>
      <c r="AY47" s="81" t="str">
        <f aca="false">IF(AW47="","",IF(AX47="Yes",INDEX(Settings!$G$20:$G$23,MATCH(AW47,Settings!$A$20:$A$23,0)),INDEX(Settings!$G$20:$G$23,MATCH(AW47,Settings!$A$20:$A$23,0))&amp;" (outside appetite)"))</f>
        <v>AI Governance Committee (outside appetite)</v>
      </c>
      <c r="AZ47" s="82"/>
      <c r="BA47" s="82"/>
      <c r="BB47" s="90"/>
      <c r="BC47" s="91" t="str">
        <f aca="false">IF(OR(BB47="",T47=""),"",BB47+INDEX(Settings!$E$20:$E$23,MATCH(T47,Settings!$A$20:$A$23,0)))</f>
        <v/>
      </c>
      <c r="BD47" s="90"/>
      <c r="BE47" s="82"/>
      <c r="BF47" s="81" t="str">
        <f aca="true">IF(A47="","",IF(OR(BE47="Closed",BE47="Accepted"),"No action",IF(BB47="","Set date identified",IF(TODAY()&gt;BC47,"Deadline exceeded",IF(BC47-TODAY()&lt;=Settings!$C$30,"Deadline approaching","On track")))))</f>
        <v>Set date identified</v>
      </c>
      <c r="BG47" s="90"/>
      <c r="BH47" s="90"/>
      <c r="BI47" s="91" t="str">
        <f aca="false">IF(OR(BH47="",AW47=""),"",EDATE(BH47,INDEX(Settings!$F$20:$F$23,MATCH(AW47,Settings!$A$20:$A$23,0))))</f>
        <v/>
      </c>
      <c r="BJ47" s="85" t="str">
        <f aca="false">IF(T47="","",IF(MAX(IF(T47="",0,MATCH(T47,Settings!$A$20:$A$23,0)),IF(AV47="",0,MATCH(AV47,Settings!$A$20:$A$23,0)))&gt;=MATCH(Settings!$C$29,Settings!$A$20:$A$23,0),"Yes","No"))</f>
        <v>Yes</v>
      </c>
      <c r="BK47" s="82"/>
      <c r="BL47" s="81" t="str">
        <f aca="true">IF(A47="","",IF(TRIM(IF(W47="","Treatment not chosen. ","")&amp;IF(AND(W47="Accept",AX47="No"),"Accepted outside appetite: record approval by "&amp;INDEX(Settings!$G$20:$G$23,MATCH(AW47,Settings!$A$20:$A$23,0))&amp;". ","")&amp;IF(AND(W47="Accept",BG47=""),"Acceptance expiry missing. ","")&amp;IF(AND(BG47&lt;&gt;"",BG47&lt;TODAY()),"Acceptance expired. ","")&amp;IF(AND(W47&lt;&gt;"",W47&lt;&gt;"Accept",AV47=""),"Target rating not set. ","")&amp;IF(AND(BE47="Closed",AX47="No"),"Closed while outside appetite. ","")&amp;IF(AND(W47="Transfer",BE47&lt;&gt;"Transferred",BE47&lt;&gt;"Closed"),"Transfer: record the contract, SLA and audit rights. ","")&amp;IF(AZ47="","Risk owner missing. ","")&amp;IF(K47="","Scenario not written. ",""))="","OK",TRIM(IF(W47="","Treatment not chosen. ","")&amp;IF(AND(W47="Accept",AX47="No"),"Accepted outside appetite: record approval by "&amp;INDEX(Settings!$G$20:$G$23,MATCH(AW47,Settings!$A$20:$A$23,0))&amp;". ","")&amp;IF(AND(W47="Accept",BG47=""),"Acceptance expiry missing. ","")&amp;IF(AND(BG47&lt;&gt;"",BG47&lt;TODAY()),"Acceptance expired. ","")&amp;IF(AND(W47&lt;&gt;"",W47&lt;&gt;"Accept",AV47=""),"Target rating not set. ","")&amp;IF(AND(BE47="Closed",AX47="No"),"Closed while outside appetite. ","")&amp;IF(AND(W47="Transfer",BE47&lt;&gt;"Transferred",BE47&lt;&gt;"Closed"),"Transfer: record the contract, SLA and audit rights. ","")&amp;IF(AZ47="","Risk owner missing. ","")&amp;IF(K47="","Scenario not written. ",""))))</f>
        <v>Treatment not chosen. Risk owner missing. Scenario not written.</v>
      </c>
      <c r="BM47" s="82" t="s">
        <v>1077</v>
      </c>
    </row>
    <row r="48" customFormat="false" ht="105" hidden="false" customHeight="true" outlineLevel="0" collapsed="false">
      <c r="A48" s="92" t="s">
        <v>1078</v>
      </c>
      <c r="B48" s="93" t="s">
        <v>1079</v>
      </c>
      <c r="C48" s="80" t="s">
        <v>421</v>
      </c>
      <c r="D48" s="81" t="str">
        <f aca="false">IF(C48="","",IFERROR(INDEX(Lists!$O$2:$O$13,MATCH(C48,Lists!$N$2:$N$13,0)),"Check domain code"))</f>
        <v>Third-Party and Model Supply Chain</v>
      </c>
      <c r="E48" s="81" t="str">
        <f aca="false">IF(C48="","",IFERROR(INDEX(Lists!$P$2:$P$13,MATCH(C48,Lists!$N$2:$N$13,0)),""))</f>
        <v>Procurement, third-party risk</v>
      </c>
      <c r="F48" s="80"/>
      <c r="G48" s="82" t="s">
        <v>270</v>
      </c>
      <c r="H48" s="82"/>
      <c r="I48" s="82"/>
      <c r="J48" s="94" t="s">
        <v>1080</v>
      </c>
      <c r="K48" s="82"/>
      <c r="L48" s="82"/>
      <c r="M48" s="95" t="s">
        <v>960</v>
      </c>
      <c r="N48" s="85" t="str">
        <f aca="false">IF(COUNTIF(Triage!$E$6:$E$41,"Yes")+COUNTIF(Triage!$E$6:$E$41,"No")=0,"Not triaged",IF(SUMPRODUCT(COUNTIFS(Triage!$A$6:$A$41,{"E6"},Triage!$E$6:$E$41,"Yes"))&gt;0,"Applies","Not triggered"))</f>
        <v>Not triaged</v>
      </c>
      <c r="O48" s="82"/>
      <c r="P48" s="86"/>
      <c r="Q48" s="86" t="n">
        <v>2</v>
      </c>
      <c r="R48" s="86" t="n">
        <v>3</v>
      </c>
      <c r="S48" s="21" t="n">
        <f aca="false">IF(OR(Q48="",R48=""),"",Q48*R48)</f>
        <v>6</v>
      </c>
      <c r="T48" s="85" t="str">
        <f aca="false">IF(S48="","",INDEX(Settings!$A$20:$A$23,MATCH(S48,Settings!$B$20:$B$23,1)))</f>
        <v>High</v>
      </c>
      <c r="U48" s="82" t="s">
        <v>273</v>
      </c>
      <c r="V48" s="87"/>
      <c r="W48" s="86"/>
      <c r="X48" s="82"/>
      <c r="Y48" s="96" t="s">
        <v>1081</v>
      </c>
      <c r="Z48" s="96" t="s">
        <v>548</v>
      </c>
      <c r="AA48" s="96" t="s">
        <v>1082</v>
      </c>
      <c r="AB48" s="96" t="s">
        <v>1083</v>
      </c>
      <c r="AC48" s="96" t="s">
        <v>1084</v>
      </c>
      <c r="AD48" s="96" t="s">
        <v>1085</v>
      </c>
      <c r="AE48" s="96" t="s">
        <v>1086</v>
      </c>
      <c r="AF48" s="96" t="s">
        <v>594</v>
      </c>
      <c r="AG48" s="96" t="s">
        <v>906</v>
      </c>
      <c r="AH48" s="96" t="s">
        <v>855</v>
      </c>
      <c r="AI48" s="96" t="s">
        <v>1087</v>
      </c>
      <c r="AJ48" s="97" t="s">
        <v>1088</v>
      </c>
      <c r="AK48" s="96" t="s">
        <v>1089</v>
      </c>
      <c r="AL48" s="96" t="s">
        <v>287</v>
      </c>
      <c r="AM48" s="96" t="s">
        <v>1090</v>
      </c>
      <c r="AN48" s="96" t="s">
        <v>287</v>
      </c>
      <c r="AO48" s="96" t="s">
        <v>287</v>
      </c>
      <c r="AP48" s="96" t="s">
        <v>287</v>
      </c>
      <c r="AQ48" s="97" t="n">
        <v>1</v>
      </c>
      <c r="AR48" s="97" t="n">
        <v>67</v>
      </c>
      <c r="AS48" s="86"/>
      <c r="AT48" s="86"/>
      <c r="AU48" s="85" t="str">
        <f aca="false">IF(OR(AS48="",AT48=""),"",AS48*AT48)</f>
        <v/>
      </c>
      <c r="AV48" s="21" t="str">
        <f aca="false">IF(AU48="","",INDEX(Settings!$A$20:$A$23,MATCH(AU48,Settings!$B$20:$B$23,1)))</f>
        <v/>
      </c>
      <c r="AW48" s="85" t="str">
        <f aca="false">IF(AV48&lt;&gt;"",AV48,T48)</f>
        <v>High</v>
      </c>
      <c r="AX48" s="85" t="str">
        <f aca="false">IF(AW48="","",IF(MATCH(AW48,Settings!$A$20:$A$23,0)&lt;=MATCH(Settings!$C$28,Settings!$A$20:$A$23,0),"Yes","No"))</f>
        <v>No</v>
      </c>
      <c r="AY48" s="81" t="str">
        <f aca="false">IF(AW48="","",IF(AX48="Yes",INDEX(Settings!$G$20:$G$23,MATCH(AW48,Settings!$A$20:$A$23,0)),INDEX(Settings!$G$20:$G$23,MATCH(AW48,Settings!$A$20:$A$23,0))&amp;" (outside appetite)"))</f>
        <v>AI Governance Committee (outside appetite)</v>
      </c>
      <c r="AZ48" s="82"/>
      <c r="BA48" s="82"/>
      <c r="BB48" s="90"/>
      <c r="BC48" s="91" t="str">
        <f aca="false">IF(OR(BB48="",T48=""),"",BB48+INDEX(Settings!$E$20:$E$23,MATCH(T48,Settings!$A$20:$A$23,0)))</f>
        <v/>
      </c>
      <c r="BD48" s="90"/>
      <c r="BE48" s="82"/>
      <c r="BF48" s="81" t="str">
        <f aca="true">IF(A48="","",IF(OR(BE48="Closed",BE48="Accepted"),"No action",IF(BB48="","Set date identified",IF(TODAY()&gt;BC48,"Deadline exceeded",IF(BC48-TODAY()&lt;=Settings!$C$30,"Deadline approaching","On track")))))</f>
        <v>Set date identified</v>
      </c>
      <c r="BG48" s="90"/>
      <c r="BH48" s="90"/>
      <c r="BI48" s="91" t="str">
        <f aca="false">IF(OR(BH48="",AW48=""),"",EDATE(BH48,INDEX(Settings!$F$20:$F$23,MATCH(AW48,Settings!$A$20:$A$23,0))))</f>
        <v/>
      </c>
      <c r="BJ48" s="85" t="str">
        <f aca="false">IF(T48="","",IF(MAX(IF(T48="",0,MATCH(T48,Settings!$A$20:$A$23,0)),IF(AV48="",0,MATCH(AV48,Settings!$A$20:$A$23,0)))&gt;=MATCH(Settings!$C$29,Settings!$A$20:$A$23,0),"Yes","No"))</f>
        <v>Yes</v>
      </c>
      <c r="BK48" s="82"/>
      <c r="BL48" s="81" t="str">
        <f aca="true">IF(A48="","",IF(TRIM(IF(W48="","Treatment not chosen. ","")&amp;IF(AND(W48="Accept",AX48="No"),"Accepted outside appetite: record approval by "&amp;INDEX(Settings!$G$20:$G$23,MATCH(AW48,Settings!$A$20:$A$23,0))&amp;". ","")&amp;IF(AND(W48="Accept",BG48=""),"Acceptance expiry missing. ","")&amp;IF(AND(BG48&lt;&gt;"",BG48&lt;TODAY()),"Acceptance expired. ","")&amp;IF(AND(W48&lt;&gt;"",W48&lt;&gt;"Accept",AV48=""),"Target rating not set. ","")&amp;IF(AND(BE48="Closed",AX48="No"),"Closed while outside appetite. ","")&amp;IF(AND(W48="Transfer",BE48&lt;&gt;"Transferred",BE48&lt;&gt;"Closed"),"Transfer: record the contract, SLA and audit rights. ","")&amp;IF(AZ48="","Risk owner missing. ","")&amp;IF(K48="","Scenario not written. ",""))="","OK",TRIM(IF(W48="","Treatment not chosen. ","")&amp;IF(AND(W48="Accept",AX48="No"),"Accepted outside appetite: record approval by "&amp;INDEX(Settings!$G$20:$G$23,MATCH(AW48,Settings!$A$20:$A$23,0))&amp;". ","")&amp;IF(AND(W48="Accept",BG48=""),"Acceptance expiry missing. ","")&amp;IF(AND(BG48&lt;&gt;"",BG48&lt;TODAY()),"Acceptance expired. ","")&amp;IF(AND(W48&lt;&gt;"",W48&lt;&gt;"Accept",AV48=""),"Target rating not set. ","")&amp;IF(AND(BE48="Closed",AX48="No"),"Closed while outside appetite. ","")&amp;IF(AND(W48="Transfer",BE48&lt;&gt;"Transferred",BE48&lt;&gt;"Closed"),"Transfer: record the contract, SLA and audit rights. ","")&amp;IF(AZ48="","Risk owner missing. ","")&amp;IF(K48="","Scenario not written. ",""))))</f>
        <v>Treatment not chosen. Risk owner missing. Scenario not written.</v>
      </c>
      <c r="BM48" s="82" t="s">
        <v>1091</v>
      </c>
    </row>
    <row r="49" customFormat="false" ht="105" hidden="false" customHeight="true" outlineLevel="0" collapsed="false">
      <c r="A49" s="78" t="s">
        <v>1092</v>
      </c>
      <c r="B49" s="79" t="s">
        <v>1093</v>
      </c>
      <c r="C49" s="80" t="s">
        <v>445</v>
      </c>
      <c r="D49" s="81" t="str">
        <f aca="false">IF(C49="","",IFERROR(INDEX(Lists!$O$2:$O$13,MATCH(C49,Lists!$N$2:$N$13,0)),"Check domain code"))</f>
        <v>Operations and Resilience</v>
      </c>
      <c r="E49" s="81" t="str">
        <f aca="false">IF(C49="","",IFERROR(INDEX(Lists!$P$2:$P$13,MATCH(C49,Lists!$N$2:$N$13,0)),""))</f>
        <v>AI platform owner, IT operations</v>
      </c>
      <c r="F49" s="80"/>
      <c r="G49" s="82" t="s">
        <v>270</v>
      </c>
      <c r="H49" s="82"/>
      <c r="I49" s="82"/>
      <c r="J49" s="83" t="s">
        <v>1094</v>
      </c>
      <c r="K49" s="82"/>
      <c r="L49" s="82"/>
      <c r="M49" s="84" t="s">
        <v>1095</v>
      </c>
      <c r="N49" s="85" t="str">
        <f aca="false">IF(COUNTIF(Triage!$E$6:$E$41,"Yes")+COUNTIF(Triage!$E$6:$E$41,"No")=0,"Not triaged",IF(SUMPRODUCT(COUNTIFS(Triage!$A$6:$A$41,{"E12"},Triage!$E$6:$E$41,"Yes"))&gt;0,"Applies","Not triggered"))</f>
        <v>Not triaged</v>
      </c>
      <c r="O49" s="82"/>
      <c r="P49" s="86"/>
      <c r="Q49" s="86" t="n">
        <v>2</v>
      </c>
      <c r="R49" s="86" t="n">
        <v>3</v>
      </c>
      <c r="S49" s="21" t="n">
        <f aca="false">IF(OR(Q49="",R49=""),"",Q49*R49)</f>
        <v>6</v>
      </c>
      <c r="T49" s="85" t="str">
        <f aca="false">IF(S49="","",INDEX(Settings!$A$20:$A$23,MATCH(S49,Settings!$B$20:$B$23,1)))</f>
        <v>High</v>
      </c>
      <c r="U49" s="82" t="s">
        <v>273</v>
      </c>
      <c r="V49" s="87"/>
      <c r="W49" s="86"/>
      <c r="X49" s="82"/>
      <c r="Y49" s="88" t="s">
        <v>1096</v>
      </c>
      <c r="Z49" s="88" t="s">
        <v>1097</v>
      </c>
      <c r="AA49" s="88" t="s">
        <v>1098</v>
      </c>
      <c r="AB49" s="88" t="s">
        <v>1099</v>
      </c>
      <c r="AC49" s="88" t="s">
        <v>1100</v>
      </c>
      <c r="AD49" s="88" t="s">
        <v>1101</v>
      </c>
      <c r="AE49" s="88" t="s">
        <v>1102</v>
      </c>
      <c r="AF49" s="88" t="s">
        <v>1103</v>
      </c>
      <c r="AG49" s="88" t="s">
        <v>1104</v>
      </c>
      <c r="AH49" s="88" t="s">
        <v>855</v>
      </c>
      <c r="AI49" s="88" t="s">
        <v>1105</v>
      </c>
      <c r="AJ49" s="89" t="s">
        <v>1106</v>
      </c>
      <c r="AK49" s="88" t="s">
        <v>1107</v>
      </c>
      <c r="AL49" s="88" t="s">
        <v>287</v>
      </c>
      <c r="AM49" s="88" t="s">
        <v>1108</v>
      </c>
      <c r="AN49" s="88" t="s">
        <v>460</v>
      </c>
      <c r="AO49" s="88" t="s">
        <v>287</v>
      </c>
      <c r="AP49" s="88" t="s">
        <v>287</v>
      </c>
      <c r="AQ49" s="89" t="n">
        <v>2</v>
      </c>
      <c r="AR49" s="89" t="n">
        <v>83</v>
      </c>
      <c r="AS49" s="86"/>
      <c r="AT49" s="86"/>
      <c r="AU49" s="85" t="str">
        <f aca="false">IF(OR(AS49="",AT49=""),"",AS49*AT49)</f>
        <v/>
      </c>
      <c r="AV49" s="21" t="str">
        <f aca="false">IF(AU49="","",INDEX(Settings!$A$20:$A$23,MATCH(AU49,Settings!$B$20:$B$23,1)))</f>
        <v/>
      </c>
      <c r="AW49" s="85" t="str">
        <f aca="false">IF(AV49&lt;&gt;"",AV49,T49)</f>
        <v>High</v>
      </c>
      <c r="AX49" s="85" t="str">
        <f aca="false">IF(AW49="","",IF(MATCH(AW49,Settings!$A$20:$A$23,0)&lt;=MATCH(Settings!$C$28,Settings!$A$20:$A$23,0),"Yes","No"))</f>
        <v>No</v>
      </c>
      <c r="AY49" s="81" t="str">
        <f aca="false">IF(AW49="","",IF(AX49="Yes",INDEX(Settings!$G$20:$G$23,MATCH(AW49,Settings!$A$20:$A$23,0)),INDEX(Settings!$G$20:$G$23,MATCH(AW49,Settings!$A$20:$A$23,0))&amp;" (outside appetite)"))</f>
        <v>AI Governance Committee (outside appetite)</v>
      </c>
      <c r="AZ49" s="82"/>
      <c r="BA49" s="82"/>
      <c r="BB49" s="90"/>
      <c r="BC49" s="91" t="str">
        <f aca="false">IF(OR(BB49="",T49=""),"",BB49+INDEX(Settings!$E$20:$E$23,MATCH(T49,Settings!$A$20:$A$23,0)))</f>
        <v/>
      </c>
      <c r="BD49" s="90"/>
      <c r="BE49" s="82"/>
      <c r="BF49" s="81" t="str">
        <f aca="true">IF(A49="","",IF(OR(BE49="Closed",BE49="Accepted"),"No action",IF(BB49="","Set date identified",IF(TODAY()&gt;BC49,"Deadline exceeded",IF(BC49-TODAY()&lt;=Settings!$C$30,"Deadline approaching","On track")))))</f>
        <v>Set date identified</v>
      </c>
      <c r="BG49" s="90"/>
      <c r="BH49" s="90"/>
      <c r="BI49" s="91" t="str">
        <f aca="false">IF(OR(BH49="",AW49=""),"",EDATE(BH49,INDEX(Settings!$F$20:$F$23,MATCH(AW49,Settings!$A$20:$A$23,0))))</f>
        <v/>
      </c>
      <c r="BJ49" s="85" t="str">
        <f aca="false">IF(T49="","",IF(MAX(IF(T49="",0,MATCH(T49,Settings!$A$20:$A$23,0)),IF(AV49="",0,MATCH(AV49,Settings!$A$20:$A$23,0)))&gt;=MATCH(Settings!$C$29,Settings!$A$20:$A$23,0),"Yes","No"))</f>
        <v>Yes</v>
      </c>
      <c r="BK49" s="82"/>
      <c r="BL49" s="81" t="str">
        <f aca="true">IF(A49="","",IF(TRIM(IF(W49="","Treatment not chosen. ","")&amp;IF(AND(W49="Accept",AX49="No"),"Accepted outside appetite: record approval by "&amp;INDEX(Settings!$G$20:$G$23,MATCH(AW49,Settings!$A$20:$A$23,0))&amp;". ","")&amp;IF(AND(W49="Accept",BG49=""),"Acceptance expiry missing. ","")&amp;IF(AND(BG49&lt;&gt;"",BG49&lt;TODAY()),"Acceptance expired. ","")&amp;IF(AND(W49&lt;&gt;"",W49&lt;&gt;"Accept",AV49=""),"Target rating not set. ","")&amp;IF(AND(BE49="Closed",AX49="No"),"Closed while outside appetite. ","")&amp;IF(AND(W49="Transfer",BE49&lt;&gt;"Transferred",BE49&lt;&gt;"Closed"),"Transfer: record the contract, SLA and audit rights. ","")&amp;IF(AZ49="","Risk owner missing. ","")&amp;IF(K49="","Scenario not written. ",""))="","OK",TRIM(IF(W49="","Treatment not chosen. ","")&amp;IF(AND(W49="Accept",AX49="No"),"Accepted outside appetite: record approval by "&amp;INDEX(Settings!$G$20:$G$23,MATCH(AW49,Settings!$A$20:$A$23,0))&amp;". ","")&amp;IF(AND(W49="Accept",BG49=""),"Acceptance expiry missing. ","")&amp;IF(AND(BG49&lt;&gt;"",BG49&lt;TODAY()),"Acceptance expired. ","")&amp;IF(AND(W49&lt;&gt;"",W49&lt;&gt;"Accept",AV49=""),"Target rating not set. ","")&amp;IF(AND(BE49="Closed",AX49="No"),"Closed while outside appetite. ","")&amp;IF(AND(W49="Transfer",BE49&lt;&gt;"Transferred",BE49&lt;&gt;"Closed"),"Transfer: record the contract, SLA and audit rights. ","")&amp;IF(AZ49="","Risk owner missing. ","")&amp;IF(K49="","Scenario not written. ",""))))</f>
        <v>Treatment not chosen. Risk owner missing. Scenario not written.</v>
      </c>
      <c r="BM49" s="82" t="s">
        <v>1109</v>
      </c>
    </row>
    <row r="50" customFormat="false" ht="105" hidden="false" customHeight="true" outlineLevel="0" collapsed="false">
      <c r="A50" s="92" t="s">
        <v>1110</v>
      </c>
      <c r="B50" s="93" t="s">
        <v>1111</v>
      </c>
      <c r="C50" s="80" t="s">
        <v>353</v>
      </c>
      <c r="D50" s="81" t="str">
        <f aca="false">IF(C50="","",IFERROR(INDEX(Lists!$O$2:$O$13,MATCH(C50,Lists!$N$2:$N$13,0)),"Check domain code"))</f>
        <v>Security and Adversarial Threats</v>
      </c>
      <c r="E50" s="81" t="str">
        <f aca="false">IF(C50="","",IFERROR(INDEX(Lists!$P$2:$P$13,MATCH(C50,Lists!$N$2:$N$13,0)),""))</f>
        <v>CISO</v>
      </c>
      <c r="F50" s="80"/>
      <c r="G50" s="82" t="s">
        <v>270</v>
      </c>
      <c r="H50" s="82"/>
      <c r="I50" s="82"/>
      <c r="J50" s="94" t="s">
        <v>1112</v>
      </c>
      <c r="K50" s="82"/>
      <c r="L50" s="82"/>
      <c r="M50" s="95" t="s">
        <v>1095</v>
      </c>
      <c r="N50" s="85" t="str">
        <f aca="false">IF(COUNTIF(Triage!$E$6:$E$41,"Yes")+COUNTIF(Triage!$E$6:$E$41,"No")=0,"Not triaged",IF(SUMPRODUCT(COUNTIFS(Triage!$A$6:$A$41,{"E12"},Triage!$E$6:$E$41,"Yes"))&gt;0,"Applies","Not triggered"))</f>
        <v>Not triaged</v>
      </c>
      <c r="O50" s="82"/>
      <c r="P50" s="86"/>
      <c r="Q50" s="86" t="n">
        <v>2</v>
      </c>
      <c r="R50" s="86" t="n">
        <v>3</v>
      </c>
      <c r="S50" s="21" t="n">
        <f aca="false">IF(OR(Q50="",R50=""),"",Q50*R50)</f>
        <v>6</v>
      </c>
      <c r="T50" s="85" t="str">
        <f aca="false">IF(S50="","",INDEX(Settings!$A$20:$A$23,MATCH(S50,Settings!$B$20:$B$23,1)))</f>
        <v>High</v>
      </c>
      <c r="U50" s="82" t="s">
        <v>273</v>
      </c>
      <c r="V50" s="87"/>
      <c r="W50" s="86"/>
      <c r="X50" s="82"/>
      <c r="Y50" s="96" t="s">
        <v>1113</v>
      </c>
      <c r="Z50" s="96" t="s">
        <v>1113</v>
      </c>
      <c r="AA50" s="96" t="s">
        <v>1114</v>
      </c>
      <c r="AB50" s="96" t="s">
        <v>1115</v>
      </c>
      <c r="AC50" s="96" t="s">
        <v>1116</v>
      </c>
      <c r="AD50" s="96" t="s">
        <v>1117</v>
      </c>
      <c r="AE50" s="96" t="s">
        <v>1118</v>
      </c>
      <c r="AF50" s="96" t="s">
        <v>1119</v>
      </c>
      <c r="AG50" s="96" t="s">
        <v>1120</v>
      </c>
      <c r="AH50" s="96" t="s">
        <v>855</v>
      </c>
      <c r="AI50" s="96" t="s">
        <v>1121</v>
      </c>
      <c r="AJ50" s="97" t="s">
        <v>1122</v>
      </c>
      <c r="AK50" s="96" t="s">
        <v>1123</v>
      </c>
      <c r="AL50" s="96" t="s">
        <v>287</v>
      </c>
      <c r="AM50" s="96" t="s">
        <v>1124</v>
      </c>
      <c r="AN50" s="96" t="s">
        <v>1125</v>
      </c>
      <c r="AO50" s="96" t="s">
        <v>287</v>
      </c>
      <c r="AP50" s="96" t="s">
        <v>287</v>
      </c>
      <c r="AQ50" s="97" t="n">
        <v>2</v>
      </c>
      <c r="AR50" s="97" t="n">
        <v>102</v>
      </c>
      <c r="AS50" s="86"/>
      <c r="AT50" s="86"/>
      <c r="AU50" s="85" t="str">
        <f aca="false">IF(OR(AS50="",AT50=""),"",AS50*AT50)</f>
        <v/>
      </c>
      <c r="AV50" s="21" t="str">
        <f aca="false">IF(AU50="","",INDEX(Settings!$A$20:$A$23,MATCH(AU50,Settings!$B$20:$B$23,1)))</f>
        <v/>
      </c>
      <c r="AW50" s="85" t="str">
        <f aca="false">IF(AV50&lt;&gt;"",AV50,T50)</f>
        <v>High</v>
      </c>
      <c r="AX50" s="85" t="str">
        <f aca="false">IF(AW50="","",IF(MATCH(AW50,Settings!$A$20:$A$23,0)&lt;=MATCH(Settings!$C$28,Settings!$A$20:$A$23,0),"Yes","No"))</f>
        <v>No</v>
      </c>
      <c r="AY50" s="81" t="str">
        <f aca="false">IF(AW50="","",IF(AX50="Yes",INDEX(Settings!$G$20:$G$23,MATCH(AW50,Settings!$A$20:$A$23,0)),INDEX(Settings!$G$20:$G$23,MATCH(AW50,Settings!$A$20:$A$23,0))&amp;" (outside appetite)"))</f>
        <v>AI Governance Committee (outside appetite)</v>
      </c>
      <c r="AZ50" s="82"/>
      <c r="BA50" s="82"/>
      <c r="BB50" s="90"/>
      <c r="BC50" s="91" t="str">
        <f aca="false">IF(OR(BB50="",T50=""),"",BB50+INDEX(Settings!$E$20:$E$23,MATCH(T50,Settings!$A$20:$A$23,0)))</f>
        <v/>
      </c>
      <c r="BD50" s="90"/>
      <c r="BE50" s="82"/>
      <c r="BF50" s="81" t="str">
        <f aca="true">IF(A50="","",IF(OR(BE50="Closed",BE50="Accepted"),"No action",IF(BB50="","Set date identified",IF(TODAY()&gt;BC50,"Deadline exceeded",IF(BC50-TODAY()&lt;=Settings!$C$30,"Deadline approaching","On track")))))</f>
        <v>Set date identified</v>
      </c>
      <c r="BG50" s="90"/>
      <c r="BH50" s="90"/>
      <c r="BI50" s="91" t="str">
        <f aca="false">IF(OR(BH50="",AW50=""),"",EDATE(BH50,INDEX(Settings!$F$20:$F$23,MATCH(AW50,Settings!$A$20:$A$23,0))))</f>
        <v/>
      </c>
      <c r="BJ50" s="85" t="str">
        <f aca="false">IF(T50="","",IF(MAX(IF(T50="",0,MATCH(T50,Settings!$A$20:$A$23,0)),IF(AV50="",0,MATCH(AV50,Settings!$A$20:$A$23,0)))&gt;=MATCH(Settings!$C$29,Settings!$A$20:$A$23,0),"Yes","No"))</f>
        <v>Yes</v>
      </c>
      <c r="BK50" s="82"/>
      <c r="BL50" s="81" t="str">
        <f aca="true">IF(A50="","",IF(TRIM(IF(W50="","Treatment not chosen. ","")&amp;IF(AND(W50="Accept",AX50="No"),"Accepted outside appetite: record approval by "&amp;INDEX(Settings!$G$20:$G$23,MATCH(AW50,Settings!$A$20:$A$23,0))&amp;". ","")&amp;IF(AND(W50="Accept",BG50=""),"Acceptance expiry missing. ","")&amp;IF(AND(BG50&lt;&gt;"",BG50&lt;TODAY()),"Acceptance expired. ","")&amp;IF(AND(W50&lt;&gt;"",W50&lt;&gt;"Accept",AV50=""),"Target rating not set. ","")&amp;IF(AND(BE50="Closed",AX50="No"),"Closed while outside appetite. ","")&amp;IF(AND(W50="Transfer",BE50&lt;&gt;"Transferred",BE50&lt;&gt;"Closed"),"Transfer: record the contract, SLA and audit rights. ","")&amp;IF(AZ50="","Risk owner missing. ","")&amp;IF(K50="","Scenario not written. ",""))="","OK",TRIM(IF(W50="","Treatment not chosen. ","")&amp;IF(AND(W50="Accept",AX50="No"),"Accepted outside appetite: record approval by "&amp;INDEX(Settings!$G$20:$G$23,MATCH(AW50,Settings!$A$20:$A$23,0))&amp;". ","")&amp;IF(AND(W50="Accept",BG50=""),"Acceptance expiry missing. ","")&amp;IF(AND(BG50&lt;&gt;"",BG50&lt;TODAY()),"Acceptance expired. ","")&amp;IF(AND(W50&lt;&gt;"",W50&lt;&gt;"Accept",AV50=""),"Target rating not set. ","")&amp;IF(AND(BE50="Closed",AX50="No"),"Closed while outside appetite. ","")&amp;IF(AND(W50="Transfer",BE50&lt;&gt;"Transferred",BE50&lt;&gt;"Closed"),"Transfer: record the contract, SLA and audit rights. ","")&amp;IF(AZ50="","Risk owner missing. ","")&amp;IF(K50="","Scenario not written. ",""))))</f>
        <v>Treatment not chosen. Risk owner missing. Scenario not written.</v>
      </c>
      <c r="BM50" s="82" t="s">
        <v>1126</v>
      </c>
    </row>
    <row r="51" customFormat="false" ht="15" hidden="false" customHeight="false" outlineLevel="0" collapsed="false">
      <c r="A51" s="84"/>
      <c r="B51" s="83"/>
      <c r="C51" s="80"/>
      <c r="D51" s="81" t="str">
        <f aca="false">IF(C51="","",IFERROR(INDEX(Lists!$O$2:$O$13,MATCH(C51,Lists!$N$2:$N$13,0)),"Check domain code"))</f>
        <v/>
      </c>
      <c r="E51" s="81" t="str">
        <f aca="false">IF(C51="","",IFERROR(INDEX(Lists!$P$2:$P$13,MATCH(C51,Lists!$N$2:$N$13,0)),""))</f>
        <v/>
      </c>
      <c r="F51" s="80"/>
      <c r="G51" s="82"/>
      <c r="H51" s="82"/>
      <c r="I51" s="82"/>
      <c r="J51" s="83"/>
      <c r="K51" s="82"/>
      <c r="L51" s="82"/>
      <c r="M51" s="84"/>
      <c r="N51" s="85"/>
      <c r="O51" s="82"/>
      <c r="P51" s="86"/>
      <c r="Q51" s="86"/>
      <c r="R51" s="86"/>
      <c r="S51" s="21" t="str">
        <f aca="false">IF(OR(Q51="",R51=""),"",Q51*R51)</f>
        <v/>
      </c>
      <c r="T51" s="85" t="str">
        <f aca="false">IF(S51="","",INDEX(Settings!$A$20:$A$23,MATCH(S51,Settings!$B$20:$B$23,1)))</f>
        <v/>
      </c>
      <c r="U51" s="82"/>
      <c r="V51" s="87"/>
      <c r="W51" s="86"/>
      <c r="X51" s="82"/>
      <c r="Y51" s="88"/>
      <c r="Z51" s="88"/>
      <c r="AA51" s="88"/>
      <c r="AB51" s="88"/>
      <c r="AC51" s="88"/>
      <c r="AD51" s="88"/>
      <c r="AE51" s="88"/>
      <c r="AF51" s="88"/>
      <c r="AG51" s="88"/>
      <c r="AH51" s="88"/>
      <c r="AI51" s="88"/>
      <c r="AJ51" s="89"/>
      <c r="AK51" s="88"/>
      <c r="AL51" s="88"/>
      <c r="AM51" s="88"/>
      <c r="AN51" s="88"/>
      <c r="AO51" s="88"/>
      <c r="AP51" s="88"/>
      <c r="AQ51" s="89"/>
      <c r="AR51" s="89"/>
      <c r="AS51" s="86"/>
      <c r="AT51" s="86"/>
      <c r="AU51" s="85" t="str">
        <f aca="false">IF(OR(AS51="",AT51=""),"",AS51*AT51)</f>
        <v/>
      </c>
      <c r="AV51" s="21" t="str">
        <f aca="false">IF(AU51="","",INDEX(Settings!$A$20:$A$23,MATCH(AU51,Settings!$B$20:$B$23,1)))</f>
        <v/>
      </c>
      <c r="AW51" s="85" t="str">
        <f aca="false">IF(AV51&lt;&gt;"",AV51,T51)</f>
        <v/>
      </c>
      <c r="AX51" s="85" t="str">
        <f aca="false">IF(AW51="","",IF(MATCH(AW51,Settings!$A$20:$A$23,0)&lt;=MATCH(Settings!$C$28,Settings!$A$20:$A$23,0),"Yes","No"))</f>
        <v/>
      </c>
      <c r="AY51" s="81" t="str">
        <f aca="false">IF(AW51="","",IF(AX51="Yes",INDEX(Settings!$G$20:$G$23,MATCH(AW51,Settings!$A$20:$A$23,0)),INDEX(Settings!$G$20:$G$23,MATCH(AW51,Settings!$A$20:$A$23,0))&amp;" (outside appetite)"))</f>
        <v/>
      </c>
      <c r="AZ51" s="82"/>
      <c r="BA51" s="82"/>
      <c r="BB51" s="90"/>
      <c r="BC51" s="91" t="str">
        <f aca="false">IF(OR(BB51="",T51=""),"",BB51+INDEX(Settings!$E$20:$E$23,MATCH(T51,Settings!$A$20:$A$23,0)))</f>
        <v/>
      </c>
      <c r="BD51" s="90"/>
      <c r="BE51" s="82"/>
      <c r="BF51" s="81" t="str">
        <f aca="true">IF(A51="","",IF(OR(BE51="Closed",BE51="Accepted"),"No action",IF(BB51="","Set date identified",IF(TODAY()&gt;BC51,"Deadline exceeded",IF(BC51-TODAY()&lt;=Settings!$C$30,"Deadline approaching","On track")))))</f>
        <v/>
      </c>
      <c r="BG51" s="90"/>
      <c r="BH51" s="90"/>
      <c r="BI51" s="91" t="str">
        <f aca="false">IF(OR(BH51="",AW51=""),"",EDATE(BH51,INDEX(Settings!$F$20:$F$23,MATCH(AW51,Settings!$A$20:$A$23,0))))</f>
        <v/>
      </c>
      <c r="BJ51" s="85" t="str">
        <f aca="false">IF(T51="","",IF(MAX(IF(T51="",0,MATCH(T51,Settings!$A$20:$A$23,0)),IF(AV51="",0,MATCH(AV51,Settings!$A$20:$A$23,0)))&gt;=MATCH(Settings!$C$29,Settings!$A$20:$A$23,0),"Yes","No"))</f>
        <v/>
      </c>
      <c r="BK51" s="82"/>
      <c r="BL51" s="81" t="str">
        <f aca="true">IF(A51="","",IF(TRIM(IF(W51="","Treatment not chosen. ","")&amp;IF(AND(W51="Accept",AX51="No"),"Accepted outside appetite: record approval by "&amp;INDEX(Settings!$G$20:$G$23,MATCH(AW51,Settings!$A$20:$A$23,0))&amp;". ","")&amp;IF(AND(W51="Accept",BG51=""),"Acceptance expiry missing. ","")&amp;IF(AND(BG51&lt;&gt;"",BG51&lt;TODAY()),"Acceptance expired. ","")&amp;IF(AND(W51&lt;&gt;"",W51&lt;&gt;"Accept",AV51=""),"Target rating not set. ","")&amp;IF(AND(BE51="Closed",AX51="No"),"Closed while outside appetite. ","")&amp;IF(AND(W51="Transfer",BE51&lt;&gt;"Transferred",BE51&lt;&gt;"Closed"),"Transfer: record the contract, SLA and audit rights. ","")&amp;IF(AZ51="","Risk owner missing. ","")&amp;IF(K51="","Scenario not written. ",""))="","OK",TRIM(IF(W51="","Treatment not chosen. ","")&amp;IF(AND(W51="Accept",AX51="No"),"Accepted outside appetite: record approval by "&amp;INDEX(Settings!$G$20:$G$23,MATCH(AW51,Settings!$A$20:$A$23,0))&amp;". ","")&amp;IF(AND(W51="Accept",BG51=""),"Acceptance expiry missing. ","")&amp;IF(AND(BG51&lt;&gt;"",BG51&lt;TODAY()),"Acceptance expired. ","")&amp;IF(AND(W51&lt;&gt;"",W51&lt;&gt;"Accept",AV51=""),"Target rating not set. ","")&amp;IF(AND(BE51="Closed",AX51="No"),"Closed while outside appetite. ","")&amp;IF(AND(W51="Transfer",BE51&lt;&gt;"Transferred",BE51&lt;&gt;"Closed"),"Transfer: record the contract, SLA and audit rights. ","")&amp;IF(AZ51="","Risk owner missing. ","")&amp;IF(K51="","Scenario not written. ",""))))</f>
        <v/>
      </c>
      <c r="BM51" s="82"/>
    </row>
    <row r="52" customFormat="false" ht="15" hidden="false" customHeight="false" outlineLevel="0" collapsed="false">
      <c r="A52" s="95"/>
      <c r="B52" s="94"/>
      <c r="C52" s="80"/>
      <c r="D52" s="81" t="str">
        <f aca="false">IF(C52="","",IFERROR(INDEX(Lists!$O$2:$O$13,MATCH(C52,Lists!$N$2:$N$13,0)),"Check domain code"))</f>
        <v/>
      </c>
      <c r="E52" s="81" t="str">
        <f aca="false">IF(C52="","",IFERROR(INDEX(Lists!$P$2:$P$13,MATCH(C52,Lists!$N$2:$N$13,0)),""))</f>
        <v/>
      </c>
      <c r="F52" s="80"/>
      <c r="G52" s="82"/>
      <c r="H52" s="82"/>
      <c r="I52" s="82"/>
      <c r="J52" s="94"/>
      <c r="K52" s="82"/>
      <c r="L52" s="82"/>
      <c r="M52" s="95"/>
      <c r="N52" s="85"/>
      <c r="O52" s="82"/>
      <c r="P52" s="86"/>
      <c r="Q52" s="86"/>
      <c r="R52" s="86"/>
      <c r="S52" s="21" t="str">
        <f aca="false">IF(OR(Q52="",R52=""),"",Q52*R52)</f>
        <v/>
      </c>
      <c r="T52" s="85" t="str">
        <f aca="false">IF(S52="","",INDEX(Settings!$A$20:$A$23,MATCH(S52,Settings!$B$20:$B$23,1)))</f>
        <v/>
      </c>
      <c r="U52" s="82"/>
      <c r="V52" s="87"/>
      <c r="W52" s="86"/>
      <c r="X52" s="82"/>
      <c r="Y52" s="96"/>
      <c r="Z52" s="96"/>
      <c r="AA52" s="96"/>
      <c r="AB52" s="96"/>
      <c r="AC52" s="96"/>
      <c r="AD52" s="96"/>
      <c r="AE52" s="96"/>
      <c r="AF52" s="96"/>
      <c r="AG52" s="96"/>
      <c r="AH52" s="96"/>
      <c r="AI52" s="96"/>
      <c r="AJ52" s="97"/>
      <c r="AK52" s="96"/>
      <c r="AL52" s="96"/>
      <c r="AM52" s="96"/>
      <c r="AN52" s="96"/>
      <c r="AO52" s="96"/>
      <c r="AP52" s="96"/>
      <c r="AQ52" s="97"/>
      <c r="AR52" s="97"/>
      <c r="AS52" s="86"/>
      <c r="AT52" s="86"/>
      <c r="AU52" s="85" t="str">
        <f aca="false">IF(OR(AS52="",AT52=""),"",AS52*AT52)</f>
        <v/>
      </c>
      <c r="AV52" s="21" t="str">
        <f aca="false">IF(AU52="","",INDEX(Settings!$A$20:$A$23,MATCH(AU52,Settings!$B$20:$B$23,1)))</f>
        <v/>
      </c>
      <c r="AW52" s="85" t="str">
        <f aca="false">IF(AV52&lt;&gt;"",AV52,T52)</f>
        <v/>
      </c>
      <c r="AX52" s="85" t="str">
        <f aca="false">IF(AW52="","",IF(MATCH(AW52,Settings!$A$20:$A$23,0)&lt;=MATCH(Settings!$C$28,Settings!$A$20:$A$23,0),"Yes","No"))</f>
        <v/>
      </c>
      <c r="AY52" s="81" t="str">
        <f aca="false">IF(AW52="","",IF(AX52="Yes",INDEX(Settings!$G$20:$G$23,MATCH(AW52,Settings!$A$20:$A$23,0)),INDEX(Settings!$G$20:$G$23,MATCH(AW52,Settings!$A$20:$A$23,0))&amp;" (outside appetite)"))</f>
        <v/>
      </c>
      <c r="AZ52" s="82"/>
      <c r="BA52" s="82"/>
      <c r="BB52" s="90"/>
      <c r="BC52" s="91" t="str">
        <f aca="false">IF(OR(BB52="",T52=""),"",BB52+INDEX(Settings!$E$20:$E$23,MATCH(T52,Settings!$A$20:$A$23,0)))</f>
        <v/>
      </c>
      <c r="BD52" s="90"/>
      <c r="BE52" s="82"/>
      <c r="BF52" s="81" t="str">
        <f aca="true">IF(A52="","",IF(OR(BE52="Closed",BE52="Accepted"),"No action",IF(BB52="","Set date identified",IF(TODAY()&gt;BC52,"Deadline exceeded",IF(BC52-TODAY()&lt;=Settings!$C$30,"Deadline approaching","On track")))))</f>
        <v/>
      </c>
      <c r="BG52" s="90"/>
      <c r="BH52" s="90"/>
      <c r="BI52" s="91" t="str">
        <f aca="false">IF(OR(BH52="",AW52=""),"",EDATE(BH52,INDEX(Settings!$F$20:$F$23,MATCH(AW52,Settings!$A$20:$A$23,0))))</f>
        <v/>
      </c>
      <c r="BJ52" s="85" t="str">
        <f aca="false">IF(T52="","",IF(MAX(IF(T52="",0,MATCH(T52,Settings!$A$20:$A$23,0)),IF(AV52="",0,MATCH(AV52,Settings!$A$20:$A$23,0)))&gt;=MATCH(Settings!$C$29,Settings!$A$20:$A$23,0),"Yes","No"))</f>
        <v/>
      </c>
      <c r="BK52" s="82"/>
      <c r="BL52" s="81" t="str">
        <f aca="true">IF(A52="","",IF(TRIM(IF(W52="","Treatment not chosen. ","")&amp;IF(AND(W52="Accept",AX52="No"),"Accepted outside appetite: record approval by "&amp;INDEX(Settings!$G$20:$G$23,MATCH(AW52,Settings!$A$20:$A$23,0))&amp;". ","")&amp;IF(AND(W52="Accept",BG52=""),"Acceptance expiry missing. ","")&amp;IF(AND(BG52&lt;&gt;"",BG52&lt;TODAY()),"Acceptance expired. ","")&amp;IF(AND(W52&lt;&gt;"",W52&lt;&gt;"Accept",AV52=""),"Target rating not set. ","")&amp;IF(AND(BE52="Closed",AX52="No"),"Closed while outside appetite. ","")&amp;IF(AND(W52="Transfer",BE52&lt;&gt;"Transferred",BE52&lt;&gt;"Closed"),"Transfer: record the contract, SLA and audit rights. ","")&amp;IF(AZ52="","Risk owner missing. ","")&amp;IF(K52="","Scenario not written. ",""))="","OK",TRIM(IF(W52="","Treatment not chosen. ","")&amp;IF(AND(W52="Accept",AX52="No"),"Accepted outside appetite: record approval by "&amp;INDEX(Settings!$G$20:$G$23,MATCH(AW52,Settings!$A$20:$A$23,0))&amp;". ","")&amp;IF(AND(W52="Accept",BG52=""),"Acceptance expiry missing. ","")&amp;IF(AND(BG52&lt;&gt;"",BG52&lt;TODAY()),"Acceptance expired. ","")&amp;IF(AND(W52&lt;&gt;"",W52&lt;&gt;"Accept",AV52=""),"Target rating not set. ","")&amp;IF(AND(BE52="Closed",AX52="No"),"Closed while outside appetite. ","")&amp;IF(AND(W52="Transfer",BE52&lt;&gt;"Transferred",BE52&lt;&gt;"Closed"),"Transfer: record the contract, SLA and audit rights. ","")&amp;IF(AZ52="","Risk owner missing. ","")&amp;IF(K52="","Scenario not written. ",""))))</f>
        <v/>
      </c>
      <c r="BM52" s="82"/>
    </row>
    <row r="53" customFormat="false" ht="15" hidden="false" customHeight="false" outlineLevel="0" collapsed="false">
      <c r="A53" s="84"/>
      <c r="B53" s="83"/>
      <c r="C53" s="80"/>
      <c r="D53" s="81" t="str">
        <f aca="false">IF(C53="","",IFERROR(INDEX(Lists!$O$2:$O$13,MATCH(C53,Lists!$N$2:$N$13,0)),"Check domain code"))</f>
        <v/>
      </c>
      <c r="E53" s="81" t="str">
        <f aca="false">IF(C53="","",IFERROR(INDEX(Lists!$P$2:$P$13,MATCH(C53,Lists!$N$2:$N$13,0)),""))</f>
        <v/>
      </c>
      <c r="F53" s="80"/>
      <c r="G53" s="82"/>
      <c r="H53" s="82"/>
      <c r="I53" s="82"/>
      <c r="J53" s="83"/>
      <c r="K53" s="82"/>
      <c r="L53" s="82"/>
      <c r="M53" s="84"/>
      <c r="N53" s="85"/>
      <c r="O53" s="82"/>
      <c r="P53" s="86"/>
      <c r="Q53" s="86"/>
      <c r="R53" s="86"/>
      <c r="S53" s="21" t="str">
        <f aca="false">IF(OR(Q53="",R53=""),"",Q53*R53)</f>
        <v/>
      </c>
      <c r="T53" s="85" t="str">
        <f aca="false">IF(S53="","",INDEX(Settings!$A$20:$A$23,MATCH(S53,Settings!$B$20:$B$23,1)))</f>
        <v/>
      </c>
      <c r="U53" s="82"/>
      <c r="V53" s="87"/>
      <c r="W53" s="86"/>
      <c r="X53" s="82"/>
      <c r="Y53" s="88"/>
      <c r="Z53" s="88"/>
      <c r="AA53" s="88"/>
      <c r="AB53" s="88"/>
      <c r="AC53" s="88"/>
      <c r="AD53" s="88"/>
      <c r="AE53" s="88"/>
      <c r="AF53" s="88"/>
      <c r="AG53" s="88"/>
      <c r="AH53" s="88"/>
      <c r="AI53" s="88"/>
      <c r="AJ53" s="89"/>
      <c r="AK53" s="88"/>
      <c r="AL53" s="88"/>
      <c r="AM53" s="88"/>
      <c r="AN53" s="88"/>
      <c r="AO53" s="88"/>
      <c r="AP53" s="88"/>
      <c r="AQ53" s="89"/>
      <c r="AR53" s="89"/>
      <c r="AS53" s="86"/>
      <c r="AT53" s="86"/>
      <c r="AU53" s="85" t="str">
        <f aca="false">IF(OR(AS53="",AT53=""),"",AS53*AT53)</f>
        <v/>
      </c>
      <c r="AV53" s="21" t="str">
        <f aca="false">IF(AU53="","",INDEX(Settings!$A$20:$A$23,MATCH(AU53,Settings!$B$20:$B$23,1)))</f>
        <v/>
      </c>
      <c r="AW53" s="85" t="str">
        <f aca="false">IF(AV53&lt;&gt;"",AV53,T53)</f>
        <v/>
      </c>
      <c r="AX53" s="85" t="str">
        <f aca="false">IF(AW53="","",IF(MATCH(AW53,Settings!$A$20:$A$23,0)&lt;=MATCH(Settings!$C$28,Settings!$A$20:$A$23,0),"Yes","No"))</f>
        <v/>
      </c>
      <c r="AY53" s="81" t="str">
        <f aca="false">IF(AW53="","",IF(AX53="Yes",INDEX(Settings!$G$20:$G$23,MATCH(AW53,Settings!$A$20:$A$23,0)),INDEX(Settings!$G$20:$G$23,MATCH(AW53,Settings!$A$20:$A$23,0))&amp;" (outside appetite)"))</f>
        <v/>
      </c>
      <c r="AZ53" s="82"/>
      <c r="BA53" s="82"/>
      <c r="BB53" s="90"/>
      <c r="BC53" s="91" t="str">
        <f aca="false">IF(OR(BB53="",T53=""),"",BB53+INDEX(Settings!$E$20:$E$23,MATCH(T53,Settings!$A$20:$A$23,0)))</f>
        <v/>
      </c>
      <c r="BD53" s="90"/>
      <c r="BE53" s="82"/>
      <c r="BF53" s="81" t="str">
        <f aca="true">IF(A53="","",IF(OR(BE53="Closed",BE53="Accepted"),"No action",IF(BB53="","Set date identified",IF(TODAY()&gt;BC53,"Deadline exceeded",IF(BC53-TODAY()&lt;=Settings!$C$30,"Deadline approaching","On track")))))</f>
        <v/>
      </c>
      <c r="BG53" s="90"/>
      <c r="BH53" s="90"/>
      <c r="BI53" s="91" t="str">
        <f aca="false">IF(OR(BH53="",AW53=""),"",EDATE(BH53,INDEX(Settings!$F$20:$F$23,MATCH(AW53,Settings!$A$20:$A$23,0))))</f>
        <v/>
      </c>
      <c r="BJ53" s="85" t="str">
        <f aca="false">IF(T53="","",IF(MAX(IF(T53="",0,MATCH(T53,Settings!$A$20:$A$23,0)),IF(AV53="",0,MATCH(AV53,Settings!$A$20:$A$23,0)))&gt;=MATCH(Settings!$C$29,Settings!$A$20:$A$23,0),"Yes","No"))</f>
        <v/>
      </c>
      <c r="BK53" s="82"/>
      <c r="BL53" s="81" t="str">
        <f aca="true">IF(A53="","",IF(TRIM(IF(W53="","Treatment not chosen. ","")&amp;IF(AND(W53="Accept",AX53="No"),"Accepted outside appetite: record approval by "&amp;INDEX(Settings!$G$20:$G$23,MATCH(AW53,Settings!$A$20:$A$23,0))&amp;". ","")&amp;IF(AND(W53="Accept",BG53=""),"Acceptance expiry missing. ","")&amp;IF(AND(BG53&lt;&gt;"",BG53&lt;TODAY()),"Acceptance expired. ","")&amp;IF(AND(W53&lt;&gt;"",W53&lt;&gt;"Accept",AV53=""),"Target rating not set. ","")&amp;IF(AND(BE53="Closed",AX53="No"),"Closed while outside appetite. ","")&amp;IF(AND(W53="Transfer",BE53&lt;&gt;"Transferred",BE53&lt;&gt;"Closed"),"Transfer: record the contract, SLA and audit rights. ","")&amp;IF(AZ53="","Risk owner missing. ","")&amp;IF(K53="","Scenario not written. ",""))="","OK",TRIM(IF(W53="","Treatment not chosen. ","")&amp;IF(AND(W53="Accept",AX53="No"),"Accepted outside appetite: record approval by "&amp;INDEX(Settings!$G$20:$G$23,MATCH(AW53,Settings!$A$20:$A$23,0))&amp;". ","")&amp;IF(AND(W53="Accept",BG53=""),"Acceptance expiry missing. ","")&amp;IF(AND(BG53&lt;&gt;"",BG53&lt;TODAY()),"Acceptance expired. ","")&amp;IF(AND(W53&lt;&gt;"",W53&lt;&gt;"Accept",AV53=""),"Target rating not set. ","")&amp;IF(AND(BE53="Closed",AX53="No"),"Closed while outside appetite. ","")&amp;IF(AND(W53="Transfer",BE53&lt;&gt;"Transferred",BE53&lt;&gt;"Closed"),"Transfer: record the contract, SLA and audit rights. ","")&amp;IF(AZ53="","Risk owner missing. ","")&amp;IF(K53="","Scenario not written. ",""))))</f>
        <v/>
      </c>
      <c r="BM53" s="82"/>
    </row>
    <row r="54" customFormat="false" ht="15" hidden="false" customHeight="false" outlineLevel="0" collapsed="false">
      <c r="A54" s="95"/>
      <c r="B54" s="94"/>
      <c r="C54" s="80"/>
      <c r="D54" s="81" t="str">
        <f aca="false">IF(C54="","",IFERROR(INDEX(Lists!$O$2:$O$13,MATCH(C54,Lists!$N$2:$N$13,0)),"Check domain code"))</f>
        <v/>
      </c>
      <c r="E54" s="81" t="str">
        <f aca="false">IF(C54="","",IFERROR(INDEX(Lists!$P$2:$P$13,MATCH(C54,Lists!$N$2:$N$13,0)),""))</f>
        <v/>
      </c>
      <c r="F54" s="80"/>
      <c r="G54" s="82"/>
      <c r="H54" s="82"/>
      <c r="I54" s="82"/>
      <c r="J54" s="94"/>
      <c r="K54" s="82"/>
      <c r="L54" s="82"/>
      <c r="M54" s="95"/>
      <c r="N54" s="85"/>
      <c r="O54" s="82"/>
      <c r="P54" s="86"/>
      <c r="Q54" s="86"/>
      <c r="R54" s="86"/>
      <c r="S54" s="21" t="str">
        <f aca="false">IF(OR(Q54="",R54=""),"",Q54*R54)</f>
        <v/>
      </c>
      <c r="T54" s="85" t="str">
        <f aca="false">IF(S54="","",INDEX(Settings!$A$20:$A$23,MATCH(S54,Settings!$B$20:$B$23,1)))</f>
        <v/>
      </c>
      <c r="U54" s="82"/>
      <c r="V54" s="87"/>
      <c r="W54" s="86"/>
      <c r="X54" s="82"/>
      <c r="Y54" s="96"/>
      <c r="Z54" s="96"/>
      <c r="AA54" s="96"/>
      <c r="AB54" s="96"/>
      <c r="AC54" s="96"/>
      <c r="AD54" s="96"/>
      <c r="AE54" s="96"/>
      <c r="AF54" s="96"/>
      <c r="AG54" s="96"/>
      <c r="AH54" s="96"/>
      <c r="AI54" s="96"/>
      <c r="AJ54" s="97"/>
      <c r="AK54" s="96"/>
      <c r="AL54" s="96"/>
      <c r="AM54" s="96"/>
      <c r="AN54" s="96"/>
      <c r="AO54" s="96"/>
      <c r="AP54" s="96"/>
      <c r="AQ54" s="97"/>
      <c r="AR54" s="97"/>
      <c r="AS54" s="86"/>
      <c r="AT54" s="86"/>
      <c r="AU54" s="85" t="str">
        <f aca="false">IF(OR(AS54="",AT54=""),"",AS54*AT54)</f>
        <v/>
      </c>
      <c r="AV54" s="21" t="str">
        <f aca="false">IF(AU54="","",INDEX(Settings!$A$20:$A$23,MATCH(AU54,Settings!$B$20:$B$23,1)))</f>
        <v/>
      </c>
      <c r="AW54" s="85" t="str">
        <f aca="false">IF(AV54&lt;&gt;"",AV54,T54)</f>
        <v/>
      </c>
      <c r="AX54" s="85" t="str">
        <f aca="false">IF(AW54="","",IF(MATCH(AW54,Settings!$A$20:$A$23,0)&lt;=MATCH(Settings!$C$28,Settings!$A$20:$A$23,0),"Yes","No"))</f>
        <v/>
      </c>
      <c r="AY54" s="81" t="str">
        <f aca="false">IF(AW54="","",IF(AX54="Yes",INDEX(Settings!$G$20:$G$23,MATCH(AW54,Settings!$A$20:$A$23,0)),INDEX(Settings!$G$20:$G$23,MATCH(AW54,Settings!$A$20:$A$23,0))&amp;" (outside appetite)"))</f>
        <v/>
      </c>
      <c r="AZ54" s="82"/>
      <c r="BA54" s="82"/>
      <c r="BB54" s="90"/>
      <c r="BC54" s="91" t="str">
        <f aca="false">IF(OR(BB54="",T54=""),"",BB54+INDEX(Settings!$E$20:$E$23,MATCH(T54,Settings!$A$20:$A$23,0)))</f>
        <v/>
      </c>
      <c r="BD54" s="90"/>
      <c r="BE54" s="82"/>
      <c r="BF54" s="81" t="str">
        <f aca="true">IF(A54="","",IF(OR(BE54="Closed",BE54="Accepted"),"No action",IF(BB54="","Set date identified",IF(TODAY()&gt;BC54,"Deadline exceeded",IF(BC54-TODAY()&lt;=Settings!$C$30,"Deadline approaching","On track")))))</f>
        <v/>
      </c>
      <c r="BG54" s="90"/>
      <c r="BH54" s="90"/>
      <c r="BI54" s="91" t="str">
        <f aca="false">IF(OR(BH54="",AW54=""),"",EDATE(BH54,INDEX(Settings!$F$20:$F$23,MATCH(AW54,Settings!$A$20:$A$23,0))))</f>
        <v/>
      </c>
      <c r="BJ54" s="85" t="str">
        <f aca="false">IF(T54="","",IF(MAX(IF(T54="",0,MATCH(T54,Settings!$A$20:$A$23,0)),IF(AV54="",0,MATCH(AV54,Settings!$A$20:$A$23,0)))&gt;=MATCH(Settings!$C$29,Settings!$A$20:$A$23,0),"Yes","No"))</f>
        <v/>
      </c>
      <c r="BK54" s="82"/>
      <c r="BL54" s="81" t="str">
        <f aca="true">IF(A54="","",IF(TRIM(IF(W54="","Treatment not chosen. ","")&amp;IF(AND(W54="Accept",AX54="No"),"Accepted outside appetite: record approval by "&amp;INDEX(Settings!$G$20:$G$23,MATCH(AW54,Settings!$A$20:$A$23,0))&amp;". ","")&amp;IF(AND(W54="Accept",BG54=""),"Acceptance expiry missing. ","")&amp;IF(AND(BG54&lt;&gt;"",BG54&lt;TODAY()),"Acceptance expired. ","")&amp;IF(AND(W54&lt;&gt;"",W54&lt;&gt;"Accept",AV54=""),"Target rating not set. ","")&amp;IF(AND(BE54="Closed",AX54="No"),"Closed while outside appetite. ","")&amp;IF(AND(W54="Transfer",BE54&lt;&gt;"Transferred",BE54&lt;&gt;"Closed"),"Transfer: record the contract, SLA and audit rights. ","")&amp;IF(AZ54="","Risk owner missing. ","")&amp;IF(K54="","Scenario not written. ",""))="","OK",TRIM(IF(W54="","Treatment not chosen. ","")&amp;IF(AND(W54="Accept",AX54="No"),"Accepted outside appetite: record approval by "&amp;INDEX(Settings!$G$20:$G$23,MATCH(AW54,Settings!$A$20:$A$23,0))&amp;". ","")&amp;IF(AND(W54="Accept",BG54=""),"Acceptance expiry missing. ","")&amp;IF(AND(BG54&lt;&gt;"",BG54&lt;TODAY()),"Acceptance expired. ","")&amp;IF(AND(W54&lt;&gt;"",W54&lt;&gt;"Accept",AV54=""),"Target rating not set. ","")&amp;IF(AND(BE54="Closed",AX54="No"),"Closed while outside appetite. ","")&amp;IF(AND(W54="Transfer",BE54&lt;&gt;"Transferred",BE54&lt;&gt;"Closed"),"Transfer: record the contract, SLA and audit rights. ","")&amp;IF(AZ54="","Risk owner missing. ","")&amp;IF(K54="","Scenario not written. ",""))))</f>
        <v/>
      </c>
      <c r="BM54" s="82"/>
    </row>
    <row r="55" customFormat="false" ht="15" hidden="false" customHeight="false" outlineLevel="0" collapsed="false">
      <c r="A55" s="84"/>
      <c r="B55" s="83"/>
      <c r="C55" s="80"/>
      <c r="D55" s="81" t="str">
        <f aca="false">IF(C55="","",IFERROR(INDEX(Lists!$O$2:$O$13,MATCH(C55,Lists!$N$2:$N$13,0)),"Check domain code"))</f>
        <v/>
      </c>
      <c r="E55" s="81" t="str">
        <f aca="false">IF(C55="","",IFERROR(INDEX(Lists!$P$2:$P$13,MATCH(C55,Lists!$N$2:$N$13,0)),""))</f>
        <v/>
      </c>
      <c r="F55" s="80"/>
      <c r="G55" s="82"/>
      <c r="H55" s="82"/>
      <c r="I55" s="82"/>
      <c r="J55" s="83"/>
      <c r="K55" s="82"/>
      <c r="L55" s="82"/>
      <c r="M55" s="84"/>
      <c r="N55" s="85"/>
      <c r="O55" s="82"/>
      <c r="P55" s="86"/>
      <c r="Q55" s="86"/>
      <c r="R55" s="86"/>
      <c r="S55" s="21" t="str">
        <f aca="false">IF(OR(Q55="",R55=""),"",Q55*R55)</f>
        <v/>
      </c>
      <c r="T55" s="85" t="str">
        <f aca="false">IF(S55="","",INDEX(Settings!$A$20:$A$23,MATCH(S55,Settings!$B$20:$B$23,1)))</f>
        <v/>
      </c>
      <c r="U55" s="82"/>
      <c r="V55" s="87"/>
      <c r="W55" s="86"/>
      <c r="X55" s="82"/>
      <c r="Y55" s="88"/>
      <c r="Z55" s="88"/>
      <c r="AA55" s="88"/>
      <c r="AB55" s="88"/>
      <c r="AC55" s="88"/>
      <c r="AD55" s="88"/>
      <c r="AE55" s="88"/>
      <c r="AF55" s="88"/>
      <c r="AG55" s="88"/>
      <c r="AH55" s="88"/>
      <c r="AI55" s="88"/>
      <c r="AJ55" s="89"/>
      <c r="AK55" s="88"/>
      <c r="AL55" s="88"/>
      <c r="AM55" s="88"/>
      <c r="AN55" s="88"/>
      <c r="AO55" s="88"/>
      <c r="AP55" s="88"/>
      <c r="AQ55" s="89"/>
      <c r="AR55" s="89"/>
      <c r="AS55" s="86"/>
      <c r="AT55" s="86"/>
      <c r="AU55" s="85" t="str">
        <f aca="false">IF(OR(AS55="",AT55=""),"",AS55*AT55)</f>
        <v/>
      </c>
      <c r="AV55" s="21" t="str">
        <f aca="false">IF(AU55="","",INDEX(Settings!$A$20:$A$23,MATCH(AU55,Settings!$B$20:$B$23,1)))</f>
        <v/>
      </c>
      <c r="AW55" s="85" t="str">
        <f aca="false">IF(AV55&lt;&gt;"",AV55,T55)</f>
        <v/>
      </c>
      <c r="AX55" s="85" t="str">
        <f aca="false">IF(AW55="","",IF(MATCH(AW55,Settings!$A$20:$A$23,0)&lt;=MATCH(Settings!$C$28,Settings!$A$20:$A$23,0),"Yes","No"))</f>
        <v/>
      </c>
      <c r="AY55" s="81" t="str">
        <f aca="false">IF(AW55="","",IF(AX55="Yes",INDEX(Settings!$G$20:$G$23,MATCH(AW55,Settings!$A$20:$A$23,0)),INDEX(Settings!$G$20:$G$23,MATCH(AW55,Settings!$A$20:$A$23,0))&amp;" (outside appetite)"))</f>
        <v/>
      </c>
      <c r="AZ55" s="82"/>
      <c r="BA55" s="82"/>
      <c r="BB55" s="90"/>
      <c r="BC55" s="91" t="str">
        <f aca="false">IF(OR(BB55="",T55=""),"",BB55+INDEX(Settings!$E$20:$E$23,MATCH(T55,Settings!$A$20:$A$23,0)))</f>
        <v/>
      </c>
      <c r="BD55" s="90"/>
      <c r="BE55" s="82"/>
      <c r="BF55" s="81" t="str">
        <f aca="true">IF(A55="","",IF(OR(BE55="Closed",BE55="Accepted"),"No action",IF(BB55="","Set date identified",IF(TODAY()&gt;BC55,"Deadline exceeded",IF(BC55-TODAY()&lt;=Settings!$C$30,"Deadline approaching","On track")))))</f>
        <v/>
      </c>
      <c r="BG55" s="90"/>
      <c r="BH55" s="90"/>
      <c r="BI55" s="91" t="str">
        <f aca="false">IF(OR(BH55="",AW55=""),"",EDATE(BH55,INDEX(Settings!$F$20:$F$23,MATCH(AW55,Settings!$A$20:$A$23,0))))</f>
        <v/>
      </c>
      <c r="BJ55" s="85" t="str">
        <f aca="false">IF(T55="","",IF(MAX(IF(T55="",0,MATCH(T55,Settings!$A$20:$A$23,0)),IF(AV55="",0,MATCH(AV55,Settings!$A$20:$A$23,0)))&gt;=MATCH(Settings!$C$29,Settings!$A$20:$A$23,0),"Yes","No"))</f>
        <v/>
      </c>
      <c r="BK55" s="82"/>
      <c r="BL55" s="81" t="str">
        <f aca="true">IF(A55="","",IF(TRIM(IF(W55="","Treatment not chosen. ","")&amp;IF(AND(W55="Accept",AX55="No"),"Accepted outside appetite: record approval by "&amp;INDEX(Settings!$G$20:$G$23,MATCH(AW55,Settings!$A$20:$A$23,0))&amp;". ","")&amp;IF(AND(W55="Accept",BG55=""),"Acceptance expiry missing. ","")&amp;IF(AND(BG55&lt;&gt;"",BG55&lt;TODAY()),"Acceptance expired. ","")&amp;IF(AND(W55&lt;&gt;"",W55&lt;&gt;"Accept",AV55=""),"Target rating not set. ","")&amp;IF(AND(BE55="Closed",AX55="No"),"Closed while outside appetite. ","")&amp;IF(AND(W55="Transfer",BE55&lt;&gt;"Transferred",BE55&lt;&gt;"Closed"),"Transfer: record the contract, SLA and audit rights. ","")&amp;IF(AZ55="","Risk owner missing. ","")&amp;IF(K55="","Scenario not written. ",""))="","OK",TRIM(IF(W55="","Treatment not chosen. ","")&amp;IF(AND(W55="Accept",AX55="No"),"Accepted outside appetite: record approval by "&amp;INDEX(Settings!$G$20:$G$23,MATCH(AW55,Settings!$A$20:$A$23,0))&amp;". ","")&amp;IF(AND(W55="Accept",BG55=""),"Acceptance expiry missing. ","")&amp;IF(AND(BG55&lt;&gt;"",BG55&lt;TODAY()),"Acceptance expired. ","")&amp;IF(AND(W55&lt;&gt;"",W55&lt;&gt;"Accept",AV55=""),"Target rating not set. ","")&amp;IF(AND(BE55="Closed",AX55="No"),"Closed while outside appetite. ","")&amp;IF(AND(W55="Transfer",BE55&lt;&gt;"Transferred",BE55&lt;&gt;"Closed"),"Transfer: record the contract, SLA and audit rights. ","")&amp;IF(AZ55="","Risk owner missing. ","")&amp;IF(K55="","Scenario not written. ",""))))</f>
        <v/>
      </c>
      <c r="BM55" s="82"/>
    </row>
    <row r="56" customFormat="false" ht="15" hidden="false" customHeight="false" outlineLevel="0" collapsed="false">
      <c r="A56" s="95"/>
      <c r="B56" s="94"/>
      <c r="C56" s="80"/>
      <c r="D56" s="81" t="str">
        <f aca="false">IF(C56="","",IFERROR(INDEX(Lists!$O$2:$O$13,MATCH(C56,Lists!$N$2:$N$13,0)),"Check domain code"))</f>
        <v/>
      </c>
      <c r="E56" s="81" t="str">
        <f aca="false">IF(C56="","",IFERROR(INDEX(Lists!$P$2:$P$13,MATCH(C56,Lists!$N$2:$N$13,0)),""))</f>
        <v/>
      </c>
      <c r="F56" s="80"/>
      <c r="G56" s="82"/>
      <c r="H56" s="82"/>
      <c r="I56" s="82"/>
      <c r="J56" s="94"/>
      <c r="K56" s="82"/>
      <c r="L56" s="82"/>
      <c r="M56" s="95"/>
      <c r="N56" s="85"/>
      <c r="O56" s="82"/>
      <c r="P56" s="86"/>
      <c r="Q56" s="86"/>
      <c r="R56" s="86"/>
      <c r="S56" s="21" t="str">
        <f aca="false">IF(OR(Q56="",R56=""),"",Q56*R56)</f>
        <v/>
      </c>
      <c r="T56" s="85" t="str">
        <f aca="false">IF(S56="","",INDEX(Settings!$A$20:$A$23,MATCH(S56,Settings!$B$20:$B$23,1)))</f>
        <v/>
      </c>
      <c r="U56" s="82"/>
      <c r="V56" s="87"/>
      <c r="W56" s="86"/>
      <c r="X56" s="82"/>
      <c r="Y56" s="96"/>
      <c r="Z56" s="96"/>
      <c r="AA56" s="96"/>
      <c r="AB56" s="96"/>
      <c r="AC56" s="96"/>
      <c r="AD56" s="96"/>
      <c r="AE56" s="96"/>
      <c r="AF56" s="96"/>
      <c r="AG56" s="96"/>
      <c r="AH56" s="96"/>
      <c r="AI56" s="96"/>
      <c r="AJ56" s="97"/>
      <c r="AK56" s="96"/>
      <c r="AL56" s="96"/>
      <c r="AM56" s="96"/>
      <c r="AN56" s="96"/>
      <c r="AO56" s="96"/>
      <c r="AP56" s="96"/>
      <c r="AQ56" s="97"/>
      <c r="AR56" s="97"/>
      <c r="AS56" s="86"/>
      <c r="AT56" s="86"/>
      <c r="AU56" s="85" t="str">
        <f aca="false">IF(OR(AS56="",AT56=""),"",AS56*AT56)</f>
        <v/>
      </c>
      <c r="AV56" s="21" t="str">
        <f aca="false">IF(AU56="","",INDEX(Settings!$A$20:$A$23,MATCH(AU56,Settings!$B$20:$B$23,1)))</f>
        <v/>
      </c>
      <c r="AW56" s="85" t="str">
        <f aca="false">IF(AV56&lt;&gt;"",AV56,T56)</f>
        <v/>
      </c>
      <c r="AX56" s="85" t="str">
        <f aca="false">IF(AW56="","",IF(MATCH(AW56,Settings!$A$20:$A$23,0)&lt;=MATCH(Settings!$C$28,Settings!$A$20:$A$23,0),"Yes","No"))</f>
        <v/>
      </c>
      <c r="AY56" s="81" t="str">
        <f aca="false">IF(AW56="","",IF(AX56="Yes",INDEX(Settings!$G$20:$G$23,MATCH(AW56,Settings!$A$20:$A$23,0)),INDEX(Settings!$G$20:$G$23,MATCH(AW56,Settings!$A$20:$A$23,0))&amp;" (outside appetite)"))</f>
        <v/>
      </c>
      <c r="AZ56" s="82"/>
      <c r="BA56" s="82"/>
      <c r="BB56" s="90"/>
      <c r="BC56" s="91" t="str">
        <f aca="false">IF(OR(BB56="",T56=""),"",BB56+INDEX(Settings!$E$20:$E$23,MATCH(T56,Settings!$A$20:$A$23,0)))</f>
        <v/>
      </c>
      <c r="BD56" s="90"/>
      <c r="BE56" s="82"/>
      <c r="BF56" s="81" t="str">
        <f aca="true">IF(A56="","",IF(OR(BE56="Closed",BE56="Accepted"),"No action",IF(BB56="","Set date identified",IF(TODAY()&gt;BC56,"Deadline exceeded",IF(BC56-TODAY()&lt;=Settings!$C$30,"Deadline approaching","On track")))))</f>
        <v/>
      </c>
      <c r="BG56" s="90"/>
      <c r="BH56" s="90"/>
      <c r="BI56" s="91" t="str">
        <f aca="false">IF(OR(BH56="",AW56=""),"",EDATE(BH56,INDEX(Settings!$F$20:$F$23,MATCH(AW56,Settings!$A$20:$A$23,0))))</f>
        <v/>
      </c>
      <c r="BJ56" s="85" t="str">
        <f aca="false">IF(T56="","",IF(MAX(IF(T56="",0,MATCH(T56,Settings!$A$20:$A$23,0)),IF(AV56="",0,MATCH(AV56,Settings!$A$20:$A$23,0)))&gt;=MATCH(Settings!$C$29,Settings!$A$20:$A$23,0),"Yes","No"))</f>
        <v/>
      </c>
      <c r="BK56" s="82"/>
      <c r="BL56" s="81" t="str">
        <f aca="true">IF(A56="","",IF(TRIM(IF(W56="","Treatment not chosen. ","")&amp;IF(AND(W56="Accept",AX56="No"),"Accepted outside appetite: record approval by "&amp;INDEX(Settings!$G$20:$G$23,MATCH(AW56,Settings!$A$20:$A$23,0))&amp;". ","")&amp;IF(AND(W56="Accept",BG56=""),"Acceptance expiry missing. ","")&amp;IF(AND(BG56&lt;&gt;"",BG56&lt;TODAY()),"Acceptance expired. ","")&amp;IF(AND(W56&lt;&gt;"",W56&lt;&gt;"Accept",AV56=""),"Target rating not set. ","")&amp;IF(AND(BE56="Closed",AX56="No"),"Closed while outside appetite. ","")&amp;IF(AND(W56="Transfer",BE56&lt;&gt;"Transferred",BE56&lt;&gt;"Closed"),"Transfer: record the contract, SLA and audit rights. ","")&amp;IF(AZ56="","Risk owner missing. ","")&amp;IF(K56="","Scenario not written. ",""))="","OK",TRIM(IF(W56="","Treatment not chosen. ","")&amp;IF(AND(W56="Accept",AX56="No"),"Accepted outside appetite: record approval by "&amp;INDEX(Settings!$G$20:$G$23,MATCH(AW56,Settings!$A$20:$A$23,0))&amp;". ","")&amp;IF(AND(W56="Accept",BG56=""),"Acceptance expiry missing. ","")&amp;IF(AND(BG56&lt;&gt;"",BG56&lt;TODAY()),"Acceptance expired. ","")&amp;IF(AND(W56&lt;&gt;"",W56&lt;&gt;"Accept",AV56=""),"Target rating not set. ","")&amp;IF(AND(BE56="Closed",AX56="No"),"Closed while outside appetite. ","")&amp;IF(AND(W56="Transfer",BE56&lt;&gt;"Transferred",BE56&lt;&gt;"Closed"),"Transfer: record the contract, SLA and audit rights. ","")&amp;IF(AZ56="","Risk owner missing. ","")&amp;IF(K56="","Scenario not written. ",""))))</f>
        <v/>
      </c>
      <c r="BM56" s="82"/>
    </row>
    <row r="57" customFormat="false" ht="15" hidden="false" customHeight="false" outlineLevel="0" collapsed="false">
      <c r="A57" s="84"/>
      <c r="B57" s="83"/>
      <c r="C57" s="80"/>
      <c r="D57" s="81" t="str">
        <f aca="false">IF(C57="","",IFERROR(INDEX(Lists!$O$2:$O$13,MATCH(C57,Lists!$N$2:$N$13,0)),"Check domain code"))</f>
        <v/>
      </c>
      <c r="E57" s="81" t="str">
        <f aca="false">IF(C57="","",IFERROR(INDEX(Lists!$P$2:$P$13,MATCH(C57,Lists!$N$2:$N$13,0)),""))</f>
        <v/>
      </c>
      <c r="F57" s="80"/>
      <c r="G57" s="82"/>
      <c r="H57" s="82"/>
      <c r="I57" s="82"/>
      <c r="J57" s="83"/>
      <c r="K57" s="82"/>
      <c r="L57" s="82"/>
      <c r="M57" s="84"/>
      <c r="N57" s="85"/>
      <c r="O57" s="82"/>
      <c r="P57" s="86"/>
      <c r="Q57" s="86"/>
      <c r="R57" s="86"/>
      <c r="S57" s="21" t="str">
        <f aca="false">IF(OR(Q57="",R57=""),"",Q57*R57)</f>
        <v/>
      </c>
      <c r="T57" s="85" t="str">
        <f aca="false">IF(S57="","",INDEX(Settings!$A$20:$A$23,MATCH(S57,Settings!$B$20:$B$23,1)))</f>
        <v/>
      </c>
      <c r="U57" s="82"/>
      <c r="V57" s="87"/>
      <c r="W57" s="86"/>
      <c r="X57" s="82"/>
      <c r="Y57" s="88"/>
      <c r="Z57" s="88"/>
      <c r="AA57" s="88"/>
      <c r="AB57" s="88"/>
      <c r="AC57" s="88"/>
      <c r="AD57" s="88"/>
      <c r="AE57" s="88"/>
      <c r="AF57" s="88"/>
      <c r="AG57" s="88"/>
      <c r="AH57" s="88"/>
      <c r="AI57" s="88"/>
      <c r="AJ57" s="89"/>
      <c r="AK57" s="88"/>
      <c r="AL57" s="88"/>
      <c r="AM57" s="88"/>
      <c r="AN57" s="88"/>
      <c r="AO57" s="88"/>
      <c r="AP57" s="88"/>
      <c r="AQ57" s="89"/>
      <c r="AR57" s="89"/>
      <c r="AS57" s="86"/>
      <c r="AT57" s="86"/>
      <c r="AU57" s="85" t="str">
        <f aca="false">IF(OR(AS57="",AT57=""),"",AS57*AT57)</f>
        <v/>
      </c>
      <c r="AV57" s="21" t="str">
        <f aca="false">IF(AU57="","",INDEX(Settings!$A$20:$A$23,MATCH(AU57,Settings!$B$20:$B$23,1)))</f>
        <v/>
      </c>
      <c r="AW57" s="85" t="str">
        <f aca="false">IF(AV57&lt;&gt;"",AV57,T57)</f>
        <v/>
      </c>
      <c r="AX57" s="85" t="str">
        <f aca="false">IF(AW57="","",IF(MATCH(AW57,Settings!$A$20:$A$23,0)&lt;=MATCH(Settings!$C$28,Settings!$A$20:$A$23,0),"Yes","No"))</f>
        <v/>
      </c>
      <c r="AY57" s="81" t="str">
        <f aca="false">IF(AW57="","",IF(AX57="Yes",INDEX(Settings!$G$20:$G$23,MATCH(AW57,Settings!$A$20:$A$23,0)),INDEX(Settings!$G$20:$G$23,MATCH(AW57,Settings!$A$20:$A$23,0))&amp;" (outside appetite)"))</f>
        <v/>
      </c>
      <c r="AZ57" s="82"/>
      <c r="BA57" s="82"/>
      <c r="BB57" s="90"/>
      <c r="BC57" s="91" t="str">
        <f aca="false">IF(OR(BB57="",T57=""),"",BB57+INDEX(Settings!$E$20:$E$23,MATCH(T57,Settings!$A$20:$A$23,0)))</f>
        <v/>
      </c>
      <c r="BD57" s="90"/>
      <c r="BE57" s="82"/>
      <c r="BF57" s="81" t="str">
        <f aca="true">IF(A57="","",IF(OR(BE57="Closed",BE57="Accepted"),"No action",IF(BB57="","Set date identified",IF(TODAY()&gt;BC57,"Deadline exceeded",IF(BC57-TODAY()&lt;=Settings!$C$30,"Deadline approaching","On track")))))</f>
        <v/>
      </c>
      <c r="BG57" s="90"/>
      <c r="BH57" s="90"/>
      <c r="BI57" s="91" t="str">
        <f aca="false">IF(OR(BH57="",AW57=""),"",EDATE(BH57,INDEX(Settings!$F$20:$F$23,MATCH(AW57,Settings!$A$20:$A$23,0))))</f>
        <v/>
      </c>
      <c r="BJ57" s="85" t="str">
        <f aca="false">IF(T57="","",IF(MAX(IF(T57="",0,MATCH(T57,Settings!$A$20:$A$23,0)),IF(AV57="",0,MATCH(AV57,Settings!$A$20:$A$23,0)))&gt;=MATCH(Settings!$C$29,Settings!$A$20:$A$23,0),"Yes","No"))</f>
        <v/>
      </c>
      <c r="BK57" s="82"/>
      <c r="BL57" s="81" t="str">
        <f aca="true">IF(A57="","",IF(TRIM(IF(W57="","Treatment not chosen. ","")&amp;IF(AND(W57="Accept",AX57="No"),"Accepted outside appetite: record approval by "&amp;INDEX(Settings!$G$20:$G$23,MATCH(AW57,Settings!$A$20:$A$23,0))&amp;". ","")&amp;IF(AND(W57="Accept",BG57=""),"Acceptance expiry missing. ","")&amp;IF(AND(BG57&lt;&gt;"",BG57&lt;TODAY()),"Acceptance expired. ","")&amp;IF(AND(W57&lt;&gt;"",W57&lt;&gt;"Accept",AV57=""),"Target rating not set. ","")&amp;IF(AND(BE57="Closed",AX57="No"),"Closed while outside appetite. ","")&amp;IF(AND(W57="Transfer",BE57&lt;&gt;"Transferred",BE57&lt;&gt;"Closed"),"Transfer: record the contract, SLA and audit rights. ","")&amp;IF(AZ57="","Risk owner missing. ","")&amp;IF(K57="","Scenario not written. ",""))="","OK",TRIM(IF(W57="","Treatment not chosen. ","")&amp;IF(AND(W57="Accept",AX57="No"),"Accepted outside appetite: record approval by "&amp;INDEX(Settings!$G$20:$G$23,MATCH(AW57,Settings!$A$20:$A$23,0))&amp;". ","")&amp;IF(AND(W57="Accept",BG57=""),"Acceptance expiry missing. ","")&amp;IF(AND(BG57&lt;&gt;"",BG57&lt;TODAY()),"Acceptance expired. ","")&amp;IF(AND(W57&lt;&gt;"",W57&lt;&gt;"Accept",AV57=""),"Target rating not set. ","")&amp;IF(AND(BE57="Closed",AX57="No"),"Closed while outside appetite. ","")&amp;IF(AND(W57="Transfer",BE57&lt;&gt;"Transferred",BE57&lt;&gt;"Closed"),"Transfer: record the contract, SLA and audit rights. ","")&amp;IF(AZ57="","Risk owner missing. ","")&amp;IF(K57="","Scenario not written. ",""))))</f>
        <v/>
      </c>
      <c r="BM57" s="82"/>
    </row>
    <row r="58" customFormat="false" ht="15" hidden="false" customHeight="false" outlineLevel="0" collapsed="false">
      <c r="A58" s="95"/>
      <c r="B58" s="94"/>
      <c r="C58" s="80"/>
      <c r="D58" s="81" t="str">
        <f aca="false">IF(C58="","",IFERROR(INDEX(Lists!$O$2:$O$13,MATCH(C58,Lists!$N$2:$N$13,0)),"Check domain code"))</f>
        <v/>
      </c>
      <c r="E58" s="81" t="str">
        <f aca="false">IF(C58="","",IFERROR(INDEX(Lists!$P$2:$P$13,MATCH(C58,Lists!$N$2:$N$13,0)),""))</f>
        <v/>
      </c>
      <c r="F58" s="80"/>
      <c r="G58" s="82"/>
      <c r="H58" s="82"/>
      <c r="I58" s="82"/>
      <c r="J58" s="94"/>
      <c r="K58" s="82"/>
      <c r="L58" s="82"/>
      <c r="M58" s="95"/>
      <c r="N58" s="85"/>
      <c r="O58" s="82"/>
      <c r="P58" s="86"/>
      <c r="Q58" s="86"/>
      <c r="R58" s="86"/>
      <c r="S58" s="21" t="str">
        <f aca="false">IF(OR(Q58="",R58=""),"",Q58*R58)</f>
        <v/>
      </c>
      <c r="T58" s="85" t="str">
        <f aca="false">IF(S58="","",INDEX(Settings!$A$20:$A$23,MATCH(S58,Settings!$B$20:$B$23,1)))</f>
        <v/>
      </c>
      <c r="U58" s="82"/>
      <c r="V58" s="87"/>
      <c r="W58" s="86"/>
      <c r="X58" s="82"/>
      <c r="Y58" s="96"/>
      <c r="Z58" s="96"/>
      <c r="AA58" s="96"/>
      <c r="AB58" s="96"/>
      <c r="AC58" s="96"/>
      <c r="AD58" s="96"/>
      <c r="AE58" s="96"/>
      <c r="AF58" s="96"/>
      <c r="AG58" s="96"/>
      <c r="AH58" s="96"/>
      <c r="AI58" s="96"/>
      <c r="AJ58" s="97"/>
      <c r="AK58" s="96"/>
      <c r="AL58" s="96"/>
      <c r="AM58" s="96"/>
      <c r="AN58" s="96"/>
      <c r="AO58" s="96"/>
      <c r="AP58" s="96"/>
      <c r="AQ58" s="97"/>
      <c r="AR58" s="97"/>
      <c r="AS58" s="86"/>
      <c r="AT58" s="86"/>
      <c r="AU58" s="85" t="str">
        <f aca="false">IF(OR(AS58="",AT58=""),"",AS58*AT58)</f>
        <v/>
      </c>
      <c r="AV58" s="21" t="str">
        <f aca="false">IF(AU58="","",INDEX(Settings!$A$20:$A$23,MATCH(AU58,Settings!$B$20:$B$23,1)))</f>
        <v/>
      </c>
      <c r="AW58" s="85" t="str">
        <f aca="false">IF(AV58&lt;&gt;"",AV58,T58)</f>
        <v/>
      </c>
      <c r="AX58" s="85" t="str">
        <f aca="false">IF(AW58="","",IF(MATCH(AW58,Settings!$A$20:$A$23,0)&lt;=MATCH(Settings!$C$28,Settings!$A$20:$A$23,0),"Yes","No"))</f>
        <v/>
      </c>
      <c r="AY58" s="81" t="str">
        <f aca="false">IF(AW58="","",IF(AX58="Yes",INDEX(Settings!$G$20:$G$23,MATCH(AW58,Settings!$A$20:$A$23,0)),INDEX(Settings!$G$20:$G$23,MATCH(AW58,Settings!$A$20:$A$23,0))&amp;" (outside appetite)"))</f>
        <v/>
      </c>
      <c r="AZ58" s="82"/>
      <c r="BA58" s="82"/>
      <c r="BB58" s="90"/>
      <c r="BC58" s="91" t="str">
        <f aca="false">IF(OR(BB58="",T58=""),"",BB58+INDEX(Settings!$E$20:$E$23,MATCH(T58,Settings!$A$20:$A$23,0)))</f>
        <v/>
      </c>
      <c r="BD58" s="90"/>
      <c r="BE58" s="82"/>
      <c r="BF58" s="81" t="str">
        <f aca="true">IF(A58="","",IF(OR(BE58="Closed",BE58="Accepted"),"No action",IF(BB58="","Set date identified",IF(TODAY()&gt;BC58,"Deadline exceeded",IF(BC58-TODAY()&lt;=Settings!$C$30,"Deadline approaching","On track")))))</f>
        <v/>
      </c>
      <c r="BG58" s="90"/>
      <c r="BH58" s="90"/>
      <c r="BI58" s="91" t="str">
        <f aca="false">IF(OR(BH58="",AW58=""),"",EDATE(BH58,INDEX(Settings!$F$20:$F$23,MATCH(AW58,Settings!$A$20:$A$23,0))))</f>
        <v/>
      </c>
      <c r="BJ58" s="85" t="str">
        <f aca="false">IF(T58="","",IF(MAX(IF(T58="",0,MATCH(T58,Settings!$A$20:$A$23,0)),IF(AV58="",0,MATCH(AV58,Settings!$A$20:$A$23,0)))&gt;=MATCH(Settings!$C$29,Settings!$A$20:$A$23,0),"Yes","No"))</f>
        <v/>
      </c>
      <c r="BK58" s="82"/>
      <c r="BL58" s="81" t="str">
        <f aca="true">IF(A58="","",IF(TRIM(IF(W58="","Treatment not chosen. ","")&amp;IF(AND(W58="Accept",AX58="No"),"Accepted outside appetite: record approval by "&amp;INDEX(Settings!$G$20:$G$23,MATCH(AW58,Settings!$A$20:$A$23,0))&amp;". ","")&amp;IF(AND(W58="Accept",BG58=""),"Acceptance expiry missing. ","")&amp;IF(AND(BG58&lt;&gt;"",BG58&lt;TODAY()),"Acceptance expired. ","")&amp;IF(AND(W58&lt;&gt;"",W58&lt;&gt;"Accept",AV58=""),"Target rating not set. ","")&amp;IF(AND(BE58="Closed",AX58="No"),"Closed while outside appetite. ","")&amp;IF(AND(W58="Transfer",BE58&lt;&gt;"Transferred",BE58&lt;&gt;"Closed"),"Transfer: record the contract, SLA and audit rights. ","")&amp;IF(AZ58="","Risk owner missing. ","")&amp;IF(K58="","Scenario not written. ",""))="","OK",TRIM(IF(W58="","Treatment not chosen. ","")&amp;IF(AND(W58="Accept",AX58="No"),"Accepted outside appetite: record approval by "&amp;INDEX(Settings!$G$20:$G$23,MATCH(AW58,Settings!$A$20:$A$23,0))&amp;". ","")&amp;IF(AND(W58="Accept",BG58=""),"Acceptance expiry missing. ","")&amp;IF(AND(BG58&lt;&gt;"",BG58&lt;TODAY()),"Acceptance expired. ","")&amp;IF(AND(W58&lt;&gt;"",W58&lt;&gt;"Accept",AV58=""),"Target rating not set. ","")&amp;IF(AND(BE58="Closed",AX58="No"),"Closed while outside appetite. ","")&amp;IF(AND(W58="Transfer",BE58&lt;&gt;"Transferred",BE58&lt;&gt;"Closed"),"Transfer: record the contract, SLA and audit rights. ","")&amp;IF(AZ58="","Risk owner missing. ","")&amp;IF(K58="","Scenario not written. ",""))))</f>
        <v/>
      </c>
      <c r="BM58" s="82"/>
    </row>
    <row r="59" customFormat="false" ht="15" hidden="false" customHeight="false" outlineLevel="0" collapsed="false">
      <c r="A59" s="84"/>
      <c r="B59" s="83"/>
      <c r="C59" s="80"/>
      <c r="D59" s="81" t="str">
        <f aca="false">IF(C59="","",IFERROR(INDEX(Lists!$O$2:$O$13,MATCH(C59,Lists!$N$2:$N$13,0)),"Check domain code"))</f>
        <v/>
      </c>
      <c r="E59" s="81" t="str">
        <f aca="false">IF(C59="","",IFERROR(INDEX(Lists!$P$2:$P$13,MATCH(C59,Lists!$N$2:$N$13,0)),""))</f>
        <v/>
      </c>
      <c r="F59" s="80"/>
      <c r="G59" s="82"/>
      <c r="H59" s="82"/>
      <c r="I59" s="82"/>
      <c r="J59" s="83"/>
      <c r="K59" s="82"/>
      <c r="L59" s="82"/>
      <c r="M59" s="84"/>
      <c r="N59" s="85"/>
      <c r="O59" s="82"/>
      <c r="P59" s="86"/>
      <c r="Q59" s="86"/>
      <c r="R59" s="86"/>
      <c r="S59" s="21" t="str">
        <f aca="false">IF(OR(Q59="",R59=""),"",Q59*R59)</f>
        <v/>
      </c>
      <c r="T59" s="85" t="str">
        <f aca="false">IF(S59="","",INDEX(Settings!$A$20:$A$23,MATCH(S59,Settings!$B$20:$B$23,1)))</f>
        <v/>
      </c>
      <c r="U59" s="82"/>
      <c r="V59" s="87"/>
      <c r="W59" s="86"/>
      <c r="X59" s="82"/>
      <c r="Y59" s="88"/>
      <c r="Z59" s="88"/>
      <c r="AA59" s="88"/>
      <c r="AB59" s="88"/>
      <c r="AC59" s="88"/>
      <c r="AD59" s="88"/>
      <c r="AE59" s="88"/>
      <c r="AF59" s="88"/>
      <c r="AG59" s="88"/>
      <c r="AH59" s="88"/>
      <c r="AI59" s="88"/>
      <c r="AJ59" s="89"/>
      <c r="AK59" s="88"/>
      <c r="AL59" s="88"/>
      <c r="AM59" s="88"/>
      <c r="AN59" s="88"/>
      <c r="AO59" s="88"/>
      <c r="AP59" s="88"/>
      <c r="AQ59" s="89"/>
      <c r="AR59" s="89"/>
      <c r="AS59" s="86"/>
      <c r="AT59" s="86"/>
      <c r="AU59" s="85" t="str">
        <f aca="false">IF(OR(AS59="",AT59=""),"",AS59*AT59)</f>
        <v/>
      </c>
      <c r="AV59" s="21" t="str">
        <f aca="false">IF(AU59="","",INDEX(Settings!$A$20:$A$23,MATCH(AU59,Settings!$B$20:$B$23,1)))</f>
        <v/>
      </c>
      <c r="AW59" s="85" t="str">
        <f aca="false">IF(AV59&lt;&gt;"",AV59,T59)</f>
        <v/>
      </c>
      <c r="AX59" s="85" t="str">
        <f aca="false">IF(AW59="","",IF(MATCH(AW59,Settings!$A$20:$A$23,0)&lt;=MATCH(Settings!$C$28,Settings!$A$20:$A$23,0),"Yes","No"))</f>
        <v/>
      </c>
      <c r="AY59" s="81" t="str">
        <f aca="false">IF(AW59="","",IF(AX59="Yes",INDEX(Settings!$G$20:$G$23,MATCH(AW59,Settings!$A$20:$A$23,0)),INDEX(Settings!$G$20:$G$23,MATCH(AW59,Settings!$A$20:$A$23,0))&amp;" (outside appetite)"))</f>
        <v/>
      </c>
      <c r="AZ59" s="82"/>
      <c r="BA59" s="82"/>
      <c r="BB59" s="90"/>
      <c r="BC59" s="91" t="str">
        <f aca="false">IF(OR(BB59="",T59=""),"",BB59+INDEX(Settings!$E$20:$E$23,MATCH(T59,Settings!$A$20:$A$23,0)))</f>
        <v/>
      </c>
      <c r="BD59" s="90"/>
      <c r="BE59" s="82"/>
      <c r="BF59" s="81" t="str">
        <f aca="true">IF(A59="","",IF(OR(BE59="Closed",BE59="Accepted"),"No action",IF(BB59="","Set date identified",IF(TODAY()&gt;BC59,"Deadline exceeded",IF(BC59-TODAY()&lt;=Settings!$C$30,"Deadline approaching","On track")))))</f>
        <v/>
      </c>
      <c r="BG59" s="90"/>
      <c r="BH59" s="90"/>
      <c r="BI59" s="91" t="str">
        <f aca="false">IF(OR(BH59="",AW59=""),"",EDATE(BH59,INDEX(Settings!$F$20:$F$23,MATCH(AW59,Settings!$A$20:$A$23,0))))</f>
        <v/>
      </c>
      <c r="BJ59" s="85" t="str">
        <f aca="false">IF(T59="","",IF(MAX(IF(T59="",0,MATCH(T59,Settings!$A$20:$A$23,0)),IF(AV59="",0,MATCH(AV59,Settings!$A$20:$A$23,0)))&gt;=MATCH(Settings!$C$29,Settings!$A$20:$A$23,0),"Yes","No"))</f>
        <v/>
      </c>
      <c r="BK59" s="82"/>
      <c r="BL59" s="81" t="str">
        <f aca="true">IF(A59="","",IF(TRIM(IF(W59="","Treatment not chosen. ","")&amp;IF(AND(W59="Accept",AX59="No"),"Accepted outside appetite: record approval by "&amp;INDEX(Settings!$G$20:$G$23,MATCH(AW59,Settings!$A$20:$A$23,0))&amp;". ","")&amp;IF(AND(W59="Accept",BG59=""),"Acceptance expiry missing. ","")&amp;IF(AND(BG59&lt;&gt;"",BG59&lt;TODAY()),"Acceptance expired. ","")&amp;IF(AND(W59&lt;&gt;"",W59&lt;&gt;"Accept",AV59=""),"Target rating not set. ","")&amp;IF(AND(BE59="Closed",AX59="No"),"Closed while outside appetite. ","")&amp;IF(AND(W59="Transfer",BE59&lt;&gt;"Transferred",BE59&lt;&gt;"Closed"),"Transfer: record the contract, SLA and audit rights. ","")&amp;IF(AZ59="","Risk owner missing. ","")&amp;IF(K59="","Scenario not written. ",""))="","OK",TRIM(IF(W59="","Treatment not chosen. ","")&amp;IF(AND(W59="Accept",AX59="No"),"Accepted outside appetite: record approval by "&amp;INDEX(Settings!$G$20:$G$23,MATCH(AW59,Settings!$A$20:$A$23,0))&amp;". ","")&amp;IF(AND(W59="Accept",BG59=""),"Acceptance expiry missing. ","")&amp;IF(AND(BG59&lt;&gt;"",BG59&lt;TODAY()),"Acceptance expired. ","")&amp;IF(AND(W59&lt;&gt;"",W59&lt;&gt;"Accept",AV59=""),"Target rating not set. ","")&amp;IF(AND(BE59="Closed",AX59="No"),"Closed while outside appetite. ","")&amp;IF(AND(W59="Transfer",BE59&lt;&gt;"Transferred",BE59&lt;&gt;"Closed"),"Transfer: record the contract, SLA and audit rights. ","")&amp;IF(AZ59="","Risk owner missing. ","")&amp;IF(K59="","Scenario not written. ",""))))</f>
        <v/>
      </c>
      <c r="BM59" s="82"/>
    </row>
    <row r="60" customFormat="false" ht="15" hidden="false" customHeight="false" outlineLevel="0" collapsed="false">
      <c r="A60" s="95"/>
      <c r="B60" s="94"/>
      <c r="C60" s="80"/>
      <c r="D60" s="81" t="str">
        <f aca="false">IF(C60="","",IFERROR(INDEX(Lists!$O$2:$O$13,MATCH(C60,Lists!$N$2:$N$13,0)),"Check domain code"))</f>
        <v/>
      </c>
      <c r="E60" s="81" t="str">
        <f aca="false">IF(C60="","",IFERROR(INDEX(Lists!$P$2:$P$13,MATCH(C60,Lists!$N$2:$N$13,0)),""))</f>
        <v/>
      </c>
      <c r="F60" s="80"/>
      <c r="G60" s="82"/>
      <c r="H60" s="82"/>
      <c r="I60" s="82"/>
      <c r="J60" s="94"/>
      <c r="K60" s="82"/>
      <c r="L60" s="82"/>
      <c r="M60" s="95"/>
      <c r="N60" s="85"/>
      <c r="O60" s="82"/>
      <c r="P60" s="86"/>
      <c r="Q60" s="86"/>
      <c r="R60" s="86"/>
      <c r="S60" s="21" t="str">
        <f aca="false">IF(OR(Q60="",R60=""),"",Q60*R60)</f>
        <v/>
      </c>
      <c r="T60" s="85" t="str">
        <f aca="false">IF(S60="","",INDEX(Settings!$A$20:$A$23,MATCH(S60,Settings!$B$20:$B$23,1)))</f>
        <v/>
      </c>
      <c r="U60" s="82"/>
      <c r="V60" s="87"/>
      <c r="W60" s="86"/>
      <c r="X60" s="82"/>
      <c r="Y60" s="96"/>
      <c r="Z60" s="96"/>
      <c r="AA60" s="96"/>
      <c r="AB60" s="96"/>
      <c r="AC60" s="96"/>
      <c r="AD60" s="96"/>
      <c r="AE60" s="96"/>
      <c r="AF60" s="96"/>
      <c r="AG60" s="96"/>
      <c r="AH60" s="96"/>
      <c r="AI60" s="96"/>
      <c r="AJ60" s="97"/>
      <c r="AK60" s="96"/>
      <c r="AL60" s="96"/>
      <c r="AM60" s="96"/>
      <c r="AN60" s="96"/>
      <c r="AO60" s="96"/>
      <c r="AP60" s="96"/>
      <c r="AQ60" s="97"/>
      <c r="AR60" s="97"/>
      <c r="AS60" s="86"/>
      <c r="AT60" s="86"/>
      <c r="AU60" s="85" t="str">
        <f aca="false">IF(OR(AS60="",AT60=""),"",AS60*AT60)</f>
        <v/>
      </c>
      <c r="AV60" s="21" t="str">
        <f aca="false">IF(AU60="","",INDEX(Settings!$A$20:$A$23,MATCH(AU60,Settings!$B$20:$B$23,1)))</f>
        <v/>
      </c>
      <c r="AW60" s="85" t="str">
        <f aca="false">IF(AV60&lt;&gt;"",AV60,T60)</f>
        <v/>
      </c>
      <c r="AX60" s="85" t="str">
        <f aca="false">IF(AW60="","",IF(MATCH(AW60,Settings!$A$20:$A$23,0)&lt;=MATCH(Settings!$C$28,Settings!$A$20:$A$23,0),"Yes","No"))</f>
        <v/>
      </c>
      <c r="AY60" s="81" t="str">
        <f aca="false">IF(AW60="","",IF(AX60="Yes",INDEX(Settings!$G$20:$G$23,MATCH(AW60,Settings!$A$20:$A$23,0)),INDEX(Settings!$G$20:$G$23,MATCH(AW60,Settings!$A$20:$A$23,0))&amp;" (outside appetite)"))</f>
        <v/>
      </c>
      <c r="AZ60" s="82"/>
      <c r="BA60" s="82"/>
      <c r="BB60" s="90"/>
      <c r="BC60" s="91" t="str">
        <f aca="false">IF(OR(BB60="",T60=""),"",BB60+INDEX(Settings!$E$20:$E$23,MATCH(T60,Settings!$A$20:$A$23,0)))</f>
        <v/>
      </c>
      <c r="BD60" s="90"/>
      <c r="BE60" s="82"/>
      <c r="BF60" s="81" t="str">
        <f aca="true">IF(A60="","",IF(OR(BE60="Closed",BE60="Accepted"),"No action",IF(BB60="","Set date identified",IF(TODAY()&gt;BC60,"Deadline exceeded",IF(BC60-TODAY()&lt;=Settings!$C$30,"Deadline approaching","On track")))))</f>
        <v/>
      </c>
      <c r="BG60" s="90"/>
      <c r="BH60" s="90"/>
      <c r="BI60" s="91" t="str">
        <f aca="false">IF(OR(BH60="",AW60=""),"",EDATE(BH60,INDEX(Settings!$F$20:$F$23,MATCH(AW60,Settings!$A$20:$A$23,0))))</f>
        <v/>
      </c>
      <c r="BJ60" s="85" t="str">
        <f aca="false">IF(T60="","",IF(MAX(IF(T60="",0,MATCH(T60,Settings!$A$20:$A$23,0)),IF(AV60="",0,MATCH(AV60,Settings!$A$20:$A$23,0)))&gt;=MATCH(Settings!$C$29,Settings!$A$20:$A$23,0),"Yes","No"))</f>
        <v/>
      </c>
      <c r="BK60" s="82"/>
      <c r="BL60" s="81" t="str">
        <f aca="true">IF(A60="","",IF(TRIM(IF(W60="","Treatment not chosen. ","")&amp;IF(AND(W60="Accept",AX60="No"),"Accepted outside appetite: record approval by "&amp;INDEX(Settings!$G$20:$G$23,MATCH(AW60,Settings!$A$20:$A$23,0))&amp;". ","")&amp;IF(AND(W60="Accept",BG60=""),"Acceptance expiry missing. ","")&amp;IF(AND(BG60&lt;&gt;"",BG60&lt;TODAY()),"Acceptance expired. ","")&amp;IF(AND(W60&lt;&gt;"",W60&lt;&gt;"Accept",AV60=""),"Target rating not set. ","")&amp;IF(AND(BE60="Closed",AX60="No"),"Closed while outside appetite. ","")&amp;IF(AND(W60="Transfer",BE60&lt;&gt;"Transferred",BE60&lt;&gt;"Closed"),"Transfer: record the contract, SLA and audit rights. ","")&amp;IF(AZ60="","Risk owner missing. ","")&amp;IF(K60="","Scenario not written. ",""))="","OK",TRIM(IF(W60="","Treatment not chosen. ","")&amp;IF(AND(W60="Accept",AX60="No"),"Accepted outside appetite: record approval by "&amp;INDEX(Settings!$G$20:$G$23,MATCH(AW60,Settings!$A$20:$A$23,0))&amp;". ","")&amp;IF(AND(W60="Accept",BG60=""),"Acceptance expiry missing. ","")&amp;IF(AND(BG60&lt;&gt;"",BG60&lt;TODAY()),"Acceptance expired. ","")&amp;IF(AND(W60&lt;&gt;"",W60&lt;&gt;"Accept",AV60=""),"Target rating not set. ","")&amp;IF(AND(BE60="Closed",AX60="No"),"Closed while outside appetite. ","")&amp;IF(AND(W60="Transfer",BE60&lt;&gt;"Transferred",BE60&lt;&gt;"Closed"),"Transfer: record the contract, SLA and audit rights. ","")&amp;IF(AZ60="","Risk owner missing. ","")&amp;IF(K60="","Scenario not written. ",""))))</f>
        <v/>
      </c>
      <c r="BM60" s="82"/>
    </row>
    <row r="61" customFormat="false" ht="15" hidden="false" customHeight="false" outlineLevel="0" collapsed="false">
      <c r="A61" s="84"/>
      <c r="B61" s="83"/>
      <c r="C61" s="80"/>
      <c r="D61" s="81" t="str">
        <f aca="false">IF(C61="","",IFERROR(INDEX(Lists!$O$2:$O$13,MATCH(C61,Lists!$N$2:$N$13,0)),"Check domain code"))</f>
        <v/>
      </c>
      <c r="E61" s="81" t="str">
        <f aca="false">IF(C61="","",IFERROR(INDEX(Lists!$P$2:$P$13,MATCH(C61,Lists!$N$2:$N$13,0)),""))</f>
        <v/>
      </c>
      <c r="F61" s="80"/>
      <c r="G61" s="82"/>
      <c r="H61" s="82"/>
      <c r="I61" s="82"/>
      <c r="J61" s="83"/>
      <c r="K61" s="82"/>
      <c r="L61" s="82"/>
      <c r="M61" s="84"/>
      <c r="N61" s="85"/>
      <c r="O61" s="82"/>
      <c r="P61" s="86"/>
      <c r="Q61" s="86"/>
      <c r="R61" s="86"/>
      <c r="S61" s="21" t="str">
        <f aca="false">IF(OR(Q61="",R61=""),"",Q61*R61)</f>
        <v/>
      </c>
      <c r="T61" s="85" t="str">
        <f aca="false">IF(S61="","",INDEX(Settings!$A$20:$A$23,MATCH(S61,Settings!$B$20:$B$23,1)))</f>
        <v/>
      </c>
      <c r="U61" s="82"/>
      <c r="V61" s="87"/>
      <c r="W61" s="86"/>
      <c r="X61" s="82"/>
      <c r="Y61" s="88"/>
      <c r="Z61" s="88"/>
      <c r="AA61" s="88"/>
      <c r="AB61" s="88"/>
      <c r="AC61" s="88"/>
      <c r="AD61" s="88"/>
      <c r="AE61" s="88"/>
      <c r="AF61" s="88"/>
      <c r="AG61" s="88"/>
      <c r="AH61" s="88"/>
      <c r="AI61" s="88"/>
      <c r="AJ61" s="89"/>
      <c r="AK61" s="88"/>
      <c r="AL61" s="88"/>
      <c r="AM61" s="88"/>
      <c r="AN61" s="88"/>
      <c r="AO61" s="88"/>
      <c r="AP61" s="88"/>
      <c r="AQ61" s="89"/>
      <c r="AR61" s="89"/>
      <c r="AS61" s="86"/>
      <c r="AT61" s="86"/>
      <c r="AU61" s="85" t="str">
        <f aca="false">IF(OR(AS61="",AT61=""),"",AS61*AT61)</f>
        <v/>
      </c>
      <c r="AV61" s="21" t="str">
        <f aca="false">IF(AU61="","",INDEX(Settings!$A$20:$A$23,MATCH(AU61,Settings!$B$20:$B$23,1)))</f>
        <v/>
      </c>
      <c r="AW61" s="85" t="str">
        <f aca="false">IF(AV61&lt;&gt;"",AV61,T61)</f>
        <v/>
      </c>
      <c r="AX61" s="85" t="str">
        <f aca="false">IF(AW61="","",IF(MATCH(AW61,Settings!$A$20:$A$23,0)&lt;=MATCH(Settings!$C$28,Settings!$A$20:$A$23,0),"Yes","No"))</f>
        <v/>
      </c>
      <c r="AY61" s="81" t="str">
        <f aca="false">IF(AW61="","",IF(AX61="Yes",INDEX(Settings!$G$20:$G$23,MATCH(AW61,Settings!$A$20:$A$23,0)),INDEX(Settings!$G$20:$G$23,MATCH(AW61,Settings!$A$20:$A$23,0))&amp;" (outside appetite)"))</f>
        <v/>
      </c>
      <c r="AZ61" s="82"/>
      <c r="BA61" s="82"/>
      <c r="BB61" s="90"/>
      <c r="BC61" s="91" t="str">
        <f aca="false">IF(OR(BB61="",T61=""),"",BB61+INDEX(Settings!$E$20:$E$23,MATCH(T61,Settings!$A$20:$A$23,0)))</f>
        <v/>
      </c>
      <c r="BD61" s="90"/>
      <c r="BE61" s="82"/>
      <c r="BF61" s="81" t="str">
        <f aca="true">IF(A61="","",IF(OR(BE61="Closed",BE61="Accepted"),"No action",IF(BB61="","Set date identified",IF(TODAY()&gt;BC61,"Deadline exceeded",IF(BC61-TODAY()&lt;=Settings!$C$30,"Deadline approaching","On track")))))</f>
        <v/>
      </c>
      <c r="BG61" s="90"/>
      <c r="BH61" s="90"/>
      <c r="BI61" s="91" t="str">
        <f aca="false">IF(OR(BH61="",AW61=""),"",EDATE(BH61,INDEX(Settings!$F$20:$F$23,MATCH(AW61,Settings!$A$20:$A$23,0))))</f>
        <v/>
      </c>
      <c r="BJ61" s="85" t="str">
        <f aca="false">IF(T61="","",IF(MAX(IF(T61="",0,MATCH(T61,Settings!$A$20:$A$23,0)),IF(AV61="",0,MATCH(AV61,Settings!$A$20:$A$23,0)))&gt;=MATCH(Settings!$C$29,Settings!$A$20:$A$23,0),"Yes","No"))</f>
        <v/>
      </c>
      <c r="BK61" s="82"/>
      <c r="BL61" s="81" t="str">
        <f aca="true">IF(A61="","",IF(TRIM(IF(W61="","Treatment not chosen. ","")&amp;IF(AND(W61="Accept",AX61="No"),"Accepted outside appetite: record approval by "&amp;INDEX(Settings!$G$20:$G$23,MATCH(AW61,Settings!$A$20:$A$23,0))&amp;". ","")&amp;IF(AND(W61="Accept",BG61=""),"Acceptance expiry missing. ","")&amp;IF(AND(BG61&lt;&gt;"",BG61&lt;TODAY()),"Acceptance expired. ","")&amp;IF(AND(W61&lt;&gt;"",W61&lt;&gt;"Accept",AV61=""),"Target rating not set. ","")&amp;IF(AND(BE61="Closed",AX61="No"),"Closed while outside appetite. ","")&amp;IF(AND(W61="Transfer",BE61&lt;&gt;"Transferred",BE61&lt;&gt;"Closed"),"Transfer: record the contract, SLA and audit rights. ","")&amp;IF(AZ61="","Risk owner missing. ","")&amp;IF(K61="","Scenario not written. ",""))="","OK",TRIM(IF(W61="","Treatment not chosen. ","")&amp;IF(AND(W61="Accept",AX61="No"),"Accepted outside appetite: record approval by "&amp;INDEX(Settings!$G$20:$G$23,MATCH(AW61,Settings!$A$20:$A$23,0))&amp;". ","")&amp;IF(AND(W61="Accept",BG61=""),"Acceptance expiry missing. ","")&amp;IF(AND(BG61&lt;&gt;"",BG61&lt;TODAY()),"Acceptance expired. ","")&amp;IF(AND(W61&lt;&gt;"",W61&lt;&gt;"Accept",AV61=""),"Target rating not set. ","")&amp;IF(AND(BE61="Closed",AX61="No"),"Closed while outside appetite. ","")&amp;IF(AND(W61="Transfer",BE61&lt;&gt;"Transferred",BE61&lt;&gt;"Closed"),"Transfer: record the contract, SLA and audit rights. ","")&amp;IF(AZ61="","Risk owner missing. ","")&amp;IF(K61="","Scenario not written. ",""))))</f>
        <v/>
      </c>
      <c r="BM61" s="82"/>
    </row>
    <row r="62" customFormat="false" ht="15" hidden="false" customHeight="false" outlineLevel="0" collapsed="false">
      <c r="A62" s="95"/>
      <c r="B62" s="94"/>
      <c r="C62" s="80"/>
      <c r="D62" s="81" t="str">
        <f aca="false">IF(C62="","",IFERROR(INDEX(Lists!$O$2:$O$13,MATCH(C62,Lists!$N$2:$N$13,0)),"Check domain code"))</f>
        <v/>
      </c>
      <c r="E62" s="81" t="str">
        <f aca="false">IF(C62="","",IFERROR(INDEX(Lists!$P$2:$P$13,MATCH(C62,Lists!$N$2:$N$13,0)),""))</f>
        <v/>
      </c>
      <c r="F62" s="80"/>
      <c r="G62" s="82"/>
      <c r="H62" s="82"/>
      <c r="I62" s="82"/>
      <c r="J62" s="94"/>
      <c r="K62" s="82"/>
      <c r="L62" s="82"/>
      <c r="M62" s="95"/>
      <c r="N62" s="85"/>
      <c r="O62" s="82"/>
      <c r="P62" s="86"/>
      <c r="Q62" s="86"/>
      <c r="R62" s="86"/>
      <c r="S62" s="21" t="str">
        <f aca="false">IF(OR(Q62="",R62=""),"",Q62*R62)</f>
        <v/>
      </c>
      <c r="T62" s="85" t="str">
        <f aca="false">IF(S62="","",INDEX(Settings!$A$20:$A$23,MATCH(S62,Settings!$B$20:$B$23,1)))</f>
        <v/>
      </c>
      <c r="U62" s="82"/>
      <c r="V62" s="87"/>
      <c r="W62" s="86"/>
      <c r="X62" s="82"/>
      <c r="Y62" s="96"/>
      <c r="Z62" s="96"/>
      <c r="AA62" s="96"/>
      <c r="AB62" s="96"/>
      <c r="AC62" s="96"/>
      <c r="AD62" s="96"/>
      <c r="AE62" s="96"/>
      <c r="AF62" s="96"/>
      <c r="AG62" s="96"/>
      <c r="AH62" s="96"/>
      <c r="AI62" s="96"/>
      <c r="AJ62" s="97"/>
      <c r="AK62" s="96"/>
      <c r="AL62" s="96"/>
      <c r="AM62" s="96"/>
      <c r="AN62" s="96"/>
      <c r="AO62" s="96"/>
      <c r="AP62" s="96"/>
      <c r="AQ62" s="97"/>
      <c r="AR62" s="97"/>
      <c r="AS62" s="86"/>
      <c r="AT62" s="86"/>
      <c r="AU62" s="85" t="str">
        <f aca="false">IF(OR(AS62="",AT62=""),"",AS62*AT62)</f>
        <v/>
      </c>
      <c r="AV62" s="21" t="str">
        <f aca="false">IF(AU62="","",INDEX(Settings!$A$20:$A$23,MATCH(AU62,Settings!$B$20:$B$23,1)))</f>
        <v/>
      </c>
      <c r="AW62" s="85" t="str">
        <f aca="false">IF(AV62&lt;&gt;"",AV62,T62)</f>
        <v/>
      </c>
      <c r="AX62" s="85" t="str">
        <f aca="false">IF(AW62="","",IF(MATCH(AW62,Settings!$A$20:$A$23,0)&lt;=MATCH(Settings!$C$28,Settings!$A$20:$A$23,0),"Yes","No"))</f>
        <v/>
      </c>
      <c r="AY62" s="81" t="str">
        <f aca="false">IF(AW62="","",IF(AX62="Yes",INDEX(Settings!$G$20:$G$23,MATCH(AW62,Settings!$A$20:$A$23,0)),INDEX(Settings!$G$20:$G$23,MATCH(AW62,Settings!$A$20:$A$23,0))&amp;" (outside appetite)"))</f>
        <v/>
      </c>
      <c r="AZ62" s="82"/>
      <c r="BA62" s="82"/>
      <c r="BB62" s="90"/>
      <c r="BC62" s="91" t="str">
        <f aca="false">IF(OR(BB62="",T62=""),"",BB62+INDEX(Settings!$E$20:$E$23,MATCH(T62,Settings!$A$20:$A$23,0)))</f>
        <v/>
      </c>
      <c r="BD62" s="90"/>
      <c r="BE62" s="82"/>
      <c r="BF62" s="81" t="str">
        <f aca="true">IF(A62="","",IF(OR(BE62="Closed",BE62="Accepted"),"No action",IF(BB62="","Set date identified",IF(TODAY()&gt;BC62,"Deadline exceeded",IF(BC62-TODAY()&lt;=Settings!$C$30,"Deadline approaching","On track")))))</f>
        <v/>
      </c>
      <c r="BG62" s="90"/>
      <c r="BH62" s="90"/>
      <c r="BI62" s="91" t="str">
        <f aca="false">IF(OR(BH62="",AW62=""),"",EDATE(BH62,INDEX(Settings!$F$20:$F$23,MATCH(AW62,Settings!$A$20:$A$23,0))))</f>
        <v/>
      </c>
      <c r="BJ62" s="85" t="str">
        <f aca="false">IF(T62="","",IF(MAX(IF(T62="",0,MATCH(T62,Settings!$A$20:$A$23,0)),IF(AV62="",0,MATCH(AV62,Settings!$A$20:$A$23,0)))&gt;=MATCH(Settings!$C$29,Settings!$A$20:$A$23,0),"Yes","No"))</f>
        <v/>
      </c>
      <c r="BK62" s="82"/>
      <c r="BL62" s="81" t="str">
        <f aca="true">IF(A62="","",IF(TRIM(IF(W62="","Treatment not chosen. ","")&amp;IF(AND(W62="Accept",AX62="No"),"Accepted outside appetite: record approval by "&amp;INDEX(Settings!$G$20:$G$23,MATCH(AW62,Settings!$A$20:$A$23,0))&amp;". ","")&amp;IF(AND(W62="Accept",BG62=""),"Acceptance expiry missing. ","")&amp;IF(AND(BG62&lt;&gt;"",BG62&lt;TODAY()),"Acceptance expired. ","")&amp;IF(AND(W62&lt;&gt;"",W62&lt;&gt;"Accept",AV62=""),"Target rating not set. ","")&amp;IF(AND(BE62="Closed",AX62="No"),"Closed while outside appetite. ","")&amp;IF(AND(W62="Transfer",BE62&lt;&gt;"Transferred",BE62&lt;&gt;"Closed"),"Transfer: record the contract, SLA and audit rights. ","")&amp;IF(AZ62="","Risk owner missing. ","")&amp;IF(K62="","Scenario not written. ",""))="","OK",TRIM(IF(W62="","Treatment not chosen. ","")&amp;IF(AND(W62="Accept",AX62="No"),"Accepted outside appetite: record approval by "&amp;INDEX(Settings!$G$20:$G$23,MATCH(AW62,Settings!$A$20:$A$23,0))&amp;". ","")&amp;IF(AND(W62="Accept",BG62=""),"Acceptance expiry missing. ","")&amp;IF(AND(BG62&lt;&gt;"",BG62&lt;TODAY()),"Acceptance expired. ","")&amp;IF(AND(W62&lt;&gt;"",W62&lt;&gt;"Accept",AV62=""),"Target rating not set. ","")&amp;IF(AND(BE62="Closed",AX62="No"),"Closed while outside appetite. ","")&amp;IF(AND(W62="Transfer",BE62&lt;&gt;"Transferred",BE62&lt;&gt;"Closed"),"Transfer: record the contract, SLA and audit rights. ","")&amp;IF(AZ62="","Risk owner missing. ","")&amp;IF(K62="","Scenario not written. ",""))))</f>
        <v/>
      </c>
      <c r="BM62" s="82"/>
    </row>
    <row r="63" customFormat="false" ht="15" hidden="false" customHeight="false" outlineLevel="0" collapsed="false">
      <c r="A63" s="84"/>
      <c r="B63" s="83"/>
      <c r="C63" s="80"/>
      <c r="D63" s="81" t="str">
        <f aca="false">IF(C63="","",IFERROR(INDEX(Lists!$O$2:$O$13,MATCH(C63,Lists!$N$2:$N$13,0)),"Check domain code"))</f>
        <v/>
      </c>
      <c r="E63" s="81" t="str">
        <f aca="false">IF(C63="","",IFERROR(INDEX(Lists!$P$2:$P$13,MATCH(C63,Lists!$N$2:$N$13,0)),""))</f>
        <v/>
      </c>
      <c r="F63" s="80"/>
      <c r="G63" s="82"/>
      <c r="H63" s="82"/>
      <c r="I63" s="82"/>
      <c r="J63" s="83"/>
      <c r="K63" s="82"/>
      <c r="L63" s="82"/>
      <c r="M63" s="84"/>
      <c r="N63" s="85"/>
      <c r="O63" s="82"/>
      <c r="P63" s="86"/>
      <c r="Q63" s="86"/>
      <c r="R63" s="86"/>
      <c r="S63" s="21" t="str">
        <f aca="false">IF(OR(Q63="",R63=""),"",Q63*R63)</f>
        <v/>
      </c>
      <c r="T63" s="85" t="str">
        <f aca="false">IF(S63="","",INDEX(Settings!$A$20:$A$23,MATCH(S63,Settings!$B$20:$B$23,1)))</f>
        <v/>
      </c>
      <c r="U63" s="82"/>
      <c r="V63" s="87"/>
      <c r="W63" s="86"/>
      <c r="X63" s="82"/>
      <c r="Y63" s="88"/>
      <c r="Z63" s="88"/>
      <c r="AA63" s="88"/>
      <c r="AB63" s="88"/>
      <c r="AC63" s="88"/>
      <c r="AD63" s="88"/>
      <c r="AE63" s="88"/>
      <c r="AF63" s="88"/>
      <c r="AG63" s="88"/>
      <c r="AH63" s="88"/>
      <c r="AI63" s="88"/>
      <c r="AJ63" s="89"/>
      <c r="AK63" s="88"/>
      <c r="AL63" s="88"/>
      <c r="AM63" s="88"/>
      <c r="AN63" s="88"/>
      <c r="AO63" s="88"/>
      <c r="AP63" s="88"/>
      <c r="AQ63" s="89"/>
      <c r="AR63" s="89"/>
      <c r="AS63" s="86"/>
      <c r="AT63" s="86"/>
      <c r="AU63" s="85" t="str">
        <f aca="false">IF(OR(AS63="",AT63=""),"",AS63*AT63)</f>
        <v/>
      </c>
      <c r="AV63" s="21" t="str">
        <f aca="false">IF(AU63="","",INDEX(Settings!$A$20:$A$23,MATCH(AU63,Settings!$B$20:$B$23,1)))</f>
        <v/>
      </c>
      <c r="AW63" s="85" t="str">
        <f aca="false">IF(AV63&lt;&gt;"",AV63,T63)</f>
        <v/>
      </c>
      <c r="AX63" s="85" t="str">
        <f aca="false">IF(AW63="","",IF(MATCH(AW63,Settings!$A$20:$A$23,0)&lt;=MATCH(Settings!$C$28,Settings!$A$20:$A$23,0),"Yes","No"))</f>
        <v/>
      </c>
      <c r="AY63" s="81" t="str">
        <f aca="false">IF(AW63="","",IF(AX63="Yes",INDEX(Settings!$G$20:$G$23,MATCH(AW63,Settings!$A$20:$A$23,0)),INDEX(Settings!$G$20:$G$23,MATCH(AW63,Settings!$A$20:$A$23,0))&amp;" (outside appetite)"))</f>
        <v/>
      </c>
      <c r="AZ63" s="82"/>
      <c r="BA63" s="82"/>
      <c r="BB63" s="90"/>
      <c r="BC63" s="91" t="str">
        <f aca="false">IF(OR(BB63="",T63=""),"",BB63+INDEX(Settings!$E$20:$E$23,MATCH(T63,Settings!$A$20:$A$23,0)))</f>
        <v/>
      </c>
      <c r="BD63" s="90"/>
      <c r="BE63" s="82"/>
      <c r="BF63" s="81" t="str">
        <f aca="true">IF(A63="","",IF(OR(BE63="Closed",BE63="Accepted"),"No action",IF(BB63="","Set date identified",IF(TODAY()&gt;BC63,"Deadline exceeded",IF(BC63-TODAY()&lt;=Settings!$C$30,"Deadline approaching","On track")))))</f>
        <v/>
      </c>
      <c r="BG63" s="90"/>
      <c r="BH63" s="90"/>
      <c r="BI63" s="91" t="str">
        <f aca="false">IF(OR(BH63="",AW63=""),"",EDATE(BH63,INDEX(Settings!$F$20:$F$23,MATCH(AW63,Settings!$A$20:$A$23,0))))</f>
        <v/>
      </c>
      <c r="BJ63" s="85" t="str">
        <f aca="false">IF(T63="","",IF(MAX(IF(T63="",0,MATCH(T63,Settings!$A$20:$A$23,0)),IF(AV63="",0,MATCH(AV63,Settings!$A$20:$A$23,0)))&gt;=MATCH(Settings!$C$29,Settings!$A$20:$A$23,0),"Yes","No"))</f>
        <v/>
      </c>
      <c r="BK63" s="82"/>
      <c r="BL63" s="81" t="str">
        <f aca="true">IF(A63="","",IF(TRIM(IF(W63="","Treatment not chosen. ","")&amp;IF(AND(W63="Accept",AX63="No"),"Accepted outside appetite: record approval by "&amp;INDEX(Settings!$G$20:$G$23,MATCH(AW63,Settings!$A$20:$A$23,0))&amp;". ","")&amp;IF(AND(W63="Accept",BG63=""),"Acceptance expiry missing. ","")&amp;IF(AND(BG63&lt;&gt;"",BG63&lt;TODAY()),"Acceptance expired. ","")&amp;IF(AND(W63&lt;&gt;"",W63&lt;&gt;"Accept",AV63=""),"Target rating not set. ","")&amp;IF(AND(BE63="Closed",AX63="No"),"Closed while outside appetite. ","")&amp;IF(AND(W63="Transfer",BE63&lt;&gt;"Transferred",BE63&lt;&gt;"Closed"),"Transfer: record the contract, SLA and audit rights. ","")&amp;IF(AZ63="","Risk owner missing. ","")&amp;IF(K63="","Scenario not written. ",""))="","OK",TRIM(IF(W63="","Treatment not chosen. ","")&amp;IF(AND(W63="Accept",AX63="No"),"Accepted outside appetite: record approval by "&amp;INDEX(Settings!$G$20:$G$23,MATCH(AW63,Settings!$A$20:$A$23,0))&amp;". ","")&amp;IF(AND(W63="Accept",BG63=""),"Acceptance expiry missing. ","")&amp;IF(AND(BG63&lt;&gt;"",BG63&lt;TODAY()),"Acceptance expired. ","")&amp;IF(AND(W63&lt;&gt;"",W63&lt;&gt;"Accept",AV63=""),"Target rating not set. ","")&amp;IF(AND(BE63="Closed",AX63="No"),"Closed while outside appetite. ","")&amp;IF(AND(W63="Transfer",BE63&lt;&gt;"Transferred",BE63&lt;&gt;"Closed"),"Transfer: record the contract, SLA and audit rights. ","")&amp;IF(AZ63="","Risk owner missing. ","")&amp;IF(K63="","Scenario not written. ",""))))</f>
        <v/>
      </c>
      <c r="BM63" s="82"/>
    </row>
    <row r="64" customFormat="false" ht="15" hidden="false" customHeight="false" outlineLevel="0" collapsed="false">
      <c r="A64" s="95"/>
      <c r="B64" s="94"/>
      <c r="C64" s="80"/>
      <c r="D64" s="81" t="str">
        <f aca="false">IF(C64="","",IFERROR(INDEX(Lists!$O$2:$O$13,MATCH(C64,Lists!$N$2:$N$13,0)),"Check domain code"))</f>
        <v/>
      </c>
      <c r="E64" s="81" t="str">
        <f aca="false">IF(C64="","",IFERROR(INDEX(Lists!$P$2:$P$13,MATCH(C64,Lists!$N$2:$N$13,0)),""))</f>
        <v/>
      </c>
      <c r="F64" s="80"/>
      <c r="G64" s="82"/>
      <c r="H64" s="82"/>
      <c r="I64" s="82"/>
      <c r="J64" s="94"/>
      <c r="K64" s="82"/>
      <c r="L64" s="82"/>
      <c r="M64" s="95"/>
      <c r="N64" s="85"/>
      <c r="O64" s="82"/>
      <c r="P64" s="86"/>
      <c r="Q64" s="86"/>
      <c r="R64" s="86"/>
      <c r="S64" s="21" t="str">
        <f aca="false">IF(OR(Q64="",R64=""),"",Q64*R64)</f>
        <v/>
      </c>
      <c r="T64" s="85" t="str">
        <f aca="false">IF(S64="","",INDEX(Settings!$A$20:$A$23,MATCH(S64,Settings!$B$20:$B$23,1)))</f>
        <v/>
      </c>
      <c r="U64" s="82"/>
      <c r="V64" s="87"/>
      <c r="W64" s="86"/>
      <c r="X64" s="82"/>
      <c r="Y64" s="96"/>
      <c r="Z64" s="96"/>
      <c r="AA64" s="96"/>
      <c r="AB64" s="96"/>
      <c r="AC64" s="96"/>
      <c r="AD64" s="96"/>
      <c r="AE64" s="96"/>
      <c r="AF64" s="96"/>
      <c r="AG64" s="96"/>
      <c r="AH64" s="96"/>
      <c r="AI64" s="96"/>
      <c r="AJ64" s="97"/>
      <c r="AK64" s="96"/>
      <c r="AL64" s="96"/>
      <c r="AM64" s="96"/>
      <c r="AN64" s="96"/>
      <c r="AO64" s="96"/>
      <c r="AP64" s="96"/>
      <c r="AQ64" s="97"/>
      <c r="AR64" s="97"/>
      <c r="AS64" s="86"/>
      <c r="AT64" s="86"/>
      <c r="AU64" s="85" t="str">
        <f aca="false">IF(OR(AS64="",AT64=""),"",AS64*AT64)</f>
        <v/>
      </c>
      <c r="AV64" s="21" t="str">
        <f aca="false">IF(AU64="","",INDEX(Settings!$A$20:$A$23,MATCH(AU64,Settings!$B$20:$B$23,1)))</f>
        <v/>
      </c>
      <c r="AW64" s="85" t="str">
        <f aca="false">IF(AV64&lt;&gt;"",AV64,T64)</f>
        <v/>
      </c>
      <c r="AX64" s="85" t="str">
        <f aca="false">IF(AW64="","",IF(MATCH(AW64,Settings!$A$20:$A$23,0)&lt;=MATCH(Settings!$C$28,Settings!$A$20:$A$23,0),"Yes","No"))</f>
        <v/>
      </c>
      <c r="AY64" s="81" t="str">
        <f aca="false">IF(AW64="","",IF(AX64="Yes",INDEX(Settings!$G$20:$G$23,MATCH(AW64,Settings!$A$20:$A$23,0)),INDEX(Settings!$G$20:$G$23,MATCH(AW64,Settings!$A$20:$A$23,0))&amp;" (outside appetite)"))</f>
        <v/>
      </c>
      <c r="AZ64" s="82"/>
      <c r="BA64" s="82"/>
      <c r="BB64" s="90"/>
      <c r="BC64" s="91" t="str">
        <f aca="false">IF(OR(BB64="",T64=""),"",BB64+INDEX(Settings!$E$20:$E$23,MATCH(T64,Settings!$A$20:$A$23,0)))</f>
        <v/>
      </c>
      <c r="BD64" s="90"/>
      <c r="BE64" s="82"/>
      <c r="BF64" s="81" t="str">
        <f aca="true">IF(A64="","",IF(OR(BE64="Closed",BE64="Accepted"),"No action",IF(BB64="","Set date identified",IF(TODAY()&gt;BC64,"Deadline exceeded",IF(BC64-TODAY()&lt;=Settings!$C$30,"Deadline approaching","On track")))))</f>
        <v/>
      </c>
      <c r="BG64" s="90"/>
      <c r="BH64" s="90"/>
      <c r="BI64" s="91" t="str">
        <f aca="false">IF(OR(BH64="",AW64=""),"",EDATE(BH64,INDEX(Settings!$F$20:$F$23,MATCH(AW64,Settings!$A$20:$A$23,0))))</f>
        <v/>
      </c>
      <c r="BJ64" s="85" t="str">
        <f aca="false">IF(T64="","",IF(MAX(IF(T64="",0,MATCH(T64,Settings!$A$20:$A$23,0)),IF(AV64="",0,MATCH(AV64,Settings!$A$20:$A$23,0)))&gt;=MATCH(Settings!$C$29,Settings!$A$20:$A$23,0),"Yes","No"))</f>
        <v/>
      </c>
      <c r="BK64" s="82"/>
      <c r="BL64" s="81" t="str">
        <f aca="true">IF(A64="","",IF(TRIM(IF(W64="","Treatment not chosen. ","")&amp;IF(AND(W64="Accept",AX64="No"),"Accepted outside appetite: record approval by "&amp;INDEX(Settings!$G$20:$G$23,MATCH(AW64,Settings!$A$20:$A$23,0))&amp;". ","")&amp;IF(AND(W64="Accept",BG64=""),"Acceptance expiry missing. ","")&amp;IF(AND(BG64&lt;&gt;"",BG64&lt;TODAY()),"Acceptance expired. ","")&amp;IF(AND(W64&lt;&gt;"",W64&lt;&gt;"Accept",AV64=""),"Target rating not set. ","")&amp;IF(AND(BE64="Closed",AX64="No"),"Closed while outside appetite. ","")&amp;IF(AND(W64="Transfer",BE64&lt;&gt;"Transferred",BE64&lt;&gt;"Closed"),"Transfer: record the contract, SLA and audit rights. ","")&amp;IF(AZ64="","Risk owner missing. ","")&amp;IF(K64="","Scenario not written. ",""))="","OK",TRIM(IF(W64="","Treatment not chosen. ","")&amp;IF(AND(W64="Accept",AX64="No"),"Accepted outside appetite: record approval by "&amp;INDEX(Settings!$G$20:$G$23,MATCH(AW64,Settings!$A$20:$A$23,0))&amp;". ","")&amp;IF(AND(W64="Accept",BG64=""),"Acceptance expiry missing. ","")&amp;IF(AND(BG64&lt;&gt;"",BG64&lt;TODAY()),"Acceptance expired. ","")&amp;IF(AND(W64&lt;&gt;"",W64&lt;&gt;"Accept",AV64=""),"Target rating not set. ","")&amp;IF(AND(BE64="Closed",AX64="No"),"Closed while outside appetite. ","")&amp;IF(AND(W64="Transfer",BE64&lt;&gt;"Transferred",BE64&lt;&gt;"Closed"),"Transfer: record the contract, SLA and audit rights. ","")&amp;IF(AZ64="","Risk owner missing. ","")&amp;IF(K64="","Scenario not written. ",""))))</f>
        <v/>
      </c>
      <c r="BM64" s="82"/>
    </row>
    <row r="65" customFormat="false" ht="15" hidden="false" customHeight="false" outlineLevel="0" collapsed="false">
      <c r="A65" s="84"/>
      <c r="B65" s="83"/>
      <c r="C65" s="80"/>
      <c r="D65" s="81" t="str">
        <f aca="false">IF(C65="","",IFERROR(INDEX(Lists!$O$2:$O$13,MATCH(C65,Lists!$N$2:$N$13,0)),"Check domain code"))</f>
        <v/>
      </c>
      <c r="E65" s="81" t="str">
        <f aca="false">IF(C65="","",IFERROR(INDEX(Lists!$P$2:$P$13,MATCH(C65,Lists!$N$2:$N$13,0)),""))</f>
        <v/>
      </c>
      <c r="F65" s="80"/>
      <c r="G65" s="82"/>
      <c r="H65" s="82"/>
      <c r="I65" s="82"/>
      <c r="J65" s="83"/>
      <c r="K65" s="82"/>
      <c r="L65" s="82"/>
      <c r="M65" s="84"/>
      <c r="N65" s="85"/>
      <c r="O65" s="82"/>
      <c r="P65" s="86"/>
      <c r="Q65" s="86"/>
      <c r="R65" s="86"/>
      <c r="S65" s="21" t="str">
        <f aca="false">IF(OR(Q65="",R65=""),"",Q65*R65)</f>
        <v/>
      </c>
      <c r="T65" s="85" t="str">
        <f aca="false">IF(S65="","",INDEX(Settings!$A$20:$A$23,MATCH(S65,Settings!$B$20:$B$23,1)))</f>
        <v/>
      </c>
      <c r="U65" s="82"/>
      <c r="V65" s="87"/>
      <c r="W65" s="86"/>
      <c r="X65" s="82"/>
      <c r="Y65" s="88"/>
      <c r="Z65" s="88"/>
      <c r="AA65" s="88"/>
      <c r="AB65" s="88"/>
      <c r="AC65" s="88"/>
      <c r="AD65" s="88"/>
      <c r="AE65" s="88"/>
      <c r="AF65" s="88"/>
      <c r="AG65" s="88"/>
      <c r="AH65" s="88"/>
      <c r="AI65" s="88"/>
      <c r="AJ65" s="89"/>
      <c r="AK65" s="88"/>
      <c r="AL65" s="88"/>
      <c r="AM65" s="88"/>
      <c r="AN65" s="88"/>
      <c r="AO65" s="88"/>
      <c r="AP65" s="88"/>
      <c r="AQ65" s="89"/>
      <c r="AR65" s="89"/>
      <c r="AS65" s="86"/>
      <c r="AT65" s="86"/>
      <c r="AU65" s="85" t="str">
        <f aca="false">IF(OR(AS65="",AT65=""),"",AS65*AT65)</f>
        <v/>
      </c>
      <c r="AV65" s="21" t="str">
        <f aca="false">IF(AU65="","",INDEX(Settings!$A$20:$A$23,MATCH(AU65,Settings!$B$20:$B$23,1)))</f>
        <v/>
      </c>
      <c r="AW65" s="85" t="str">
        <f aca="false">IF(AV65&lt;&gt;"",AV65,T65)</f>
        <v/>
      </c>
      <c r="AX65" s="85" t="str">
        <f aca="false">IF(AW65="","",IF(MATCH(AW65,Settings!$A$20:$A$23,0)&lt;=MATCH(Settings!$C$28,Settings!$A$20:$A$23,0),"Yes","No"))</f>
        <v/>
      </c>
      <c r="AY65" s="81" t="str">
        <f aca="false">IF(AW65="","",IF(AX65="Yes",INDEX(Settings!$G$20:$G$23,MATCH(AW65,Settings!$A$20:$A$23,0)),INDEX(Settings!$G$20:$G$23,MATCH(AW65,Settings!$A$20:$A$23,0))&amp;" (outside appetite)"))</f>
        <v/>
      </c>
      <c r="AZ65" s="82"/>
      <c r="BA65" s="82"/>
      <c r="BB65" s="90"/>
      <c r="BC65" s="91" t="str">
        <f aca="false">IF(OR(BB65="",T65=""),"",BB65+INDEX(Settings!$E$20:$E$23,MATCH(T65,Settings!$A$20:$A$23,0)))</f>
        <v/>
      </c>
      <c r="BD65" s="90"/>
      <c r="BE65" s="82"/>
      <c r="BF65" s="81" t="str">
        <f aca="true">IF(A65="","",IF(OR(BE65="Closed",BE65="Accepted"),"No action",IF(BB65="","Set date identified",IF(TODAY()&gt;BC65,"Deadline exceeded",IF(BC65-TODAY()&lt;=Settings!$C$30,"Deadline approaching","On track")))))</f>
        <v/>
      </c>
      <c r="BG65" s="90"/>
      <c r="BH65" s="90"/>
      <c r="BI65" s="91" t="str">
        <f aca="false">IF(OR(BH65="",AW65=""),"",EDATE(BH65,INDEX(Settings!$F$20:$F$23,MATCH(AW65,Settings!$A$20:$A$23,0))))</f>
        <v/>
      </c>
      <c r="BJ65" s="85" t="str">
        <f aca="false">IF(T65="","",IF(MAX(IF(T65="",0,MATCH(T65,Settings!$A$20:$A$23,0)),IF(AV65="",0,MATCH(AV65,Settings!$A$20:$A$23,0)))&gt;=MATCH(Settings!$C$29,Settings!$A$20:$A$23,0),"Yes","No"))</f>
        <v/>
      </c>
      <c r="BK65" s="82"/>
      <c r="BL65" s="81" t="str">
        <f aca="true">IF(A65="","",IF(TRIM(IF(W65="","Treatment not chosen. ","")&amp;IF(AND(W65="Accept",AX65="No"),"Accepted outside appetite: record approval by "&amp;INDEX(Settings!$G$20:$G$23,MATCH(AW65,Settings!$A$20:$A$23,0))&amp;". ","")&amp;IF(AND(W65="Accept",BG65=""),"Acceptance expiry missing. ","")&amp;IF(AND(BG65&lt;&gt;"",BG65&lt;TODAY()),"Acceptance expired. ","")&amp;IF(AND(W65&lt;&gt;"",W65&lt;&gt;"Accept",AV65=""),"Target rating not set. ","")&amp;IF(AND(BE65="Closed",AX65="No"),"Closed while outside appetite. ","")&amp;IF(AND(W65="Transfer",BE65&lt;&gt;"Transferred",BE65&lt;&gt;"Closed"),"Transfer: record the contract, SLA and audit rights. ","")&amp;IF(AZ65="","Risk owner missing. ","")&amp;IF(K65="","Scenario not written. ",""))="","OK",TRIM(IF(W65="","Treatment not chosen. ","")&amp;IF(AND(W65="Accept",AX65="No"),"Accepted outside appetite: record approval by "&amp;INDEX(Settings!$G$20:$G$23,MATCH(AW65,Settings!$A$20:$A$23,0))&amp;". ","")&amp;IF(AND(W65="Accept",BG65=""),"Acceptance expiry missing. ","")&amp;IF(AND(BG65&lt;&gt;"",BG65&lt;TODAY()),"Acceptance expired. ","")&amp;IF(AND(W65&lt;&gt;"",W65&lt;&gt;"Accept",AV65=""),"Target rating not set. ","")&amp;IF(AND(BE65="Closed",AX65="No"),"Closed while outside appetite. ","")&amp;IF(AND(W65="Transfer",BE65&lt;&gt;"Transferred",BE65&lt;&gt;"Closed"),"Transfer: record the contract, SLA and audit rights. ","")&amp;IF(AZ65="","Risk owner missing. ","")&amp;IF(K65="","Scenario not written. ",""))))</f>
        <v/>
      </c>
      <c r="BM65" s="82"/>
    </row>
    <row r="66" customFormat="false" ht="15" hidden="false" customHeight="false" outlineLevel="0" collapsed="false">
      <c r="A66" s="95"/>
      <c r="B66" s="94"/>
      <c r="C66" s="80"/>
      <c r="D66" s="81" t="str">
        <f aca="false">IF(C66="","",IFERROR(INDEX(Lists!$O$2:$O$13,MATCH(C66,Lists!$N$2:$N$13,0)),"Check domain code"))</f>
        <v/>
      </c>
      <c r="E66" s="81" t="str">
        <f aca="false">IF(C66="","",IFERROR(INDEX(Lists!$P$2:$P$13,MATCH(C66,Lists!$N$2:$N$13,0)),""))</f>
        <v/>
      </c>
      <c r="F66" s="80"/>
      <c r="G66" s="82"/>
      <c r="H66" s="82"/>
      <c r="I66" s="82"/>
      <c r="J66" s="94"/>
      <c r="K66" s="82"/>
      <c r="L66" s="82"/>
      <c r="M66" s="95"/>
      <c r="N66" s="85"/>
      <c r="O66" s="82"/>
      <c r="P66" s="86"/>
      <c r="Q66" s="86"/>
      <c r="R66" s="86"/>
      <c r="S66" s="21" t="str">
        <f aca="false">IF(OR(Q66="",R66=""),"",Q66*R66)</f>
        <v/>
      </c>
      <c r="T66" s="85" t="str">
        <f aca="false">IF(S66="","",INDEX(Settings!$A$20:$A$23,MATCH(S66,Settings!$B$20:$B$23,1)))</f>
        <v/>
      </c>
      <c r="U66" s="82"/>
      <c r="V66" s="87"/>
      <c r="W66" s="86"/>
      <c r="X66" s="82"/>
      <c r="Y66" s="96"/>
      <c r="Z66" s="96"/>
      <c r="AA66" s="96"/>
      <c r="AB66" s="96"/>
      <c r="AC66" s="96"/>
      <c r="AD66" s="96"/>
      <c r="AE66" s="96"/>
      <c r="AF66" s="96"/>
      <c r="AG66" s="96"/>
      <c r="AH66" s="96"/>
      <c r="AI66" s="96"/>
      <c r="AJ66" s="97"/>
      <c r="AK66" s="96"/>
      <c r="AL66" s="96"/>
      <c r="AM66" s="96"/>
      <c r="AN66" s="96"/>
      <c r="AO66" s="96"/>
      <c r="AP66" s="96"/>
      <c r="AQ66" s="97"/>
      <c r="AR66" s="97"/>
      <c r="AS66" s="86"/>
      <c r="AT66" s="86"/>
      <c r="AU66" s="85" t="str">
        <f aca="false">IF(OR(AS66="",AT66=""),"",AS66*AT66)</f>
        <v/>
      </c>
      <c r="AV66" s="21" t="str">
        <f aca="false">IF(AU66="","",INDEX(Settings!$A$20:$A$23,MATCH(AU66,Settings!$B$20:$B$23,1)))</f>
        <v/>
      </c>
      <c r="AW66" s="85" t="str">
        <f aca="false">IF(AV66&lt;&gt;"",AV66,T66)</f>
        <v/>
      </c>
      <c r="AX66" s="85" t="str">
        <f aca="false">IF(AW66="","",IF(MATCH(AW66,Settings!$A$20:$A$23,0)&lt;=MATCH(Settings!$C$28,Settings!$A$20:$A$23,0),"Yes","No"))</f>
        <v/>
      </c>
      <c r="AY66" s="81" t="str">
        <f aca="false">IF(AW66="","",IF(AX66="Yes",INDEX(Settings!$G$20:$G$23,MATCH(AW66,Settings!$A$20:$A$23,0)),INDEX(Settings!$G$20:$G$23,MATCH(AW66,Settings!$A$20:$A$23,0))&amp;" (outside appetite)"))</f>
        <v/>
      </c>
      <c r="AZ66" s="82"/>
      <c r="BA66" s="82"/>
      <c r="BB66" s="90"/>
      <c r="BC66" s="91" t="str">
        <f aca="false">IF(OR(BB66="",T66=""),"",BB66+INDEX(Settings!$E$20:$E$23,MATCH(T66,Settings!$A$20:$A$23,0)))</f>
        <v/>
      </c>
      <c r="BD66" s="90"/>
      <c r="BE66" s="82"/>
      <c r="BF66" s="81" t="str">
        <f aca="true">IF(A66="","",IF(OR(BE66="Closed",BE66="Accepted"),"No action",IF(BB66="","Set date identified",IF(TODAY()&gt;BC66,"Deadline exceeded",IF(BC66-TODAY()&lt;=Settings!$C$30,"Deadline approaching","On track")))))</f>
        <v/>
      </c>
      <c r="BG66" s="90"/>
      <c r="BH66" s="90"/>
      <c r="BI66" s="91" t="str">
        <f aca="false">IF(OR(BH66="",AW66=""),"",EDATE(BH66,INDEX(Settings!$F$20:$F$23,MATCH(AW66,Settings!$A$20:$A$23,0))))</f>
        <v/>
      </c>
      <c r="BJ66" s="85" t="str">
        <f aca="false">IF(T66="","",IF(MAX(IF(T66="",0,MATCH(T66,Settings!$A$20:$A$23,0)),IF(AV66="",0,MATCH(AV66,Settings!$A$20:$A$23,0)))&gt;=MATCH(Settings!$C$29,Settings!$A$20:$A$23,0),"Yes","No"))</f>
        <v/>
      </c>
      <c r="BK66" s="82"/>
      <c r="BL66" s="81" t="str">
        <f aca="true">IF(A66="","",IF(TRIM(IF(W66="","Treatment not chosen. ","")&amp;IF(AND(W66="Accept",AX66="No"),"Accepted outside appetite: record approval by "&amp;INDEX(Settings!$G$20:$G$23,MATCH(AW66,Settings!$A$20:$A$23,0))&amp;". ","")&amp;IF(AND(W66="Accept",BG66=""),"Acceptance expiry missing. ","")&amp;IF(AND(BG66&lt;&gt;"",BG66&lt;TODAY()),"Acceptance expired. ","")&amp;IF(AND(W66&lt;&gt;"",W66&lt;&gt;"Accept",AV66=""),"Target rating not set. ","")&amp;IF(AND(BE66="Closed",AX66="No"),"Closed while outside appetite. ","")&amp;IF(AND(W66="Transfer",BE66&lt;&gt;"Transferred",BE66&lt;&gt;"Closed"),"Transfer: record the contract, SLA and audit rights. ","")&amp;IF(AZ66="","Risk owner missing. ","")&amp;IF(K66="","Scenario not written. ",""))="","OK",TRIM(IF(W66="","Treatment not chosen. ","")&amp;IF(AND(W66="Accept",AX66="No"),"Accepted outside appetite: record approval by "&amp;INDEX(Settings!$G$20:$G$23,MATCH(AW66,Settings!$A$20:$A$23,0))&amp;". ","")&amp;IF(AND(W66="Accept",BG66=""),"Acceptance expiry missing. ","")&amp;IF(AND(BG66&lt;&gt;"",BG66&lt;TODAY()),"Acceptance expired. ","")&amp;IF(AND(W66&lt;&gt;"",W66&lt;&gt;"Accept",AV66=""),"Target rating not set. ","")&amp;IF(AND(BE66="Closed",AX66="No"),"Closed while outside appetite. ","")&amp;IF(AND(W66="Transfer",BE66&lt;&gt;"Transferred",BE66&lt;&gt;"Closed"),"Transfer: record the contract, SLA and audit rights. ","")&amp;IF(AZ66="","Risk owner missing. ","")&amp;IF(K66="","Scenario not written. ",""))))</f>
        <v/>
      </c>
      <c r="BM66" s="82"/>
    </row>
    <row r="67" customFormat="false" ht="15" hidden="false" customHeight="false" outlineLevel="0" collapsed="false">
      <c r="A67" s="84"/>
      <c r="B67" s="83"/>
      <c r="C67" s="80"/>
      <c r="D67" s="81" t="str">
        <f aca="false">IF(C67="","",IFERROR(INDEX(Lists!$O$2:$O$13,MATCH(C67,Lists!$N$2:$N$13,0)),"Check domain code"))</f>
        <v/>
      </c>
      <c r="E67" s="81" t="str">
        <f aca="false">IF(C67="","",IFERROR(INDEX(Lists!$P$2:$P$13,MATCH(C67,Lists!$N$2:$N$13,0)),""))</f>
        <v/>
      </c>
      <c r="F67" s="80"/>
      <c r="G67" s="82"/>
      <c r="H67" s="82"/>
      <c r="I67" s="82"/>
      <c r="J67" s="83"/>
      <c r="K67" s="82"/>
      <c r="L67" s="82"/>
      <c r="M67" s="84"/>
      <c r="N67" s="85"/>
      <c r="O67" s="82"/>
      <c r="P67" s="86"/>
      <c r="Q67" s="86"/>
      <c r="R67" s="86"/>
      <c r="S67" s="21" t="str">
        <f aca="false">IF(OR(Q67="",R67=""),"",Q67*R67)</f>
        <v/>
      </c>
      <c r="T67" s="85" t="str">
        <f aca="false">IF(S67="","",INDEX(Settings!$A$20:$A$23,MATCH(S67,Settings!$B$20:$B$23,1)))</f>
        <v/>
      </c>
      <c r="U67" s="82"/>
      <c r="V67" s="87"/>
      <c r="W67" s="86"/>
      <c r="X67" s="82"/>
      <c r="Y67" s="88"/>
      <c r="Z67" s="88"/>
      <c r="AA67" s="88"/>
      <c r="AB67" s="88"/>
      <c r="AC67" s="88"/>
      <c r="AD67" s="88"/>
      <c r="AE67" s="88"/>
      <c r="AF67" s="88"/>
      <c r="AG67" s="88"/>
      <c r="AH67" s="88"/>
      <c r="AI67" s="88"/>
      <c r="AJ67" s="89"/>
      <c r="AK67" s="88"/>
      <c r="AL67" s="88"/>
      <c r="AM67" s="88"/>
      <c r="AN67" s="88"/>
      <c r="AO67" s="88"/>
      <c r="AP67" s="88"/>
      <c r="AQ67" s="89"/>
      <c r="AR67" s="89"/>
      <c r="AS67" s="86"/>
      <c r="AT67" s="86"/>
      <c r="AU67" s="85" t="str">
        <f aca="false">IF(OR(AS67="",AT67=""),"",AS67*AT67)</f>
        <v/>
      </c>
      <c r="AV67" s="21" t="str">
        <f aca="false">IF(AU67="","",INDEX(Settings!$A$20:$A$23,MATCH(AU67,Settings!$B$20:$B$23,1)))</f>
        <v/>
      </c>
      <c r="AW67" s="85" t="str">
        <f aca="false">IF(AV67&lt;&gt;"",AV67,T67)</f>
        <v/>
      </c>
      <c r="AX67" s="85" t="str">
        <f aca="false">IF(AW67="","",IF(MATCH(AW67,Settings!$A$20:$A$23,0)&lt;=MATCH(Settings!$C$28,Settings!$A$20:$A$23,0),"Yes","No"))</f>
        <v/>
      </c>
      <c r="AY67" s="81" t="str">
        <f aca="false">IF(AW67="","",IF(AX67="Yes",INDEX(Settings!$G$20:$G$23,MATCH(AW67,Settings!$A$20:$A$23,0)),INDEX(Settings!$G$20:$G$23,MATCH(AW67,Settings!$A$20:$A$23,0))&amp;" (outside appetite)"))</f>
        <v/>
      </c>
      <c r="AZ67" s="82"/>
      <c r="BA67" s="82"/>
      <c r="BB67" s="90"/>
      <c r="BC67" s="91" t="str">
        <f aca="false">IF(OR(BB67="",T67=""),"",BB67+INDEX(Settings!$E$20:$E$23,MATCH(T67,Settings!$A$20:$A$23,0)))</f>
        <v/>
      </c>
      <c r="BD67" s="90"/>
      <c r="BE67" s="82"/>
      <c r="BF67" s="81" t="str">
        <f aca="true">IF(A67="","",IF(OR(BE67="Closed",BE67="Accepted"),"No action",IF(BB67="","Set date identified",IF(TODAY()&gt;BC67,"Deadline exceeded",IF(BC67-TODAY()&lt;=Settings!$C$30,"Deadline approaching","On track")))))</f>
        <v/>
      </c>
      <c r="BG67" s="90"/>
      <c r="BH67" s="90"/>
      <c r="BI67" s="91" t="str">
        <f aca="false">IF(OR(BH67="",AW67=""),"",EDATE(BH67,INDEX(Settings!$F$20:$F$23,MATCH(AW67,Settings!$A$20:$A$23,0))))</f>
        <v/>
      </c>
      <c r="BJ67" s="85" t="str">
        <f aca="false">IF(T67="","",IF(MAX(IF(T67="",0,MATCH(T67,Settings!$A$20:$A$23,0)),IF(AV67="",0,MATCH(AV67,Settings!$A$20:$A$23,0)))&gt;=MATCH(Settings!$C$29,Settings!$A$20:$A$23,0),"Yes","No"))</f>
        <v/>
      </c>
      <c r="BK67" s="82"/>
      <c r="BL67" s="81" t="str">
        <f aca="true">IF(A67="","",IF(TRIM(IF(W67="","Treatment not chosen. ","")&amp;IF(AND(W67="Accept",AX67="No"),"Accepted outside appetite: record approval by "&amp;INDEX(Settings!$G$20:$G$23,MATCH(AW67,Settings!$A$20:$A$23,0))&amp;". ","")&amp;IF(AND(W67="Accept",BG67=""),"Acceptance expiry missing. ","")&amp;IF(AND(BG67&lt;&gt;"",BG67&lt;TODAY()),"Acceptance expired. ","")&amp;IF(AND(W67&lt;&gt;"",W67&lt;&gt;"Accept",AV67=""),"Target rating not set. ","")&amp;IF(AND(BE67="Closed",AX67="No"),"Closed while outside appetite. ","")&amp;IF(AND(W67="Transfer",BE67&lt;&gt;"Transferred",BE67&lt;&gt;"Closed"),"Transfer: record the contract, SLA and audit rights. ","")&amp;IF(AZ67="","Risk owner missing. ","")&amp;IF(K67="","Scenario not written. ",""))="","OK",TRIM(IF(W67="","Treatment not chosen. ","")&amp;IF(AND(W67="Accept",AX67="No"),"Accepted outside appetite: record approval by "&amp;INDEX(Settings!$G$20:$G$23,MATCH(AW67,Settings!$A$20:$A$23,0))&amp;". ","")&amp;IF(AND(W67="Accept",BG67=""),"Acceptance expiry missing. ","")&amp;IF(AND(BG67&lt;&gt;"",BG67&lt;TODAY()),"Acceptance expired. ","")&amp;IF(AND(W67&lt;&gt;"",W67&lt;&gt;"Accept",AV67=""),"Target rating not set. ","")&amp;IF(AND(BE67="Closed",AX67="No"),"Closed while outside appetite. ","")&amp;IF(AND(W67="Transfer",BE67&lt;&gt;"Transferred",BE67&lt;&gt;"Closed"),"Transfer: record the contract, SLA and audit rights. ","")&amp;IF(AZ67="","Risk owner missing. ","")&amp;IF(K67="","Scenario not written. ",""))))</f>
        <v/>
      </c>
      <c r="BM67" s="82"/>
    </row>
    <row r="68" customFormat="false" ht="15" hidden="false" customHeight="false" outlineLevel="0" collapsed="false">
      <c r="A68" s="95"/>
      <c r="B68" s="94"/>
      <c r="C68" s="80"/>
      <c r="D68" s="81" t="str">
        <f aca="false">IF(C68="","",IFERROR(INDEX(Lists!$O$2:$O$13,MATCH(C68,Lists!$N$2:$N$13,0)),"Check domain code"))</f>
        <v/>
      </c>
      <c r="E68" s="81" t="str">
        <f aca="false">IF(C68="","",IFERROR(INDEX(Lists!$P$2:$P$13,MATCH(C68,Lists!$N$2:$N$13,0)),""))</f>
        <v/>
      </c>
      <c r="F68" s="80"/>
      <c r="G68" s="82"/>
      <c r="H68" s="82"/>
      <c r="I68" s="82"/>
      <c r="J68" s="94"/>
      <c r="K68" s="82"/>
      <c r="L68" s="82"/>
      <c r="M68" s="95"/>
      <c r="N68" s="85"/>
      <c r="O68" s="82"/>
      <c r="P68" s="86"/>
      <c r="Q68" s="86"/>
      <c r="R68" s="86"/>
      <c r="S68" s="21" t="str">
        <f aca="false">IF(OR(Q68="",R68=""),"",Q68*R68)</f>
        <v/>
      </c>
      <c r="T68" s="85" t="str">
        <f aca="false">IF(S68="","",INDEX(Settings!$A$20:$A$23,MATCH(S68,Settings!$B$20:$B$23,1)))</f>
        <v/>
      </c>
      <c r="U68" s="82"/>
      <c r="V68" s="87"/>
      <c r="W68" s="86"/>
      <c r="X68" s="82"/>
      <c r="Y68" s="96"/>
      <c r="Z68" s="96"/>
      <c r="AA68" s="96"/>
      <c r="AB68" s="96"/>
      <c r="AC68" s="96"/>
      <c r="AD68" s="96"/>
      <c r="AE68" s="96"/>
      <c r="AF68" s="96"/>
      <c r="AG68" s="96"/>
      <c r="AH68" s="96"/>
      <c r="AI68" s="96"/>
      <c r="AJ68" s="97"/>
      <c r="AK68" s="96"/>
      <c r="AL68" s="96"/>
      <c r="AM68" s="96"/>
      <c r="AN68" s="96"/>
      <c r="AO68" s="96"/>
      <c r="AP68" s="96"/>
      <c r="AQ68" s="97"/>
      <c r="AR68" s="97"/>
      <c r="AS68" s="86"/>
      <c r="AT68" s="86"/>
      <c r="AU68" s="85" t="str">
        <f aca="false">IF(OR(AS68="",AT68=""),"",AS68*AT68)</f>
        <v/>
      </c>
      <c r="AV68" s="21" t="str">
        <f aca="false">IF(AU68="","",INDEX(Settings!$A$20:$A$23,MATCH(AU68,Settings!$B$20:$B$23,1)))</f>
        <v/>
      </c>
      <c r="AW68" s="85" t="str">
        <f aca="false">IF(AV68&lt;&gt;"",AV68,T68)</f>
        <v/>
      </c>
      <c r="AX68" s="85" t="str">
        <f aca="false">IF(AW68="","",IF(MATCH(AW68,Settings!$A$20:$A$23,0)&lt;=MATCH(Settings!$C$28,Settings!$A$20:$A$23,0),"Yes","No"))</f>
        <v/>
      </c>
      <c r="AY68" s="81" t="str">
        <f aca="false">IF(AW68="","",IF(AX68="Yes",INDEX(Settings!$G$20:$G$23,MATCH(AW68,Settings!$A$20:$A$23,0)),INDEX(Settings!$G$20:$G$23,MATCH(AW68,Settings!$A$20:$A$23,0))&amp;" (outside appetite)"))</f>
        <v/>
      </c>
      <c r="AZ68" s="82"/>
      <c r="BA68" s="82"/>
      <c r="BB68" s="90"/>
      <c r="BC68" s="91" t="str">
        <f aca="false">IF(OR(BB68="",T68=""),"",BB68+INDEX(Settings!$E$20:$E$23,MATCH(T68,Settings!$A$20:$A$23,0)))</f>
        <v/>
      </c>
      <c r="BD68" s="90"/>
      <c r="BE68" s="82"/>
      <c r="BF68" s="81" t="str">
        <f aca="true">IF(A68="","",IF(OR(BE68="Closed",BE68="Accepted"),"No action",IF(BB68="","Set date identified",IF(TODAY()&gt;BC68,"Deadline exceeded",IF(BC68-TODAY()&lt;=Settings!$C$30,"Deadline approaching","On track")))))</f>
        <v/>
      </c>
      <c r="BG68" s="90"/>
      <c r="BH68" s="90"/>
      <c r="BI68" s="91" t="str">
        <f aca="false">IF(OR(BH68="",AW68=""),"",EDATE(BH68,INDEX(Settings!$F$20:$F$23,MATCH(AW68,Settings!$A$20:$A$23,0))))</f>
        <v/>
      </c>
      <c r="BJ68" s="85" t="str">
        <f aca="false">IF(T68="","",IF(MAX(IF(T68="",0,MATCH(T68,Settings!$A$20:$A$23,0)),IF(AV68="",0,MATCH(AV68,Settings!$A$20:$A$23,0)))&gt;=MATCH(Settings!$C$29,Settings!$A$20:$A$23,0),"Yes","No"))</f>
        <v/>
      </c>
      <c r="BK68" s="82"/>
      <c r="BL68" s="81" t="str">
        <f aca="true">IF(A68="","",IF(TRIM(IF(W68="","Treatment not chosen. ","")&amp;IF(AND(W68="Accept",AX68="No"),"Accepted outside appetite: record approval by "&amp;INDEX(Settings!$G$20:$G$23,MATCH(AW68,Settings!$A$20:$A$23,0))&amp;". ","")&amp;IF(AND(W68="Accept",BG68=""),"Acceptance expiry missing. ","")&amp;IF(AND(BG68&lt;&gt;"",BG68&lt;TODAY()),"Acceptance expired. ","")&amp;IF(AND(W68&lt;&gt;"",W68&lt;&gt;"Accept",AV68=""),"Target rating not set. ","")&amp;IF(AND(BE68="Closed",AX68="No"),"Closed while outside appetite. ","")&amp;IF(AND(W68="Transfer",BE68&lt;&gt;"Transferred",BE68&lt;&gt;"Closed"),"Transfer: record the contract, SLA and audit rights. ","")&amp;IF(AZ68="","Risk owner missing. ","")&amp;IF(K68="","Scenario not written. ",""))="","OK",TRIM(IF(W68="","Treatment not chosen. ","")&amp;IF(AND(W68="Accept",AX68="No"),"Accepted outside appetite: record approval by "&amp;INDEX(Settings!$G$20:$G$23,MATCH(AW68,Settings!$A$20:$A$23,0))&amp;". ","")&amp;IF(AND(W68="Accept",BG68=""),"Acceptance expiry missing. ","")&amp;IF(AND(BG68&lt;&gt;"",BG68&lt;TODAY()),"Acceptance expired. ","")&amp;IF(AND(W68&lt;&gt;"",W68&lt;&gt;"Accept",AV68=""),"Target rating not set. ","")&amp;IF(AND(BE68="Closed",AX68="No"),"Closed while outside appetite. ","")&amp;IF(AND(W68="Transfer",BE68&lt;&gt;"Transferred",BE68&lt;&gt;"Closed"),"Transfer: record the contract, SLA and audit rights. ","")&amp;IF(AZ68="","Risk owner missing. ","")&amp;IF(K68="","Scenario not written. ",""))))</f>
        <v/>
      </c>
      <c r="BM68" s="82"/>
    </row>
    <row r="69" customFormat="false" ht="15" hidden="false" customHeight="false" outlineLevel="0" collapsed="false">
      <c r="A69" s="84"/>
      <c r="B69" s="83"/>
      <c r="C69" s="80"/>
      <c r="D69" s="81" t="str">
        <f aca="false">IF(C69="","",IFERROR(INDEX(Lists!$O$2:$O$13,MATCH(C69,Lists!$N$2:$N$13,0)),"Check domain code"))</f>
        <v/>
      </c>
      <c r="E69" s="81" t="str">
        <f aca="false">IF(C69="","",IFERROR(INDEX(Lists!$P$2:$P$13,MATCH(C69,Lists!$N$2:$N$13,0)),""))</f>
        <v/>
      </c>
      <c r="F69" s="80"/>
      <c r="G69" s="82"/>
      <c r="H69" s="82"/>
      <c r="I69" s="82"/>
      <c r="J69" s="83"/>
      <c r="K69" s="82"/>
      <c r="L69" s="82"/>
      <c r="M69" s="84"/>
      <c r="N69" s="85"/>
      <c r="O69" s="82"/>
      <c r="P69" s="86"/>
      <c r="Q69" s="86"/>
      <c r="R69" s="86"/>
      <c r="S69" s="21" t="str">
        <f aca="false">IF(OR(Q69="",R69=""),"",Q69*R69)</f>
        <v/>
      </c>
      <c r="T69" s="85" t="str">
        <f aca="false">IF(S69="","",INDEX(Settings!$A$20:$A$23,MATCH(S69,Settings!$B$20:$B$23,1)))</f>
        <v/>
      </c>
      <c r="U69" s="82"/>
      <c r="V69" s="87"/>
      <c r="W69" s="86"/>
      <c r="X69" s="82"/>
      <c r="Y69" s="88"/>
      <c r="Z69" s="88"/>
      <c r="AA69" s="88"/>
      <c r="AB69" s="88"/>
      <c r="AC69" s="88"/>
      <c r="AD69" s="88"/>
      <c r="AE69" s="88"/>
      <c r="AF69" s="88"/>
      <c r="AG69" s="88"/>
      <c r="AH69" s="88"/>
      <c r="AI69" s="88"/>
      <c r="AJ69" s="89"/>
      <c r="AK69" s="88"/>
      <c r="AL69" s="88"/>
      <c r="AM69" s="88"/>
      <c r="AN69" s="88"/>
      <c r="AO69" s="88"/>
      <c r="AP69" s="88"/>
      <c r="AQ69" s="89"/>
      <c r="AR69" s="89"/>
      <c r="AS69" s="86"/>
      <c r="AT69" s="86"/>
      <c r="AU69" s="85" t="str">
        <f aca="false">IF(OR(AS69="",AT69=""),"",AS69*AT69)</f>
        <v/>
      </c>
      <c r="AV69" s="21" t="str">
        <f aca="false">IF(AU69="","",INDEX(Settings!$A$20:$A$23,MATCH(AU69,Settings!$B$20:$B$23,1)))</f>
        <v/>
      </c>
      <c r="AW69" s="85" t="str">
        <f aca="false">IF(AV69&lt;&gt;"",AV69,T69)</f>
        <v/>
      </c>
      <c r="AX69" s="85" t="str">
        <f aca="false">IF(AW69="","",IF(MATCH(AW69,Settings!$A$20:$A$23,0)&lt;=MATCH(Settings!$C$28,Settings!$A$20:$A$23,0),"Yes","No"))</f>
        <v/>
      </c>
      <c r="AY69" s="81" t="str">
        <f aca="false">IF(AW69="","",IF(AX69="Yes",INDEX(Settings!$G$20:$G$23,MATCH(AW69,Settings!$A$20:$A$23,0)),INDEX(Settings!$G$20:$G$23,MATCH(AW69,Settings!$A$20:$A$23,0))&amp;" (outside appetite)"))</f>
        <v/>
      </c>
      <c r="AZ69" s="82"/>
      <c r="BA69" s="82"/>
      <c r="BB69" s="90"/>
      <c r="BC69" s="91" t="str">
        <f aca="false">IF(OR(BB69="",T69=""),"",BB69+INDEX(Settings!$E$20:$E$23,MATCH(T69,Settings!$A$20:$A$23,0)))</f>
        <v/>
      </c>
      <c r="BD69" s="90"/>
      <c r="BE69" s="82"/>
      <c r="BF69" s="81" t="str">
        <f aca="true">IF(A69="","",IF(OR(BE69="Closed",BE69="Accepted"),"No action",IF(BB69="","Set date identified",IF(TODAY()&gt;BC69,"Deadline exceeded",IF(BC69-TODAY()&lt;=Settings!$C$30,"Deadline approaching","On track")))))</f>
        <v/>
      </c>
      <c r="BG69" s="90"/>
      <c r="BH69" s="90"/>
      <c r="BI69" s="91" t="str">
        <f aca="false">IF(OR(BH69="",AW69=""),"",EDATE(BH69,INDEX(Settings!$F$20:$F$23,MATCH(AW69,Settings!$A$20:$A$23,0))))</f>
        <v/>
      </c>
      <c r="BJ69" s="85" t="str">
        <f aca="false">IF(T69="","",IF(MAX(IF(T69="",0,MATCH(T69,Settings!$A$20:$A$23,0)),IF(AV69="",0,MATCH(AV69,Settings!$A$20:$A$23,0)))&gt;=MATCH(Settings!$C$29,Settings!$A$20:$A$23,0),"Yes","No"))</f>
        <v/>
      </c>
      <c r="BK69" s="82"/>
      <c r="BL69" s="81" t="str">
        <f aca="true">IF(A69="","",IF(TRIM(IF(W69="","Treatment not chosen. ","")&amp;IF(AND(W69="Accept",AX69="No"),"Accepted outside appetite: record approval by "&amp;INDEX(Settings!$G$20:$G$23,MATCH(AW69,Settings!$A$20:$A$23,0))&amp;". ","")&amp;IF(AND(W69="Accept",BG69=""),"Acceptance expiry missing. ","")&amp;IF(AND(BG69&lt;&gt;"",BG69&lt;TODAY()),"Acceptance expired. ","")&amp;IF(AND(W69&lt;&gt;"",W69&lt;&gt;"Accept",AV69=""),"Target rating not set. ","")&amp;IF(AND(BE69="Closed",AX69="No"),"Closed while outside appetite. ","")&amp;IF(AND(W69="Transfer",BE69&lt;&gt;"Transferred",BE69&lt;&gt;"Closed"),"Transfer: record the contract, SLA and audit rights. ","")&amp;IF(AZ69="","Risk owner missing. ","")&amp;IF(K69="","Scenario not written. ",""))="","OK",TRIM(IF(W69="","Treatment not chosen. ","")&amp;IF(AND(W69="Accept",AX69="No"),"Accepted outside appetite: record approval by "&amp;INDEX(Settings!$G$20:$G$23,MATCH(AW69,Settings!$A$20:$A$23,0))&amp;". ","")&amp;IF(AND(W69="Accept",BG69=""),"Acceptance expiry missing. ","")&amp;IF(AND(BG69&lt;&gt;"",BG69&lt;TODAY()),"Acceptance expired. ","")&amp;IF(AND(W69&lt;&gt;"",W69&lt;&gt;"Accept",AV69=""),"Target rating not set. ","")&amp;IF(AND(BE69="Closed",AX69="No"),"Closed while outside appetite. ","")&amp;IF(AND(W69="Transfer",BE69&lt;&gt;"Transferred",BE69&lt;&gt;"Closed"),"Transfer: record the contract, SLA and audit rights. ","")&amp;IF(AZ69="","Risk owner missing. ","")&amp;IF(K69="","Scenario not written. ",""))))</f>
        <v/>
      </c>
      <c r="BM69" s="82"/>
    </row>
    <row r="70" customFormat="false" ht="15" hidden="false" customHeight="false" outlineLevel="0" collapsed="false">
      <c r="A70" s="95"/>
      <c r="B70" s="94"/>
      <c r="C70" s="80"/>
      <c r="D70" s="81" t="str">
        <f aca="false">IF(C70="","",IFERROR(INDEX(Lists!$O$2:$O$13,MATCH(C70,Lists!$N$2:$N$13,0)),"Check domain code"))</f>
        <v/>
      </c>
      <c r="E70" s="81" t="str">
        <f aca="false">IF(C70="","",IFERROR(INDEX(Lists!$P$2:$P$13,MATCH(C70,Lists!$N$2:$N$13,0)),""))</f>
        <v/>
      </c>
      <c r="F70" s="80"/>
      <c r="G70" s="82"/>
      <c r="H70" s="82"/>
      <c r="I70" s="82"/>
      <c r="J70" s="94"/>
      <c r="K70" s="82"/>
      <c r="L70" s="82"/>
      <c r="M70" s="95"/>
      <c r="N70" s="85"/>
      <c r="O70" s="82"/>
      <c r="P70" s="86"/>
      <c r="Q70" s="86"/>
      <c r="R70" s="86"/>
      <c r="S70" s="21" t="str">
        <f aca="false">IF(OR(Q70="",R70=""),"",Q70*R70)</f>
        <v/>
      </c>
      <c r="T70" s="85" t="str">
        <f aca="false">IF(S70="","",INDEX(Settings!$A$20:$A$23,MATCH(S70,Settings!$B$20:$B$23,1)))</f>
        <v/>
      </c>
      <c r="U70" s="82"/>
      <c r="V70" s="87"/>
      <c r="W70" s="86"/>
      <c r="X70" s="82"/>
      <c r="Y70" s="96"/>
      <c r="Z70" s="96"/>
      <c r="AA70" s="96"/>
      <c r="AB70" s="96"/>
      <c r="AC70" s="96"/>
      <c r="AD70" s="96"/>
      <c r="AE70" s="96"/>
      <c r="AF70" s="96"/>
      <c r="AG70" s="96"/>
      <c r="AH70" s="96"/>
      <c r="AI70" s="96"/>
      <c r="AJ70" s="97"/>
      <c r="AK70" s="96"/>
      <c r="AL70" s="96"/>
      <c r="AM70" s="96"/>
      <c r="AN70" s="96"/>
      <c r="AO70" s="96"/>
      <c r="AP70" s="96"/>
      <c r="AQ70" s="97"/>
      <c r="AR70" s="97"/>
      <c r="AS70" s="86"/>
      <c r="AT70" s="86"/>
      <c r="AU70" s="85" t="str">
        <f aca="false">IF(OR(AS70="",AT70=""),"",AS70*AT70)</f>
        <v/>
      </c>
      <c r="AV70" s="21" t="str">
        <f aca="false">IF(AU70="","",INDEX(Settings!$A$20:$A$23,MATCH(AU70,Settings!$B$20:$B$23,1)))</f>
        <v/>
      </c>
      <c r="AW70" s="85" t="str">
        <f aca="false">IF(AV70&lt;&gt;"",AV70,T70)</f>
        <v/>
      </c>
      <c r="AX70" s="85" t="str">
        <f aca="false">IF(AW70="","",IF(MATCH(AW70,Settings!$A$20:$A$23,0)&lt;=MATCH(Settings!$C$28,Settings!$A$20:$A$23,0),"Yes","No"))</f>
        <v/>
      </c>
      <c r="AY70" s="81" t="str">
        <f aca="false">IF(AW70="","",IF(AX70="Yes",INDEX(Settings!$G$20:$G$23,MATCH(AW70,Settings!$A$20:$A$23,0)),INDEX(Settings!$G$20:$G$23,MATCH(AW70,Settings!$A$20:$A$23,0))&amp;" (outside appetite)"))</f>
        <v/>
      </c>
      <c r="AZ70" s="82"/>
      <c r="BA70" s="82"/>
      <c r="BB70" s="90"/>
      <c r="BC70" s="91" t="str">
        <f aca="false">IF(OR(BB70="",T70=""),"",BB70+INDEX(Settings!$E$20:$E$23,MATCH(T70,Settings!$A$20:$A$23,0)))</f>
        <v/>
      </c>
      <c r="BD70" s="90"/>
      <c r="BE70" s="82"/>
      <c r="BF70" s="81" t="str">
        <f aca="true">IF(A70="","",IF(OR(BE70="Closed",BE70="Accepted"),"No action",IF(BB70="","Set date identified",IF(TODAY()&gt;BC70,"Deadline exceeded",IF(BC70-TODAY()&lt;=Settings!$C$30,"Deadline approaching","On track")))))</f>
        <v/>
      </c>
      <c r="BG70" s="90"/>
      <c r="BH70" s="90"/>
      <c r="BI70" s="91" t="str">
        <f aca="false">IF(OR(BH70="",AW70=""),"",EDATE(BH70,INDEX(Settings!$F$20:$F$23,MATCH(AW70,Settings!$A$20:$A$23,0))))</f>
        <v/>
      </c>
      <c r="BJ70" s="85" t="str">
        <f aca="false">IF(T70="","",IF(MAX(IF(T70="",0,MATCH(T70,Settings!$A$20:$A$23,0)),IF(AV70="",0,MATCH(AV70,Settings!$A$20:$A$23,0)))&gt;=MATCH(Settings!$C$29,Settings!$A$20:$A$23,0),"Yes","No"))</f>
        <v/>
      </c>
      <c r="BK70" s="82"/>
      <c r="BL70" s="81" t="str">
        <f aca="true">IF(A70="","",IF(TRIM(IF(W70="","Treatment not chosen. ","")&amp;IF(AND(W70="Accept",AX70="No"),"Accepted outside appetite: record approval by "&amp;INDEX(Settings!$G$20:$G$23,MATCH(AW70,Settings!$A$20:$A$23,0))&amp;". ","")&amp;IF(AND(W70="Accept",BG70=""),"Acceptance expiry missing. ","")&amp;IF(AND(BG70&lt;&gt;"",BG70&lt;TODAY()),"Acceptance expired. ","")&amp;IF(AND(W70&lt;&gt;"",W70&lt;&gt;"Accept",AV70=""),"Target rating not set. ","")&amp;IF(AND(BE70="Closed",AX70="No"),"Closed while outside appetite. ","")&amp;IF(AND(W70="Transfer",BE70&lt;&gt;"Transferred",BE70&lt;&gt;"Closed"),"Transfer: record the contract, SLA and audit rights. ","")&amp;IF(AZ70="","Risk owner missing. ","")&amp;IF(K70="","Scenario not written. ",""))="","OK",TRIM(IF(W70="","Treatment not chosen. ","")&amp;IF(AND(W70="Accept",AX70="No"),"Accepted outside appetite: record approval by "&amp;INDEX(Settings!$G$20:$G$23,MATCH(AW70,Settings!$A$20:$A$23,0))&amp;". ","")&amp;IF(AND(W70="Accept",BG70=""),"Acceptance expiry missing. ","")&amp;IF(AND(BG70&lt;&gt;"",BG70&lt;TODAY()),"Acceptance expired. ","")&amp;IF(AND(W70&lt;&gt;"",W70&lt;&gt;"Accept",AV70=""),"Target rating not set. ","")&amp;IF(AND(BE70="Closed",AX70="No"),"Closed while outside appetite. ","")&amp;IF(AND(W70="Transfer",BE70&lt;&gt;"Transferred",BE70&lt;&gt;"Closed"),"Transfer: record the contract, SLA and audit rights. ","")&amp;IF(AZ70="","Risk owner missing. ","")&amp;IF(K70="","Scenario not written. ",""))))</f>
        <v/>
      </c>
      <c r="BM70" s="82"/>
    </row>
    <row r="71" customFormat="false" ht="15" hidden="false" customHeight="false" outlineLevel="0" collapsed="false">
      <c r="A71" s="84"/>
      <c r="B71" s="83"/>
      <c r="C71" s="80"/>
      <c r="D71" s="81" t="str">
        <f aca="false">IF(C71="","",IFERROR(INDEX(Lists!$O$2:$O$13,MATCH(C71,Lists!$N$2:$N$13,0)),"Check domain code"))</f>
        <v/>
      </c>
      <c r="E71" s="81" t="str">
        <f aca="false">IF(C71="","",IFERROR(INDEX(Lists!$P$2:$P$13,MATCH(C71,Lists!$N$2:$N$13,0)),""))</f>
        <v/>
      </c>
      <c r="F71" s="80"/>
      <c r="G71" s="82"/>
      <c r="H71" s="82"/>
      <c r="I71" s="82"/>
      <c r="J71" s="83"/>
      <c r="K71" s="82"/>
      <c r="L71" s="82"/>
      <c r="M71" s="84"/>
      <c r="N71" s="85"/>
      <c r="O71" s="82"/>
      <c r="P71" s="86"/>
      <c r="Q71" s="86"/>
      <c r="R71" s="86"/>
      <c r="S71" s="21" t="str">
        <f aca="false">IF(OR(Q71="",R71=""),"",Q71*R71)</f>
        <v/>
      </c>
      <c r="T71" s="85" t="str">
        <f aca="false">IF(S71="","",INDEX(Settings!$A$20:$A$23,MATCH(S71,Settings!$B$20:$B$23,1)))</f>
        <v/>
      </c>
      <c r="U71" s="82"/>
      <c r="V71" s="87"/>
      <c r="W71" s="86"/>
      <c r="X71" s="82"/>
      <c r="Y71" s="88"/>
      <c r="Z71" s="88"/>
      <c r="AA71" s="88"/>
      <c r="AB71" s="88"/>
      <c r="AC71" s="88"/>
      <c r="AD71" s="88"/>
      <c r="AE71" s="88"/>
      <c r="AF71" s="88"/>
      <c r="AG71" s="88"/>
      <c r="AH71" s="88"/>
      <c r="AI71" s="88"/>
      <c r="AJ71" s="89"/>
      <c r="AK71" s="88"/>
      <c r="AL71" s="88"/>
      <c r="AM71" s="88"/>
      <c r="AN71" s="88"/>
      <c r="AO71" s="88"/>
      <c r="AP71" s="88"/>
      <c r="AQ71" s="89"/>
      <c r="AR71" s="89"/>
      <c r="AS71" s="86"/>
      <c r="AT71" s="86"/>
      <c r="AU71" s="85" t="str">
        <f aca="false">IF(OR(AS71="",AT71=""),"",AS71*AT71)</f>
        <v/>
      </c>
      <c r="AV71" s="21" t="str">
        <f aca="false">IF(AU71="","",INDEX(Settings!$A$20:$A$23,MATCH(AU71,Settings!$B$20:$B$23,1)))</f>
        <v/>
      </c>
      <c r="AW71" s="85" t="str">
        <f aca="false">IF(AV71&lt;&gt;"",AV71,T71)</f>
        <v/>
      </c>
      <c r="AX71" s="85" t="str">
        <f aca="false">IF(AW71="","",IF(MATCH(AW71,Settings!$A$20:$A$23,0)&lt;=MATCH(Settings!$C$28,Settings!$A$20:$A$23,0),"Yes","No"))</f>
        <v/>
      </c>
      <c r="AY71" s="81" t="str">
        <f aca="false">IF(AW71="","",IF(AX71="Yes",INDEX(Settings!$G$20:$G$23,MATCH(AW71,Settings!$A$20:$A$23,0)),INDEX(Settings!$G$20:$G$23,MATCH(AW71,Settings!$A$20:$A$23,0))&amp;" (outside appetite)"))</f>
        <v/>
      </c>
      <c r="AZ71" s="82"/>
      <c r="BA71" s="82"/>
      <c r="BB71" s="90"/>
      <c r="BC71" s="91" t="str">
        <f aca="false">IF(OR(BB71="",T71=""),"",BB71+INDEX(Settings!$E$20:$E$23,MATCH(T71,Settings!$A$20:$A$23,0)))</f>
        <v/>
      </c>
      <c r="BD71" s="90"/>
      <c r="BE71" s="82"/>
      <c r="BF71" s="81" t="str">
        <f aca="true">IF(A71="","",IF(OR(BE71="Closed",BE71="Accepted"),"No action",IF(BB71="","Set date identified",IF(TODAY()&gt;BC71,"Deadline exceeded",IF(BC71-TODAY()&lt;=Settings!$C$30,"Deadline approaching","On track")))))</f>
        <v/>
      </c>
      <c r="BG71" s="90"/>
      <c r="BH71" s="90"/>
      <c r="BI71" s="91" t="str">
        <f aca="false">IF(OR(BH71="",AW71=""),"",EDATE(BH71,INDEX(Settings!$F$20:$F$23,MATCH(AW71,Settings!$A$20:$A$23,0))))</f>
        <v/>
      </c>
      <c r="BJ71" s="85" t="str">
        <f aca="false">IF(T71="","",IF(MAX(IF(T71="",0,MATCH(T71,Settings!$A$20:$A$23,0)),IF(AV71="",0,MATCH(AV71,Settings!$A$20:$A$23,0)))&gt;=MATCH(Settings!$C$29,Settings!$A$20:$A$23,0),"Yes","No"))</f>
        <v/>
      </c>
      <c r="BK71" s="82"/>
      <c r="BL71" s="81" t="str">
        <f aca="true">IF(A71="","",IF(TRIM(IF(W71="","Treatment not chosen. ","")&amp;IF(AND(W71="Accept",AX71="No"),"Accepted outside appetite: record approval by "&amp;INDEX(Settings!$G$20:$G$23,MATCH(AW71,Settings!$A$20:$A$23,0))&amp;". ","")&amp;IF(AND(W71="Accept",BG71=""),"Acceptance expiry missing. ","")&amp;IF(AND(BG71&lt;&gt;"",BG71&lt;TODAY()),"Acceptance expired. ","")&amp;IF(AND(W71&lt;&gt;"",W71&lt;&gt;"Accept",AV71=""),"Target rating not set. ","")&amp;IF(AND(BE71="Closed",AX71="No"),"Closed while outside appetite. ","")&amp;IF(AND(W71="Transfer",BE71&lt;&gt;"Transferred",BE71&lt;&gt;"Closed"),"Transfer: record the contract, SLA and audit rights. ","")&amp;IF(AZ71="","Risk owner missing. ","")&amp;IF(K71="","Scenario not written. ",""))="","OK",TRIM(IF(W71="","Treatment not chosen. ","")&amp;IF(AND(W71="Accept",AX71="No"),"Accepted outside appetite: record approval by "&amp;INDEX(Settings!$G$20:$G$23,MATCH(AW71,Settings!$A$20:$A$23,0))&amp;". ","")&amp;IF(AND(W71="Accept",BG71=""),"Acceptance expiry missing. ","")&amp;IF(AND(BG71&lt;&gt;"",BG71&lt;TODAY()),"Acceptance expired. ","")&amp;IF(AND(W71&lt;&gt;"",W71&lt;&gt;"Accept",AV71=""),"Target rating not set. ","")&amp;IF(AND(BE71="Closed",AX71="No"),"Closed while outside appetite. ","")&amp;IF(AND(W71="Transfer",BE71&lt;&gt;"Transferred",BE71&lt;&gt;"Closed"),"Transfer: record the contract, SLA and audit rights. ","")&amp;IF(AZ71="","Risk owner missing. ","")&amp;IF(K71="","Scenario not written. ",""))))</f>
        <v/>
      </c>
      <c r="BM71" s="82"/>
    </row>
    <row r="72" customFormat="false" ht="15" hidden="false" customHeight="false" outlineLevel="0" collapsed="false">
      <c r="A72" s="95"/>
      <c r="B72" s="94"/>
      <c r="C72" s="80"/>
      <c r="D72" s="81" t="str">
        <f aca="false">IF(C72="","",IFERROR(INDEX(Lists!$O$2:$O$13,MATCH(C72,Lists!$N$2:$N$13,0)),"Check domain code"))</f>
        <v/>
      </c>
      <c r="E72" s="81" t="str">
        <f aca="false">IF(C72="","",IFERROR(INDEX(Lists!$P$2:$P$13,MATCH(C72,Lists!$N$2:$N$13,0)),""))</f>
        <v/>
      </c>
      <c r="F72" s="80"/>
      <c r="G72" s="82"/>
      <c r="H72" s="82"/>
      <c r="I72" s="82"/>
      <c r="J72" s="94"/>
      <c r="K72" s="82"/>
      <c r="L72" s="82"/>
      <c r="M72" s="95"/>
      <c r="N72" s="85"/>
      <c r="O72" s="82"/>
      <c r="P72" s="86"/>
      <c r="Q72" s="86"/>
      <c r="R72" s="86"/>
      <c r="S72" s="21" t="str">
        <f aca="false">IF(OR(Q72="",R72=""),"",Q72*R72)</f>
        <v/>
      </c>
      <c r="T72" s="85" t="str">
        <f aca="false">IF(S72="","",INDEX(Settings!$A$20:$A$23,MATCH(S72,Settings!$B$20:$B$23,1)))</f>
        <v/>
      </c>
      <c r="U72" s="82"/>
      <c r="V72" s="87"/>
      <c r="W72" s="86"/>
      <c r="X72" s="82"/>
      <c r="Y72" s="96"/>
      <c r="Z72" s="96"/>
      <c r="AA72" s="96"/>
      <c r="AB72" s="96"/>
      <c r="AC72" s="96"/>
      <c r="AD72" s="96"/>
      <c r="AE72" s="96"/>
      <c r="AF72" s="96"/>
      <c r="AG72" s="96"/>
      <c r="AH72" s="96"/>
      <c r="AI72" s="96"/>
      <c r="AJ72" s="97"/>
      <c r="AK72" s="96"/>
      <c r="AL72" s="96"/>
      <c r="AM72" s="96"/>
      <c r="AN72" s="96"/>
      <c r="AO72" s="96"/>
      <c r="AP72" s="96"/>
      <c r="AQ72" s="97"/>
      <c r="AR72" s="97"/>
      <c r="AS72" s="86"/>
      <c r="AT72" s="86"/>
      <c r="AU72" s="85" t="str">
        <f aca="false">IF(OR(AS72="",AT72=""),"",AS72*AT72)</f>
        <v/>
      </c>
      <c r="AV72" s="21" t="str">
        <f aca="false">IF(AU72="","",INDEX(Settings!$A$20:$A$23,MATCH(AU72,Settings!$B$20:$B$23,1)))</f>
        <v/>
      </c>
      <c r="AW72" s="85" t="str">
        <f aca="false">IF(AV72&lt;&gt;"",AV72,T72)</f>
        <v/>
      </c>
      <c r="AX72" s="85" t="str">
        <f aca="false">IF(AW72="","",IF(MATCH(AW72,Settings!$A$20:$A$23,0)&lt;=MATCH(Settings!$C$28,Settings!$A$20:$A$23,0),"Yes","No"))</f>
        <v/>
      </c>
      <c r="AY72" s="81" t="str">
        <f aca="false">IF(AW72="","",IF(AX72="Yes",INDEX(Settings!$G$20:$G$23,MATCH(AW72,Settings!$A$20:$A$23,0)),INDEX(Settings!$G$20:$G$23,MATCH(AW72,Settings!$A$20:$A$23,0))&amp;" (outside appetite)"))</f>
        <v/>
      </c>
      <c r="AZ72" s="82"/>
      <c r="BA72" s="82"/>
      <c r="BB72" s="90"/>
      <c r="BC72" s="91" t="str">
        <f aca="false">IF(OR(BB72="",T72=""),"",BB72+INDEX(Settings!$E$20:$E$23,MATCH(T72,Settings!$A$20:$A$23,0)))</f>
        <v/>
      </c>
      <c r="BD72" s="90"/>
      <c r="BE72" s="82"/>
      <c r="BF72" s="81" t="str">
        <f aca="true">IF(A72="","",IF(OR(BE72="Closed",BE72="Accepted"),"No action",IF(BB72="","Set date identified",IF(TODAY()&gt;BC72,"Deadline exceeded",IF(BC72-TODAY()&lt;=Settings!$C$30,"Deadline approaching","On track")))))</f>
        <v/>
      </c>
      <c r="BG72" s="90"/>
      <c r="BH72" s="90"/>
      <c r="BI72" s="91" t="str">
        <f aca="false">IF(OR(BH72="",AW72=""),"",EDATE(BH72,INDEX(Settings!$F$20:$F$23,MATCH(AW72,Settings!$A$20:$A$23,0))))</f>
        <v/>
      </c>
      <c r="BJ72" s="85" t="str">
        <f aca="false">IF(T72="","",IF(MAX(IF(T72="",0,MATCH(T72,Settings!$A$20:$A$23,0)),IF(AV72="",0,MATCH(AV72,Settings!$A$20:$A$23,0)))&gt;=MATCH(Settings!$C$29,Settings!$A$20:$A$23,0),"Yes","No"))</f>
        <v/>
      </c>
      <c r="BK72" s="82"/>
      <c r="BL72" s="81" t="str">
        <f aca="true">IF(A72="","",IF(TRIM(IF(W72="","Treatment not chosen. ","")&amp;IF(AND(W72="Accept",AX72="No"),"Accepted outside appetite: record approval by "&amp;INDEX(Settings!$G$20:$G$23,MATCH(AW72,Settings!$A$20:$A$23,0))&amp;". ","")&amp;IF(AND(W72="Accept",BG72=""),"Acceptance expiry missing. ","")&amp;IF(AND(BG72&lt;&gt;"",BG72&lt;TODAY()),"Acceptance expired. ","")&amp;IF(AND(W72&lt;&gt;"",W72&lt;&gt;"Accept",AV72=""),"Target rating not set. ","")&amp;IF(AND(BE72="Closed",AX72="No"),"Closed while outside appetite. ","")&amp;IF(AND(W72="Transfer",BE72&lt;&gt;"Transferred",BE72&lt;&gt;"Closed"),"Transfer: record the contract, SLA and audit rights. ","")&amp;IF(AZ72="","Risk owner missing. ","")&amp;IF(K72="","Scenario not written. ",""))="","OK",TRIM(IF(W72="","Treatment not chosen. ","")&amp;IF(AND(W72="Accept",AX72="No"),"Accepted outside appetite: record approval by "&amp;INDEX(Settings!$G$20:$G$23,MATCH(AW72,Settings!$A$20:$A$23,0))&amp;". ","")&amp;IF(AND(W72="Accept",BG72=""),"Acceptance expiry missing. ","")&amp;IF(AND(BG72&lt;&gt;"",BG72&lt;TODAY()),"Acceptance expired. ","")&amp;IF(AND(W72&lt;&gt;"",W72&lt;&gt;"Accept",AV72=""),"Target rating not set. ","")&amp;IF(AND(BE72="Closed",AX72="No"),"Closed while outside appetite. ","")&amp;IF(AND(W72="Transfer",BE72&lt;&gt;"Transferred",BE72&lt;&gt;"Closed"),"Transfer: record the contract, SLA and audit rights. ","")&amp;IF(AZ72="","Risk owner missing. ","")&amp;IF(K72="","Scenario not written. ",""))))</f>
        <v/>
      </c>
      <c r="BM72" s="82"/>
    </row>
    <row r="73" customFormat="false" ht="15" hidden="false" customHeight="false" outlineLevel="0" collapsed="false">
      <c r="A73" s="84"/>
      <c r="B73" s="83"/>
      <c r="C73" s="80"/>
      <c r="D73" s="81" t="str">
        <f aca="false">IF(C73="","",IFERROR(INDEX(Lists!$O$2:$O$13,MATCH(C73,Lists!$N$2:$N$13,0)),"Check domain code"))</f>
        <v/>
      </c>
      <c r="E73" s="81" t="str">
        <f aca="false">IF(C73="","",IFERROR(INDEX(Lists!$P$2:$P$13,MATCH(C73,Lists!$N$2:$N$13,0)),""))</f>
        <v/>
      </c>
      <c r="F73" s="80"/>
      <c r="G73" s="82"/>
      <c r="H73" s="82"/>
      <c r="I73" s="82"/>
      <c r="J73" s="83"/>
      <c r="K73" s="82"/>
      <c r="L73" s="82"/>
      <c r="M73" s="84"/>
      <c r="N73" s="85"/>
      <c r="O73" s="82"/>
      <c r="P73" s="86"/>
      <c r="Q73" s="86"/>
      <c r="R73" s="86"/>
      <c r="S73" s="21" t="str">
        <f aca="false">IF(OR(Q73="",R73=""),"",Q73*R73)</f>
        <v/>
      </c>
      <c r="T73" s="85" t="str">
        <f aca="false">IF(S73="","",INDEX(Settings!$A$20:$A$23,MATCH(S73,Settings!$B$20:$B$23,1)))</f>
        <v/>
      </c>
      <c r="U73" s="82"/>
      <c r="V73" s="87"/>
      <c r="W73" s="86"/>
      <c r="X73" s="82"/>
      <c r="Y73" s="88"/>
      <c r="Z73" s="88"/>
      <c r="AA73" s="88"/>
      <c r="AB73" s="88"/>
      <c r="AC73" s="88"/>
      <c r="AD73" s="88"/>
      <c r="AE73" s="88"/>
      <c r="AF73" s="88"/>
      <c r="AG73" s="88"/>
      <c r="AH73" s="88"/>
      <c r="AI73" s="88"/>
      <c r="AJ73" s="89"/>
      <c r="AK73" s="88"/>
      <c r="AL73" s="88"/>
      <c r="AM73" s="88"/>
      <c r="AN73" s="88"/>
      <c r="AO73" s="88"/>
      <c r="AP73" s="88"/>
      <c r="AQ73" s="89"/>
      <c r="AR73" s="89"/>
      <c r="AS73" s="86"/>
      <c r="AT73" s="86"/>
      <c r="AU73" s="85" t="str">
        <f aca="false">IF(OR(AS73="",AT73=""),"",AS73*AT73)</f>
        <v/>
      </c>
      <c r="AV73" s="21" t="str">
        <f aca="false">IF(AU73="","",INDEX(Settings!$A$20:$A$23,MATCH(AU73,Settings!$B$20:$B$23,1)))</f>
        <v/>
      </c>
      <c r="AW73" s="85" t="str">
        <f aca="false">IF(AV73&lt;&gt;"",AV73,T73)</f>
        <v/>
      </c>
      <c r="AX73" s="85" t="str">
        <f aca="false">IF(AW73="","",IF(MATCH(AW73,Settings!$A$20:$A$23,0)&lt;=MATCH(Settings!$C$28,Settings!$A$20:$A$23,0),"Yes","No"))</f>
        <v/>
      </c>
      <c r="AY73" s="81" t="str">
        <f aca="false">IF(AW73="","",IF(AX73="Yes",INDEX(Settings!$G$20:$G$23,MATCH(AW73,Settings!$A$20:$A$23,0)),INDEX(Settings!$G$20:$G$23,MATCH(AW73,Settings!$A$20:$A$23,0))&amp;" (outside appetite)"))</f>
        <v/>
      </c>
      <c r="AZ73" s="82"/>
      <c r="BA73" s="82"/>
      <c r="BB73" s="90"/>
      <c r="BC73" s="91" t="str">
        <f aca="false">IF(OR(BB73="",T73=""),"",BB73+INDEX(Settings!$E$20:$E$23,MATCH(T73,Settings!$A$20:$A$23,0)))</f>
        <v/>
      </c>
      <c r="BD73" s="90"/>
      <c r="BE73" s="82"/>
      <c r="BF73" s="81" t="str">
        <f aca="true">IF(A73="","",IF(OR(BE73="Closed",BE73="Accepted"),"No action",IF(BB73="","Set date identified",IF(TODAY()&gt;BC73,"Deadline exceeded",IF(BC73-TODAY()&lt;=Settings!$C$30,"Deadline approaching","On track")))))</f>
        <v/>
      </c>
      <c r="BG73" s="90"/>
      <c r="BH73" s="90"/>
      <c r="BI73" s="91" t="str">
        <f aca="false">IF(OR(BH73="",AW73=""),"",EDATE(BH73,INDEX(Settings!$F$20:$F$23,MATCH(AW73,Settings!$A$20:$A$23,0))))</f>
        <v/>
      </c>
      <c r="BJ73" s="85" t="str">
        <f aca="false">IF(T73="","",IF(MAX(IF(T73="",0,MATCH(T73,Settings!$A$20:$A$23,0)),IF(AV73="",0,MATCH(AV73,Settings!$A$20:$A$23,0)))&gt;=MATCH(Settings!$C$29,Settings!$A$20:$A$23,0),"Yes","No"))</f>
        <v/>
      </c>
      <c r="BK73" s="82"/>
      <c r="BL73" s="81" t="str">
        <f aca="true">IF(A73="","",IF(TRIM(IF(W73="","Treatment not chosen. ","")&amp;IF(AND(W73="Accept",AX73="No"),"Accepted outside appetite: record approval by "&amp;INDEX(Settings!$G$20:$G$23,MATCH(AW73,Settings!$A$20:$A$23,0))&amp;". ","")&amp;IF(AND(W73="Accept",BG73=""),"Acceptance expiry missing. ","")&amp;IF(AND(BG73&lt;&gt;"",BG73&lt;TODAY()),"Acceptance expired. ","")&amp;IF(AND(W73&lt;&gt;"",W73&lt;&gt;"Accept",AV73=""),"Target rating not set. ","")&amp;IF(AND(BE73="Closed",AX73="No"),"Closed while outside appetite. ","")&amp;IF(AND(W73="Transfer",BE73&lt;&gt;"Transferred",BE73&lt;&gt;"Closed"),"Transfer: record the contract, SLA and audit rights. ","")&amp;IF(AZ73="","Risk owner missing. ","")&amp;IF(K73="","Scenario not written. ",""))="","OK",TRIM(IF(W73="","Treatment not chosen. ","")&amp;IF(AND(W73="Accept",AX73="No"),"Accepted outside appetite: record approval by "&amp;INDEX(Settings!$G$20:$G$23,MATCH(AW73,Settings!$A$20:$A$23,0))&amp;". ","")&amp;IF(AND(W73="Accept",BG73=""),"Acceptance expiry missing. ","")&amp;IF(AND(BG73&lt;&gt;"",BG73&lt;TODAY()),"Acceptance expired. ","")&amp;IF(AND(W73&lt;&gt;"",W73&lt;&gt;"Accept",AV73=""),"Target rating not set. ","")&amp;IF(AND(BE73="Closed",AX73="No"),"Closed while outside appetite. ","")&amp;IF(AND(W73="Transfer",BE73&lt;&gt;"Transferred",BE73&lt;&gt;"Closed"),"Transfer: record the contract, SLA and audit rights. ","")&amp;IF(AZ73="","Risk owner missing. ","")&amp;IF(K73="","Scenario not written. ",""))))</f>
        <v/>
      </c>
      <c r="BM73" s="82"/>
    </row>
    <row r="74" customFormat="false" ht="15" hidden="false" customHeight="false" outlineLevel="0" collapsed="false">
      <c r="A74" s="95"/>
      <c r="B74" s="94"/>
      <c r="C74" s="80"/>
      <c r="D74" s="81" t="str">
        <f aca="false">IF(C74="","",IFERROR(INDEX(Lists!$O$2:$O$13,MATCH(C74,Lists!$N$2:$N$13,0)),"Check domain code"))</f>
        <v/>
      </c>
      <c r="E74" s="81" t="str">
        <f aca="false">IF(C74="","",IFERROR(INDEX(Lists!$P$2:$P$13,MATCH(C74,Lists!$N$2:$N$13,0)),""))</f>
        <v/>
      </c>
      <c r="F74" s="80"/>
      <c r="G74" s="82"/>
      <c r="H74" s="82"/>
      <c r="I74" s="82"/>
      <c r="J74" s="94"/>
      <c r="K74" s="82"/>
      <c r="L74" s="82"/>
      <c r="M74" s="95"/>
      <c r="N74" s="85"/>
      <c r="O74" s="82"/>
      <c r="P74" s="86"/>
      <c r="Q74" s="86"/>
      <c r="R74" s="86"/>
      <c r="S74" s="21" t="str">
        <f aca="false">IF(OR(Q74="",R74=""),"",Q74*R74)</f>
        <v/>
      </c>
      <c r="T74" s="85" t="str">
        <f aca="false">IF(S74="","",INDEX(Settings!$A$20:$A$23,MATCH(S74,Settings!$B$20:$B$23,1)))</f>
        <v/>
      </c>
      <c r="U74" s="82"/>
      <c r="V74" s="87"/>
      <c r="W74" s="86"/>
      <c r="X74" s="82"/>
      <c r="Y74" s="96"/>
      <c r="Z74" s="96"/>
      <c r="AA74" s="96"/>
      <c r="AB74" s="96"/>
      <c r="AC74" s="96"/>
      <c r="AD74" s="96"/>
      <c r="AE74" s="96"/>
      <c r="AF74" s="96"/>
      <c r="AG74" s="96"/>
      <c r="AH74" s="96"/>
      <c r="AI74" s="96"/>
      <c r="AJ74" s="97"/>
      <c r="AK74" s="96"/>
      <c r="AL74" s="96"/>
      <c r="AM74" s="96"/>
      <c r="AN74" s="96"/>
      <c r="AO74" s="96"/>
      <c r="AP74" s="96"/>
      <c r="AQ74" s="97"/>
      <c r="AR74" s="97"/>
      <c r="AS74" s="86"/>
      <c r="AT74" s="86"/>
      <c r="AU74" s="85" t="str">
        <f aca="false">IF(OR(AS74="",AT74=""),"",AS74*AT74)</f>
        <v/>
      </c>
      <c r="AV74" s="21" t="str">
        <f aca="false">IF(AU74="","",INDEX(Settings!$A$20:$A$23,MATCH(AU74,Settings!$B$20:$B$23,1)))</f>
        <v/>
      </c>
      <c r="AW74" s="85" t="str">
        <f aca="false">IF(AV74&lt;&gt;"",AV74,T74)</f>
        <v/>
      </c>
      <c r="AX74" s="85" t="str">
        <f aca="false">IF(AW74="","",IF(MATCH(AW74,Settings!$A$20:$A$23,0)&lt;=MATCH(Settings!$C$28,Settings!$A$20:$A$23,0),"Yes","No"))</f>
        <v/>
      </c>
      <c r="AY74" s="81" t="str">
        <f aca="false">IF(AW74="","",IF(AX74="Yes",INDEX(Settings!$G$20:$G$23,MATCH(AW74,Settings!$A$20:$A$23,0)),INDEX(Settings!$G$20:$G$23,MATCH(AW74,Settings!$A$20:$A$23,0))&amp;" (outside appetite)"))</f>
        <v/>
      </c>
      <c r="AZ74" s="82"/>
      <c r="BA74" s="82"/>
      <c r="BB74" s="90"/>
      <c r="BC74" s="91" t="str">
        <f aca="false">IF(OR(BB74="",T74=""),"",BB74+INDEX(Settings!$E$20:$E$23,MATCH(T74,Settings!$A$20:$A$23,0)))</f>
        <v/>
      </c>
      <c r="BD74" s="90"/>
      <c r="BE74" s="82"/>
      <c r="BF74" s="81" t="str">
        <f aca="true">IF(A74="","",IF(OR(BE74="Closed",BE74="Accepted"),"No action",IF(BB74="","Set date identified",IF(TODAY()&gt;BC74,"Deadline exceeded",IF(BC74-TODAY()&lt;=Settings!$C$30,"Deadline approaching","On track")))))</f>
        <v/>
      </c>
      <c r="BG74" s="90"/>
      <c r="BH74" s="90"/>
      <c r="BI74" s="91" t="str">
        <f aca="false">IF(OR(BH74="",AW74=""),"",EDATE(BH74,INDEX(Settings!$F$20:$F$23,MATCH(AW74,Settings!$A$20:$A$23,0))))</f>
        <v/>
      </c>
      <c r="BJ74" s="85" t="str">
        <f aca="false">IF(T74="","",IF(MAX(IF(T74="",0,MATCH(T74,Settings!$A$20:$A$23,0)),IF(AV74="",0,MATCH(AV74,Settings!$A$20:$A$23,0)))&gt;=MATCH(Settings!$C$29,Settings!$A$20:$A$23,0),"Yes","No"))</f>
        <v/>
      </c>
      <c r="BK74" s="82"/>
      <c r="BL74" s="81" t="str">
        <f aca="true">IF(A74="","",IF(TRIM(IF(W74="","Treatment not chosen. ","")&amp;IF(AND(W74="Accept",AX74="No"),"Accepted outside appetite: record approval by "&amp;INDEX(Settings!$G$20:$G$23,MATCH(AW74,Settings!$A$20:$A$23,0))&amp;". ","")&amp;IF(AND(W74="Accept",BG74=""),"Acceptance expiry missing. ","")&amp;IF(AND(BG74&lt;&gt;"",BG74&lt;TODAY()),"Acceptance expired. ","")&amp;IF(AND(W74&lt;&gt;"",W74&lt;&gt;"Accept",AV74=""),"Target rating not set. ","")&amp;IF(AND(BE74="Closed",AX74="No"),"Closed while outside appetite. ","")&amp;IF(AND(W74="Transfer",BE74&lt;&gt;"Transferred",BE74&lt;&gt;"Closed"),"Transfer: record the contract, SLA and audit rights. ","")&amp;IF(AZ74="","Risk owner missing. ","")&amp;IF(K74="","Scenario not written. ",""))="","OK",TRIM(IF(W74="","Treatment not chosen. ","")&amp;IF(AND(W74="Accept",AX74="No"),"Accepted outside appetite: record approval by "&amp;INDEX(Settings!$G$20:$G$23,MATCH(AW74,Settings!$A$20:$A$23,0))&amp;". ","")&amp;IF(AND(W74="Accept",BG74=""),"Acceptance expiry missing. ","")&amp;IF(AND(BG74&lt;&gt;"",BG74&lt;TODAY()),"Acceptance expired. ","")&amp;IF(AND(W74&lt;&gt;"",W74&lt;&gt;"Accept",AV74=""),"Target rating not set. ","")&amp;IF(AND(BE74="Closed",AX74="No"),"Closed while outside appetite. ","")&amp;IF(AND(W74="Transfer",BE74&lt;&gt;"Transferred",BE74&lt;&gt;"Closed"),"Transfer: record the contract, SLA and audit rights. ","")&amp;IF(AZ74="","Risk owner missing. ","")&amp;IF(K74="","Scenario not written. ",""))))</f>
        <v/>
      </c>
      <c r="BM74" s="82"/>
    </row>
    <row r="75" customFormat="false" ht="15" hidden="false" customHeight="false" outlineLevel="0" collapsed="false">
      <c r="A75" s="84"/>
      <c r="B75" s="83"/>
      <c r="C75" s="80"/>
      <c r="D75" s="81" t="str">
        <f aca="false">IF(C75="","",IFERROR(INDEX(Lists!$O$2:$O$13,MATCH(C75,Lists!$N$2:$N$13,0)),"Check domain code"))</f>
        <v/>
      </c>
      <c r="E75" s="81" t="str">
        <f aca="false">IF(C75="","",IFERROR(INDEX(Lists!$P$2:$P$13,MATCH(C75,Lists!$N$2:$N$13,0)),""))</f>
        <v/>
      </c>
      <c r="F75" s="80"/>
      <c r="G75" s="82"/>
      <c r="H75" s="82"/>
      <c r="I75" s="82"/>
      <c r="J75" s="83"/>
      <c r="K75" s="82"/>
      <c r="L75" s="82"/>
      <c r="M75" s="84"/>
      <c r="N75" s="85"/>
      <c r="O75" s="82"/>
      <c r="P75" s="86"/>
      <c r="Q75" s="86"/>
      <c r="R75" s="86"/>
      <c r="S75" s="21" t="str">
        <f aca="false">IF(OR(Q75="",R75=""),"",Q75*R75)</f>
        <v/>
      </c>
      <c r="T75" s="85" t="str">
        <f aca="false">IF(S75="","",INDEX(Settings!$A$20:$A$23,MATCH(S75,Settings!$B$20:$B$23,1)))</f>
        <v/>
      </c>
      <c r="U75" s="82"/>
      <c r="V75" s="87"/>
      <c r="W75" s="86"/>
      <c r="X75" s="82"/>
      <c r="Y75" s="88"/>
      <c r="Z75" s="88"/>
      <c r="AA75" s="88"/>
      <c r="AB75" s="88"/>
      <c r="AC75" s="88"/>
      <c r="AD75" s="88"/>
      <c r="AE75" s="88"/>
      <c r="AF75" s="88"/>
      <c r="AG75" s="88"/>
      <c r="AH75" s="88"/>
      <c r="AI75" s="88"/>
      <c r="AJ75" s="89"/>
      <c r="AK75" s="88"/>
      <c r="AL75" s="88"/>
      <c r="AM75" s="88"/>
      <c r="AN75" s="88"/>
      <c r="AO75" s="88"/>
      <c r="AP75" s="88"/>
      <c r="AQ75" s="89"/>
      <c r="AR75" s="89"/>
      <c r="AS75" s="86"/>
      <c r="AT75" s="86"/>
      <c r="AU75" s="85" t="str">
        <f aca="false">IF(OR(AS75="",AT75=""),"",AS75*AT75)</f>
        <v/>
      </c>
      <c r="AV75" s="21" t="str">
        <f aca="false">IF(AU75="","",INDEX(Settings!$A$20:$A$23,MATCH(AU75,Settings!$B$20:$B$23,1)))</f>
        <v/>
      </c>
      <c r="AW75" s="85" t="str">
        <f aca="false">IF(AV75&lt;&gt;"",AV75,T75)</f>
        <v/>
      </c>
      <c r="AX75" s="85" t="str">
        <f aca="false">IF(AW75="","",IF(MATCH(AW75,Settings!$A$20:$A$23,0)&lt;=MATCH(Settings!$C$28,Settings!$A$20:$A$23,0),"Yes","No"))</f>
        <v/>
      </c>
      <c r="AY75" s="81" t="str">
        <f aca="false">IF(AW75="","",IF(AX75="Yes",INDEX(Settings!$G$20:$G$23,MATCH(AW75,Settings!$A$20:$A$23,0)),INDEX(Settings!$G$20:$G$23,MATCH(AW75,Settings!$A$20:$A$23,0))&amp;" (outside appetite)"))</f>
        <v/>
      </c>
      <c r="AZ75" s="82"/>
      <c r="BA75" s="82"/>
      <c r="BB75" s="90"/>
      <c r="BC75" s="91" t="str">
        <f aca="false">IF(OR(BB75="",T75=""),"",BB75+INDEX(Settings!$E$20:$E$23,MATCH(T75,Settings!$A$20:$A$23,0)))</f>
        <v/>
      </c>
      <c r="BD75" s="90"/>
      <c r="BE75" s="82"/>
      <c r="BF75" s="81" t="str">
        <f aca="true">IF(A75="","",IF(OR(BE75="Closed",BE75="Accepted"),"No action",IF(BB75="","Set date identified",IF(TODAY()&gt;BC75,"Deadline exceeded",IF(BC75-TODAY()&lt;=Settings!$C$30,"Deadline approaching","On track")))))</f>
        <v/>
      </c>
      <c r="BG75" s="90"/>
      <c r="BH75" s="90"/>
      <c r="BI75" s="91" t="str">
        <f aca="false">IF(OR(BH75="",AW75=""),"",EDATE(BH75,INDEX(Settings!$F$20:$F$23,MATCH(AW75,Settings!$A$20:$A$23,0))))</f>
        <v/>
      </c>
      <c r="BJ75" s="85" t="str">
        <f aca="false">IF(T75="","",IF(MAX(IF(T75="",0,MATCH(T75,Settings!$A$20:$A$23,0)),IF(AV75="",0,MATCH(AV75,Settings!$A$20:$A$23,0)))&gt;=MATCH(Settings!$C$29,Settings!$A$20:$A$23,0),"Yes","No"))</f>
        <v/>
      </c>
      <c r="BK75" s="82"/>
      <c r="BL75" s="81" t="str">
        <f aca="true">IF(A75="","",IF(TRIM(IF(W75="","Treatment not chosen. ","")&amp;IF(AND(W75="Accept",AX75="No"),"Accepted outside appetite: record approval by "&amp;INDEX(Settings!$G$20:$G$23,MATCH(AW75,Settings!$A$20:$A$23,0))&amp;". ","")&amp;IF(AND(W75="Accept",BG75=""),"Acceptance expiry missing. ","")&amp;IF(AND(BG75&lt;&gt;"",BG75&lt;TODAY()),"Acceptance expired. ","")&amp;IF(AND(W75&lt;&gt;"",W75&lt;&gt;"Accept",AV75=""),"Target rating not set. ","")&amp;IF(AND(BE75="Closed",AX75="No"),"Closed while outside appetite. ","")&amp;IF(AND(W75="Transfer",BE75&lt;&gt;"Transferred",BE75&lt;&gt;"Closed"),"Transfer: record the contract, SLA and audit rights. ","")&amp;IF(AZ75="","Risk owner missing. ","")&amp;IF(K75="","Scenario not written. ",""))="","OK",TRIM(IF(W75="","Treatment not chosen. ","")&amp;IF(AND(W75="Accept",AX75="No"),"Accepted outside appetite: record approval by "&amp;INDEX(Settings!$G$20:$G$23,MATCH(AW75,Settings!$A$20:$A$23,0))&amp;". ","")&amp;IF(AND(W75="Accept",BG75=""),"Acceptance expiry missing. ","")&amp;IF(AND(BG75&lt;&gt;"",BG75&lt;TODAY()),"Acceptance expired. ","")&amp;IF(AND(W75&lt;&gt;"",W75&lt;&gt;"Accept",AV75=""),"Target rating not set. ","")&amp;IF(AND(BE75="Closed",AX75="No"),"Closed while outside appetite. ","")&amp;IF(AND(W75="Transfer",BE75&lt;&gt;"Transferred",BE75&lt;&gt;"Closed"),"Transfer: record the contract, SLA and audit rights. ","")&amp;IF(AZ75="","Risk owner missing. ","")&amp;IF(K75="","Scenario not written. ",""))))</f>
        <v/>
      </c>
      <c r="BM75" s="82"/>
    </row>
    <row r="76" customFormat="false" ht="15" hidden="false" customHeight="false" outlineLevel="0" collapsed="false">
      <c r="A76" s="95"/>
      <c r="B76" s="94"/>
      <c r="C76" s="80"/>
      <c r="D76" s="81" t="str">
        <f aca="false">IF(C76="","",IFERROR(INDEX(Lists!$O$2:$O$13,MATCH(C76,Lists!$N$2:$N$13,0)),"Check domain code"))</f>
        <v/>
      </c>
      <c r="E76" s="81" t="str">
        <f aca="false">IF(C76="","",IFERROR(INDEX(Lists!$P$2:$P$13,MATCH(C76,Lists!$N$2:$N$13,0)),""))</f>
        <v/>
      </c>
      <c r="F76" s="80"/>
      <c r="G76" s="82"/>
      <c r="H76" s="82"/>
      <c r="I76" s="82"/>
      <c r="J76" s="94"/>
      <c r="K76" s="82"/>
      <c r="L76" s="82"/>
      <c r="M76" s="95"/>
      <c r="N76" s="85"/>
      <c r="O76" s="82"/>
      <c r="P76" s="86"/>
      <c r="Q76" s="86"/>
      <c r="R76" s="86"/>
      <c r="S76" s="21" t="str">
        <f aca="false">IF(OR(Q76="",R76=""),"",Q76*R76)</f>
        <v/>
      </c>
      <c r="T76" s="85" t="str">
        <f aca="false">IF(S76="","",INDEX(Settings!$A$20:$A$23,MATCH(S76,Settings!$B$20:$B$23,1)))</f>
        <v/>
      </c>
      <c r="U76" s="82"/>
      <c r="V76" s="87"/>
      <c r="W76" s="86"/>
      <c r="X76" s="82"/>
      <c r="Y76" s="96"/>
      <c r="Z76" s="96"/>
      <c r="AA76" s="96"/>
      <c r="AB76" s="96"/>
      <c r="AC76" s="96"/>
      <c r="AD76" s="96"/>
      <c r="AE76" s="96"/>
      <c r="AF76" s="96"/>
      <c r="AG76" s="96"/>
      <c r="AH76" s="96"/>
      <c r="AI76" s="96"/>
      <c r="AJ76" s="97"/>
      <c r="AK76" s="96"/>
      <c r="AL76" s="96"/>
      <c r="AM76" s="96"/>
      <c r="AN76" s="96"/>
      <c r="AO76" s="96"/>
      <c r="AP76" s="96"/>
      <c r="AQ76" s="97"/>
      <c r="AR76" s="97"/>
      <c r="AS76" s="86"/>
      <c r="AT76" s="86"/>
      <c r="AU76" s="85" t="str">
        <f aca="false">IF(OR(AS76="",AT76=""),"",AS76*AT76)</f>
        <v/>
      </c>
      <c r="AV76" s="21" t="str">
        <f aca="false">IF(AU76="","",INDEX(Settings!$A$20:$A$23,MATCH(AU76,Settings!$B$20:$B$23,1)))</f>
        <v/>
      </c>
      <c r="AW76" s="85" t="str">
        <f aca="false">IF(AV76&lt;&gt;"",AV76,T76)</f>
        <v/>
      </c>
      <c r="AX76" s="85" t="str">
        <f aca="false">IF(AW76="","",IF(MATCH(AW76,Settings!$A$20:$A$23,0)&lt;=MATCH(Settings!$C$28,Settings!$A$20:$A$23,0),"Yes","No"))</f>
        <v/>
      </c>
      <c r="AY76" s="81" t="str">
        <f aca="false">IF(AW76="","",IF(AX76="Yes",INDEX(Settings!$G$20:$G$23,MATCH(AW76,Settings!$A$20:$A$23,0)),INDEX(Settings!$G$20:$G$23,MATCH(AW76,Settings!$A$20:$A$23,0))&amp;" (outside appetite)"))</f>
        <v/>
      </c>
      <c r="AZ76" s="82"/>
      <c r="BA76" s="82"/>
      <c r="BB76" s="90"/>
      <c r="BC76" s="91" t="str">
        <f aca="false">IF(OR(BB76="",T76=""),"",BB76+INDEX(Settings!$E$20:$E$23,MATCH(T76,Settings!$A$20:$A$23,0)))</f>
        <v/>
      </c>
      <c r="BD76" s="90"/>
      <c r="BE76" s="82"/>
      <c r="BF76" s="81" t="str">
        <f aca="true">IF(A76="","",IF(OR(BE76="Closed",BE76="Accepted"),"No action",IF(BB76="","Set date identified",IF(TODAY()&gt;BC76,"Deadline exceeded",IF(BC76-TODAY()&lt;=Settings!$C$30,"Deadline approaching","On track")))))</f>
        <v/>
      </c>
      <c r="BG76" s="90"/>
      <c r="BH76" s="90"/>
      <c r="BI76" s="91" t="str">
        <f aca="false">IF(OR(BH76="",AW76=""),"",EDATE(BH76,INDEX(Settings!$F$20:$F$23,MATCH(AW76,Settings!$A$20:$A$23,0))))</f>
        <v/>
      </c>
      <c r="BJ76" s="85" t="str">
        <f aca="false">IF(T76="","",IF(MAX(IF(T76="",0,MATCH(T76,Settings!$A$20:$A$23,0)),IF(AV76="",0,MATCH(AV76,Settings!$A$20:$A$23,0)))&gt;=MATCH(Settings!$C$29,Settings!$A$20:$A$23,0),"Yes","No"))</f>
        <v/>
      </c>
      <c r="BK76" s="82"/>
      <c r="BL76" s="81" t="str">
        <f aca="true">IF(A76="","",IF(TRIM(IF(W76="","Treatment not chosen. ","")&amp;IF(AND(W76="Accept",AX76="No"),"Accepted outside appetite: record approval by "&amp;INDEX(Settings!$G$20:$G$23,MATCH(AW76,Settings!$A$20:$A$23,0))&amp;". ","")&amp;IF(AND(W76="Accept",BG76=""),"Acceptance expiry missing. ","")&amp;IF(AND(BG76&lt;&gt;"",BG76&lt;TODAY()),"Acceptance expired. ","")&amp;IF(AND(W76&lt;&gt;"",W76&lt;&gt;"Accept",AV76=""),"Target rating not set. ","")&amp;IF(AND(BE76="Closed",AX76="No"),"Closed while outside appetite. ","")&amp;IF(AND(W76="Transfer",BE76&lt;&gt;"Transferred",BE76&lt;&gt;"Closed"),"Transfer: record the contract, SLA and audit rights. ","")&amp;IF(AZ76="","Risk owner missing. ","")&amp;IF(K76="","Scenario not written. ",""))="","OK",TRIM(IF(W76="","Treatment not chosen. ","")&amp;IF(AND(W76="Accept",AX76="No"),"Accepted outside appetite: record approval by "&amp;INDEX(Settings!$G$20:$G$23,MATCH(AW76,Settings!$A$20:$A$23,0))&amp;". ","")&amp;IF(AND(W76="Accept",BG76=""),"Acceptance expiry missing. ","")&amp;IF(AND(BG76&lt;&gt;"",BG76&lt;TODAY()),"Acceptance expired. ","")&amp;IF(AND(W76&lt;&gt;"",W76&lt;&gt;"Accept",AV76=""),"Target rating not set. ","")&amp;IF(AND(BE76="Closed",AX76="No"),"Closed while outside appetite. ","")&amp;IF(AND(W76="Transfer",BE76&lt;&gt;"Transferred",BE76&lt;&gt;"Closed"),"Transfer: record the contract, SLA and audit rights. ","")&amp;IF(AZ76="","Risk owner missing. ","")&amp;IF(K76="","Scenario not written. ",""))))</f>
        <v/>
      </c>
      <c r="BM76" s="82"/>
    </row>
    <row r="77" customFormat="false" ht="15" hidden="false" customHeight="false" outlineLevel="0" collapsed="false">
      <c r="A77" s="84"/>
      <c r="B77" s="83"/>
      <c r="C77" s="80"/>
      <c r="D77" s="81" t="str">
        <f aca="false">IF(C77="","",IFERROR(INDEX(Lists!$O$2:$O$13,MATCH(C77,Lists!$N$2:$N$13,0)),"Check domain code"))</f>
        <v/>
      </c>
      <c r="E77" s="81" t="str">
        <f aca="false">IF(C77="","",IFERROR(INDEX(Lists!$P$2:$P$13,MATCH(C77,Lists!$N$2:$N$13,0)),""))</f>
        <v/>
      </c>
      <c r="F77" s="80"/>
      <c r="G77" s="82"/>
      <c r="H77" s="82"/>
      <c r="I77" s="82"/>
      <c r="J77" s="83"/>
      <c r="K77" s="82"/>
      <c r="L77" s="82"/>
      <c r="M77" s="84"/>
      <c r="N77" s="85"/>
      <c r="O77" s="82"/>
      <c r="P77" s="86"/>
      <c r="Q77" s="86"/>
      <c r="R77" s="86"/>
      <c r="S77" s="21" t="str">
        <f aca="false">IF(OR(Q77="",R77=""),"",Q77*R77)</f>
        <v/>
      </c>
      <c r="T77" s="85" t="str">
        <f aca="false">IF(S77="","",INDEX(Settings!$A$20:$A$23,MATCH(S77,Settings!$B$20:$B$23,1)))</f>
        <v/>
      </c>
      <c r="U77" s="82"/>
      <c r="V77" s="87"/>
      <c r="W77" s="86"/>
      <c r="X77" s="82"/>
      <c r="Y77" s="88"/>
      <c r="Z77" s="88"/>
      <c r="AA77" s="88"/>
      <c r="AB77" s="88"/>
      <c r="AC77" s="88"/>
      <c r="AD77" s="88"/>
      <c r="AE77" s="88"/>
      <c r="AF77" s="88"/>
      <c r="AG77" s="88"/>
      <c r="AH77" s="88"/>
      <c r="AI77" s="88"/>
      <c r="AJ77" s="89"/>
      <c r="AK77" s="88"/>
      <c r="AL77" s="88"/>
      <c r="AM77" s="88"/>
      <c r="AN77" s="88"/>
      <c r="AO77" s="88"/>
      <c r="AP77" s="88"/>
      <c r="AQ77" s="89"/>
      <c r="AR77" s="89"/>
      <c r="AS77" s="86"/>
      <c r="AT77" s="86"/>
      <c r="AU77" s="85" t="str">
        <f aca="false">IF(OR(AS77="",AT77=""),"",AS77*AT77)</f>
        <v/>
      </c>
      <c r="AV77" s="21" t="str">
        <f aca="false">IF(AU77="","",INDEX(Settings!$A$20:$A$23,MATCH(AU77,Settings!$B$20:$B$23,1)))</f>
        <v/>
      </c>
      <c r="AW77" s="85" t="str">
        <f aca="false">IF(AV77&lt;&gt;"",AV77,T77)</f>
        <v/>
      </c>
      <c r="AX77" s="85" t="str">
        <f aca="false">IF(AW77="","",IF(MATCH(AW77,Settings!$A$20:$A$23,0)&lt;=MATCH(Settings!$C$28,Settings!$A$20:$A$23,0),"Yes","No"))</f>
        <v/>
      </c>
      <c r="AY77" s="81" t="str">
        <f aca="false">IF(AW77="","",IF(AX77="Yes",INDEX(Settings!$G$20:$G$23,MATCH(AW77,Settings!$A$20:$A$23,0)),INDEX(Settings!$G$20:$G$23,MATCH(AW77,Settings!$A$20:$A$23,0))&amp;" (outside appetite)"))</f>
        <v/>
      </c>
      <c r="AZ77" s="82"/>
      <c r="BA77" s="82"/>
      <c r="BB77" s="90"/>
      <c r="BC77" s="91" t="str">
        <f aca="false">IF(OR(BB77="",T77=""),"",BB77+INDEX(Settings!$E$20:$E$23,MATCH(T77,Settings!$A$20:$A$23,0)))</f>
        <v/>
      </c>
      <c r="BD77" s="90"/>
      <c r="BE77" s="82"/>
      <c r="BF77" s="81" t="str">
        <f aca="true">IF(A77="","",IF(OR(BE77="Closed",BE77="Accepted"),"No action",IF(BB77="","Set date identified",IF(TODAY()&gt;BC77,"Deadline exceeded",IF(BC77-TODAY()&lt;=Settings!$C$30,"Deadline approaching","On track")))))</f>
        <v/>
      </c>
      <c r="BG77" s="90"/>
      <c r="BH77" s="90"/>
      <c r="BI77" s="91" t="str">
        <f aca="false">IF(OR(BH77="",AW77=""),"",EDATE(BH77,INDEX(Settings!$F$20:$F$23,MATCH(AW77,Settings!$A$20:$A$23,0))))</f>
        <v/>
      </c>
      <c r="BJ77" s="85" t="str">
        <f aca="false">IF(T77="","",IF(MAX(IF(T77="",0,MATCH(T77,Settings!$A$20:$A$23,0)),IF(AV77="",0,MATCH(AV77,Settings!$A$20:$A$23,0)))&gt;=MATCH(Settings!$C$29,Settings!$A$20:$A$23,0),"Yes","No"))</f>
        <v/>
      </c>
      <c r="BK77" s="82"/>
      <c r="BL77" s="81" t="str">
        <f aca="true">IF(A77="","",IF(TRIM(IF(W77="","Treatment not chosen. ","")&amp;IF(AND(W77="Accept",AX77="No"),"Accepted outside appetite: record approval by "&amp;INDEX(Settings!$G$20:$G$23,MATCH(AW77,Settings!$A$20:$A$23,0))&amp;". ","")&amp;IF(AND(W77="Accept",BG77=""),"Acceptance expiry missing. ","")&amp;IF(AND(BG77&lt;&gt;"",BG77&lt;TODAY()),"Acceptance expired. ","")&amp;IF(AND(W77&lt;&gt;"",W77&lt;&gt;"Accept",AV77=""),"Target rating not set. ","")&amp;IF(AND(BE77="Closed",AX77="No"),"Closed while outside appetite. ","")&amp;IF(AND(W77="Transfer",BE77&lt;&gt;"Transferred",BE77&lt;&gt;"Closed"),"Transfer: record the contract, SLA and audit rights. ","")&amp;IF(AZ77="","Risk owner missing. ","")&amp;IF(K77="","Scenario not written. ",""))="","OK",TRIM(IF(W77="","Treatment not chosen. ","")&amp;IF(AND(W77="Accept",AX77="No"),"Accepted outside appetite: record approval by "&amp;INDEX(Settings!$G$20:$G$23,MATCH(AW77,Settings!$A$20:$A$23,0))&amp;". ","")&amp;IF(AND(W77="Accept",BG77=""),"Acceptance expiry missing. ","")&amp;IF(AND(BG77&lt;&gt;"",BG77&lt;TODAY()),"Acceptance expired. ","")&amp;IF(AND(W77&lt;&gt;"",W77&lt;&gt;"Accept",AV77=""),"Target rating not set. ","")&amp;IF(AND(BE77="Closed",AX77="No"),"Closed while outside appetite. ","")&amp;IF(AND(W77="Transfer",BE77&lt;&gt;"Transferred",BE77&lt;&gt;"Closed"),"Transfer: record the contract, SLA and audit rights. ","")&amp;IF(AZ77="","Risk owner missing. ","")&amp;IF(K77="","Scenario not written. ",""))))</f>
        <v/>
      </c>
      <c r="BM77" s="82"/>
    </row>
    <row r="78" customFormat="false" ht="15" hidden="false" customHeight="false" outlineLevel="0" collapsed="false">
      <c r="A78" s="95"/>
      <c r="B78" s="94"/>
      <c r="C78" s="80"/>
      <c r="D78" s="81" t="str">
        <f aca="false">IF(C78="","",IFERROR(INDEX(Lists!$O$2:$O$13,MATCH(C78,Lists!$N$2:$N$13,0)),"Check domain code"))</f>
        <v/>
      </c>
      <c r="E78" s="81" t="str">
        <f aca="false">IF(C78="","",IFERROR(INDEX(Lists!$P$2:$P$13,MATCH(C78,Lists!$N$2:$N$13,0)),""))</f>
        <v/>
      </c>
      <c r="F78" s="80"/>
      <c r="G78" s="82"/>
      <c r="H78" s="82"/>
      <c r="I78" s="82"/>
      <c r="J78" s="94"/>
      <c r="K78" s="82"/>
      <c r="L78" s="82"/>
      <c r="M78" s="95"/>
      <c r="N78" s="85"/>
      <c r="O78" s="82"/>
      <c r="P78" s="86"/>
      <c r="Q78" s="86"/>
      <c r="R78" s="86"/>
      <c r="S78" s="21" t="str">
        <f aca="false">IF(OR(Q78="",R78=""),"",Q78*R78)</f>
        <v/>
      </c>
      <c r="T78" s="85" t="str">
        <f aca="false">IF(S78="","",INDEX(Settings!$A$20:$A$23,MATCH(S78,Settings!$B$20:$B$23,1)))</f>
        <v/>
      </c>
      <c r="U78" s="82"/>
      <c r="V78" s="87"/>
      <c r="W78" s="86"/>
      <c r="X78" s="82"/>
      <c r="Y78" s="96"/>
      <c r="Z78" s="96"/>
      <c r="AA78" s="96"/>
      <c r="AB78" s="96"/>
      <c r="AC78" s="96"/>
      <c r="AD78" s="96"/>
      <c r="AE78" s="96"/>
      <c r="AF78" s="96"/>
      <c r="AG78" s="96"/>
      <c r="AH78" s="96"/>
      <c r="AI78" s="96"/>
      <c r="AJ78" s="97"/>
      <c r="AK78" s="96"/>
      <c r="AL78" s="96"/>
      <c r="AM78" s="96"/>
      <c r="AN78" s="96"/>
      <c r="AO78" s="96"/>
      <c r="AP78" s="96"/>
      <c r="AQ78" s="97"/>
      <c r="AR78" s="97"/>
      <c r="AS78" s="86"/>
      <c r="AT78" s="86"/>
      <c r="AU78" s="85" t="str">
        <f aca="false">IF(OR(AS78="",AT78=""),"",AS78*AT78)</f>
        <v/>
      </c>
      <c r="AV78" s="21" t="str">
        <f aca="false">IF(AU78="","",INDEX(Settings!$A$20:$A$23,MATCH(AU78,Settings!$B$20:$B$23,1)))</f>
        <v/>
      </c>
      <c r="AW78" s="85" t="str">
        <f aca="false">IF(AV78&lt;&gt;"",AV78,T78)</f>
        <v/>
      </c>
      <c r="AX78" s="85" t="str">
        <f aca="false">IF(AW78="","",IF(MATCH(AW78,Settings!$A$20:$A$23,0)&lt;=MATCH(Settings!$C$28,Settings!$A$20:$A$23,0),"Yes","No"))</f>
        <v/>
      </c>
      <c r="AY78" s="81" t="str">
        <f aca="false">IF(AW78="","",IF(AX78="Yes",INDEX(Settings!$G$20:$G$23,MATCH(AW78,Settings!$A$20:$A$23,0)),INDEX(Settings!$G$20:$G$23,MATCH(AW78,Settings!$A$20:$A$23,0))&amp;" (outside appetite)"))</f>
        <v/>
      </c>
      <c r="AZ78" s="82"/>
      <c r="BA78" s="82"/>
      <c r="BB78" s="90"/>
      <c r="BC78" s="91" t="str">
        <f aca="false">IF(OR(BB78="",T78=""),"",BB78+INDEX(Settings!$E$20:$E$23,MATCH(T78,Settings!$A$20:$A$23,0)))</f>
        <v/>
      </c>
      <c r="BD78" s="90"/>
      <c r="BE78" s="82"/>
      <c r="BF78" s="81" t="str">
        <f aca="true">IF(A78="","",IF(OR(BE78="Closed",BE78="Accepted"),"No action",IF(BB78="","Set date identified",IF(TODAY()&gt;BC78,"Deadline exceeded",IF(BC78-TODAY()&lt;=Settings!$C$30,"Deadline approaching","On track")))))</f>
        <v/>
      </c>
      <c r="BG78" s="90"/>
      <c r="BH78" s="90"/>
      <c r="BI78" s="91" t="str">
        <f aca="false">IF(OR(BH78="",AW78=""),"",EDATE(BH78,INDEX(Settings!$F$20:$F$23,MATCH(AW78,Settings!$A$20:$A$23,0))))</f>
        <v/>
      </c>
      <c r="BJ78" s="85" t="str">
        <f aca="false">IF(T78="","",IF(MAX(IF(T78="",0,MATCH(T78,Settings!$A$20:$A$23,0)),IF(AV78="",0,MATCH(AV78,Settings!$A$20:$A$23,0)))&gt;=MATCH(Settings!$C$29,Settings!$A$20:$A$23,0),"Yes","No"))</f>
        <v/>
      </c>
      <c r="BK78" s="82"/>
      <c r="BL78" s="81" t="str">
        <f aca="true">IF(A78="","",IF(TRIM(IF(W78="","Treatment not chosen. ","")&amp;IF(AND(W78="Accept",AX78="No"),"Accepted outside appetite: record approval by "&amp;INDEX(Settings!$G$20:$G$23,MATCH(AW78,Settings!$A$20:$A$23,0))&amp;". ","")&amp;IF(AND(W78="Accept",BG78=""),"Acceptance expiry missing. ","")&amp;IF(AND(BG78&lt;&gt;"",BG78&lt;TODAY()),"Acceptance expired. ","")&amp;IF(AND(W78&lt;&gt;"",W78&lt;&gt;"Accept",AV78=""),"Target rating not set. ","")&amp;IF(AND(BE78="Closed",AX78="No"),"Closed while outside appetite. ","")&amp;IF(AND(W78="Transfer",BE78&lt;&gt;"Transferred",BE78&lt;&gt;"Closed"),"Transfer: record the contract, SLA and audit rights. ","")&amp;IF(AZ78="","Risk owner missing. ","")&amp;IF(K78="","Scenario not written. ",""))="","OK",TRIM(IF(W78="","Treatment not chosen. ","")&amp;IF(AND(W78="Accept",AX78="No"),"Accepted outside appetite: record approval by "&amp;INDEX(Settings!$G$20:$G$23,MATCH(AW78,Settings!$A$20:$A$23,0))&amp;". ","")&amp;IF(AND(W78="Accept",BG78=""),"Acceptance expiry missing. ","")&amp;IF(AND(BG78&lt;&gt;"",BG78&lt;TODAY()),"Acceptance expired. ","")&amp;IF(AND(W78&lt;&gt;"",W78&lt;&gt;"Accept",AV78=""),"Target rating not set. ","")&amp;IF(AND(BE78="Closed",AX78="No"),"Closed while outside appetite. ","")&amp;IF(AND(W78="Transfer",BE78&lt;&gt;"Transferred",BE78&lt;&gt;"Closed"),"Transfer: record the contract, SLA and audit rights. ","")&amp;IF(AZ78="","Risk owner missing. ","")&amp;IF(K78="","Scenario not written. ",""))))</f>
        <v/>
      </c>
      <c r="BM78" s="82"/>
    </row>
    <row r="79" customFormat="false" ht="15" hidden="false" customHeight="false" outlineLevel="0" collapsed="false">
      <c r="A79" s="84"/>
      <c r="B79" s="83"/>
      <c r="C79" s="80"/>
      <c r="D79" s="81" t="str">
        <f aca="false">IF(C79="","",IFERROR(INDEX(Lists!$O$2:$O$13,MATCH(C79,Lists!$N$2:$N$13,0)),"Check domain code"))</f>
        <v/>
      </c>
      <c r="E79" s="81" t="str">
        <f aca="false">IF(C79="","",IFERROR(INDEX(Lists!$P$2:$P$13,MATCH(C79,Lists!$N$2:$N$13,0)),""))</f>
        <v/>
      </c>
      <c r="F79" s="80"/>
      <c r="G79" s="82"/>
      <c r="H79" s="82"/>
      <c r="I79" s="82"/>
      <c r="J79" s="83"/>
      <c r="K79" s="82"/>
      <c r="L79" s="82"/>
      <c r="M79" s="84"/>
      <c r="N79" s="85"/>
      <c r="O79" s="82"/>
      <c r="P79" s="86"/>
      <c r="Q79" s="86"/>
      <c r="R79" s="86"/>
      <c r="S79" s="21" t="str">
        <f aca="false">IF(OR(Q79="",R79=""),"",Q79*R79)</f>
        <v/>
      </c>
      <c r="T79" s="85" t="str">
        <f aca="false">IF(S79="","",INDEX(Settings!$A$20:$A$23,MATCH(S79,Settings!$B$20:$B$23,1)))</f>
        <v/>
      </c>
      <c r="U79" s="82"/>
      <c r="V79" s="87"/>
      <c r="W79" s="86"/>
      <c r="X79" s="82"/>
      <c r="Y79" s="88"/>
      <c r="Z79" s="88"/>
      <c r="AA79" s="88"/>
      <c r="AB79" s="88"/>
      <c r="AC79" s="88"/>
      <c r="AD79" s="88"/>
      <c r="AE79" s="88"/>
      <c r="AF79" s="88"/>
      <c r="AG79" s="88"/>
      <c r="AH79" s="88"/>
      <c r="AI79" s="88"/>
      <c r="AJ79" s="89"/>
      <c r="AK79" s="88"/>
      <c r="AL79" s="88"/>
      <c r="AM79" s="88"/>
      <c r="AN79" s="88"/>
      <c r="AO79" s="88"/>
      <c r="AP79" s="88"/>
      <c r="AQ79" s="89"/>
      <c r="AR79" s="89"/>
      <c r="AS79" s="86"/>
      <c r="AT79" s="86"/>
      <c r="AU79" s="85" t="str">
        <f aca="false">IF(OR(AS79="",AT79=""),"",AS79*AT79)</f>
        <v/>
      </c>
      <c r="AV79" s="21" t="str">
        <f aca="false">IF(AU79="","",INDEX(Settings!$A$20:$A$23,MATCH(AU79,Settings!$B$20:$B$23,1)))</f>
        <v/>
      </c>
      <c r="AW79" s="85" t="str">
        <f aca="false">IF(AV79&lt;&gt;"",AV79,T79)</f>
        <v/>
      </c>
      <c r="AX79" s="85" t="str">
        <f aca="false">IF(AW79="","",IF(MATCH(AW79,Settings!$A$20:$A$23,0)&lt;=MATCH(Settings!$C$28,Settings!$A$20:$A$23,0),"Yes","No"))</f>
        <v/>
      </c>
      <c r="AY79" s="81" t="str">
        <f aca="false">IF(AW79="","",IF(AX79="Yes",INDEX(Settings!$G$20:$G$23,MATCH(AW79,Settings!$A$20:$A$23,0)),INDEX(Settings!$G$20:$G$23,MATCH(AW79,Settings!$A$20:$A$23,0))&amp;" (outside appetite)"))</f>
        <v/>
      </c>
      <c r="AZ79" s="82"/>
      <c r="BA79" s="82"/>
      <c r="BB79" s="90"/>
      <c r="BC79" s="91" t="str">
        <f aca="false">IF(OR(BB79="",T79=""),"",BB79+INDEX(Settings!$E$20:$E$23,MATCH(T79,Settings!$A$20:$A$23,0)))</f>
        <v/>
      </c>
      <c r="BD79" s="90"/>
      <c r="BE79" s="82"/>
      <c r="BF79" s="81" t="str">
        <f aca="true">IF(A79="","",IF(OR(BE79="Closed",BE79="Accepted"),"No action",IF(BB79="","Set date identified",IF(TODAY()&gt;BC79,"Deadline exceeded",IF(BC79-TODAY()&lt;=Settings!$C$30,"Deadline approaching","On track")))))</f>
        <v/>
      </c>
      <c r="BG79" s="90"/>
      <c r="BH79" s="90"/>
      <c r="BI79" s="91" t="str">
        <f aca="false">IF(OR(BH79="",AW79=""),"",EDATE(BH79,INDEX(Settings!$F$20:$F$23,MATCH(AW79,Settings!$A$20:$A$23,0))))</f>
        <v/>
      </c>
      <c r="BJ79" s="85" t="str">
        <f aca="false">IF(T79="","",IF(MAX(IF(T79="",0,MATCH(T79,Settings!$A$20:$A$23,0)),IF(AV79="",0,MATCH(AV79,Settings!$A$20:$A$23,0)))&gt;=MATCH(Settings!$C$29,Settings!$A$20:$A$23,0),"Yes","No"))</f>
        <v/>
      </c>
      <c r="BK79" s="82"/>
      <c r="BL79" s="81" t="str">
        <f aca="true">IF(A79="","",IF(TRIM(IF(W79="","Treatment not chosen. ","")&amp;IF(AND(W79="Accept",AX79="No"),"Accepted outside appetite: record approval by "&amp;INDEX(Settings!$G$20:$G$23,MATCH(AW79,Settings!$A$20:$A$23,0))&amp;". ","")&amp;IF(AND(W79="Accept",BG79=""),"Acceptance expiry missing. ","")&amp;IF(AND(BG79&lt;&gt;"",BG79&lt;TODAY()),"Acceptance expired. ","")&amp;IF(AND(W79&lt;&gt;"",W79&lt;&gt;"Accept",AV79=""),"Target rating not set. ","")&amp;IF(AND(BE79="Closed",AX79="No"),"Closed while outside appetite. ","")&amp;IF(AND(W79="Transfer",BE79&lt;&gt;"Transferred",BE79&lt;&gt;"Closed"),"Transfer: record the contract, SLA and audit rights. ","")&amp;IF(AZ79="","Risk owner missing. ","")&amp;IF(K79="","Scenario not written. ",""))="","OK",TRIM(IF(W79="","Treatment not chosen. ","")&amp;IF(AND(W79="Accept",AX79="No"),"Accepted outside appetite: record approval by "&amp;INDEX(Settings!$G$20:$G$23,MATCH(AW79,Settings!$A$20:$A$23,0))&amp;". ","")&amp;IF(AND(W79="Accept",BG79=""),"Acceptance expiry missing. ","")&amp;IF(AND(BG79&lt;&gt;"",BG79&lt;TODAY()),"Acceptance expired. ","")&amp;IF(AND(W79&lt;&gt;"",W79&lt;&gt;"Accept",AV79=""),"Target rating not set. ","")&amp;IF(AND(BE79="Closed",AX79="No"),"Closed while outside appetite. ","")&amp;IF(AND(W79="Transfer",BE79&lt;&gt;"Transferred",BE79&lt;&gt;"Closed"),"Transfer: record the contract, SLA and audit rights. ","")&amp;IF(AZ79="","Risk owner missing. ","")&amp;IF(K79="","Scenario not written. ",""))))</f>
        <v/>
      </c>
      <c r="BM79" s="82"/>
    </row>
    <row r="80" customFormat="false" ht="15" hidden="false" customHeight="false" outlineLevel="0" collapsed="false">
      <c r="A80" s="95"/>
      <c r="B80" s="94"/>
      <c r="C80" s="80"/>
      <c r="D80" s="81" t="str">
        <f aca="false">IF(C80="","",IFERROR(INDEX(Lists!$O$2:$O$13,MATCH(C80,Lists!$N$2:$N$13,0)),"Check domain code"))</f>
        <v/>
      </c>
      <c r="E80" s="81" t="str">
        <f aca="false">IF(C80="","",IFERROR(INDEX(Lists!$P$2:$P$13,MATCH(C80,Lists!$N$2:$N$13,0)),""))</f>
        <v/>
      </c>
      <c r="F80" s="80"/>
      <c r="G80" s="82"/>
      <c r="H80" s="82"/>
      <c r="I80" s="82"/>
      <c r="J80" s="94"/>
      <c r="K80" s="82"/>
      <c r="L80" s="82"/>
      <c r="M80" s="95"/>
      <c r="N80" s="85"/>
      <c r="O80" s="82"/>
      <c r="P80" s="86"/>
      <c r="Q80" s="86"/>
      <c r="R80" s="86"/>
      <c r="S80" s="21" t="str">
        <f aca="false">IF(OR(Q80="",R80=""),"",Q80*R80)</f>
        <v/>
      </c>
      <c r="T80" s="85" t="str">
        <f aca="false">IF(S80="","",INDEX(Settings!$A$20:$A$23,MATCH(S80,Settings!$B$20:$B$23,1)))</f>
        <v/>
      </c>
      <c r="U80" s="82"/>
      <c r="V80" s="87"/>
      <c r="W80" s="86"/>
      <c r="X80" s="82"/>
      <c r="Y80" s="96"/>
      <c r="Z80" s="96"/>
      <c r="AA80" s="96"/>
      <c r="AB80" s="96"/>
      <c r="AC80" s="96"/>
      <c r="AD80" s="96"/>
      <c r="AE80" s="96"/>
      <c r="AF80" s="96"/>
      <c r="AG80" s="96"/>
      <c r="AH80" s="96"/>
      <c r="AI80" s="96"/>
      <c r="AJ80" s="97"/>
      <c r="AK80" s="96"/>
      <c r="AL80" s="96"/>
      <c r="AM80" s="96"/>
      <c r="AN80" s="96"/>
      <c r="AO80" s="96"/>
      <c r="AP80" s="96"/>
      <c r="AQ80" s="97"/>
      <c r="AR80" s="97"/>
      <c r="AS80" s="86"/>
      <c r="AT80" s="86"/>
      <c r="AU80" s="85" t="str">
        <f aca="false">IF(OR(AS80="",AT80=""),"",AS80*AT80)</f>
        <v/>
      </c>
      <c r="AV80" s="21" t="str">
        <f aca="false">IF(AU80="","",INDEX(Settings!$A$20:$A$23,MATCH(AU80,Settings!$B$20:$B$23,1)))</f>
        <v/>
      </c>
      <c r="AW80" s="85" t="str">
        <f aca="false">IF(AV80&lt;&gt;"",AV80,T80)</f>
        <v/>
      </c>
      <c r="AX80" s="85" t="str">
        <f aca="false">IF(AW80="","",IF(MATCH(AW80,Settings!$A$20:$A$23,0)&lt;=MATCH(Settings!$C$28,Settings!$A$20:$A$23,0),"Yes","No"))</f>
        <v/>
      </c>
      <c r="AY80" s="81" t="str">
        <f aca="false">IF(AW80="","",IF(AX80="Yes",INDEX(Settings!$G$20:$G$23,MATCH(AW80,Settings!$A$20:$A$23,0)),INDEX(Settings!$G$20:$G$23,MATCH(AW80,Settings!$A$20:$A$23,0))&amp;" (outside appetite)"))</f>
        <v/>
      </c>
      <c r="AZ80" s="82"/>
      <c r="BA80" s="82"/>
      <c r="BB80" s="90"/>
      <c r="BC80" s="91" t="str">
        <f aca="false">IF(OR(BB80="",T80=""),"",BB80+INDEX(Settings!$E$20:$E$23,MATCH(T80,Settings!$A$20:$A$23,0)))</f>
        <v/>
      </c>
      <c r="BD80" s="90"/>
      <c r="BE80" s="82"/>
      <c r="BF80" s="81" t="str">
        <f aca="true">IF(A80="","",IF(OR(BE80="Closed",BE80="Accepted"),"No action",IF(BB80="","Set date identified",IF(TODAY()&gt;BC80,"Deadline exceeded",IF(BC80-TODAY()&lt;=Settings!$C$30,"Deadline approaching","On track")))))</f>
        <v/>
      </c>
      <c r="BG80" s="90"/>
      <c r="BH80" s="90"/>
      <c r="BI80" s="91" t="str">
        <f aca="false">IF(OR(BH80="",AW80=""),"",EDATE(BH80,INDEX(Settings!$F$20:$F$23,MATCH(AW80,Settings!$A$20:$A$23,0))))</f>
        <v/>
      </c>
      <c r="BJ80" s="85" t="str">
        <f aca="false">IF(T80="","",IF(MAX(IF(T80="",0,MATCH(T80,Settings!$A$20:$A$23,0)),IF(AV80="",0,MATCH(AV80,Settings!$A$20:$A$23,0)))&gt;=MATCH(Settings!$C$29,Settings!$A$20:$A$23,0),"Yes","No"))</f>
        <v/>
      </c>
      <c r="BK80" s="82"/>
      <c r="BL80" s="81" t="str">
        <f aca="true">IF(A80="","",IF(TRIM(IF(W80="","Treatment not chosen. ","")&amp;IF(AND(W80="Accept",AX80="No"),"Accepted outside appetite: record approval by "&amp;INDEX(Settings!$G$20:$G$23,MATCH(AW80,Settings!$A$20:$A$23,0))&amp;". ","")&amp;IF(AND(W80="Accept",BG80=""),"Acceptance expiry missing. ","")&amp;IF(AND(BG80&lt;&gt;"",BG80&lt;TODAY()),"Acceptance expired. ","")&amp;IF(AND(W80&lt;&gt;"",W80&lt;&gt;"Accept",AV80=""),"Target rating not set. ","")&amp;IF(AND(BE80="Closed",AX80="No"),"Closed while outside appetite. ","")&amp;IF(AND(W80="Transfer",BE80&lt;&gt;"Transferred",BE80&lt;&gt;"Closed"),"Transfer: record the contract, SLA and audit rights. ","")&amp;IF(AZ80="","Risk owner missing. ","")&amp;IF(K80="","Scenario not written. ",""))="","OK",TRIM(IF(W80="","Treatment not chosen. ","")&amp;IF(AND(W80="Accept",AX80="No"),"Accepted outside appetite: record approval by "&amp;INDEX(Settings!$G$20:$G$23,MATCH(AW80,Settings!$A$20:$A$23,0))&amp;". ","")&amp;IF(AND(W80="Accept",BG80=""),"Acceptance expiry missing. ","")&amp;IF(AND(BG80&lt;&gt;"",BG80&lt;TODAY()),"Acceptance expired. ","")&amp;IF(AND(W80&lt;&gt;"",W80&lt;&gt;"Accept",AV80=""),"Target rating not set. ","")&amp;IF(AND(BE80="Closed",AX80="No"),"Closed while outside appetite. ","")&amp;IF(AND(W80="Transfer",BE80&lt;&gt;"Transferred",BE80&lt;&gt;"Closed"),"Transfer: record the contract, SLA and audit rights. ","")&amp;IF(AZ80="","Risk owner missing. ","")&amp;IF(K80="","Scenario not written. ",""))))</f>
        <v/>
      </c>
      <c r="BM80" s="82"/>
    </row>
    <row r="81" customFormat="false" ht="15" hidden="false" customHeight="false" outlineLevel="0" collapsed="false">
      <c r="A81" s="84"/>
      <c r="B81" s="83"/>
      <c r="C81" s="80"/>
      <c r="D81" s="81" t="str">
        <f aca="false">IF(C81="","",IFERROR(INDEX(Lists!$O$2:$O$13,MATCH(C81,Lists!$N$2:$N$13,0)),"Check domain code"))</f>
        <v/>
      </c>
      <c r="E81" s="81" t="str">
        <f aca="false">IF(C81="","",IFERROR(INDEX(Lists!$P$2:$P$13,MATCH(C81,Lists!$N$2:$N$13,0)),""))</f>
        <v/>
      </c>
      <c r="F81" s="80"/>
      <c r="G81" s="82"/>
      <c r="H81" s="82"/>
      <c r="I81" s="82"/>
      <c r="J81" s="83"/>
      <c r="K81" s="82"/>
      <c r="L81" s="82"/>
      <c r="M81" s="84"/>
      <c r="N81" s="85"/>
      <c r="O81" s="82"/>
      <c r="P81" s="86"/>
      <c r="Q81" s="86"/>
      <c r="R81" s="86"/>
      <c r="S81" s="21" t="str">
        <f aca="false">IF(OR(Q81="",R81=""),"",Q81*R81)</f>
        <v/>
      </c>
      <c r="T81" s="85" t="str">
        <f aca="false">IF(S81="","",INDEX(Settings!$A$20:$A$23,MATCH(S81,Settings!$B$20:$B$23,1)))</f>
        <v/>
      </c>
      <c r="U81" s="82"/>
      <c r="V81" s="87"/>
      <c r="W81" s="86"/>
      <c r="X81" s="82"/>
      <c r="Y81" s="88"/>
      <c r="Z81" s="88"/>
      <c r="AA81" s="88"/>
      <c r="AB81" s="88"/>
      <c r="AC81" s="88"/>
      <c r="AD81" s="88"/>
      <c r="AE81" s="88"/>
      <c r="AF81" s="88"/>
      <c r="AG81" s="88"/>
      <c r="AH81" s="88"/>
      <c r="AI81" s="88"/>
      <c r="AJ81" s="89"/>
      <c r="AK81" s="88"/>
      <c r="AL81" s="88"/>
      <c r="AM81" s="88"/>
      <c r="AN81" s="88"/>
      <c r="AO81" s="88"/>
      <c r="AP81" s="88"/>
      <c r="AQ81" s="89"/>
      <c r="AR81" s="89"/>
      <c r="AS81" s="86"/>
      <c r="AT81" s="86"/>
      <c r="AU81" s="85" t="str">
        <f aca="false">IF(OR(AS81="",AT81=""),"",AS81*AT81)</f>
        <v/>
      </c>
      <c r="AV81" s="21" t="str">
        <f aca="false">IF(AU81="","",INDEX(Settings!$A$20:$A$23,MATCH(AU81,Settings!$B$20:$B$23,1)))</f>
        <v/>
      </c>
      <c r="AW81" s="85" t="str">
        <f aca="false">IF(AV81&lt;&gt;"",AV81,T81)</f>
        <v/>
      </c>
      <c r="AX81" s="85" t="str">
        <f aca="false">IF(AW81="","",IF(MATCH(AW81,Settings!$A$20:$A$23,0)&lt;=MATCH(Settings!$C$28,Settings!$A$20:$A$23,0),"Yes","No"))</f>
        <v/>
      </c>
      <c r="AY81" s="81" t="str">
        <f aca="false">IF(AW81="","",IF(AX81="Yes",INDEX(Settings!$G$20:$G$23,MATCH(AW81,Settings!$A$20:$A$23,0)),INDEX(Settings!$G$20:$G$23,MATCH(AW81,Settings!$A$20:$A$23,0))&amp;" (outside appetite)"))</f>
        <v/>
      </c>
      <c r="AZ81" s="82"/>
      <c r="BA81" s="82"/>
      <c r="BB81" s="90"/>
      <c r="BC81" s="91" t="str">
        <f aca="false">IF(OR(BB81="",T81=""),"",BB81+INDEX(Settings!$E$20:$E$23,MATCH(T81,Settings!$A$20:$A$23,0)))</f>
        <v/>
      </c>
      <c r="BD81" s="90"/>
      <c r="BE81" s="82"/>
      <c r="BF81" s="81" t="str">
        <f aca="true">IF(A81="","",IF(OR(BE81="Closed",BE81="Accepted"),"No action",IF(BB81="","Set date identified",IF(TODAY()&gt;BC81,"Deadline exceeded",IF(BC81-TODAY()&lt;=Settings!$C$30,"Deadline approaching","On track")))))</f>
        <v/>
      </c>
      <c r="BG81" s="90"/>
      <c r="BH81" s="90"/>
      <c r="BI81" s="91" t="str">
        <f aca="false">IF(OR(BH81="",AW81=""),"",EDATE(BH81,INDEX(Settings!$F$20:$F$23,MATCH(AW81,Settings!$A$20:$A$23,0))))</f>
        <v/>
      </c>
      <c r="BJ81" s="85" t="str">
        <f aca="false">IF(T81="","",IF(MAX(IF(T81="",0,MATCH(T81,Settings!$A$20:$A$23,0)),IF(AV81="",0,MATCH(AV81,Settings!$A$20:$A$23,0)))&gt;=MATCH(Settings!$C$29,Settings!$A$20:$A$23,0),"Yes","No"))</f>
        <v/>
      </c>
      <c r="BK81" s="82"/>
      <c r="BL81" s="81" t="str">
        <f aca="true">IF(A81="","",IF(TRIM(IF(W81="","Treatment not chosen. ","")&amp;IF(AND(W81="Accept",AX81="No"),"Accepted outside appetite: record approval by "&amp;INDEX(Settings!$G$20:$G$23,MATCH(AW81,Settings!$A$20:$A$23,0))&amp;". ","")&amp;IF(AND(W81="Accept",BG81=""),"Acceptance expiry missing. ","")&amp;IF(AND(BG81&lt;&gt;"",BG81&lt;TODAY()),"Acceptance expired. ","")&amp;IF(AND(W81&lt;&gt;"",W81&lt;&gt;"Accept",AV81=""),"Target rating not set. ","")&amp;IF(AND(BE81="Closed",AX81="No"),"Closed while outside appetite. ","")&amp;IF(AND(W81="Transfer",BE81&lt;&gt;"Transferred",BE81&lt;&gt;"Closed"),"Transfer: record the contract, SLA and audit rights. ","")&amp;IF(AZ81="","Risk owner missing. ","")&amp;IF(K81="","Scenario not written. ",""))="","OK",TRIM(IF(W81="","Treatment not chosen. ","")&amp;IF(AND(W81="Accept",AX81="No"),"Accepted outside appetite: record approval by "&amp;INDEX(Settings!$G$20:$G$23,MATCH(AW81,Settings!$A$20:$A$23,0))&amp;". ","")&amp;IF(AND(W81="Accept",BG81=""),"Acceptance expiry missing. ","")&amp;IF(AND(BG81&lt;&gt;"",BG81&lt;TODAY()),"Acceptance expired. ","")&amp;IF(AND(W81&lt;&gt;"",W81&lt;&gt;"Accept",AV81=""),"Target rating not set. ","")&amp;IF(AND(BE81="Closed",AX81="No"),"Closed while outside appetite. ","")&amp;IF(AND(W81="Transfer",BE81&lt;&gt;"Transferred",BE81&lt;&gt;"Closed"),"Transfer: record the contract, SLA and audit rights. ","")&amp;IF(AZ81="","Risk owner missing. ","")&amp;IF(K81="","Scenario not written. ",""))))</f>
        <v/>
      </c>
      <c r="BM81" s="82"/>
    </row>
    <row r="82" customFormat="false" ht="15" hidden="false" customHeight="false" outlineLevel="0" collapsed="false">
      <c r="A82" s="95"/>
      <c r="B82" s="94"/>
      <c r="C82" s="80"/>
      <c r="D82" s="81" t="str">
        <f aca="false">IF(C82="","",IFERROR(INDEX(Lists!$O$2:$O$13,MATCH(C82,Lists!$N$2:$N$13,0)),"Check domain code"))</f>
        <v/>
      </c>
      <c r="E82" s="81" t="str">
        <f aca="false">IF(C82="","",IFERROR(INDEX(Lists!$P$2:$P$13,MATCH(C82,Lists!$N$2:$N$13,0)),""))</f>
        <v/>
      </c>
      <c r="F82" s="80"/>
      <c r="G82" s="82"/>
      <c r="H82" s="82"/>
      <c r="I82" s="82"/>
      <c r="J82" s="94"/>
      <c r="K82" s="82"/>
      <c r="L82" s="82"/>
      <c r="M82" s="95"/>
      <c r="N82" s="85"/>
      <c r="O82" s="82"/>
      <c r="P82" s="86"/>
      <c r="Q82" s="86"/>
      <c r="R82" s="86"/>
      <c r="S82" s="21" t="str">
        <f aca="false">IF(OR(Q82="",R82=""),"",Q82*R82)</f>
        <v/>
      </c>
      <c r="T82" s="85" t="str">
        <f aca="false">IF(S82="","",INDEX(Settings!$A$20:$A$23,MATCH(S82,Settings!$B$20:$B$23,1)))</f>
        <v/>
      </c>
      <c r="U82" s="82"/>
      <c r="V82" s="87"/>
      <c r="W82" s="86"/>
      <c r="X82" s="82"/>
      <c r="Y82" s="96"/>
      <c r="Z82" s="96"/>
      <c r="AA82" s="96"/>
      <c r="AB82" s="96"/>
      <c r="AC82" s="96"/>
      <c r="AD82" s="96"/>
      <c r="AE82" s="96"/>
      <c r="AF82" s="96"/>
      <c r="AG82" s="96"/>
      <c r="AH82" s="96"/>
      <c r="AI82" s="96"/>
      <c r="AJ82" s="97"/>
      <c r="AK82" s="96"/>
      <c r="AL82" s="96"/>
      <c r="AM82" s="96"/>
      <c r="AN82" s="96"/>
      <c r="AO82" s="96"/>
      <c r="AP82" s="96"/>
      <c r="AQ82" s="97"/>
      <c r="AR82" s="97"/>
      <c r="AS82" s="86"/>
      <c r="AT82" s="86"/>
      <c r="AU82" s="85" t="str">
        <f aca="false">IF(OR(AS82="",AT82=""),"",AS82*AT82)</f>
        <v/>
      </c>
      <c r="AV82" s="21" t="str">
        <f aca="false">IF(AU82="","",INDEX(Settings!$A$20:$A$23,MATCH(AU82,Settings!$B$20:$B$23,1)))</f>
        <v/>
      </c>
      <c r="AW82" s="85" t="str">
        <f aca="false">IF(AV82&lt;&gt;"",AV82,T82)</f>
        <v/>
      </c>
      <c r="AX82" s="85" t="str">
        <f aca="false">IF(AW82="","",IF(MATCH(AW82,Settings!$A$20:$A$23,0)&lt;=MATCH(Settings!$C$28,Settings!$A$20:$A$23,0),"Yes","No"))</f>
        <v/>
      </c>
      <c r="AY82" s="81" t="str">
        <f aca="false">IF(AW82="","",IF(AX82="Yes",INDEX(Settings!$G$20:$G$23,MATCH(AW82,Settings!$A$20:$A$23,0)),INDEX(Settings!$G$20:$G$23,MATCH(AW82,Settings!$A$20:$A$23,0))&amp;" (outside appetite)"))</f>
        <v/>
      </c>
      <c r="AZ82" s="82"/>
      <c r="BA82" s="82"/>
      <c r="BB82" s="90"/>
      <c r="BC82" s="91" t="str">
        <f aca="false">IF(OR(BB82="",T82=""),"",BB82+INDEX(Settings!$E$20:$E$23,MATCH(T82,Settings!$A$20:$A$23,0)))</f>
        <v/>
      </c>
      <c r="BD82" s="90"/>
      <c r="BE82" s="82"/>
      <c r="BF82" s="81" t="str">
        <f aca="true">IF(A82="","",IF(OR(BE82="Closed",BE82="Accepted"),"No action",IF(BB82="","Set date identified",IF(TODAY()&gt;BC82,"Deadline exceeded",IF(BC82-TODAY()&lt;=Settings!$C$30,"Deadline approaching","On track")))))</f>
        <v/>
      </c>
      <c r="BG82" s="90"/>
      <c r="BH82" s="90"/>
      <c r="BI82" s="91" t="str">
        <f aca="false">IF(OR(BH82="",AW82=""),"",EDATE(BH82,INDEX(Settings!$F$20:$F$23,MATCH(AW82,Settings!$A$20:$A$23,0))))</f>
        <v/>
      </c>
      <c r="BJ82" s="85" t="str">
        <f aca="false">IF(T82="","",IF(MAX(IF(T82="",0,MATCH(T82,Settings!$A$20:$A$23,0)),IF(AV82="",0,MATCH(AV82,Settings!$A$20:$A$23,0)))&gt;=MATCH(Settings!$C$29,Settings!$A$20:$A$23,0),"Yes","No"))</f>
        <v/>
      </c>
      <c r="BK82" s="82"/>
      <c r="BL82" s="81" t="str">
        <f aca="true">IF(A82="","",IF(TRIM(IF(W82="","Treatment not chosen. ","")&amp;IF(AND(W82="Accept",AX82="No"),"Accepted outside appetite: record approval by "&amp;INDEX(Settings!$G$20:$G$23,MATCH(AW82,Settings!$A$20:$A$23,0))&amp;". ","")&amp;IF(AND(W82="Accept",BG82=""),"Acceptance expiry missing. ","")&amp;IF(AND(BG82&lt;&gt;"",BG82&lt;TODAY()),"Acceptance expired. ","")&amp;IF(AND(W82&lt;&gt;"",W82&lt;&gt;"Accept",AV82=""),"Target rating not set. ","")&amp;IF(AND(BE82="Closed",AX82="No"),"Closed while outside appetite. ","")&amp;IF(AND(W82="Transfer",BE82&lt;&gt;"Transferred",BE82&lt;&gt;"Closed"),"Transfer: record the contract, SLA and audit rights. ","")&amp;IF(AZ82="","Risk owner missing. ","")&amp;IF(K82="","Scenario not written. ",""))="","OK",TRIM(IF(W82="","Treatment not chosen. ","")&amp;IF(AND(W82="Accept",AX82="No"),"Accepted outside appetite: record approval by "&amp;INDEX(Settings!$G$20:$G$23,MATCH(AW82,Settings!$A$20:$A$23,0))&amp;". ","")&amp;IF(AND(W82="Accept",BG82=""),"Acceptance expiry missing. ","")&amp;IF(AND(BG82&lt;&gt;"",BG82&lt;TODAY()),"Acceptance expired. ","")&amp;IF(AND(W82&lt;&gt;"",W82&lt;&gt;"Accept",AV82=""),"Target rating not set. ","")&amp;IF(AND(BE82="Closed",AX82="No"),"Closed while outside appetite. ","")&amp;IF(AND(W82="Transfer",BE82&lt;&gt;"Transferred",BE82&lt;&gt;"Closed"),"Transfer: record the contract, SLA and audit rights. ","")&amp;IF(AZ82="","Risk owner missing. ","")&amp;IF(K82="","Scenario not written. ",""))))</f>
        <v/>
      </c>
      <c r="BM82" s="82"/>
    </row>
    <row r="83" customFormat="false" ht="15" hidden="false" customHeight="false" outlineLevel="0" collapsed="false">
      <c r="A83" s="84"/>
      <c r="B83" s="83"/>
      <c r="C83" s="80"/>
      <c r="D83" s="81" t="str">
        <f aca="false">IF(C83="","",IFERROR(INDEX(Lists!$O$2:$O$13,MATCH(C83,Lists!$N$2:$N$13,0)),"Check domain code"))</f>
        <v/>
      </c>
      <c r="E83" s="81" t="str">
        <f aca="false">IF(C83="","",IFERROR(INDEX(Lists!$P$2:$P$13,MATCH(C83,Lists!$N$2:$N$13,0)),""))</f>
        <v/>
      </c>
      <c r="F83" s="80"/>
      <c r="G83" s="82"/>
      <c r="H83" s="82"/>
      <c r="I83" s="82"/>
      <c r="J83" s="83"/>
      <c r="K83" s="82"/>
      <c r="L83" s="82"/>
      <c r="M83" s="84"/>
      <c r="N83" s="85"/>
      <c r="O83" s="82"/>
      <c r="P83" s="86"/>
      <c r="Q83" s="86"/>
      <c r="R83" s="86"/>
      <c r="S83" s="21" t="str">
        <f aca="false">IF(OR(Q83="",R83=""),"",Q83*R83)</f>
        <v/>
      </c>
      <c r="T83" s="85" t="str">
        <f aca="false">IF(S83="","",INDEX(Settings!$A$20:$A$23,MATCH(S83,Settings!$B$20:$B$23,1)))</f>
        <v/>
      </c>
      <c r="U83" s="82"/>
      <c r="V83" s="87"/>
      <c r="W83" s="86"/>
      <c r="X83" s="82"/>
      <c r="Y83" s="88"/>
      <c r="Z83" s="88"/>
      <c r="AA83" s="88"/>
      <c r="AB83" s="88"/>
      <c r="AC83" s="88"/>
      <c r="AD83" s="88"/>
      <c r="AE83" s="88"/>
      <c r="AF83" s="88"/>
      <c r="AG83" s="88"/>
      <c r="AH83" s="88"/>
      <c r="AI83" s="88"/>
      <c r="AJ83" s="89"/>
      <c r="AK83" s="88"/>
      <c r="AL83" s="88"/>
      <c r="AM83" s="88"/>
      <c r="AN83" s="88"/>
      <c r="AO83" s="88"/>
      <c r="AP83" s="88"/>
      <c r="AQ83" s="89"/>
      <c r="AR83" s="89"/>
      <c r="AS83" s="86"/>
      <c r="AT83" s="86"/>
      <c r="AU83" s="85" t="str">
        <f aca="false">IF(OR(AS83="",AT83=""),"",AS83*AT83)</f>
        <v/>
      </c>
      <c r="AV83" s="21" t="str">
        <f aca="false">IF(AU83="","",INDEX(Settings!$A$20:$A$23,MATCH(AU83,Settings!$B$20:$B$23,1)))</f>
        <v/>
      </c>
      <c r="AW83" s="85" t="str">
        <f aca="false">IF(AV83&lt;&gt;"",AV83,T83)</f>
        <v/>
      </c>
      <c r="AX83" s="85" t="str">
        <f aca="false">IF(AW83="","",IF(MATCH(AW83,Settings!$A$20:$A$23,0)&lt;=MATCH(Settings!$C$28,Settings!$A$20:$A$23,0),"Yes","No"))</f>
        <v/>
      </c>
      <c r="AY83" s="81" t="str">
        <f aca="false">IF(AW83="","",IF(AX83="Yes",INDEX(Settings!$G$20:$G$23,MATCH(AW83,Settings!$A$20:$A$23,0)),INDEX(Settings!$G$20:$G$23,MATCH(AW83,Settings!$A$20:$A$23,0))&amp;" (outside appetite)"))</f>
        <v/>
      </c>
      <c r="AZ83" s="82"/>
      <c r="BA83" s="82"/>
      <c r="BB83" s="90"/>
      <c r="BC83" s="91" t="str">
        <f aca="false">IF(OR(BB83="",T83=""),"",BB83+INDEX(Settings!$E$20:$E$23,MATCH(T83,Settings!$A$20:$A$23,0)))</f>
        <v/>
      </c>
      <c r="BD83" s="90"/>
      <c r="BE83" s="82"/>
      <c r="BF83" s="81" t="str">
        <f aca="true">IF(A83="","",IF(OR(BE83="Closed",BE83="Accepted"),"No action",IF(BB83="","Set date identified",IF(TODAY()&gt;BC83,"Deadline exceeded",IF(BC83-TODAY()&lt;=Settings!$C$30,"Deadline approaching","On track")))))</f>
        <v/>
      </c>
      <c r="BG83" s="90"/>
      <c r="BH83" s="90"/>
      <c r="BI83" s="91" t="str">
        <f aca="false">IF(OR(BH83="",AW83=""),"",EDATE(BH83,INDEX(Settings!$F$20:$F$23,MATCH(AW83,Settings!$A$20:$A$23,0))))</f>
        <v/>
      </c>
      <c r="BJ83" s="85" t="str">
        <f aca="false">IF(T83="","",IF(MAX(IF(T83="",0,MATCH(T83,Settings!$A$20:$A$23,0)),IF(AV83="",0,MATCH(AV83,Settings!$A$20:$A$23,0)))&gt;=MATCH(Settings!$C$29,Settings!$A$20:$A$23,0),"Yes","No"))</f>
        <v/>
      </c>
      <c r="BK83" s="82"/>
      <c r="BL83" s="81" t="str">
        <f aca="true">IF(A83="","",IF(TRIM(IF(W83="","Treatment not chosen. ","")&amp;IF(AND(W83="Accept",AX83="No"),"Accepted outside appetite: record approval by "&amp;INDEX(Settings!$G$20:$G$23,MATCH(AW83,Settings!$A$20:$A$23,0))&amp;". ","")&amp;IF(AND(W83="Accept",BG83=""),"Acceptance expiry missing. ","")&amp;IF(AND(BG83&lt;&gt;"",BG83&lt;TODAY()),"Acceptance expired. ","")&amp;IF(AND(W83&lt;&gt;"",W83&lt;&gt;"Accept",AV83=""),"Target rating not set. ","")&amp;IF(AND(BE83="Closed",AX83="No"),"Closed while outside appetite. ","")&amp;IF(AND(W83="Transfer",BE83&lt;&gt;"Transferred",BE83&lt;&gt;"Closed"),"Transfer: record the contract, SLA and audit rights. ","")&amp;IF(AZ83="","Risk owner missing. ","")&amp;IF(K83="","Scenario not written. ",""))="","OK",TRIM(IF(W83="","Treatment not chosen. ","")&amp;IF(AND(W83="Accept",AX83="No"),"Accepted outside appetite: record approval by "&amp;INDEX(Settings!$G$20:$G$23,MATCH(AW83,Settings!$A$20:$A$23,0))&amp;". ","")&amp;IF(AND(W83="Accept",BG83=""),"Acceptance expiry missing. ","")&amp;IF(AND(BG83&lt;&gt;"",BG83&lt;TODAY()),"Acceptance expired. ","")&amp;IF(AND(W83&lt;&gt;"",W83&lt;&gt;"Accept",AV83=""),"Target rating not set. ","")&amp;IF(AND(BE83="Closed",AX83="No"),"Closed while outside appetite. ","")&amp;IF(AND(W83="Transfer",BE83&lt;&gt;"Transferred",BE83&lt;&gt;"Closed"),"Transfer: record the contract, SLA and audit rights. ","")&amp;IF(AZ83="","Risk owner missing. ","")&amp;IF(K83="","Scenario not written. ",""))))</f>
        <v/>
      </c>
      <c r="BM83" s="82"/>
    </row>
    <row r="84" customFormat="false" ht="15" hidden="false" customHeight="false" outlineLevel="0" collapsed="false">
      <c r="A84" s="95"/>
      <c r="B84" s="94"/>
      <c r="C84" s="80"/>
      <c r="D84" s="81" t="str">
        <f aca="false">IF(C84="","",IFERROR(INDEX(Lists!$O$2:$O$13,MATCH(C84,Lists!$N$2:$N$13,0)),"Check domain code"))</f>
        <v/>
      </c>
      <c r="E84" s="81" t="str">
        <f aca="false">IF(C84="","",IFERROR(INDEX(Lists!$P$2:$P$13,MATCH(C84,Lists!$N$2:$N$13,0)),""))</f>
        <v/>
      </c>
      <c r="F84" s="80"/>
      <c r="G84" s="82"/>
      <c r="H84" s="82"/>
      <c r="I84" s="82"/>
      <c r="J84" s="94"/>
      <c r="K84" s="82"/>
      <c r="L84" s="82"/>
      <c r="M84" s="95"/>
      <c r="N84" s="85"/>
      <c r="O84" s="82"/>
      <c r="P84" s="86"/>
      <c r="Q84" s="86"/>
      <c r="R84" s="86"/>
      <c r="S84" s="21" t="str">
        <f aca="false">IF(OR(Q84="",R84=""),"",Q84*R84)</f>
        <v/>
      </c>
      <c r="T84" s="85" t="str">
        <f aca="false">IF(S84="","",INDEX(Settings!$A$20:$A$23,MATCH(S84,Settings!$B$20:$B$23,1)))</f>
        <v/>
      </c>
      <c r="U84" s="82"/>
      <c r="V84" s="87"/>
      <c r="W84" s="86"/>
      <c r="X84" s="82"/>
      <c r="Y84" s="96"/>
      <c r="Z84" s="96"/>
      <c r="AA84" s="96"/>
      <c r="AB84" s="96"/>
      <c r="AC84" s="96"/>
      <c r="AD84" s="96"/>
      <c r="AE84" s="96"/>
      <c r="AF84" s="96"/>
      <c r="AG84" s="96"/>
      <c r="AH84" s="96"/>
      <c r="AI84" s="96"/>
      <c r="AJ84" s="97"/>
      <c r="AK84" s="96"/>
      <c r="AL84" s="96"/>
      <c r="AM84" s="96"/>
      <c r="AN84" s="96"/>
      <c r="AO84" s="96"/>
      <c r="AP84" s="96"/>
      <c r="AQ84" s="97"/>
      <c r="AR84" s="97"/>
      <c r="AS84" s="86"/>
      <c r="AT84" s="86"/>
      <c r="AU84" s="85" t="str">
        <f aca="false">IF(OR(AS84="",AT84=""),"",AS84*AT84)</f>
        <v/>
      </c>
      <c r="AV84" s="21" t="str">
        <f aca="false">IF(AU84="","",INDEX(Settings!$A$20:$A$23,MATCH(AU84,Settings!$B$20:$B$23,1)))</f>
        <v/>
      </c>
      <c r="AW84" s="85" t="str">
        <f aca="false">IF(AV84&lt;&gt;"",AV84,T84)</f>
        <v/>
      </c>
      <c r="AX84" s="85" t="str">
        <f aca="false">IF(AW84="","",IF(MATCH(AW84,Settings!$A$20:$A$23,0)&lt;=MATCH(Settings!$C$28,Settings!$A$20:$A$23,0),"Yes","No"))</f>
        <v/>
      </c>
      <c r="AY84" s="81" t="str">
        <f aca="false">IF(AW84="","",IF(AX84="Yes",INDEX(Settings!$G$20:$G$23,MATCH(AW84,Settings!$A$20:$A$23,0)),INDEX(Settings!$G$20:$G$23,MATCH(AW84,Settings!$A$20:$A$23,0))&amp;" (outside appetite)"))</f>
        <v/>
      </c>
      <c r="AZ84" s="82"/>
      <c r="BA84" s="82"/>
      <c r="BB84" s="90"/>
      <c r="BC84" s="91" t="str">
        <f aca="false">IF(OR(BB84="",T84=""),"",BB84+INDEX(Settings!$E$20:$E$23,MATCH(T84,Settings!$A$20:$A$23,0)))</f>
        <v/>
      </c>
      <c r="BD84" s="90"/>
      <c r="BE84" s="82"/>
      <c r="BF84" s="81" t="str">
        <f aca="true">IF(A84="","",IF(OR(BE84="Closed",BE84="Accepted"),"No action",IF(BB84="","Set date identified",IF(TODAY()&gt;BC84,"Deadline exceeded",IF(BC84-TODAY()&lt;=Settings!$C$30,"Deadline approaching","On track")))))</f>
        <v/>
      </c>
      <c r="BG84" s="90"/>
      <c r="BH84" s="90"/>
      <c r="BI84" s="91" t="str">
        <f aca="false">IF(OR(BH84="",AW84=""),"",EDATE(BH84,INDEX(Settings!$F$20:$F$23,MATCH(AW84,Settings!$A$20:$A$23,0))))</f>
        <v/>
      </c>
      <c r="BJ84" s="85" t="str">
        <f aca="false">IF(T84="","",IF(MAX(IF(T84="",0,MATCH(T84,Settings!$A$20:$A$23,0)),IF(AV84="",0,MATCH(AV84,Settings!$A$20:$A$23,0)))&gt;=MATCH(Settings!$C$29,Settings!$A$20:$A$23,0),"Yes","No"))</f>
        <v/>
      </c>
      <c r="BK84" s="82"/>
      <c r="BL84" s="81" t="str">
        <f aca="true">IF(A84="","",IF(TRIM(IF(W84="","Treatment not chosen. ","")&amp;IF(AND(W84="Accept",AX84="No"),"Accepted outside appetite: record approval by "&amp;INDEX(Settings!$G$20:$G$23,MATCH(AW84,Settings!$A$20:$A$23,0))&amp;". ","")&amp;IF(AND(W84="Accept",BG84=""),"Acceptance expiry missing. ","")&amp;IF(AND(BG84&lt;&gt;"",BG84&lt;TODAY()),"Acceptance expired. ","")&amp;IF(AND(W84&lt;&gt;"",W84&lt;&gt;"Accept",AV84=""),"Target rating not set. ","")&amp;IF(AND(BE84="Closed",AX84="No"),"Closed while outside appetite. ","")&amp;IF(AND(W84="Transfer",BE84&lt;&gt;"Transferred",BE84&lt;&gt;"Closed"),"Transfer: record the contract, SLA and audit rights. ","")&amp;IF(AZ84="","Risk owner missing. ","")&amp;IF(K84="","Scenario not written. ",""))="","OK",TRIM(IF(W84="","Treatment not chosen. ","")&amp;IF(AND(W84="Accept",AX84="No"),"Accepted outside appetite: record approval by "&amp;INDEX(Settings!$G$20:$G$23,MATCH(AW84,Settings!$A$20:$A$23,0))&amp;". ","")&amp;IF(AND(W84="Accept",BG84=""),"Acceptance expiry missing. ","")&amp;IF(AND(BG84&lt;&gt;"",BG84&lt;TODAY()),"Acceptance expired. ","")&amp;IF(AND(W84&lt;&gt;"",W84&lt;&gt;"Accept",AV84=""),"Target rating not set. ","")&amp;IF(AND(BE84="Closed",AX84="No"),"Closed while outside appetite. ","")&amp;IF(AND(W84="Transfer",BE84&lt;&gt;"Transferred",BE84&lt;&gt;"Closed"),"Transfer: record the contract, SLA and audit rights. ","")&amp;IF(AZ84="","Risk owner missing. ","")&amp;IF(K84="","Scenario not written. ",""))))</f>
        <v/>
      </c>
      <c r="BM84" s="82"/>
    </row>
    <row r="85" customFormat="false" ht="15" hidden="false" customHeight="false" outlineLevel="0" collapsed="false">
      <c r="A85" s="84"/>
      <c r="B85" s="83"/>
      <c r="C85" s="80"/>
      <c r="D85" s="81" t="str">
        <f aca="false">IF(C85="","",IFERROR(INDEX(Lists!$O$2:$O$13,MATCH(C85,Lists!$N$2:$N$13,0)),"Check domain code"))</f>
        <v/>
      </c>
      <c r="E85" s="81" t="str">
        <f aca="false">IF(C85="","",IFERROR(INDEX(Lists!$P$2:$P$13,MATCH(C85,Lists!$N$2:$N$13,0)),""))</f>
        <v/>
      </c>
      <c r="F85" s="80"/>
      <c r="G85" s="82"/>
      <c r="H85" s="82"/>
      <c r="I85" s="82"/>
      <c r="J85" s="83"/>
      <c r="K85" s="82"/>
      <c r="L85" s="82"/>
      <c r="M85" s="84"/>
      <c r="N85" s="85"/>
      <c r="O85" s="82"/>
      <c r="P85" s="86"/>
      <c r="Q85" s="86"/>
      <c r="R85" s="86"/>
      <c r="S85" s="21" t="str">
        <f aca="false">IF(OR(Q85="",R85=""),"",Q85*R85)</f>
        <v/>
      </c>
      <c r="T85" s="85" t="str">
        <f aca="false">IF(S85="","",INDEX(Settings!$A$20:$A$23,MATCH(S85,Settings!$B$20:$B$23,1)))</f>
        <v/>
      </c>
      <c r="U85" s="82"/>
      <c r="V85" s="87"/>
      <c r="W85" s="86"/>
      <c r="X85" s="82"/>
      <c r="Y85" s="88"/>
      <c r="Z85" s="88"/>
      <c r="AA85" s="88"/>
      <c r="AB85" s="88"/>
      <c r="AC85" s="88"/>
      <c r="AD85" s="88"/>
      <c r="AE85" s="88"/>
      <c r="AF85" s="88"/>
      <c r="AG85" s="88"/>
      <c r="AH85" s="88"/>
      <c r="AI85" s="88"/>
      <c r="AJ85" s="89"/>
      <c r="AK85" s="88"/>
      <c r="AL85" s="88"/>
      <c r="AM85" s="88"/>
      <c r="AN85" s="88"/>
      <c r="AO85" s="88"/>
      <c r="AP85" s="88"/>
      <c r="AQ85" s="89"/>
      <c r="AR85" s="89"/>
      <c r="AS85" s="86"/>
      <c r="AT85" s="86"/>
      <c r="AU85" s="85" t="str">
        <f aca="false">IF(OR(AS85="",AT85=""),"",AS85*AT85)</f>
        <v/>
      </c>
      <c r="AV85" s="21" t="str">
        <f aca="false">IF(AU85="","",INDEX(Settings!$A$20:$A$23,MATCH(AU85,Settings!$B$20:$B$23,1)))</f>
        <v/>
      </c>
      <c r="AW85" s="85" t="str">
        <f aca="false">IF(AV85&lt;&gt;"",AV85,T85)</f>
        <v/>
      </c>
      <c r="AX85" s="85" t="str">
        <f aca="false">IF(AW85="","",IF(MATCH(AW85,Settings!$A$20:$A$23,0)&lt;=MATCH(Settings!$C$28,Settings!$A$20:$A$23,0),"Yes","No"))</f>
        <v/>
      </c>
      <c r="AY85" s="81" t="str">
        <f aca="false">IF(AW85="","",IF(AX85="Yes",INDEX(Settings!$G$20:$G$23,MATCH(AW85,Settings!$A$20:$A$23,0)),INDEX(Settings!$G$20:$G$23,MATCH(AW85,Settings!$A$20:$A$23,0))&amp;" (outside appetite)"))</f>
        <v/>
      </c>
      <c r="AZ85" s="82"/>
      <c r="BA85" s="82"/>
      <c r="BB85" s="90"/>
      <c r="BC85" s="91" t="str">
        <f aca="false">IF(OR(BB85="",T85=""),"",BB85+INDEX(Settings!$E$20:$E$23,MATCH(T85,Settings!$A$20:$A$23,0)))</f>
        <v/>
      </c>
      <c r="BD85" s="90"/>
      <c r="BE85" s="82"/>
      <c r="BF85" s="81" t="str">
        <f aca="true">IF(A85="","",IF(OR(BE85="Closed",BE85="Accepted"),"No action",IF(BB85="","Set date identified",IF(TODAY()&gt;BC85,"Deadline exceeded",IF(BC85-TODAY()&lt;=Settings!$C$30,"Deadline approaching","On track")))))</f>
        <v/>
      </c>
      <c r="BG85" s="90"/>
      <c r="BH85" s="90"/>
      <c r="BI85" s="91" t="str">
        <f aca="false">IF(OR(BH85="",AW85=""),"",EDATE(BH85,INDEX(Settings!$F$20:$F$23,MATCH(AW85,Settings!$A$20:$A$23,0))))</f>
        <v/>
      </c>
      <c r="BJ85" s="85" t="str">
        <f aca="false">IF(T85="","",IF(MAX(IF(T85="",0,MATCH(T85,Settings!$A$20:$A$23,0)),IF(AV85="",0,MATCH(AV85,Settings!$A$20:$A$23,0)))&gt;=MATCH(Settings!$C$29,Settings!$A$20:$A$23,0),"Yes","No"))</f>
        <v/>
      </c>
      <c r="BK85" s="82"/>
      <c r="BL85" s="81" t="str">
        <f aca="true">IF(A85="","",IF(TRIM(IF(W85="","Treatment not chosen. ","")&amp;IF(AND(W85="Accept",AX85="No"),"Accepted outside appetite: record approval by "&amp;INDEX(Settings!$G$20:$G$23,MATCH(AW85,Settings!$A$20:$A$23,0))&amp;". ","")&amp;IF(AND(W85="Accept",BG85=""),"Acceptance expiry missing. ","")&amp;IF(AND(BG85&lt;&gt;"",BG85&lt;TODAY()),"Acceptance expired. ","")&amp;IF(AND(W85&lt;&gt;"",W85&lt;&gt;"Accept",AV85=""),"Target rating not set. ","")&amp;IF(AND(BE85="Closed",AX85="No"),"Closed while outside appetite. ","")&amp;IF(AND(W85="Transfer",BE85&lt;&gt;"Transferred",BE85&lt;&gt;"Closed"),"Transfer: record the contract, SLA and audit rights. ","")&amp;IF(AZ85="","Risk owner missing. ","")&amp;IF(K85="","Scenario not written. ",""))="","OK",TRIM(IF(W85="","Treatment not chosen. ","")&amp;IF(AND(W85="Accept",AX85="No"),"Accepted outside appetite: record approval by "&amp;INDEX(Settings!$G$20:$G$23,MATCH(AW85,Settings!$A$20:$A$23,0))&amp;". ","")&amp;IF(AND(W85="Accept",BG85=""),"Acceptance expiry missing. ","")&amp;IF(AND(BG85&lt;&gt;"",BG85&lt;TODAY()),"Acceptance expired. ","")&amp;IF(AND(W85&lt;&gt;"",W85&lt;&gt;"Accept",AV85=""),"Target rating not set. ","")&amp;IF(AND(BE85="Closed",AX85="No"),"Closed while outside appetite. ","")&amp;IF(AND(W85="Transfer",BE85&lt;&gt;"Transferred",BE85&lt;&gt;"Closed"),"Transfer: record the contract, SLA and audit rights. ","")&amp;IF(AZ85="","Risk owner missing. ","")&amp;IF(K85="","Scenario not written. ",""))))</f>
        <v/>
      </c>
      <c r="BM85" s="82"/>
    </row>
    <row r="86" customFormat="false" ht="15" hidden="false" customHeight="false" outlineLevel="0" collapsed="false">
      <c r="A86" s="95"/>
      <c r="B86" s="94"/>
      <c r="C86" s="80"/>
      <c r="D86" s="81" t="str">
        <f aca="false">IF(C86="","",IFERROR(INDEX(Lists!$O$2:$O$13,MATCH(C86,Lists!$N$2:$N$13,0)),"Check domain code"))</f>
        <v/>
      </c>
      <c r="E86" s="81" t="str">
        <f aca="false">IF(C86="","",IFERROR(INDEX(Lists!$P$2:$P$13,MATCH(C86,Lists!$N$2:$N$13,0)),""))</f>
        <v/>
      </c>
      <c r="F86" s="80"/>
      <c r="G86" s="82"/>
      <c r="H86" s="82"/>
      <c r="I86" s="82"/>
      <c r="J86" s="94"/>
      <c r="K86" s="82"/>
      <c r="L86" s="82"/>
      <c r="M86" s="95"/>
      <c r="N86" s="85"/>
      <c r="O86" s="82"/>
      <c r="P86" s="86"/>
      <c r="Q86" s="86"/>
      <c r="R86" s="86"/>
      <c r="S86" s="21" t="str">
        <f aca="false">IF(OR(Q86="",R86=""),"",Q86*R86)</f>
        <v/>
      </c>
      <c r="T86" s="85" t="str">
        <f aca="false">IF(S86="","",INDEX(Settings!$A$20:$A$23,MATCH(S86,Settings!$B$20:$B$23,1)))</f>
        <v/>
      </c>
      <c r="U86" s="82"/>
      <c r="V86" s="87"/>
      <c r="W86" s="86"/>
      <c r="X86" s="82"/>
      <c r="Y86" s="96"/>
      <c r="Z86" s="96"/>
      <c r="AA86" s="96"/>
      <c r="AB86" s="96"/>
      <c r="AC86" s="96"/>
      <c r="AD86" s="96"/>
      <c r="AE86" s="96"/>
      <c r="AF86" s="96"/>
      <c r="AG86" s="96"/>
      <c r="AH86" s="96"/>
      <c r="AI86" s="96"/>
      <c r="AJ86" s="97"/>
      <c r="AK86" s="96"/>
      <c r="AL86" s="96"/>
      <c r="AM86" s="96"/>
      <c r="AN86" s="96"/>
      <c r="AO86" s="96"/>
      <c r="AP86" s="96"/>
      <c r="AQ86" s="97"/>
      <c r="AR86" s="97"/>
      <c r="AS86" s="86"/>
      <c r="AT86" s="86"/>
      <c r="AU86" s="85" t="str">
        <f aca="false">IF(OR(AS86="",AT86=""),"",AS86*AT86)</f>
        <v/>
      </c>
      <c r="AV86" s="21" t="str">
        <f aca="false">IF(AU86="","",INDEX(Settings!$A$20:$A$23,MATCH(AU86,Settings!$B$20:$B$23,1)))</f>
        <v/>
      </c>
      <c r="AW86" s="85" t="str">
        <f aca="false">IF(AV86&lt;&gt;"",AV86,T86)</f>
        <v/>
      </c>
      <c r="AX86" s="85" t="str">
        <f aca="false">IF(AW86="","",IF(MATCH(AW86,Settings!$A$20:$A$23,0)&lt;=MATCH(Settings!$C$28,Settings!$A$20:$A$23,0),"Yes","No"))</f>
        <v/>
      </c>
      <c r="AY86" s="81" t="str">
        <f aca="false">IF(AW86="","",IF(AX86="Yes",INDEX(Settings!$G$20:$G$23,MATCH(AW86,Settings!$A$20:$A$23,0)),INDEX(Settings!$G$20:$G$23,MATCH(AW86,Settings!$A$20:$A$23,0))&amp;" (outside appetite)"))</f>
        <v/>
      </c>
      <c r="AZ86" s="82"/>
      <c r="BA86" s="82"/>
      <c r="BB86" s="90"/>
      <c r="BC86" s="91" t="str">
        <f aca="false">IF(OR(BB86="",T86=""),"",BB86+INDEX(Settings!$E$20:$E$23,MATCH(T86,Settings!$A$20:$A$23,0)))</f>
        <v/>
      </c>
      <c r="BD86" s="90"/>
      <c r="BE86" s="82"/>
      <c r="BF86" s="81" t="str">
        <f aca="true">IF(A86="","",IF(OR(BE86="Closed",BE86="Accepted"),"No action",IF(BB86="","Set date identified",IF(TODAY()&gt;BC86,"Deadline exceeded",IF(BC86-TODAY()&lt;=Settings!$C$30,"Deadline approaching","On track")))))</f>
        <v/>
      </c>
      <c r="BG86" s="90"/>
      <c r="BH86" s="90"/>
      <c r="BI86" s="91" t="str">
        <f aca="false">IF(OR(BH86="",AW86=""),"",EDATE(BH86,INDEX(Settings!$F$20:$F$23,MATCH(AW86,Settings!$A$20:$A$23,0))))</f>
        <v/>
      </c>
      <c r="BJ86" s="85" t="str">
        <f aca="false">IF(T86="","",IF(MAX(IF(T86="",0,MATCH(T86,Settings!$A$20:$A$23,0)),IF(AV86="",0,MATCH(AV86,Settings!$A$20:$A$23,0)))&gt;=MATCH(Settings!$C$29,Settings!$A$20:$A$23,0),"Yes","No"))</f>
        <v/>
      </c>
      <c r="BK86" s="82"/>
      <c r="BL86" s="81" t="str">
        <f aca="true">IF(A86="","",IF(TRIM(IF(W86="","Treatment not chosen. ","")&amp;IF(AND(W86="Accept",AX86="No"),"Accepted outside appetite: record approval by "&amp;INDEX(Settings!$G$20:$G$23,MATCH(AW86,Settings!$A$20:$A$23,0))&amp;". ","")&amp;IF(AND(W86="Accept",BG86=""),"Acceptance expiry missing. ","")&amp;IF(AND(BG86&lt;&gt;"",BG86&lt;TODAY()),"Acceptance expired. ","")&amp;IF(AND(W86&lt;&gt;"",W86&lt;&gt;"Accept",AV86=""),"Target rating not set. ","")&amp;IF(AND(BE86="Closed",AX86="No"),"Closed while outside appetite. ","")&amp;IF(AND(W86="Transfer",BE86&lt;&gt;"Transferred",BE86&lt;&gt;"Closed"),"Transfer: record the contract, SLA and audit rights. ","")&amp;IF(AZ86="","Risk owner missing. ","")&amp;IF(K86="","Scenario not written. ",""))="","OK",TRIM(IF(W86="","Treatment not chosen. ","")&amp;IF(AND(W86="Accept",AX86="No"),"Accepted outside appetite: record approval by "&amp;INDEX(Settings!$G$20:$G$23,MATCH(AW86,Settings!$A$20:$A$23,0))&amp;". ","")&amp;IF(AND(W86="Accept",BG86=""),"Acceptance expiry missing. ","")&amp;IF(AND(BG86&lt;&gt;"",BG86&lt;TODAY()),"Acceptance expired. ","")&amp;IF(AND(W86&lt;&gt;"",W86&lt;&gt;"Accept",AV86=""),"Target rating not set. ","")&amp;IF(AND(BE86="Closed",AX86="No"),"Closed while outside appetite. ","")&amp;IF(AND(W86="Transfer",BE86&lt;&gt;"Transferred",BE86&lt;&gt;"Closed"),"Transfer: record the contract, SLA and audit rights. ","")&amp;IF(AZ86="","Risk owner missing. ","")&amp;IF(K86="","Scenario not written. ",""))))</f>
        <v/>
      </c>
      <c r="BM86" s="82"/>
    </row>
    <row r="87" customFormat="false" ht="15" hidden="false" customHeight="false" outlineLevel="0" collapsed="false">
      <c r="A87" s="84"/>
      <c r="B87" s="83"/>
      <c r="C87" s="80"/>
      <c r="D87" s="81" t="str">
        <f aca="false">IF(C87="","",IFERROR(INDEX(Lists!$O$2:$O$13,MATCH(C87,Lists!$N$2:$N$13,0)),"Check domain code"))</f>
        <v/>
      </c>
      <c r="E87" s="81" t="str">
        <f aca="false">IF(C87="","",IFERROR(INDEX(Lists!$P$2:$P$13,MATCH(C87,Lists!$N$2:$N$13,0)),""))</f>
        <v/>
      </c>
      <c r="F87" s="80"/>
      <c r="G87" s="82"/>
      <c r="H87" s="82"/>
      <c r="I87" s="82"/>
      <c r="J87" s="83"/>
      <c r="K87" s="82"/>
      <c r="L87" s="82"/>
      <c r="M87" s="84"/>
      <c r="N87" s="85"/>
      <c r="O87" s="82"/>
      <c r="P87" s="86"/>
      <c r="Q87" s="86"/>
      <c r="R87" s="86"/>
      <c r="S87" s="21" t="str">
        <f aca="false">IF(OR(Q87="",R87=""),"",Q87*R87)</f>
        <v/>
      </c>
      <c r="T87" s="85" t="str">
        <f aca="false">IF(S87="","",INDEX(Settings!$A$20:$A$23,MATCH(S87,Settings!$B$20:$B$23,1)))</f>
        <v/>
      </c>
      <c r="U87" s="82"/>
      <c r="V87" s="87"/>
      <c r="W87" s="86"/>
      <c r="X87" s="82"/>
      <c r="Y87" s="88"/>
      <c r="Z87" s="88"/>
      <c r="AA87" s="88"/>
      <c r="AB87" s="88"/>
      <c r="AC87" s="88"/>
      <c r="AD87" s="88"/>
      <c r="AE87" s="88"/>
      <c r="AF87" s="88"/>
      <c r="AG87" s="88"/>
      <c r="AH87" s="88"/>
      <c r="AI87" s="88"/>
      <c r="AJ87" s="89"/>
      <c r="AK87" s="88"/>
      <c r="AL87" s="88"/>
      <c r="AM87" s="88"/>
      <c r="AN87" s="88"/>
      <c r="AO87" s="88"/>
      <c r="AP87" s="88"/>
      <c r="AQ87" s="89"/>
      <c r="AR87" s="89"/>
      <c r="AS87" s="86"/>
      <c r="AT87" s="86"/>
      <c r="AU87" s="85" t="str">
        <f aca="false">IF(OR(AS87="",AT87=""),"",AS87*AT87)</f>
        <v/>
      </c>
      <c r="AV87" s="21" t="str">
        <f aca="false">IF(AU87="","",INDEX(Settings!$A$20:$A$23,MATCH(AU87,Settings!$B$20:$B$23,1)))</f>
        <v/>
      </c>
      <c r="AW87" s="85" t="str">
        <f aca="false">IF(AV87&lt;&gt;"",AV87,T87)</f>
        <v/>
      </c>
      <c r="AX87" s="85" t="str">
        <f aca="false">IF(AW87="","",IF(MATCH(AW87,Settings!$A$20:$A$23,0)&lt;=MATCH(Settings!$C$28,Settings!$A$20:$A$23,0),"Yes","No"))</f>
        <v/>
      </c>
      <c r="AY87" s="81" t="str">
        <f aca="false">IF(AW87="","",IF(AX87="Yes",INDEX(Settings!$G$20:$G$23,MATCH(AW87,Settings!$A$20:$A$23,0)),INDEX(Settings!$G$20:$G$23,MATCH(AW87,Settings!$A$20:$A$23,0))&amp;" (outside appetite)"))</f>
        <v/>
      </c>
      <c r="AZ87" s="82"/>
      <c r="BA87" s="82"/>
      <c r="BB87" s="90"/>
      <c r="BC87" s="91" t="str">
        <f aca="false">IF(OR(BB87="",T87=""),"",BB87+INDEX(Settings!$E$20:$E$23,MATCH(T87,Settings!$A$20:$A$23,0)))</f>
        <v/>
      </c>
      <c r="BD87" s="90"/>
      <c r="BE87" s="82"/>
      <c r="BF87" s="81" t="str">
        <f aca="true">IF(A87="","",IF(OR(BE87="Closed",BE87="Accepted"),"No action",IF(BB87="","Set date identified",IF(TODAY()&gt;BC87,"Deadline exceeded",IF(BC87-TODAY()&lt;=Settings!$C$30,"Deadline approaching","On track")))))</f>
        <v/>
      </c>
      <c r="BG87" s="90"/>
      <c r="BH87" s="90"/>
      <c r="BI87" s="91" t="str">
        <f aca="false">IF(OR(BH87="",AW87=""),"",EDATE(BH87,INDEX(Settings!$F$20:$F$23,MATCH(AW87,Settings!$A$20:$A$23,0))))</f>
        <v/>
      </c>
      <c r="BJ87" s="85" t="str">
        <f aca="false">IF(T87="","",IF(MAX(IF(T87="",0,MATCH(T87,Settings!$A$20:$A$23,0)),IF(AV87="",0,MATCH(AV87,Settings!$A$20:$A$23,0)))&gt;=MATCH(Settings!$C$29,Settings!$A$20:$A$23,0),"Yes","No"))</f>
        <v/>
      </c>
      <c r="BK87" s="82"/>
      <c r="BL87" s="81" t="str">
        <f aca="true">IF(A87="","",IF(TRIM(IF(W87="","Treatment not chosen. ","")&amp;IF(AND(W87="Accept",AX87="No"),"Accepted outside appetite: record approval by "&amp;INDEX(Settings!$G$20:$G$23,MATCH(AW87,Settings!$A$20:$A$23,0))&amp;". ","")&amp;IF(AND(W87="Accept",BG87=""),"Acceptance expiry missing. ","")&amp;IF(AND(BG87&lt;&gt;"",BG87&lt;TODAY()),"Acceptance expired. ","")&amp;IF(AND(W87&lt;&gt;"",W87&lt;&gt;"Accept",AV87=""),"Target rating not set. ","")&amp;IF(AND(BE87="Closed",AX87="No"),"Closed while outside appetite. ","")&amp;IF(AND(W87="Transfer",BE87&lt;&gt;"Transferred",BE87&lt;&gt;"Closed"),"Transfer: record the contract, SLA and audit rights. ","")&amp;IF(AZ87="","Risk owner missing. ","")&amp;IF(K87="","Scenario not written. ",""))="","OK",TRIM(IF(W87="","Treatment not chosen. ","")&amp;IF(AND(W87="Accept",AX87="No"),"Accepted outside appetite: record approval by "&amp;INDEX(Settings!$G$20:$G$23,MATCH(AW87,Settings!$A$20:$A$23,0))&amp;". ","")&amp;IF(AND(W87="Accept",BG87=""),"Acceptance expiry missing. ","")&amp;IF(AND(BG87&lt;&gt;"",BG87&lt;TODAY()),"Acceptance expired. ","")&amp;IF(AND(W87&lt;&gt;"",W87&lt;&gt;"Accept",AV87=""),"Target rating not set. ","")&amp;IF(AND(BE87="Closed",AX87="No"),"Closed while outside appetite. ","")&amp;IF(AND(W87="Transfer",BE87&lt;&gt;"Transferred",BE87&lt;&gt;"Closed"),"Transfer: record the contract, SLA and audit rights. ","")&amp;IF(AZ87="","Risk owner missing. ","")&amp;IF(K87="","Scenario not written. ",""))))</f>
        <v/>
      </c>
      <c r="BM87" s="82"/>
    </row>
    <row r="88" customFormat="false" ht="15" hidden="false" customHeight="false" outlineLevel="0" collapsed="false">
      <c r="A88" s="95"/>
      <c r="B88" s="94"/>
      <c r="C88" s="80"/>
      <c r="D88" s="81" t="str">
        <f aca="false">IF(C88="","",IFERROR(INDEX(Lists!$O$2:$O$13,MATCH(C88,Lists!$N$2:$N$13,0)),"Check domain code"))</f>
        <v/>
      </c>
      <c r="E88" s="81" t="str">
        <f aca="false">IF(C88="","",IFERROR(INDEX(Lists!$P$2:$P$13,MATCH(C88,Lists!$N$2:$N$13,0)),""))</f>
        <v/>
      </c>
      <c r="F88" s="80"/>
      <c r="G88" s="82"/>
      <c r="H88" s="82"/>
      <c r="I88" s="82"/>
      <c r="J88" s="94"/>
      <c r="K88" s="82"/>
      <c r="L88" s="82"/>
      <c r="M88" s="95"/>
      <c r="N88" s="85"/>
      <c r="O88" s="82"/>
      <c r="P88" s="86"/>
      <c r="Q88" s="86"/>
      <c r="R88" s="86"/>
      <c r="S88" s="21" t="str">
        <f aca="false">IF(OR(Q88="",R88=""),"",Q88*R88)</f>
        <v/>
      </c>
      <c r="T88" s="85" t="str">
        <f aca="false">IF(S88="","",INDEX(Settings!$A$20:$A$23,MATCH(S88,Settings!$B$20:$B$23,1)))</f>
        <v/>
      </c>
      <c r="U88" s="82"/>
      <c r="V88" s="87"/>
      <c r="W88" s="86"/>
      <c r="X88" s="82"/>
      <c r="Y88" s="96"/>
      <c r="Z88" s="96"/>
      <c r="AA88" s="96"/>
      <c r="AB88" s="96"/>
      <c r="AC88" s="96"/>
      <c r="AD88" s="96"/>
      <c r="AE88" s="96"/>
      <c r="AF88" s="96"/>
      <c r="AG88" s="96"/>
      <c r="AH88" s="96"/>
      <c r="AI88" s="96"/>
      <c r="AJ88" s="97"/>
      <c r="AK88" s="96"/>
      <c r="AL88" s="96"/>
      <c r="AM88" s="96"/>
      <c r="AN88" s="96"/>
      <c r="AO88" s="96"/>
      <c r="AP88" s="96"/>
      <c r="AQ88" s="97"/>
      <c r="AR88" s="97"/>
      <c r="AS88" s="86"/>
      <c r="AT88" s="86"/>
      <c r="AU88" s="85" t="str">
        <f aca="false">IF(OR(AS88="",AT88=""),"",AS88*AT88)</f>
        <v/>
      </c>
      <c r="AV88" s="21" t="str">
        <f aca="false">IF(AU88="","",INDEX(Settings!$A$20:$A$23,MATCH(AU88,Settings!$B$20:$B$23,1)))</f>
        <v/>
      </c>
      <c r="AW88" s="85" t="str">
        <f aca="false">IF(AV88&lt;&gt;"",AV88,T88)</f>
        <v/>
      </c>
      <c r="AX88" s="85" t="str">
        <f aca="false">IF(AW88="","",IF(MATCH(AW88,Settings!$A$20:$A$23,0)&lt;=MATCH(Settings!$C$28,Settings!$A$20:$A$23,0),"Yes","No"))</f>
        <v/>
      </c>
      <c r="AY88" s="81" t="str">
        <f aca="false">IF(AW88="","",IF(AX88="Yes",INDEX(Settings!$G$20:$G$23,MATCH(AW88,Settings!$A$20:$A$23,0)),INDEX(Settings!$G$20:$G$23,MATCH(AW88,Settings!$A$20:$A$23,0))&amp;" (outside appetite)"))</f>
        <v/>
      </c>
      <c r="AZ88" s="82"/>
      <c r="BA88" s="82"/>
      <c r="BB88" s="90"/>
      <c r="BC88" s="91" t="str">
        <f aca="false">IF(OR(BB88="",T88=""),"",BB88+INDEX(Settings!$E$20:$E$23,MATCH(T88,Settings!$A$20:$A$23,0)))</f>
        <v/>
      </c>
      <c r="BD88" s="90"/>
      <c r="BE88" s="82"/>
      <c r="BF88" s="81" t="str">
        <f aca="true">IF(A88="","",IF(OR(BE88="Closed",BE88="Accepted"),"No action",IF(BB88="","Set date identified",IF(TODAY()&gt;BC88,"Deadline exceeded",IF(BC88-TODAY()&lt;=Settings!$C$30,"Deadline approaching","On track")))))</f>
        <v/>
      </c>
      <c r="BG88" s="90"/>
      <c r="BH88" s="90"/>
      <c r="BI88" s="91" t="str">
        <f aca="false">IF(OR(BH88="",AW88=""),"",EDATE(BH88,INDEX(Settings!$F$20:$F$23,MATCH(AW88,Settings!$A$20:$A$23,0))))</f>
        <v/>
      </c>
      <c r="BJ88" s="85" t="str">
        <f aca="false">IF(T88="","",IF(MAX(IF(T88="",0,MATCH(T88,Settings!$A$20:$A$23,0)),IF(AV88="",0,MATCH(AV88,Settings!$A$20:$A$23,0)))&gt;=MATCH(Settings!$C$29,Settings!$A$20:$A$23,0),"Yes","No"))</f>
        <v/>
      </c>
      <c r="BK88" s="82"/>
      <c r="BL88" s="81" t="str">
        <f aca="true">IF(A88="","",IF(TRIM(IF(W88="","Treatment not chosen. ","")&amp;IF(AND(W88="Accept",AX88="No"),"Accepted outside appetite: record approval by "&amp;INDEX(Settings!$G$20:$G$23,MATCH(AW88,Settings!$A$20:$A$23,0))&amp;". ","")&amp;IF(AND(W88="Accept",BG88=""),"Acceptance expiry missing. ","")&amp;IF(AND(BG88&lt;&gt;"",BG88&lt;TODAY()),"Acceptance expired. ","")&amp;IF(AND(W88&lt;&gt;"",W88&lt;&gt;"Accept",AV88=""),"Target rating not set. ","")&amp;IF(AND(BE88="Closed",AX88="No"),"Closed while outside appetite. ","")&amp;IF(AND(W88="Transfer",BE88&lt;&gt;"Transferred",BE88&lt;&gt;"Closed"),"Transfer: record the contract, SLA and audit rights. ","")&amp;IF(AZ88="","Risk owner missing. ","")&amp;IF(K88="","Scenario not written. ",""))="","OK",TRIM(IF(W88="","Treatment not chosen. ","")&amp;IF(AND(W88="Accept",AX88="No"),"Accepted outside appetite: record approval by "&amp;INDEX(Settings!$G$20:$G$23,MATCH(AW88,Settings!$A$20:$A$23,0))&amp;". ","")&amp;IF(AND(W88="Accept",BG88=""),"Acceptance expiry missing. ","")&amp;IF(AND(BG88&lt;&gt;"",BG88&lt;TODAY()),"Acceptance expired. ","")&amp;IF(AND(W88&lt;&gt;"",W88&lt;&gt;"Accept",AV88=""),"Target rating not set. ","")&amp;IF(AND(BE88="Closed",AX88="No"),"Closed while outside appetite. ","")&amp;IF(AND(W88="Transfer",BE88&lt;&gt;"Transferred",BE88&lt;&gt;"Closed"),"Transfer: record the contract, SLA and audit rights. ","")&amp;IF(AZ88="","Risk owner missing. ","")&amp;IF(K88="","Scenario not written. ",""))))</f>
        <v/>
      </c>
      <c r="BM88" s="82"/>
    </row>
    <row r="89" customFormat="false" ht="15" hidden="false" customHeight="false" outlineLevel="0" collapsed="false">
      <c r="A89" s="84"/>
      <c r="B89" s="83"/>
      <c r="C89" s="80"/>
      <c r="D89" s="81" t="str">
        <f aca="false">IF(C89="","",IFERROR(INDEX(Lists!$O$2:$O$13,MATCH(C89,Lists!$N$2:$N$13,0)),"Check domain code"))</f>
        <v/>
      </c>
      <c r="E89" s="81" t="str">
        <f aca="false">IF(C89="","",IFERROR(INDEX(Lists!$P$2:$P$13,MATCH(C89,Lists!$N$2:$N$13,0)),""))</f>
        <v/>
      </c>
      <c r="F89" s="80"/>
      <c r="G89" s="82"/>
      <c r="H89" s="82"/>
      <c r="I89" s="82"/>
      <c r="J89" s="83"/>
      <c r="K89" s="82"/>
      <c r="L89" s="82"/>
      <c r="M89" s="84"/>
      <c r="N89" s="85"/>
      <c r="O89" s="82"/>
      <c r="P89" s="86"/>
      <c r="Q89" s="86"/>
      <c r="R89" s="86"/>
      <c r="S89" s="21" t="str">
        <f aca="false">IF(OR(Q89="",R89=""),"",Q89*R89)</f>
        <v/>
      </c>
      <c r="T89" s="85" t="str">
        <f aca="false">IF(S89="","",INDEX(Settings!$A$20:$A$23,MATCH(S89,Settings!$B$20:$B$23,1)))</f>
        <v/>
      </c>
      <c r="U89" s="82"/>
      <c r="V89" s="87"/>
      <c r="W89" s="86"/>
      <c r="X89" s="82"/>
      <c r="Y89" s="88"/>
      <c r="Z89" s="88"/>
      <c r="AA89" s="88"/>
      <c r="AB89" s="88"/>
      <c r="AC89" s="88"/>
      <c r="AD89" s="88"/>
      <c r="AE89" s="88"/>
      <c r="AF89" s="88"/>
      <c r="AG89" s="88"/>
      <c r="AH89" s="88"/>
      <c r="AI89" s="88"/>
      <c r="AJ89" s="89"/>
      <c r="AK89" s="88"/>
      <c r="AL89" s="88"/>
      <c r="AM89" s="88"/>
      <c r="AN89" s="88"/>
      <c r="AO89" s="88"/>
      <c r="AP89" s="88"/>
      <c r="AQ89" s="89"/>
      <c r="AR89" s="89"/>
      <c r="AS89" s="86"/>
      <c r="AT89" s="86"/>
      <c r="AU89" s="85" t="str">
        <f aca="false">IF(OR(AS89="",AT89=""),"",AS89*AT89)</f>
        <v/>
      </c>
      <c r="AV89" s="21" t="str">
        <f aca="false">IF(AU89="","",INDEX(Settings!$A$20:$A$23,MATCH(AU89,Settings!$B$20:$B$23,1)))</f>
        <v/>
      </c>
      <c r="AW89" s="85" t="str">
        <f aca="false">IF(AV89&lt;&gt;"",AV89,T89)</f>
        <v/>
      </c>
      <c r="AX89" s="85" t="str">
        <f aca="false">IF(AW89="","",IF(MATCH(AW89,Settings!$A$20:$A$23,0)&lt;=MATCH(Settings!$C$28,Settings!$A$20:$A$23,0),"Yes","No"))</f>
        <v/>
      </c>
      <c r="AY89" s="81" t="str">
        <f aca="false">IF(AW89="","",IF(AX89="Yes",INDEX(Settings!$G$20:$G$23,MATCH(AW89,Settings!$A$20:$A$23,0)),INDEX(Settings!$G$20:$G$23,MATCH(AW89,Settings!$A$20:$A$23,0))&amp;" (outside appetite)"))</f>
        <v/>
      </c>
      <c r="AZ89" s="82"/>
      <c r="BA89" s="82"/>
      <c r="BB89" s="90"/>
      <c r="BC89" s="91" t="str">
        <f aca="false">IF(OR(BB89="",T89=""),"",BB89+INDEX(Settings!$E$20:$E$23,MATCH(T89,Settings!$A$20:$A$23,0)))</f>
        <v/>
      </c>
      <c r="BD89" s="90"/>
      <c r="BE89" s="82"/>
      <c r="BF89" s="81" t="str">
        <f aca="true">IF(A89="","",IF(OR(BE89="Closed",BE89="Accepted"),"No action",IF(BB89="","Set date identified",IF(TODAY()&gt;BC89,"Deadline exceeded",IF(BC89-TODAY()&lt;=Settings!$C$30,"Deadline approaching","On track")))))</f>
        <v/>
      </c>
      <c r="BG89" s="90"/>
      <c r="BH89" s="90"/>
      <c r="BI89" s="91" t="str">
        <f aca="false">IF(OR(BH89="",AW89=""),"",EDATE(BH89,INDEX(Settings!$F$20:$F$23,MATCH(AW89,Settings!$A$20:$A$23,0))))</f>
        <v/>
      </c>
      <c r="BJ89" s="85" t="str">
        <f aca="false">IF(T89="","",IF(MAX(IF(T89="",0,MATCH(T89,Settings!$A$20:$A$23,0)),IF(AV89="",0,MATCH(AV89,Settings!$A$20:$A$23,0)))&gt;=MATCH(Settings!$C$29,Settings!$A$20:$A$23,0),"Yes","No"))</f>
        <v/>
      </c>
      <c r="BK89" s="82"/>
      <c r="BL89" s="81" t="str">
        <f aca="true">IF(A89="","",IF(TRIM(IF(W89="","Treatment not chosen. ","")&amp;IF(AND(W89="Accept",AX89="No"),"Accepted outside appetite: record approval by "&amp;INDEX(Settings!$G$20:$G$23,MATCH(AW89,Settings!$A$20:$A$23,0))&amp;". ","")&amp;IF(AND(W89="Accept",BG89=""),"Acceptance expiry missing. ","")&amp;IF(AND(BG89&lt;&gt;"",BG89&lt;TODAY()),"Acceptance expired. ","")&amp;IF(AND(W89&lt;&gt;"",W89&lt;&gt;"Accept",AV89=""),"Target rating not set. ","")&amp;IF(AND(BE89="Closed",AX89="No"),"Closed while outside appetite. ","")&amp;IF(AND(W89="Transfer",BE89&lt;&gt;"Transferred",BE89&lt;&gt;"Closed"),"Transfer: record the contract, SLA and audit rights. ","")&amp;IF(AZ89="","Risk owner missing. ","")&amp;IF(K89="","Scenario not written. ",""))="","OK",TRIM(IF(W89="","Treatment not chosen. ","")&amp;IF(AND(W89="Accept",AX89="No"),"Accepted outside appetite: record approval by "&amp;INDEX(Settings!$G$20:$G$23,MATCH(AW89,Settings!$A$20:$A$23,0))&amp;". ","")&amp;IF(AND(W89="Accept",BG89=""),"Acceptance expiry missing. ","")&amp;IF(AND(BG89&lt;&gt;"",BG89&lt;TODAY()),"Acceptance expired. ","")&amp;IF(AND(W89&lt;&gt;"",W89&lt;&gt;"Accept",AV89=""),"Target rating not set. ","")&amp;IF(AND(BE89="Closed",AX89="No"),"Closed while outside appetite. ","")&amp;IF(AND(W89="Transfer",BE89&lt;&gt;"Transferred",BE89&lt;&gt;"Closed"),"Transfer: record the contract, SLA and audit rights. ","")&amp;IF(AZ89="","Risk owner missing. ","")&amp;IF(K89="","Scenario not written. ",""))))</f>
        <v/>
      </c>
      <c r="BM89" s="82"/>
    </row>
    <row r="90" customFormat="false" ht="15" hidden="false" customHeight="false" outlineLevel="0" collapsed="false">
      <c r="A90" s="95"/>
      <c r="B90" s="94"/>
      <c r="C90" s="80"/>
      <c r="D90" s="81" t="str">
        <f aca="false">IF(C90="","",IFERROR(INDEX(Lists!$O$2:$O$13,MATCH(C90,Lists!$N$2:$N$13,0)),"Check domain code"))</f>
        <v/>
      </c>
      <c r="E90" s="81" t="str">
        <f aca="false">IF(C90="","",IFERROR(INDEX(Lists!$P$2:$P$13,MATCH(C90,Lists!$N$2:$N$13,0)),""))</f>
        <v/>
      </c>
      <c r="F90" s="80"/>
      <c r="G90" s="82"/>
      <c r="H90" s="82"/>
      <c r="I90" s="82"/>
      <c r="J90" s="94"/>
      <c r="K90" s="82"/>
      <c r="L90" s="82"/>
      <c r="M90" s="95"/>
      <c r="N90" s="85"/>
      <c r="O90" s="82"/>
      <c r="P90" s="86"/>
      <c r="Q90" s="86"/>
      <c r="R90" s="86"/>
      <c r="S90" s="21" t="str">
        <f aca="false">IF(OR(Q90="",R90=""),"",Q90*R90)</f>
        <v/>
      </c>
      <c r="T90" s="85" t="str">
        <f aca="false">IF(S90="","",INDEX(Settings!$A$20:$A$23,MATCH(S90,Settings!$B$20:$B$23,1)))</f>
        <v/>
      </c>
      <c r="U90" s="82"/>
      <c r="V90" s="87"/>
      <c r="W90" s="86"/>
      <c r="X90" s="82"/>
      <c r="Y90" s="96"/>
      <c r="Z90" s="96"/>
      <c r="AA90" s="96"/>
      <c r="AB90" s="96"/>
      <c r="AC90" s="96"/>
      <c r="AD90" s="96"/>
      <c r="AE90" s="96"/>
      <c r="AF90" s="96"/>
      <c r="AG90" s="96"/>
      <c r="AH90" s="96"/>
      <c r="AI90" s="96"/>
      <c r="AJ90" s="97"/>
      <c r="AK90" s="96"/>
      <c r="AL90" s="96"/>
      <c r="AM90" s="96"/>
      <c r="AN90" s="96"/>
      <c r="AO90" s="96"/>
      <c r="AP90" s="96"/>
      <c r="AQ90" s="97"/>
      <c r="AR90" s="97"/>
      <c r="AS90" s="86"/>
      <c r="AT90" s="86"/>
      <c r="AU90" s="85" t="str">
        <f aca="false">IF(OR(AS90="",AT90=""),"",AS90*AT90)</f>
        <v/>
      </c>
      <c r="AV90" s="21" t="str">
        <f aca="false">IF(AU90="","",INDEX(Settings!$A$20:$A$23,MATCH(AU90,Settings!$B$20:$B$23,1)))</f>
        <v/>
      </c>
      <c r="AW90" s="85" t="str">
        <f aca="false">IF(AV90&lt;&gt;"",AV90,T90)</f>
        <v/>
      </c>
      <c r="AX90" s="85" t="str">
        <f aca="false">IF(AW90="","",IF(MATCH(AW90,Settings!$A$20:$A$23,0)&lt;=MATCH(Settings!$C$28,Settings!$A$20:$A$23,0),"Yes","No"))</f>
        <v/>
      </c>
      <c r="AY90" s="81" t="str">
        <f aca="false">IF(AW90="","",IF(AX90="Yes",INDEX(Settings!$G$20:$G$23,MATCH(AW90,Settings!$A$20:$A$23,0)),INDEX(Settings!$G$20:$G$23,MATCH(AW90,Settings!$A$20:$A$23,0))&amp;" (outside appetite)"))</f>
        <v/>
      </c>
      <c r="AZ90" s="82"/>
      <c r="BA90" s="82"/>
      <c r="BB90" s="90"/>
      <c r="BC90" s="91" t="str">
        <f aca="false">IF(OR(BB90="",T90=""),"",BB90+INDEX(Settings!$E$20:$E$23,MATCH(T90,Settings!$A$20:$A$23,0)))</f>
        <v/>
      </c>
      <c r="BD90" s="90"/>
      <c r="BE90" s="82"/>
      <c r="BF90" s="81" t="str">
        <f aca="true">IF(A90="","",IF(OR(BE90="Closed",BE90="Accepted"),"No action",IF(BB90="","Set date identified",IF(TODAY()&gt;BC90,"Deadline exceeded",IF(BC90-TODAY()&lt;=Settings!$C$30,"Deadline approaching","On track")))))</f>
        <v/>
      </c>
      <c r="BG90" s="90"/>
      <c r="BH90" s="90"/>
      <c r="BI90" s="91" t="str">
        <f aca="false">IF(OR(BH90="",AW90=""),"",EDATE(BH90,INDEX(Settings!$F$20:$F$23,MATCH(AW90,Settings!$A$20:$A$23,0))))</f>
        <v/>
      </c>
      <c r="BJ90" s="85" t="str">
        <f aca="false">IF(T90="","",IF(MAX(IF(T90="",0,MATCH(T90,Settings!$A$20:$A$23,0)),IF(AV90="",0,MATCH(AV90,Settings!$A$20:$A$23,0)))&gt;=MATCH(Settings!$C$29,Settings!$A$20:$A$23,0),"Yes","No"))</f>
        <v/>
      </c>
      <c r="BK90" s="82"/>
      <c r="BL90" s="81" t="str">
        <f aca="true">IF(A90="","",IF(TRIM(IF(W90="","Treatment not chosen. ","")&amp;IF(AND(W90="Accept",AX90="No"),"Accepted outside appetite: record approval by "&amp;INDEX(Settings!$G$20:$G$23,MATCH(AW90,Settings!$A$20:$A$23,0))&amp;". ","")&amp;IF(AND(W90="Accept",BG90=""),"Acceptance expiry missing. ","")&amp;IF(AND(BG90&lt;&gt;"",BG90&lt;TODAY()),"Acceptance expired. ","")&amp;IF(AND(W90&lt;&gt;"",W90&lt;&gt;"Accept",AV90=""),"Target rating not set. ","")&amp;IF(AND(BE90="Closed",AX90="No"),"Closed while outside appetite. ","")&amp;IF(AND(W90="Transfer",BE90&lt;&gt;"Transferred",BE90&lt;&gt;"Closed"),"Transfer: record the contract, SLA and audit rights. ","")&amp;IF(AZ90="","Risk owner missing. ","")&amp;IF(K90="","Scenario not written. ",""))="","OK",TRIM(IF(W90="","Treatment not chosen. ","")&amp;IF(AND(W90="Accept",AX90="No"),"Accepted outside appetite: record approval by "&amp;INDEX(Settings!$G$20:$G$23,MATCH(AW90,Settings!$A$20:$A$23,0))&amp;". ","")&amp;IF(AND(W90="Accept",BG90=""),"Acceptance expiry missing. ","")&amp;IF(AND(BG90&lt;&gt;"",BG90&lt;TODAY()),"Acceptance expired. ","")&amp;IF(AND(W90&lt;&gt;"",W90&lt;&gt;"Accept",AV90=""),"Target rating not set. ","")&amp;IF(AND(BE90="Closed",AX90="No"),"Closed while outside appetite. ","")&amp;IF(AND(W90="Transfer",BE90&lt;&gt;"Transferred",BE90&lt;&gt;"Closed"),"Transfer: record the contract, SLA and audit rights. ","")&amp;IF(AZ90="","Risk owner missing. ","")&amp;IF(K90="","Scenario not written. ",""))))</f>
        <v/>
      </c>
      <c r="BM90" s="82"/>
    </row>
    <row r="91" customFormat="false" ht="15" hidden="false" customHeight="false" outlineLevel="0" collapsed="false">
      <c r="A91" s="84"/>
      <c r="B91" s="83"/>
      <c r="C91" s="80"/>
      <c r="D91" s="81" t="str">
        <f aca="false">IF(C91="","",IFERROR(INDEX(Lists!$O$2:$O$13,MATCH(C91,Lists!$N$2:$N$13,0)),"Check domain code"))</f>
        <v/>
      </c>
      <c r="E91" s="81" t="str">
        <f aca="false">IF(C91="","",IFERROR(INDEX(Lists!$P$2:$P$13,MATCH(C91,Lists!$N$2:$N$13,0)),""))</f>
        <v/>
      </c>
      <c r="F91" s="80"/>
      <c r="G91" s="82"/>
      <c r="H91" s="82"/>
      <c r="I91" s="82"/>
      <c r="J91" s="83"/>
      <c r="K91" s="82"/>
      <c r="L91" s="82"/>
      <c r="M91" s="84"/>
      <c r="N91" s="85"/>
      <c r="O91" s="82"/>
      <c r="P91" s="86"/>
      <c r="Q91" s="86"/>
      <c r="R91" s="86"/>
      <c r="S91" s="21" t="str">
        <f aca="false">IF(OR(Q91="",R91=""),"",Q91*R91)</f>
        <v/>
      </c>
      <c r="T91" s="85" t="str">
        <f aca="false">IF(S91="","",INDEX(Settings!$A$20:$A$23,MATCH(S91,Settings!$B$20:$B$23,1)))</f>
        <v/>
      </c>
      <c r="U91" s="82"/>
      <c r="V91" s="87"/>
      <c r="W91" s="86"/>
      <c r="X91" s="82"/>
      <c r="Y91" s="88"/>
      <c r="Z91" s="88"/>
      <c r="AA91" s="88"/>
      <c r="AB91" s="88"/>
      <c r="AC91" s="88"/>
      <c r="AD91" s="88"/>
      <c r="AE91" s="88"/>
      <c r="AF91" s="88"/>
      <c r="AG91" s="88"/>
      <c r="AH91" s="88"/>
      <c r="AI91" s="88"/>
      <c r="AJ91" s="89"/>
      <c r="AK91" s="88"/>
      <c r="AL91" s="88"/>
      <c r="AM91" s="88"/>
      <c r="AN91" s="88"/>
      <c r="AO91" s="88"/>
      <c r="AP91" s="88"/>
      <c r="AQ91" s="89"/>
      <c r="AR91" s="89"/>
      <c r="AS91" s="86"/>
      <c r="AT91" s="86"/>
      <c r="AU91" s="85" t="str">
        <f aca="false">IF(OR(AS91="",AT91=""),"",AS91*AT91)</f>
        <v/>
      </c>
      <c r="AV91" s="21" t="str">
        <f aca="false">IF(AU91="","",INDEX(Settings!$A$20:$A$23,MATCH(AU91,Settings!$B$20:$B$23,1)))</f>
        <v/>
      </c>
      <c r="AW91" s="85" t="str">
        <f aca="false">IF(AV91&lt;&gt;"",AV91,T91)</f>
        <v/>
      </c>
      <c r="AX91" s="85" t="str">
        <f aca="false">IF(AW91="","",IF(MATCH(AW91,Settings!$A$20:$A$23,0)&lt;=MATCH(Settings!$C$28,Settings!$A$20:$A$23,0),"Yes","No"))</f>
        <v/>
      </c>
      <c r="AY91" s="81" t="str">
        <f aca="false">IF(AW91="","",IF(AX91="Yes",INDEX(Settings!$G$20:$G$23,MATCH(AW91,Settings!$A$20:$A$23,0)),INDEX(Settings!$G$20:$G$23,MATCH(AW91,Settings!$A$20:$A$23,0))&amp;" (outside appetite)"))</f>
        <v/>
      </c>
      <c r="AZ91" s="82"/>
      <c r="BA91" s="82"/>
      <c r="BB91" s="90"/>
      <c r="BC91" s="91" t="str">
        <f aca="false">IF(OR(BB91="",T91=""),"",BB91+INDEX(Settings!$E$20:$E$23,MATCH(T91,Settings!$A$20:$A$23,0)))</f>
        <v/>
      </c>
      <c r="BD91" s="90"/>
      <c r="BE91" s="82"/>
      <c r="BF91" s="81" t="str">
        <f aca="true">IF(A91="","",IF(OR(BE91="Closed",BE91="Accepted"),"No action",IF(BB91="","Set date identified",IF(TODAY()&gt;BC91,"Deadline exceeded",IF(BC91-TODAY()&lt;=Settings!$C$30,"Deadline approaching","On track")))))</f>
        <v/>
      </c>
      <c r="BG91" s="90"/>
      <c r="BH91" s="90"/>
      <c r="BI91" s="91" t="str">
        <f aca="false">IF(OR(BH91="",AW91=""),"",EDATE(BH91,INDEX(Settings!$F$20:$F$23,MATCH(AW91,Settings!$A$20:$A$23,0))))</f>
        <v/>
      </c>
      <c r="BJ91" s="85" t="str">
        <f aca="false">IF(T91="","",IF(MAX(IF(T91="",0,MATCH(T91,Settings!$A$20:$A$23,0)),IF(AV91="",0,MATCH(AV91,Settings!$A$20:$A$23,0)))&gt;=MATCH(Settings!$C$29,Settings!$A$20:$A$23,0),"Yes","No"))</f>
        <v/>
      </c>
      <c r="BK91" s="82"/>
      <c r="BL91" s="81" t="str">
        <f aca="true">IF(A91="","",IF(TRIM(IF(W91="","Treatment not chosen. ","")&amp;IF(AND(W91="Accept",AX91="No"),"Accepted outside appetite: record approval by "&amp;INDEX(Settings!$G$20:$G$23,MATCH(AW91,Settings!$A$20:$A$23,0))&amp;". ","")&amp;IF(AND(W91="Accept",BG91=""),"Acceptance expiry missing. ","")&amp;IF(AND(BG91&lt;&gt;"",BG91&lt;TODAY()),"Acceptance expired. ","")&amp;IF(AND(W91&lt;&gt;"",W91&lt;&gt;"Accept",AV91=""),"Target rating not set. ","")&amp;IF(AND(BE91="Closed",AX91="No"),"Closed while outside appetite. ","")&amp;IF(AND(W91="Transfer",BE91&lt;&gt;"Transferred",BE91&lt;&gt;"Closed"),"Transfer: record the contract, SLA and audit rights. ","")&amp;IF(AZ91="","Risk owner missing. ","")&amp;IF(K91="","Scenario not written. ",""))="","OK",TRIM(IF(W91="","Treatment not chosen. ","")&amp;IF(AND(W91="Accept",AX91="No"),"Accepted outside appetite: record approval by "&amp;INDEX(Settings!$G$20:$G$23,MATCH(AW91,Settings!$A$20:$A$23,0))&amp;". ","")&amp;IF(AND(W91="Accept",BG91=""),"Acceptance expiry missing. ","")&amp;IF(AND(BG91&lt;&gt;"",BG91&lt;TODAY()),"Acceptance expired. ","")&amp;IF(AND(W91&lt;&gt;"",W91&lt;&gt;"Accept",AV91=""),"Target rating not set. ","")&amp;IF(AND(BE91="Closed",AX91="No"),"Closed while outside appetite. ","")&amp;IF(AND(W91="Transfer",BE91&lt;&gt;"Transferred",BE91&lt;&gt;"Closed"),"Transfer: record the contract, SLA and audit rights. ","")&amp;IF(AZ91="","Risk owner missing. ","")&amp;IF(K91="","Scenario not written. ",""))))</f>
        <v/>
      </c>
      <c r="BM91" s="82"/>
    </row>
    <row r="92" customFormat="false" ht="15" hidden="false" customHeight="false" outlineLevel="0" collapsed="false">
      <c r="A92" s="95"/>
      <c r="B92" s="94"/>
      <c r="C92" s="80"/>
      <c r="D92" s="81" t="str">
        <f aca="false">IF(C92="","",IFERROR(INDEX(Lists!$O$2:$O$13,MATCH(C92,Lists!$N$2:$N$13,0)),"Check domain code"))</f>
        <v/>
      </c>
      <c r="E92" s="81" t="str">
        <f aca="false">IF(C92="","",IFERROR(INDEX(Lists!$P$2:$P$13,MATCH(C92,Lists!$N$2:$N$13,0)),""))</f>
        <v/>
      </c>
      <c r="F92" s="80"/>
      <c r="G92" s="82"/>
      <c r="H92" s="82"/>
      <c r="I92" s="82"/>
      <c r="J92" s="94"/>
      <c r="K92" s="82"/>
      <c r="L92" s="82"/>
      <c r="M92" s="95"/>
      <c r="N92" s="85"/>
      <c r="O92" s="82"/>
      <c r="P92" s="86"/>
      <c r="Q92" s="86"/>
      <c r="R92" s="86"/>
      <c r="S92" s="21" t="str">
        <f aca="false">IF(OR(Q92="",R92=""),"",Q92*R92)</f>
        <v/>
      </c>
      <c r="T92" s="85" t="str">
        <f aca="false">IF(S92="","",INDEX(Settings!$A$20:$A$23,MATCH(S92,Settings!$B$20:$B$23,1)))</f>
        <v/>
      </c>
      <c r="U92" s="82"/>
      <c r="V92" s="87"/>
      <c r="W92" s="86"/>
      <c r="X92" s="82"/>
      <c r="Y92" s="96"/>
      <c r="Z92" s="96"/>
      <c r="AA92" s="96"/>
      <c r="AB92" s="96"/>
      <c r="AC92" s="96"/>
      <c r="AD92" s="96"/>
      <c r="AE92" s="96"/>
      <c r="AF92" s="96"/>
      <c r="AG92" s="96"/>
      <c r="AH92" s="96"/>
      <c r="AI92" s="96"/>
      <c r="AJ92" s="97"/>
      <c r="AK92" s="96"/>
      <c r="AL92" s="96"/>
      <c r="AM92" s="96"/>
      <c r="AN92" s="96"/>
      <c r="AO92" s="96"/>
      <c r="AP92" s="96"/>
      <c r="AQ92" s="97"/>
      <c r="AR92" s="97"/>
      <c r="AS92" s="86"/>
      <c r="AT92" s="86"/>
      <c r="AU92" s="85" t="str">
        <f aca="false">IF(OR(AS92="",AT92=""),"",AS92*AT92)</f>
        <v/>
      </c>
      <c r="AV92" s="21" t="str">
        <f aca="false">IF(AU92="","",INDEX(Settings!$A$20:$A$23,MATCH(AU92,Settings!$B$20:$B$23,1)))</f>
        <v/>
      </c>
      <c r="AW92" s="85" t="str">
        <f aca="false">IF(AV92&lt;&gt;"",AV92,T92)</f>
        <v/>
      </c>
      <c r="AX92" s="85" t="str">
        <f aca="false">IF(AW92="","",IF(MATCH(AW92,Settings!$A$20:$A$23,0)&lt;=MATCH(Settings!$C$28,Settings!$A$20:$A$23,0),"Yes","No"))</f>
        <v/>
      </c>
      <c r="AY92" s="81" t="str">
        <f aca="false">IF(AW92="","",IF(AX92="Yes",INDEX(Settings!$G$20:$G$23,MATCH(AW92,Settings!$A$20:$A$23,0)),INDEX(Settings!$G$20:$G$23,MATCH(AW92,Settings!$A$20:$A$23,0))&amp;" (outside appetite)"))</f>
        <v/>
      </c>
      <c r="AZ92" s="82"/>
      <c r="BA92" s="82"/>
      <c r="BB92" s="90"/>
      <c r="BC92" s="91" t="str">
        <f aca="false">IF(OR(BB92="",T92=""),"",BB92+INDEX(Settings!$E$20:$E$23,MATCH(T92,Settings!$A$20:$A$23,0)))</f>
        <v/>
      </c>
      <c r="BD92" s="90"/>
      <c r="BE92" s="82"/>
      <c r="BF92" s="81" t="str">
        <f aca="true">IF(A92="","",IF(OR(BE92="Closed",BE92="Accepted"),"No action",IF(BB92="","Set date identified",IF(TODAY()&gt;BC92,"Deadline exceeded",IF(BC92-TODAY()&lt;=Settings!$C$30,"Deadline approaching","On track")))))</f>
        <v/>
      </c>
      <c r="BG92" s="90"/>
      <c r="BH92" s="90"/>
      <c r="BI92" s="91" t="str">
        <f aca="false">IF(OR(BH92="",AW92=""),"",EDATE(BH92,INDEX(Settings!$F$20:$F$23,MATCH(AW92,Settings!$A$20:$A$23,0))))</f>
        <v/>
      </c>
      <c r="BJ92" s="85" t="str">
        <f aca="false">IF(T92="","",IF(MAX(IF(T92="",0,MATCH(T92,Settings!$A$20:$A$23,0)),IF(AV92="",0,MATCH(AV92,Settings!$A$20:$A$23,0)))&gt;=MATCH(Settings!$C$29,Settings!$A$20:$A$23,0),"Yes","No"))</f>
        <v/>
      </c>
      <c r="BK92" s="82"/>
      <c r="BL92" s="81" t="str">
        <f aca="true">IF(A92="","",IF(TRIM(IF(W92="","Treatment not chosen. ","")&amp;IF(AND(W92="Accept",AX92="No"),"Accepted outside appetite: record approval by "&amp;INDEX(Settings!$G$20:$G$23,MATCH(AW92,Settings!$A$20:$A$23,0))&amp;". ","")&amp;IF(AND(W92="Accept",BG92=""),"Acceptance expiry missing. ","")&amp;IF(AND(BG92&lt;&gt;"",BG92&lt;TODAY()),"Acceptance expired. ","")&amp;IF(AND(W92&lt;&gt;"",W92&lt;&gt;"Accept",AV92=""),"Target rating not set. ","")&amp;IF(AND(BE92="Closed",AX92="No"),"Closed while outside appetite. ","")&amp;IF(AND(W92="Transfer",BE92&lt;&gt;"Transferred",BE92&lt;&gt;"Closed"),"Transfer: record the contract, SLA and audit rights. ","")&amp;IF(AZ92="","Risk owner missing. ","")&amp;IF(K92="","Scenario not written. ",""))="","OK",TRIM(IF(W92="","Treatment not chosen. ","")&amp;IF(AND(W92="Accept",AX92="No"),"Accepted outside appetite: record approval by "&amp;INDEX(Settings!$G$20:$G$23,MATCH(AW92,Settings!$A$20:$A$23,0))&amp;". ","")&amp;IF(AND(W92="Accept",BG92=""),"Acceptance expiry missing. ","")&amp;IF(AND(BG92&lt;&gt;"",BG92&lt;TODAY()),"Acceptance expired. ","")&amp;IF(AND(W92&lt;&gt;"",W92&lt;&gt;"Accept",AV92=""),"Target rating not set. ","")&amp;IF(AND(BE92="Closed",AX92="No"),"Closed while outside appetite. ","")&amp;IF(AND(W92="Transfer",BE92&lt;&gt;"Transferred",BE92&lt;&gt;"Closed"),"Transfer: record the contract, SLA and audit rights. ","")&amp;IF(AZ92="","Risk owner missing. ","")&amp;IF(K92="","Scenario not written. ",""))))</f>
        <v/>
      </c>
      <c r="BM92" s="82"/>
    </row>
    <row r="93" customFormat="false" ht="15" hidden="false" customHeight="false" outlineLevel="0" collapsed="false">
      <c r="A93" s="84"/>
      <c r="B93" s="83"/>
      <c r="C93" s="80"/>
      <c r="D93" s="81" t="str">
        <f aca="false">IF(C93="","",IFERROR(INDEX(Lists!$O$2:$O$13,MATCH(C93,Lists!$N$2:$N$13,0)),"Check domain code"))</f>
        <v/>
      </c>
      <c r="E93" s="81" t="str">
        <f aca="false">IF(C93="","",IFERROR(INDEX(Lists!$P$2:$P$13,MATCH(C93,Lists!$N$2:$N$13,0)),""))</f>
        <v/>
      </c>
      <c r="F93" s="80"/>
      <c r="G93" s="82"/>
      <c r="H93" s="82"/>
      <c r="I93" s="82"/>
      <c r="J93" s="83"/>
      <c r="K93" s="82"/>
      <c r="L93" s="82"/>
      <c r="M93" s="84"/>
      <c r="N93" s="85"/>
      <c r="O93" s="82"/>
      <c r="P93" s="86"/>
      <c r="Q93" s="86"/>
      <c r="R93" s="86"/>
      <c r="S93" s="21" t="str">
        <f aca="false">IF(OR(Q93="",R93=""),"",Q93*R93)</f>
        <v/>
      </c>
      <c r="T93" s="85" t="str">
        <f aca="false">IF(S93="","",INDEX(Settings!$A$20:$A$23,MATCH(S93,Settings!$B$20:$B$23,1)))</f>
        <v/>
      </c>
      <c r="U93" s="82"/>
      <c r="V93" s="87"/>
      <c r="W93" s="86"/>
      <c r="X93" s="82"/>
      <c r="Y93" s="88"/>
      <c r="Z93" s="88"/>
      <c r="AA93" s="88"/>
      <c r="AB93" s="88"/>
      <c r="AC93" s="88"/>
      <c r="AD93" s="88"/>
      <c r="AE93" s="88"/>
      <c r="AF93" s="88"/>
      <c r="AG93" s="88"/>
      <c r="AH93" s="88"/>
      <c r="AI93" s="88"/>
      <c r="AJ93" s="89"/>
      <c r="AK93" s="88"/>
      <c r="AL93" s="88"/>
      <c r="AM93" s="88"/>
      <c r="AN93" s="88"/>
      <c r="AO93" s="88"/>
      <c r="AP93" s="88"/>
      <c r="AQ93" s="89"/>
      <c r="AR93" s="89"/>
      <c r="AS93" s="86"/>
      <c r="AT93" s="86"/>
      <c r="AU93" s="85" t="str">
        <f aca="false">IF(OR(AS93="",AT93=""),"",AS93*AT93)</f>
        <v/>
      </c>
      <c r="AV93" s="21" t="str">
        <f aca="false">IF(AU93="","",INDEX(Settings!$A$20:$A$23,MATCH(AU93,Settings!$B$20:$B$23,1)))</f>
        <v/>
      </c>
      <c r="AW93" s="85" t="str">
        <f aca="false">IF(AV93&lt;&gt;"",AV93,T93)</f>
        <v/>
      </c>
      <c r="AX93" s="85" t="str">
        <f aca="false">IF(AW93="","",IF(MATCH(AW93,Settings!$A$20:$A$23,0)&lt;=MATCH(Settings!$C$28,Settings!$A$20:$A$23,0),"Yes","No"))</f>
        <v/>
      </c>
      <c r="AY93" s="81" t="str">
        <f aca="false">IF(AW93="","",IF(AX93="Yes",INDEX(Settings!$G$20:$G$23,MATCH(AW93,Settings!$A$20:$A$23,0)),INDEX(Settings!$G$20:$G$23,MATCH(AW93,Settings!$A$20:$A$23,0))&amp;" (outside appetite)"))</f>
        <v/>
      </c>
      <c r="AZ93" s="82"/>
      <c r="BA93" s="82"/>
      <c r="BB93" s="90"/>
      <c r="BC93" s="91" t="str">
        <f aca="false">IF(OR(BB93="",T93=""),"",BB93+INDEX(Settings!$E$20:$E$23,MATCH(T93,Settings!$A$20:$A$23,0)))</f>
        <v/>
      </c>
      <c r="BD93" s="90"/>
      <c r="BE93" s="82"/>
      <c r="BF93" s="81" t="str">
        <f aca="true">IF(A93="","",IF(OR(BE93="Closed",BE93="Accepted"),"No action",IF(BB93="","Set date identified",IF(TODAY()&gt;BC93,"Deadline exceeded",IF(BC93-TODAY()&lt;=Settings!$C$30,"Deadline approaching","On track")))))</f>
        <v/>
      </c>
      <c r="BG93" s="90"/>
      <c r="BH93" s="90"/>
      <c r="BI93" s="91" t="str">
        <f aca="false">IF(OR(BH93="",AW93=""),"",EDATE(BH93,INDEX(Settings!$F$20:$F$23,MATCH(AW93,Settings!$A$20:$A$23,0))))</f>
        <v/>
      </c>
      <c r="BJ93" s="85" t="str">
        <f aca="false">IF(T93="","",IF(MAX(IF(T93="",0,MATCH(T93,Settings!$A$20:$A$23,0)),IF(AV93="",0,MATCH(AV93,Settings!$A$20:$A$23,0)))&gt;=MATCH(Settings!$C$29,Settings!$A$20:$A$23,0),"Yes","No"))</f>
        <v/>
      </c>
      <c r="BK93" s="82"/>
      <c r="BL93" s="81" t="str">
        <f aca="true">IF(A93="","",IF(TRIM(IF(W93="","Treatment not chosen. ","")&amp;IF(AND(W93="Accept",AX93="No"),"Accepted outside appetite: record approval by "&amp;INDEX(Settings!$G$20:$G$23,MATCH(AW93,Settings!$A$20:$A$23,0))&amp;". ","")&amp;IF(AND(W93="Accept",BG93=""),"Acceptance expiry missing. ","")&amp;IF(AND(BG93&lt;&gt;"",BG93&lt;TODAY()),"Acceptance expired. ","")&amp;IF(AND(W93&lt;&gt;"",W93&lt;&gt;"Accept",AV93=""),"Target rating not set. ","")&amp;IF(AND(BE93="Closed",AX93="No"),"Closed while outside appetite. ","")&amp;IF(AND(W93="Transfer",BE93&lt;&gt;"Transferred",BE93&lt;&gt;"Closed"),"Transfer: record the contract, SLA and audit rights. ","")&amp;IF(AZ93="","Risk owner missing. ","")&amp;IF(K93="","Scenario not written. ",""))="","OK",TRIM(IF(W93="","Treatment not chosen. ","")&amp;IF(AND(W93="Accept",AX93="No"),"Accepted outside appetite: record approval by "&amp;INDEX(Settings!$G$20:$G$23,MATCH(AW93,Settings!$A$20:$A$23,0))&amp;". ","")&amp;IF(AND(W93="Accept",BG93=""),"Acceptance expiry missing. ","")&amp;IF(AND(BG93&lt;&gt;"",BG93&lt;TODAY()),"Acceptance expired. ","")&amp;IF(AND(W93&lt;&gt;"",W93&lt;&gt;"Accept",AV93=""),"Target rating not set. ","")&amp;IF(AND(BE93="Closed",AX93="No"),"Closed while outside appetite. ","")&amp;IF(AND(W93="Transfer",BE93&lt;&gt;"Transferred",BE93&lt;&gt;"Closed"),"Transfer: record the contract, SLA and audit rights. ","")&amp;IF(AZ93="","Risk owner missing. ","")&amp;IF(K93="","Scenario not written. ",""))))</f>
        <v/>
      </c>
      <c r="BM93" s="82"/>
    </row>
    <row r="94" customFormat="false" ht="15" hidden="false" customHeight="false" outlineLevel="0" collapsed="false">
      <c r="A94" s="95"/>
      <c r="B94" s="94"/>
      <c r="C94" s="80"/>
      <c r="D94" s="81" t="str">
        <f aca="false">IF(C94="","",IFERROR(INDEX(Lists!$O$2:$O$13,MATCH(C94,Lists!$N$2:$N$13,0)),"Check domain code"))</f>
        <v/>
      </c>
      <c r="E94" s="81" t="str">
        <f aca="false">IF(C94="","",IFERROR(INDEX(Lists!$P$2:$P$13,MATCH(C94,Lists!$N$2:$N$13,0)),""))</f>
        <v/>
      </c>
      <c r="F94" s="80"/>
      <c r="G94" s="82"/>
      <c r="H94" s="82"/>
      <c r="I94" s="82"/>
      <c r="J94" s="94"/>
      <c r="K94" s="82"/>
      <c r="L94" s="82"/>
      <c r="M94" s="95"/>
      <c r="N94" s="85"/>
      <c r="O94" s="82"/>
      <c r="P94" s="86"/>
      <c r="Q94" s="86"/>
      <c r="R94" s="86"/>
      <c r="S94" s="21" t="str">
        <f aca="false">IF(OR(Q94="",R94=""),"",Q94*R94)</f>
        <v/>
      </c>
      <c r="T94" s="85" t="str">
        <f aca="false">IF(S94="","",INDEX(Settings!$A$20:$A$23,MATCH(S94,Settings!$B$20:$B$23,1)))</f>
        <v/>
      </c>
      <c r="U94" s="82"/>
      <c r="V94" s="87"/>
      <c r="W94" s="86"/>
      <c r="X94" s="82"/>
      <c r="Y94" s="96"/>
      <c r="Z94" s="96"/>
      <c r="AA94" s="96"/>
      <c r="AB94" s="96"/>
      <c r="AC94" s="96"/>
      <c r="AD94" s="96"/>
      <c r="AE94" s="96"/>
      <c r="AF94" s="96"/>
      <c r="AG94" s="96"/>
      <c r="AH94" s="96"/>
      <c r="AI94" s="96"/>
      <c r="AJ94" s="97"/>
      <c r="AK94" s="96"/>
      <c r="AL94" s="96"/>
      <c r="AM94" s="96"/>
      <c r="AN94" s="96"/>
      <c r="AO94" s="96"/>
      <c r="AP94" s="96"/>
      <c r="AQ94" s="97"/>
      <c r="AR94" s="97"/>
      <c r="AS94" s="86"/>
      <c r="AT94" s="86"/>
      <c r="AU94" s="85" t="str">
        <f aca="false">IF(OR(AS94="",AT94=""),"",AS94*AT94)</f>
        <v/>
      </c>
      <c r="AV94" s="21" t="str">
        <f aca="false">IF(AU94="","",INDEX(Settings!$A$20:$A$23,MATCH(AU94,Settings!$B$20:$B$23,1)))</f>
        <v/>
      </c>
      <c r="AW94" s="85" t="str">
        <f aca="false">IF(AV94&lt;&gt;"",AV94,T94)</f>
        <v/>
      </c>
      <c r="AX94" s="85" t="str">
        <f aca="false">IF(AW94="","",IF(MATCH(AW94,Settings!$A$20:$A$23,0)&lt;=MATCH(Settings!$C$28,Settings!$A$20:$A$23,0),"Yes","No"))</f>
        <v/>
      </c>
      <c r="AY94" s="81" t="str">
        <f aca="false">IF(AW94="","",IF(AX94="Yes",INDEX(Settings!$G$20:$G$23,MATCH(AW94,Settings!$A$20:$A$23,0)),INDEX(Settings!$G$20:$G$23,MATCH(AW94,Settings!$A$20:$A$23,0))&amp;" (outside appetite)"))</f>
        <v/>
      </c>
      <c r="AZ94" s="82"/>
      <c r="BA94" s="82"/>
      <c r="BB94" s="90"/>
      <c r="BC94" s="91" t="str">
        <f aca="false">IF(OR(BB94="",T94=""),"",BB94+INDEX(Settings!$E$20:$E$23,MATCH(T94,Settings!$A$20:$A$23,0)))</f>
        <v/>
      </c>
      <c r="BD94" s="90"/>
      <c r="BE94" s="82"/>
      <c r="BF94" s="81" t="str">
        <f aca="true">IF(A94="","",IF(OR(BE94="Closed",BE94="Accepted"),"No action",IF(BB94="","Set date identified",IF(TODAY()&gt;BC94,"Deadline exceeded",IF(BC94-TODAY()&lt;=Settings!$C$30,"Deadline approaching","On track")))))</f>
        <v/>
      </c>
      <c r="BG94" s="90"/>
      <c r="BH94" s="90"/>
      <c r="BI94" s="91" t="str">
        <f aca="false">IF(OR(BH94="",AW94=""),"",EDATE(BH94,INDEX(Settings!$F$20:$F$23,MATCH(AW94,Settings!$A$20:$A$23,0))))</f>
        <v/>
      </c>
      <c r="BJ94" s="85" t="str">
        <f aca="false">IF(T94="","",IF(MAX(IF(T94="",0,MATCH(T94,Settings!$A$20:$A$23,0)),IF(AV94="",0,MATCH(AV94,Settings!$A$20:$A$23,0)))&gt;=MATCH(Settings!$C$29,Settings!$A$20:$A$23,0),"Yes","No"))</f>
        <v/>
      </c>
      <c r="BK94" s="82"/>
      <c r="BL94" s="81" t="str">
        <f aca="true">IF(A94="","",IF(TRIM(IF(W94="","Treatment not chosen. ","")&amp;IF(AND(W94="Accept",AX94="No"),"Accepted outside appetite: record approval by "&amp;INDEX(Settings!$G$20:$G$23,MATCH(AW94,Settings!$A$20:$A$23,0))&amp;". ","")&amp;IF(AND(W94="Accept",BG94=""),"Acceptance expiry missing. ","")&amp;IF(AND(BG94&lt;&gt;"",BG94&lt;TODAY()),"Acceptance expired. ","")&amp;IF(AND(W94&lt;&gt;"",W94&lt;&gt;"Accept",AV94=""),"Target rating not set. ","")&amp;IF(AND(BE94="Closed",AX94="No"),"Closed while outside appetite. ","")&amp;IF(AND(W94="Transfer",BE94&lt;&gt;"Transferred",BE94&lt;&gt;"Closed"),"Transfer: record the contract, SLA and audit rights. ","")&amp;IF(AZ94="","Risk owner missing. ","")&amp;IF(K94="","Scenario not written. ",""))="","OK",TRIM(IF(W94="","Treatment not chosen. ","")&amp;IF(AND(W94="Accept",AX94="No"),"Accepted outside appetite: record approval by "&amp;INDEX(Settings!$G$20:$G$23,MATCH(AW94,Settings!$A$20:$A$23,0))&amp;". ","")&amp;IF(AND(W94="Accept",BG94=""),"Acceptance expiry missing. ","")&amp;IF(AND(BG94&lt;&gt;"",BG94&lt;TODAY()),"Acceptance expired. ","")&amp;IF(AND(W94&lt;&gt;"",W94&lt;&gt;"Accept",AV94=""),"Target rating not set. ","")&amp;IF(AND(BE94="Closed",AX94="No"),"Closed while outside appetite. ","")&amp;IF(AND(W94="Transfer",BE94&lt;&gt;"Transferred",BE94&lt;&gt;"Closed"),"Transfer: record the contract, SLA and audit rights. ","")&amp;IF(AZ94="","Risk owner missing. ","")&amp;IF(K94="","Scenario not written. ",""))))</f>
        <v/>
      </c>
      <c r="BM94" s="82"/>
    </row>
    <row r="95" customFormat="false" ht="15" hidden="false" customHeight="false" outlineLevel="0" collapsed="false">
      <c r="A95" s="84"/>
      <c r="B95" s="83"/>
      <c r="C95" s="80"/>
      <c r="D95" s="81" t="str">
        <f aca="false">IF(C95="","",IFERROR(INDEX(Lists!$O$2:$O$13,MATCH(C95,Lists!$N$2:$N$13,0)),"Check domain code"))</f>
        <v/>
      </c>
      <c r="E95" s="81" t="str">
        <f aca="false">IF(C95="","",IFERROR(INDEX(Lists!$P$2:$P$13,MATCH(C95,Lists!$N$2:$N$13,0)),""))</f>
        <v/>
      </c>
      <c r="F95" s="80"/>
      <c r="G95" s="82"/>
      <c r="H95" s="82"/>
      <c r="I95" s="82"/>
      <c r="J95" s="83"/>
      <c r="K95" s="82"/>
      <c r="L95" s="82"/>
      <c r="M95" s="84"/>
      <c r="N95" s="85"/>
      <c r="O95" s="82"/>
      <c r="P95" s="86"/>
      <c r="Q95" s="86"/>
      <c r="R95" s="86"/>
      <c r="S95" s="21" t="str">
        <f aca="false">IF(OR(Q95="",R95=""),"",Q95*R95)</f>
        <v/>
      </c>
      <c r="T95" s="85" t="str">
        <f aca="false">IF(S95="","",INDEX(Settings!$A$20:$A$23,MATCH(S95,Settings!$B$20:$B$23,1)))</f>
        <v/>
      </c>
      <c r="U95" s="82"/>
      <c r="V95" s="87"/>
      <c r="W95" s="86"/>
      <c r="X95" s="82"/>
      <c r="Y95" s="88"/>
      <c r="Z95" s="88"/>
      <c r="AA95" s="88"/>
      <c r="AB95" s="88"/>
      <c r="AC95" s="88"/>
      <c r="AD95" s="88"/>
      <c r="AE95" s="88"/>
      <c r="AF95" s="88"/>
      <c r="AG95" s="88"/>
      <c r="AH95" s="88"/>
      <c r="AI95" s="88"/>
      <c r="AJ95" s="89"/>
      <c r="AK95" s="88"/>
      <c r="AL95" s="88"/>
      <c r="AM95" s="88"/>
      <c r="AN95" s="88"/>
      <c r="AO95" s="88"/>
      <c r="AP95" s="88"/>
      <c r="AQ95" s="89"/>
      <c r="AR95" s="89"/>
      <c r="AS95" s="86"/>
      <c r="AT95" s="86"/>
      <c r="AU95" s="85" t="str">
        <f aca="false">IF(OR(AS95="",AT95=""),"",AS95*AT95)</f>
        <v/>
      </c>
      <c r="AV95" s="21" t="str">
        <f aca="false">IF(AU95="","",INDEX(Settings!$A$20:$A$23,MATCH(AU95,Settings!$B$20:$B$23,1)))</f>
        <v/>
      </c>
      <c r="AW95" s="85" t="str">
        <f aca="false">IF(AV95&lt;&gt;"",AV95,T95)</f>
        <v/>
      </c>
      <c r="AX95" s="85" t="str">
        <f aca="false">IF(AW95="","",IF(MATCH(AW95,Settings!$A$20:$A$23,0)&lt;=MATCH(Settings!$C$28,Settings!$A$20:$A$23,0),"Yes","No"))</f>
        <v/>
      </c>
      <c r="AY95" s="81" t="str">
        <f aca="false">IF(AW95="","",IF(AX95="Yes",INDEX(Settings!$G$20:$G$23,MATCH(AW95,Settings!$A$20:$A$23,0)),INDEX(Settings!$G$20:$G$23,MATCH(AW95,Settings!$A$20:$A$23,0))&amp;" (outside appetite)"))</f>
        <v/>
      </c>
      <c r="AZ95" s="82"/>
      <c r="BA95" s="82"/>
      <c r="BB95" s="90"/>
      <c r="BC95" s="91" t="str">
        <f aca="false">IF(OR(BB95="",T95=""),"",BB95+INDEX(Settings!$E$20:$E$23,MATCH(T95,Settings!$A$20:$A$23,0)))</f>
        <v/>
      </c>
      <c r="BD95" s="90"/>
      <c r="BE95" s="82"/>
      <c r="BF95" s="81" t="str">
        <f aca="true">IF(A95="","",IF(OR(BE95="Closed",BE95="Accepted"),"No action",IF(BB95="","Set date identified",IF(TODAY()&gt;BC95,"Deadline exceeded",IF(BC95-TODAY()&lt;=Settings!$C$30,"Deadline approaching","On track")))))</f>
        <v/>
      </c>
      <c r="BG95" s="90"/>
      <c r="BH95" s="90"/>
      <c r="BI95" s="91" t="str">
        <f aca="false">IF(OR(BH95="",AW95=""),"",EDATE(BH95,INDEX(Settings!$F$20:$F$23,MATCH(AW95,Settings!$A$20:$A$23,0))))</f>
        <v/>
      </c>
      <c r="BJ95" s="85" t="str">
        <f aca="false">IF(T95="","",IF(MAX(IF(T95="",0,MATCH(T95,Settings!$A$20:$A$23,0)),IF(AV95="",0,MATCH(AV95,Settings!$A$20:$A$23,0)))&gt;=MATCH(Settings!$C$29,Settings!$A$20:$A$23,0),"Yes","No"))</f>
        <v/>
      </c>
      <c r="BK95" s="82"/>
      <c r="BL95" s="81" t="str">
        <f aca="true">IF(A95="","",IF(TRIM(IF(W95="","Treatment not chosen. ","")&amp;IF(AND(W95="Accept",AX95="No"),"Accepted outside appetite: record approval by "&amp;INDEX(Settings!$G$20:$G$23,MATCH(AW95,Settings!$A$20:$A$23,0))&amp;". ","")&amp;IF(AND(W95="Accept",BG95=""),"Acceptance expiry missing. ","")&amp;IF(AND(BG95&lt;&gt;"",BG95&lt;TODAY()),"Acceptance expired. ","")&amp;IF(AND(W95&lt;&gt;"",W95&lt;&gt;"Accept",AV95=""),"Target rating not set. ","")&amp;IF(AND(BE95="Closed",AX95="No"),"Closed while outside appetite. ","")&amp;IF(AND(W95="Transfer",BE95&lt;&gt;"Transferred",BE95&lt;&gt;"Closed"),"Transfer: record the contract, SLA and audit rights. ","")&amp;IF(AZ95="","Risk owner missing. ","")&amp;IF(K95="","Scenario not written. ",""))="","OK",TRIM(IF(W95="","Treatment not chosen. ","")&amp;IF(AND(W95="Accept",AX95="No"),"Accepted outside appetite: record approval by "&amp;INDEX(Settings!$G$20:$G$23,MATCH(AW95,Settings!$A$20:$A$23,0))&amp;". ","")&amp;IF(AND(W95="Accept",BG95=""),"Acceptance expiry missing. ","")&amp;IF(AND(BG95&lt;&gt;"",BG95&lt;TODAY()),"Acceptance expired. ","")&amp;IF(AND(W95&lt;&gt;"",W95&lt;&gt;"Accept",AV95=""),"Target rating not set. ","")&amp;IF(AND(BE95="Closed",AX95="No"),"Closed while outside appetite. ","")&amp;IF(AND(W95="Transfer",BE95&lt;&gt;"Transferred",BE95&lt;&gt;"Closed"),"Transfer: record the contract, SLA and audit rights. ","")&amp;IF(AZ95="","Risk owner missing. ","")&amp;IF(K95="","Scenario not written. ",""))))</f>
        <v/>
      </c>
      <c r="BM95" s="82"/>
    </row>
    <row r="96" customFormat="false" ht="15" hidden="false" customHeight="false" outlineLevel="0" collapsed="false">
      <c r="A96" s="95"/>
      <c r="B96" s="94"/>
      <c r="C96" s="80"/>
      <c r="D96" s="81" t="str">
        <f aca="false">IF(C96="","",IFERROR(INDEX(Lists!$O$2:$O$13,MATCH(C96,Lists!$N$2:$N$13,0)),"Check domain code"))</f>
        <v/>
      </c>
      <c r="E96" s="81" t="str">
        <f aca="false">IF(C96="","",IFERROR(INDEX(Lists!$P$2:$P$13,MATCH(C96,Lists!$N$2:$N$13,0)),""))</f>
        <v/>
      </c>
      <c r="F96" s="80"/>
      <c r="G96" s="82"/>
      <c r="H96" s="82"/>
      <c r="I96" s="82"/>
      <c r="J96" s="94"/>
      <c r="K96" s="82"/>
      <c r="L96" s="82"/>
      <c r="M96" s="95"/>
      <c r="N96" s="85"/>
      <c r="O96" s="82"/>
      <c r="P96" s="86"/>
      <c r="Q96" s="86"/>
      <c r="R96" s="86"/>
      <c r="S96" s="21" t="str">
        <f aca="false">IF(OR(Q96="",R96=""),"",Q96*R96)</f>
        <v/>
      </c>
      <c r="T96" s="85" t="str">
        <f aca="false">IF(S96="","",INDEX(Settings!$A$20:$A$23,MATCH(S96,Settings!$B$20:$B$23,1)))</f>
        <v/>
      </c>
      <c r="U96" s="82"/>
      <c r="V96" s="87"/>
      <c r="W96" s="86"/>
      <c r="X96" s="82"/>
      <c r="Y96" s="96"/>
      <c r="Z96" s="96"/>
      <c r="AA96" s="96"/>
      <c r="AB96" s="96"/>
      <c r="AC96" s="96"/>
      <c r="AD96" s="96"/>
      <c r="AE96" s="96"/>
      <c r="AF96" s="96"/>
      <c r="AG96" s="96"/>
      <c r="AH96" s="96"/>
      <c r="AI96" s="96"/>
      <c r="AJ96" s="97"/>
      <c r="AK96" s="96"/>
      <c r="AL96" s="96"/>
      <c r="AM96" s="96"/>
      <c r="AN96" s="96"/>
      <c r="AO96" s="96"/>
      <c r="AP96" s="96"/>
      <c r="AQ96" s="97"/>
      <c r="AR96" s="97"/>
      <c r="AS96" s="86"/>
      <c r="AT96" s="86"/>
      <c r="AU96" s="85" t="str">
        <f aca="false">IF(OR(AS96="",AT96=""),"",AS96*AT96)</f>
        <v/>
      </c>
      <c r="AV96" s="21" t="str">
        <f aca="false">IF(AU96="","",INDEX(Settings!$A$20:$A$23,MATCH(AU96,Settings!$B$20:$B$23,1)))</f>
        <v/>
      </c>
      <c r="AW96" s="85" t="str">
        <f aca="false">IF(AV96&lt;&gt;"",AV96,T96)</f>
        <v/>
      </c>
      <c r="AX96" s="85" t="str">
        <f aca="false">IF(AW96="","",IF(MATCH(AW96,Settings!$A$20:$A$23,0)&lt;=MATCH(Settings!$C$28,Settings!$A$20:$A$23,0),"Yes","No"))</f>
        <v/>
      </c>
      <c r="AY96" s="81" t="str">
        <f aca="false">IF(AW96="","",IF(AX96="Yes",INDEX(Settings!$G$20:$G$23,MATCH(AW96,Settings!$A$20:$A$23,0)),INDEX(Settings!$G$20:$G$23,MATCH(AW96,Settings!$A$20:$A$23,0))&amp;" (outside appetite)"))</f>
        <v/>
      </c>
      <c r="AZ96" s="82"/>
      <c r="BA96" s="82"/>
      <c r="BB96" s="90"/>
      <c r="BC96" s="91" t="str">
        <f aca="false">IF(OR(BB96="",T96=""),"",BB96+INDEX(Settings!$E$20:$E$23,MATCH(T96,Settings!$A$20:$A$23,0)))</f>
        <v/>
      </c>
      <c r="BD96" s="90"/>
      <c r="BE96" s="82"/>
      <c r="BF96" s="81" t="str">
        <f aca="true">IF(A96="","",IF(OR(BE96="Closed",BE96="Accepted"),"No action",IF(BB96="","Set date identified",IF(TODAY()&gt;BC96,"Deadline exceeded",IF(BC96-TODAY()&lt;=Settings!$C$30,"Deadline approaching","On track")))))</f>
        <v/>
      </c>
      <c r="BG96" s="90"/>
      <c r="BH96" s="90"/>
      <c r="BI96" s="91" t="str">
        <f aca="false">IF(OR(BH96="",AW96=""),"",EDATE(BH96,INDEX(Settings!$F$20:$F$23,MATCH(AW96,Settings!$A$20:$A$23,0))))</f>
        <v/>
      </c>
      <c r="BJ96" s="85" t="str">
        <f aca="false">IF(T96="","",IF(MAX(IF(T96="",0,MATCH(T96,Settings!$A$20:$A$23,0)),IF(AV96="",0,MATCH(AV96,Settings!$A$20:$A$23,0)))&gt;=MATCH(Settings!$C$29,Settings!$A$20:$A$23,0),"Yes","No"))</f>
        <v/>
      </c>
      <c r="BK96" s="82"/>
      <c r="BL96" s="81" t="str">
        <f aca="true">IF(A96="","",IF(TRIM(IF(W96="","Treatment not chosen. ","")&amp;IF(AND(W96="Accept",AX96="No"),"Accepted outside appetite: record approval by "&amp;INDEX(Settings!$G$20:$G$23,MATCH(AW96,Settings!$A$20:$A$23,0))&amp;". ","")&amp;IF(AND(W96="Accept",BG96=""),"Acceptance expiry missing. ","")&amp;IF(AND(BG96&lt;&gt;"",BG96&lt;TODAY()),"Acceptance expired. ","")&amp;IF(AND(W96&lt;&gt;"",W96&lt;&gt;"Accept",AV96=""),"Target rating not set. ","")&amp;IF(AND(BE96="Closed",AX96="No"),"Closed while outside appetite. ","")&amp;IF(AND(W96="Transfer",BE96&lt;&gt;"Transferred",BE96&lt;&gt;"Closed"),"Transfer: record the contract, SLA and audit rights. ","")&amp;IF(AZ96="","Risk owner missing. ","")&amp;IF(K96="","Scenario not written. ",""))="","OK",TRIM(IF(W96="","Treatment not chosen. ","")&amp;IF(AND(W96="Accept",AX96="No"),"Accepted outside appetite: record approval by "&amp;INDEX(Settings!$G$20:$G$23,MATCH(AW96,Settings!$A$20:$A$23,0))&amp;". ","")&amp;IF(AND(W96="Accept",BG96=""),"Acceptance expiry missing. ","")&amp;IF(AND(BG96&lt;&gt;"",BG96&lt;TODAY()),"Acceptance expired. ","")&amp;IF(AND(W96&lt;&gt;"",W96&lt;&gt;"Accept",AV96=""),"Target rating not set. ","")&amp;IF(AND(BE96="Closed",AX96="No"),"Closed while outside appetite. ","")&amp;IF(AND(W96="Transfer",BE96&lt;&gt;"Transferred",BE96&lt;&gt;"Closed"),"Transfer: record the contract, SLA and audit rights. ","")&amp;IF(AZ96="","Risk owner missing. ","")&amp;IF(K96="","Scenario not written. ",""))))</f>
        <v/>
      </c>
      <c r="BM96" s="82"/>
    </row>
    <row r="97" customFormat="false" ht="15" hidden="false" customHeight="false" outlineLevel="0" collapsed="false">
      <c r="A97" s="84"/>
      <c r="B97" s="83"/>
      <c r="C97" s="80"/>
      <c r="D97" s="81" t="str">
        <f aca="false">IF(C97="","",IFERROR(INDEX(Lists!$O$2:$O$13,MATCH(C97,Lists!$N$2:$N$13,0)),"Check domain code"))</f>
        <v/>
      </c>
      <c r="E97" s="81" t="str">
        <f aca="false">IF(C97="","",IFERROR(INDEX(Lists!$P$2:$P$13,MATCH(C97,Lists!$N$2:$N$13,0)),""))</f>
        <v/>
      </c>
      <c r="F97" s="80"/>
      <c r="G97" s="82"/>
      <c r="H97" s="82"/>
      <c r="I97" s="82"/>
      <c r="J97" s="83"/>
      <c r="K97" s="82"/>
      <c r="L97" s="82"/>
      <c r="M97" s="84"/>
      <c r="N97" s="85"/>
      <c r="O97" s="82"/>
      <c r="P97" s="86"/>
      <c r="Q97" s="86"/>
      <c r="R97" s="86"/>
      <c r="S97" s="21" t="str">
        <f aca="false">IF(OR(Q97="",R97=""),"",Q97*R97)</f>
        <v/>
      </c>
      <c r="T97" s="85" t="str">
        <f aca="false">IF(S97="","",INDEX(Settings!$A$20:$A$23,MATCH(S97,Settings!$B$20:$B$23,1)))</f>
        <v/>
      </c>
      <c r="U97" s="82"/>
      <c r="V97" s="87"/>
      <c r="W97" s="86"/>
      <c r="X97" s="82"/>
      <c r="Y97" s="88"/>
      <c r="Z97" s="88"/>
      <c r="AA97" s="88"/>
      <c r="AB97" s="88"/>
      <c r="AC97" s="88"/>
      <c r="AD97" s="88"/>
      <c r="AE97" s="88"/>
      <c r="AF97" s="88"/>
      <c r="AG97" s="88"/>
      <c r="AH97" s="88"/>
      <c r="AI97" s="88"/>
      <c r="AJ97" s="89"/>
      <c r="AK97" s="88"/>
      <c r="AL97" s="88"/>
      <c r="AM97" s="88"/>
      <c r="AN97" s="88"/>
      <c r="AO97" s="88"/>
      <c r="AP97" s="88"/>
      <c r="AQ97" s="89"/>
      <c r="AR97" s="89"/>
      <c r="AS97" s="86"/>
      <c r="AT97" s="86"/>
      <c r="AU97" s="85" t="str">
        <f aca="false">IF(OR(AS97="",AT97=""),"",AS97*AT97)</f>
        <v/>
      </c>
      <c r="AV97" s="21" t="str">
        <f aca="false">IF(AU97="","",INDEX(Settings!$A$20:$A$23,MATCH(AU97,Settings!$B$20:$B$23,1)))</f>
        <v/>
      </c>
      <c r="AW97" s="85" t="str">
        <f aca="false">IF(AV97&lt;&gt;"",AV97,T97)</f>
        <v/>
      </c>
      <c r="AX97" s="85" t="str">
        <f aca="false">IF(AW97="","",IF(MATCH(AW97,Settings!$A$20:$A$23,0)&lt;=MATCH(Settings!$C$28,Settings!$A$20:$A$23,0),"Yes","No"))</f>
        <v/>
      </c>
      <c r="AY97" s="81" t="str">
        <f aca="false">IF(AW97="","",IF(AX97="Yes",INDEX(Settings!$G$20:$G$23,MATCH(AW97,Settings!$A$20:$A$23,0)),INDEX(Settings!$G$20:$G$23,MATCH(AW97,Settings!$A$20:$A$23,0))&amp;" (outside appetite)"))</f>
        <v/>
      </c>
      <c r="AZ97" s="82"/>
      <c r="BA97" s="82"/>
      <c r="BB97" s="90"/>
      <c r="BC97" s="91" t="str">
        <f aca="false">IF(OR(BB97="",T97=""),"",BB97+INDEX(Settings!$E$20:$E$23,MATCH(T97,Settings!$A$20:$A$23,0)))</f>
        <v/>
      </c>
      <c r="BD97" s="90"/>
      <c r="BE97" s="82"/>
      <c r="BF97" s="81" t="str">
        <f aca="true">IF(A97="","",IF(OR(BE97="Closed",BE97="Accepted"),"No action",IF(BB97="","Set date identified",IF(TODAY()&gt;BC97,"Deadline exceeded",IF(BC97-TODAY()&lt;=Settings!$C$30,"Deadline approaching","On track")))))</f>
        <v/>
      </c>
      <c r="BG97" s="90"/>
      <c r="BH97" s="90"/>
      <c r="BI97" s="91" t="str">
        <f aca="false">IF(OR(BH97="",AW97=""),"",EDATE(BH97,INDEX(Settings!$F$20:$F$23,MATCH(AW97,Settings!$A$20:$A$23,0))))</f>
        <v/>
      </c>
      <c r="BJ97" s="85" t="str">
        <f aca="false">IF(T97="","",IF(MAX(IF(T97="",0,MATCH(T97,Settings!$A$20:$A$23,0)),IF(AV97="",0,MATCH(AV97,Settings!$A$20:$A$23,0)))&gt;=MATCH(Settings!$C$29,Settings!$A$20:$A$23,0),"Yes","No"))</f>
        <v/>
      </c>
      <c r="BK97" s="82"/>
      <c r="BL97" s="81" t="str">
        <f aca="true">IF(A97="","",IF(TRIM(IF(W97="","Treatment not chosen. ","")&amp;IF(AND(W97="Accept",AX97="No"),"Accepted outside appetite: record approval by "&amp;INDEX(Settings!$G$20:$G$23,MATCH(AW97,Settings!$A$20:$A$23,0))&amp;". ","")&amp;IF(AND(W97="Accept",BG97=""),"Acceptance expiry missing. ","")&amp;IF(AND(BG97&lt;&gt;"",BG97&lt;TODAY()),"Acceptance expired. ","")&amp;IF(AND(W97&lt;&gt;"",W97&lt;&gt;"Accept",AV97=""),"Target rating not set. ","")&amp;IF(AND(BE97="Closed",AX97="No"),"Closed while outside appetite. ","")&amp;IF(AND(W97="Transfer",BE97&lt;&gt;"Transferred",BE97&lt;&gt;"Closed"),"Transfer: record the contract, SLA and audit rights. ","")&amp;IF(AZ97="","Risk owner missing. ","")&amp;IF(K97="","Scenario not written. ",""))="","OK",TRIM(IF(W97="","Treatment not chosen. ","")&amp;IF(AND(W97="Accept",AX97="No"),"Accepted outside appetite: record approval by "&amp;INDEX(Settings!$G$20:$G$23,MATCH(AW97,Settings!$A$20:$A$23,0))&amp;". ","")&amp;IF(AND(W97="Accept",BG97=""),"Acceptance expiry missing. ","")&amp;IF(AND(BG97&lt;&gt;"",BG97&lt;TODAY()),"Acceptance expired. ","")&amp;IF(AND(W97&lt;&gt;"",W97&lt;&gt;"Accept",AV97=""),"Target rating not set. ","")&amp;IF(AND(BE97="Closed",AX97="No"),"Closed while outside appetite. ","")&amp;IF(AND(W97="Transfer",BE97&lt;&gt;"Transferred",BE97&lt;&gt;"Closed"),"Transfer: record the contract, SLA and audit rights. ","")&amp;IF(AZ97="","Risk owner missing. ","")&amp;IF(K97="","Scenario not written. ",""))))</f>
        <v/>
      </c>
      <c r="BM97" s="82"/>
    </row>
    <row r="98" customFormat="false" ht="15" hidden="false" customHeight="false" outlineLevel="0" collapsed="false">
      <c r="A98" s="95"/>
      <c r="B98" s="94"/>
      <c r="C98" s="80"/>
      <c r="D98" s="81" t="str">
        <f aca="false">IF(C98="","",IFERROR(INDEX(Lists!$O$2:$O$13,MATCH(C98,Lists!$N$2:$N$13,0)),"Check domain code"))</f>
        <v/>
      </c>
      <c r="E98" s="81" t="str">
        <f aca="false">IF(C98="","",IFERROR(INDEX(Lists!$P$2:$P$13,MATCH(C98,Lists!$N$2:$N$13,0)),""))</f>
        <v/>
      </c>
      <c r="F98" s="80"/>
      <c r="G98" s="82"/>
      <c r="H98" s="82"/>
      <c r="I98" s="82"/>
      <c r="J98" s="94"/>
      <c r="K98" s="82"/>
      <c r="L98" s="82"/>
      <c r="M98" s="95"/>
      <c r="N98" s="85"/>
      <c r="O98" s="82"/>
      <c r="P98" s="86"/>
      <c r="Q98" s="86"/>
      <c r="R98" s="86"/>
      <c r="S98" s="21" t="str">
        <f aca="false">IF(OR(Q98="",R98=""),"",Q98*R98)</f>
        <v/>
      </c>
      <c r="T98" s="85" t="str">
        <f aca="false">IF(S98="","",INDEX(Settings!$A$20:$A$23,MATCH(S98,Settings!$B$20:$B$23,1)))</f>
        <v/>
      </c>
      <c r="U98" s="82"/>
      <c r="V98" s="87"/>
      <c r="W98" s="86"/>
      <c r="X98" s="82"/>
      <c r="Y98" s="96"/>
      <c r="Z98" s="96"/>
      <c r="AA98" s="96"/>
      <c r="AB98" s="96"/>
      <c r="AC98" s="96"/>
      <c r="AD98" s="96"/>
      <c r="AE98" s="96"/>
      <c r="AF98" s="96"/>
      <c r="AG98" s="96"/>
      <c r="AH98" s="96"/>
      <c r="AI98" s="96"/>
      <c r="AJ98" s="97"/>
      <c r="AK98" s="96"/>
      <c r="AL98" s="96"/>
      <c r="AM98" s="96"/>
      <c r="AN98" s="96"/>
      <c r="AO98" s="96"/>
      <c r="AP98" s="96"/>
      <c r="AQ98" s="97"/>
      <c r="AR98" s="97"/>
      <c r="AS98" s="86"/>
      <c r="AT98" s="86"/>
      <c r="AU98" s="85" t="str">
        <f aca="false">IF(OR(AS98="",AT98=""),"",AS98*AT98)</f>
        <v/>
      </c>
      <c r="AV98" s="21" t="str">
        <f aca="false">IF(AU98="","",INDEX(Settings!$A$20:$A$23,MATCH(AU98,Settings!$B$20:$B$23,1)))</f>
        <v/>
      </c>
      <c r="AW98" s="85" t="str">
        <f aca="false">IF(AV98&lt;&gt;"",AV98,T98)</f>
        <v/>
      </c>
      <c r="AX98" s="85" t="str">
        <f aca="false">IF(AW98="","",IF(MATCH(AW98,Settings!$A$20:$A$23,0)&lt;=MATCH(Settings!$C$28,Settings!$A$20:$A$23,0),"Yes","No"))</f>
        <v/>
      </c>
      <c r="AY98" s="81" t="str">
        <f aca="false">IF(AW98="","",IF(AX98="Yes",INDEX(Settings!$G$20:$G$23,MATCH(AW98,Settings!$A$20:$A$23,0)),INDEX(Settings!$G$20:$G$23,MATCH(AW98,Settings!$A$20:$A$23,0))&amp;" (outside appetite)"))</f>
        <v/>
      </c>
      <c r="AZ98" s="82"/>
      <c r="BA98" s="82"/>
      <c r="BB98" s="90"/>
      <c r="BC98" s="91" t="str">
        <f aca="false">IF(OR(BB98="",T98=""),"",BB98+INDEX(Settings!$E$20:$E$23,MATCH(T98,Settings!$A$20:$A$23,0)))</f>
        <v/>
      </c>
      <c r="BD98" s="90"/>
      <c r="BE98" s="82"/>
      <c r="BF98" s="81" t="str">
        <f aca="true">IF(A98="","",IF(OR(BE98="Closed",BE98="Accepted"),"No action",IF(BB98="","Set date identified",IF(TODAY()&gt;BC98,"Deadline exceeded",IF(BC98-TODAY()&lt;=Settings!$C$30,"Deadline approaching","On track")))))</f>
        <v/>
      </c>
      <c r="BG98" s="90"/>
      <c r="BH98" s="90"/>
      <c r="BI98" s="91" t="str">
        <f aca="false">IF(OR(BH98="",AW98=""),"",EDATE(BH98,INDEX(Settings!$F$20:$F$23,MATCH(AW98,Settings!$A$20:$A$23,0))))</f>
        <v/>
      </c>
      <c r="BJ98" s="85" t="str">
        <f aca="false">IF(T98="","",IF(MAX(IF(T98="",0,MATCH(T98,Settings!$A$20:$A$23,0)),IF(AV98="",0,MATCH(AV98,Settings!$A$20:$A$23,0)))&gt;=MATCH(Settings!$C$29,Settings!$A$20:$A$23,0),"Yes","No"))</f>
        <v/>
      </c>
      <c r="BK98" s="82"/>
      <c r="BL98" s="81" t="str">
        <f aca="true">IF(A98="","",IF(TRIM(IF(W98="","Treatment not chosen. ","")&amp;IF(AND(W98="Accept",AX98="No"),"Accepted outside appetite: record approval by "&amp;INDEX(Settings!$G$20:$G$23,MATCH(AW98,Settings!$A$20:$A$23,0))&amp;". ","")&amp;IF(AND(W98="Accept",BG98=""),"Acceptance expiry missing. ","")&amp;IF(AND(BG98&lt;&gt;"",BG98&lt;TODAY()),"Acceptance expired. ","")&amp;IF(AND(W98&lt;&gt;"",W98&lt;&gt;"Accept",AV98=""),"Target rating not set. ","")&amp;IF(AND(BE98="Closed",AX98="No"),"Closed while outside appetite. ","")&amp;IF(AND(W98="Transfer",BE98&lt;&gt;"Transferred",BE98&lt;&gt;"Closed"),"Transfer: record the contract, SLA and audit rights. ","")&amp;IF(AZ98="","Risk owner missing. ","")&amp;IF(K98="","Scenario not written. ",""))="","OK",TRIM(IF(W98="","Treatment not chosen. ","")&amp;IF(AND(W98="Accept",AX98="No"),"Accepted outside appetite: record approval by "&amp;INDEX(Settings!$G$20:$G$23,MATCH(AW98,Settings!$A$20:$A$23,0))&amp;". ","")&amp;IF(AND(W98="Accept",BG98=""),"Acceptance expiry missing. ","")&amp;IF(AND(BG98&lt;&gt;"",BG98&lt;TODAY()),"Acceptance expired. ","")&amp;IF(AND(W98&lt;&gt;"",W98&lt;&gt;"Accept",AV98=""),"Target rating not set. ","")&amp;IF(AND(BE98="Closed",AX98="No"),"Closed while outside appetite. ","")&amp;IF(AND(W98="Transfer",BE98&lt;&gt;"Transferred",BE98&lt;&gt;"Closed"),"Transfer: record the contract, SLA and audit rights. ","")&amp;IF(AZ98="","Risk owner missing. ","")&amp;IF(K98="","Scenario not written. ",""))))</f>
        <v/>
      </c>
      <c r="BM98" s="82"/>
    </row>
    <row r="99" customFormat="false" ht="15" hidden="false" customHeight="false" outlineLevel="0" collapsed="false">
      <c r="A99" s="84"/>
      <c r="B99" s="83"/>
      <c r="C99" s="80"/>
      <c r="D99" s="81" t="str">
        <f aca="false">IF(C99="","",IFERROR(INDEX(Lists!$O$2:$O$13,MATCH(C99,Lists!$N$2:$N$13,0)),"Check domain code"))</f>
        <v/>
      </c>
      <c r="E99" s="81" t="str">
        <f aca="false">IF(C99="","",IFERROR(INDEX(Lists!$P$2:$P$13,MATCH(C99,Lists!$N$2:$N$13,0)),""))</f>
        <v/>
      </c>
      <c r="F99" s="80"/>
      <c r="G99" s="82"/>
      <c r="H99" s="82"/>
      <c r="I99" s="82"/>
      <c r="J99" s="83"/>
      <c r="K99" s="82"/>
      <c r="L99" s="82"/>
      <c r="M99" s="84"/>
      <c r="N99" s="85"/>
      <c r="O99" s="82"/>
      <c r="P99" s="86"/>
      <c r="Q99" s="86"/>
      <c r="R99" s="86"/>
      <c r="S99" s="21" t="str">
        <f aca="false">IF(OR(Q99="",R99=""),"",Q99*R99)</f>
        <v/>
      </c>
      <c r="T99" s="85" t="str">
        <f aca="false">IF(S99="","",INDEX(Settings!$A$20:$A$23,MATCH(S99,Settings!$B$20:$B$23,1)))</f>
        <v/>
      </c>
      <c r="U99" s="82"/>
      <c r="V99" s="87"/>
      <c r="W99" s="86"/>
      <c r="X99" s="82"/>
      <c r="Y99" s="88"/>
      <c r="Z99" s="88"/>
      <c r="AA99" s="88"/>
      <c r="AB99" s="88"/>
      <c r="AC99" s="88"/>
      <c r="AD99" s="88"/>
      <c r="AE99" s="88"/>
      <c r="AF99" s="88"/>
      <c r="AG99" s="88"/>
      <c r="AH99" s="88"/>
      <c r="AI99" s="88"/>
      <c r="AJ99" s="89"/>
      <c r="AK99" s="88"/>
      <c r="AL99" s="88"/>
      <c r="AM99" s="88"/>
      <c r="AN99" s="88"/>
      <c r="AO99" s="88"/>
      <c r="AP99" s="88"/>
      <c r="AQ99" s="89"/>
      <c r="AR99" s="89"/>
      <c r="AS99" s="86"/>
      <c r="AT99" s="86"/>
      <c r="AU99" s="85" t="str">
        <f aca="false">IF(OR(AS99="",AT99=""),"",AS99*AT99)</f>
        <v/>
      </c>
      <c r="AV99" s="21" t="str">
        <f aca="false">IF(AU99="","",INDEX(Settings!$A$20:$A$23,MATCH(AU99,Settings!$B$20:$B$23,1)))</f>
        <v/>
      </c>
      <c r="AW99" s="85" t="str">
        <f aca="false">IF(AV99&lt;&gt;"",AV99,T99)</f>
        <v/>
      </c>
      <c r="AX99" s="85" t="str">
        <f aca="false">IF(AW99="","",IF(MATCH(AW99,Settings!$A$20:$A$23,0)&lt;=MATCH(Settings!$C$28,Settings!$A$20:$A$23,0),"Yes","No"))</f>
        <v/>
      </c>
      <c r="AY99" s="81" t="str">
        <f aca="false">IF(AW99="","",IF(AX99="Yes",INDEX(Settings!$G$20:$G$23,MATCH(AW99,Settings!$A$20:$A$23,0)),INDEX(Settings!$G$20:$G$23,MATCH(AW99,Settings!$A$20:$A$23,0))&amp;" (outside appetite)"))</f>
        <v/>
      </c>
      <c r="AZ99" s="82"/>
      <c r="BA99" s="82"/>
      <c r="BB99" s="90"/>
      <c r="BC99" s="91" t="str">
        <f aca="false">IF(OR(BB99="",T99=""),"",BB99+INDEX(Settings!$E$20:$E$23,MATCH(T99,Settings!$A$20:$A$23,0)))</f>
        <v/>
      </c>
      <c r="BD99" s="90"/>
      <c r="BE99" s="82"/>
      <c r="BF99" s="81" t="str">
        <f aca="true">IF(A99="","",IF(OR(BE99="Closed",BE99="Accepted"),"No action",IF(BB99="","Set date identified",IF(TODAY()&gt;BC99,"Deadline exceeded",IF(BC99-TODAY()&lt;=Settings!$C$30,"Deadline approaching","On track")))))</f>
        <v/>
      </c>
      <c r="BG99" s="90"/>
      <c r="BH99" s="90"/>
      <c r="BI99" s="91" t="str">
        <f aca="false">IF(OR(BH99="",AW99=""),"",EDATE(BH99,INDEX(Settings!$F$20:$F$23,MATCH(AW99,Settings!$A$20:$A$23,0))))</f>
        <v/>
      </c>
      <c r="BJ99" s="85" t="str">
        <f aca="false">IF(T99="","",IF(MAX(IF(T99="",0,MATCH(T99,Settings!$A$20:$A$23,0)),IF(AV99="",0,MATCH(AV99,Settings!$A$20:$A$23,0)))&gt;=MATCH(Settings!$C$29,Settings!$A$20:$A$23,0),"Yes","No"))</f>
        <v/>
      </c>
      <c r="BK99" s="82"/>
      <c r="BL99" s="81" t="str">
        <f aca="true">IF(A99="","",IF(TRIM(IF(W99="","Treatment not chosen. ","")&amp;IF(AND(W99="Accept",AX99="No"),"Accepted outside appetite: record approval by "&amp;INDEX(Settings!$G$20:$G$23,MATCH(AW99,Settings!$A$20:$A$23,0))&amp;". ","")&amp;IF(AND(W99="Accept",BG99=""),"Acceptance expiry missing. ","")&amp;IF(AND(BG99&lt;&gt;"",BG99&lt;TODAY()),"Acceptance expired. ","")&amp;IF(AND(W99&lt;&gt;"",W99&lt;&gt;"Accept",AV99=""),"Target rating not set. ","")&amp;IF(AND(BE99="Closed",AX99="No"),"Closed while outside appetite. ","")&amp;IF(AND(W99="Transfer",BE99&lt;&gt;"Transferred",BE99&lt;&gt;"Closed"),"Transfer: record the contract, SLA and audit rights. ","")&amp;IF(AZ99="","Risk owner missing. ","")&amp;IF(K99="","Scenario not written. ",""))="","OK",TRIM(IF(W99="","Treatment not chosen. ","")&amp;IF(AND(W99="Accept",AX99="No"),"Accepted outside appetite: record approval by "&amp;INDEX(Settings!$G$20:$G$23,MATCH(AW99,Settings!$A$20:$A$23,0))&amp;". ","")&amp;IF(AND(W99="Accept",BG99=""),"Acceptance expiry missing. ","")&amp;IF(AND(BG99&lt;&gt;"",BG99&lt;TODAY()),"Acceptance expired. ","")&amp;IF(AND(W99&lt;&gt;"",W99&lt;&gt;"Accept",AV99=""),"Target rating not set. ","")&amp;IF(AND(BE99="Closed",AX99="No"),"Closed while outside appetite. ","")&amp;IF(AND(W99="Transfer",BE99&lt;&gt;"Transferred",BE99&lt;&gt;"Closed"),"Transfer: record the contract, SLA and audit rights. ","")&amp;IF(AZ99="","Risk owner missing. ","")&amp;IF(K99="","Scenario not written. ",""))))</f>
        <v/>
      </c>
      <c r="BM99" s="82"/>
    </row>
    <row r="100" customFormat="false" ht="15" hidden="false" customHeight="false" outlineLevel="0" collapsed="false">
      <c r="A100" s="95"/>
      <c r="B100" s="94"/>
      <c r="C100" s="80"/>
      <c r="D100" s="81" t="str">
        <f aca="false">IF(C100="","",IFERROR(INDEX(Lists!$O$2:$O$13,MATCH(C100,Lists!$N$2:$N$13,0)),"Check domain code"))</f>
        <v/>
      </c>
      <c r="E100" s="81" t="str">
        <f aca="false">IF(C100="","",IFERROR(INDEX(Lists!$P$2:$P$13,MATCH(C100,Lists!$N$2:$N$13,0)),""))</f>
        <v/>
      </c>
      <c r="F100" s="80"/>
      <c r="G100" s="82"/>
      <c r="H100" s="82"/>
      <c r="I100" s="82"/>
      <c r="J100" s="94"/>
      <c r="K100" s="82"/>
      <c r="L100" s="82"/>
      <c r="M100" s="95"/>
      <c r="N100" s="85"/>
      <c r="O100" s="82"/>
      <c r="P100" s="86"/>
      <c r="Q100" s="86"/>
      <c r="R100" s="86"/>
      <c r="S100" s="21" t="str">
        <f aca="false">IF(OR(Q100="",R100=""),"",Q100*R100)</f>
        <v/>
      </c>
      <c r="T100" s="85" t="str">
        <f aca="false">IF(S100="","",INDEX(Settings!$A$20:$A$23,MATCH(S100,Settings!$B$20:$B$23,1)))</f>
        <v/>
      </c>
      <c r="U100" s="82"/>
      <c r="V100" s="87"/>
      <c r="W100" s="86"/>
      <c r="X100" s="82"/>
      <c r="Y100" s="96"/>
      <c r="Z100" s="96"/>
      <c r="AA100" s="96"/>
      <c r="AB100" s="96"/>
      <c r="AC100" s="96"/>
      <c r="AD100" s="96"/>
      <c r="AE100" s="96"/>
      <c r="AF100" s="96"/>
      <c r="AG100" s="96"/>
      <c r="AH100" s="96"/>
      <c r="AI100" s="96"/>
      <c r="AJ100" s="97"/>
      <c r="AK100" s="96"/>
      <c r="AL100" s="96"/>
      <c r="AM100" s="96"/>
      <c r="AN100" s="96"/>
      <c r="AO100" s="96"/>
      <c r="AP100" s="96"/>
      <c r="AQ100" s="97"/>
      <c r="AR100" s="97"/>
      <c r="AS100" s="86"/>
      <c r="AT100" s="86"/>
      <c r="AU100" s="85" t="str">
        <f aca="false">IF(OR(AS100="",AT100=""),"",AS100*AT100)</f>
        <v/>
      </c>
      <c r="AV100" s="21" t="str">
        <f aca="false">IF(AU100="","",INDEX(Settings!$A$20:$A$23,MATCH(AU100,Settings!$B$20:$B$23,1)))</f>
        <v/>
      </c>
      <c r="AW100" s="85" t="str">
        <f aca="false">IF(AV100&lt;&gt;"",AV100,T100)</f>
        <v/>
      </c>
      <c r="AX100" s="85" t="str">
        <f aca="false">IF(AW100="","",IF(MATCH(AW100,Settings!$A$20:$A$23,0)&lt;=MATCH(Settings!$C$28,Settings!$A$20:$A$23,0),"Yes","No"))</f>
        <v/>
      </c>
      <c r="AY100" s="81" t="str">
        <f aca="false">IF(AW100="","",IF(AX100="Yes",INDEX(Settings!$G$20:$G$23,MATCH(AW100,Settings!$A$20:$A$23,0)),INDEX(Settings!$G$20:$G$23,MATCH(AW100,Settings!$A$20:$A$23,0))&amp;" (outside appetite)"))</f>
        <v/>
      </c>
      <c r="AZ100" s="82"/>
      <c r="BA100" s="82"/>
      <c r="BB100" s="90"/>
      <c r="BC100" s="91" t="str">
        <f aca="false">IF(OR(BB100="",T100=""),"",BB100+INDEX(Settings!$E$20:$E$23,MATCH(T100,Settings!$A$20:$A$23,0)))</f>
        <v/>
      </c>
      <c r="BD100" s="90"/>
      <c r="BE100" s="82"/>
      <c r="BF100" s="81" t="str">
        <f aca="true">IF(A100="","",IF(OR(BE100="Closed",BE100="Accepted"),"No action",IF(BB100="","Set date identified",IF(TODAY()&gt;BC100,"Deadline exceeded",IF(BC100-TODAY()&lt;=Settings!$C$30,"Deadline approaching","On track")))))</f>
        <v/>
      </c>
      <c r="BG100" s="90"/>
      <c r="BH100" s="90"/>
      <c r="BI100" s="91" t="str">
        <f aca="false">IF(OR(BH100="",AW100=""),"",EDATE(BH100,INDEX(Settings!$F$20:$F$23,MATCH(AW100,Settings!$A$20:$A$23,0))))</f>
        <v/>
      </c>
      <c r="BJ100" s="85" t="str">
        <f aca="false">IF(T100="","",IF(MAX(IF(T100="",0,MATCH(T100,Settings!$A$20:$A$23,0)),IF(AV100="",0,MATCH(AV100,Settings!$A$20:$A$23,0)))&gt;=MATCH(Settings!$C$29,Settings!$A$20:$A$23,0),"Yes","No"))</f>
        <v/>
      </c>
      <c r="BK100" s="82"/>
      <c r="BL100" s="81" t="str">
        <f aca="true">IF(A100="","",IF(TRIM(IF(W100="","Treatment not chosen. ","")&amp;IF(AND(W100="Accept",AX100="No"),"Accepted outside appetite: record approval by "&amp;INDEX(Settings!$G$20:$G$23,MATCH(AW100,Settings!$A$20:$A$23,0))&amp;". ","")&amp;IF(AND(W100="Accept",BG100=""),"Acceptance expiry missing. ","")&amp;IF(AND(BG100&lt;&gt;"",BG100&lt;TODAY()),"Acceptance expired. ","")&amp;IF(AND(W100&lt;&gt;"",W100&lt;&gt;"Accept",AV100=""),"Target rating not set. ","")&amp;IF(AND(BE100="Closed",AX100="No"),"Closed while outside appetite. ","")&amp;IF(AND(W100="Transfer",BE100&lt;&gt;"Transferred",BE100&lt;&gt;"Closed"),"Transfer: record the contract, SLA and audit rights. ","")&amp;IF(AZ100="","Risk owner missing. ","")&amp;IF(K100="","Scenario not written. ",""))="","OK",TRIM(IF(W100="","Treatment not chosen. ","")&amp;IF(AND(W100="Accept",AX100="No"),"Accepted outside appetite: record approval by "&amp;INDEX(Settings!$G$20:$G$23,MATCH(AW100,Settings!$A$20:$A$23,0))&amp;". ","")&amp;IF(AND(W100="Accept",BG100=""),"Acceptance expiry missing. ","")&amp;IF(AND(BG100&lt;&gt;"",BG100&lt;TODAY()),"Acceptance expired. ","")&amp;IF(AND(W100&lt;&gt;"",W100&lt;&gt;"Accept",AV100=""),"Target rating not set. ","")&amp;IF(AND(BE100="Closed",AX100="No"),"Closed while outside appetite. ","")&amp;IF(AND(W100="Transfer",BE100&lt;&gt;"Transferred",BE100&lt;&gt;"Closed"),"Transfer: record the contract, SLA and audit rights. ","")&amp;IF(AZ100="","Risk owner missing. ","")&amp;IF(K100="","Scenario not written. ",""))))</f>
        <v/>
      </c>
      <c r="BM100" s="82"/>
    </row>
    <row r="101" customFormat="false" ht="15" hidden="false" customHeight="false" outlineLevel="0" collapsed="false">
      <c r="A101" s="84"/>
      <c r="B101" s="83"/>
      <c r="C101" s="80"/>
      <c r="D101" s="81" t="str">
        <f aca="false">IF(C101="","",IFERROR(INDEX(Lists!$O$2:$O$13,MATCH(C101,Lists!$N$2:$N$13,0)),"Check domain code"))</f>
        <v/>
      </c>
      <c r="E101" s="81" t="str">
        <f aca="false">IF(C101="","",IFERROR(INDEX(Lists!$P$2:$P$13,MATCH(C101,Lists!$N$2:$N$13,0)),""))</f>
        <v/>
      </c>
      <c r="F101" s="80"/>
      <c r="G101" s="82"/>
      <c r="H101" s="82"/>
      <c r="I101" s="82"/>
      <c r="J101" s="83"/>
      <c r="K101" s="82"/>
      <c r="L101" s="82"/>
      <c r="M101" s="84"/>
      <c r="N101" s="85"/>
      <c r="O101" s="82"/>
      <c r="P101" s="86"/>
      <c r="Q101" s="86"/>
      <c r="R101" s="86"/>
      <c r="S101" s="21" t="str">
        <f aca="false">IF(OR(Q101="",R101=""),"",Q101*R101)</f>
        <v/>
      </c>
      <c r="T101" s="85" t="str">
        <f aca="false">IF(S101="","",INDEX(Settings!$A$20:$A$23,MATCH(S101,Settings!$B$20:$B$23,1)))</f>
        <v/>
      </c>
      <c r="U101" s="82"/>
      <c r="V101" s="87"/>
      <c r="W101" s="86"/>
      <c r="X101" s="82"/>
      <c r="Y101" s="88"/>
      <c r="Z101" s="88"/>
      <c r="AA101" s="88"/>
      <c r="AB101" s="88"/>
      <c r="AC101" s="88"/>
      <c r="AD101" s="88"/>
      <c r="AE101" s="88"/>
      <c r="AF101" s="88"/>
      <c r="AG101" s="88"/>
      <c r="AH101" s="88"/>
      <c r="AI101" s="88"/>
      <c r="AJ101" s="89"/>
      <c r="AK101" s="88"/>
      <c r="AL101" s="88"/>
      <c r="AM101" s="88"/>
      <c r="AN101" s="88"/>
      <c r="AO101" s="88"/>
      <c r="AP101" s="88"/>
      <c r="AQ101" s="89"/>
      <c r="AR101" s="89"/>
      <c r="AS101" s="86"/>
      <c r="AT101" s="86"/>
      <c r="AU101" s="85" t="str">
        <f aca="false">IF(OR(AS101="",AT101=""),"",AS101*AT101)</f>
        <v/>
      </c>
      <c r="AV101" s="21" t="str">
        <f aca="false">IF(AU101="","",INDEX(Settings!$A$20:$A$23,MATCH(AU101,Settings!$B$20:$B$23,1)))</f>
        <v/>
      </c>
      <c r="AW101" s="85" t="str">
        <f aca="false">IF(AV101&lt;&gt;"",AV101,T101)</f>
        <v/>
      </c>
      <c r="AX101" s="85" t="str">
        <f aca="false">IF(AW101="","",IF(MATCH(AW101,Settings!$A$20:$A$23,0)&lt;=MATCH(Settings!$C$28,Settings!$A$20:$A$23,0),"Yes","No"))</f>
        <v/>
      </c>
      <c r="AY101" s="81" t="str">
        <f aca="false">IF(AW101="","",IF(AX101="Yes",INDEX(Settings!$G$20:$G$23,MATCH(AW101,Settings!$A$20:$A$23,0)),INDEX(Settings!$G$20:$G$23,MATCH(AW101,Settings!$A$20:$A$23,0))&amp;" (outside appetite)"))</f>
        <v/>
      </c>
      <c r="AZ101" s="82"/>
      <c r="BA101" s="82"/>
      <c r="BB101" s="90"/>
      <c r="BC101" s="91" t="str">
        <f aca="false">IF(OR(BB101="",T101=""),"",BB101+INDEX(Settings!$E$20:$E$23,MATCH(T101,Settings!$A$20:$A$23,0)))</f>
        <v/>
      </c>
      <c r="BD101" s="90"/>
      <c r="BE101" s="82"/>
      <c r="BF101" s="81" t="str">
        <f aca="true">IF(A101="","",IF(OR(BE101="Closed",BE101="Accepted"),"No action",IF(BB101="","Set date identified",IF(TODAY()&gt;BC101,"Deadline exceeded",IF(BC101-TODAY()&lt;=Settings!$C$30,"Deadline approaching","On track")))))</f>
        <v/>
      </c>
      <c r="BG101" s="90"/>
      <c r="BH101" s="90"/>
      <c r="BI101" s="91" t="str">
        <f aca="false">IF(OR(BH101="",AW101=""),"",EDATE(BH101,INDEX(Settings!$F$20:$F$23,MATCH(AW101,Settings!$A$20:$A$23,0))))</f>
        <v/>
      </c>
      <c r="BJ101" s="85" t="str">
        <f aca="false">IF(T101="","",IF(MAX(IF(T101="",0,MATCH(T101,Settings!$A$20:$A$23,0)),IF(AV101="",0,MATCH(AV101,Settings!$A$20:$A$23,0)))&gt;=MATCH(Settings!$C$29,Settings!$A$20:$A$23,0),"Yes","No"))</f>
        <v/>
      </c>
      <c r="BK101" s="82"/>
      <c r="BL101" s="81" t="str">
        <f aca="true">IF(A101="","",IF(TRIM(IF(W101="","Treatment not chosen. ","")&amp;IF(AND(W101="Accept",AX101="No"),"Accepted outside appetite: record approval by "&amp;INDEX(Settings!$G$20:$G$23,MATCH(AW101,Settings!$A$20:$A$23,0))&amp;". ","")&amp;IF(AND(W101="Accept",BG101=""),"Acceptance expiry missing. ","")&amp;IF(AND(BG101&lt;&gt;"",BG101&lt;TODAY()),"Acceptance expired. ","")&amp;IF(AND(W101&lt;&gt;"",W101&lt;&gt;"Accept",AV101=""),"Target rating not set. ","")&amp;IF(AND(BE101="Closed",AX101="No"),"Closed while outside appetite. ","")&amp;IF(AND(W101="Transfer",BE101&lt;&gt;"Transferred",BE101&lt;&gt;"Closed"),"Transfer: record the contract, SLA and audit rights. ","")&amp;IF(AZ101="","Risk owner missing. ","")&amp;IF(K101="","Scenario not written. ",""))="","OK",TRIM(IF(W101="","Treatment not chosen. ","")&amp;IF(AND(W101="Accept",AX101="No"),"Accepted outside appetite: record approval by "&amp;INDEX(Settings!$G$20:$G$23,MATCH(AW101,Settings!$A$20:$A$23,0))&amp;". ","")&amp;IF(AND(W101="Accept",BG101=""),"Acceptance expiry missing. ","")&amp;IF(AND(BG101&lt;&gt;"",BG101&lt;TODAY()),"Acceptance expired. ","")&amp;IF(AND(W101&lt;&gt;"",W101&lt;&gt;"Accept",AV101=""),"Target rating not set. ","")&amp;IF(AND(BE101="Closed",AX101="No"),"Closed while outside appetite. ","")&amp;IF(AND(W101="Transfer",BE101&lt;&gt;"Transferred",BE101&lt;&gt;"Closed"),"Transfer: record the contract, SLA and audit rights. ","")&amp;IF(AZ101="","Risk owner missing. ","")&amp;IF(K101="","Scenario not written. ",""))))</f>
        <v/>
      </c>
      <c r="BM101" s="82"/>
    </row>
    <row r="102" customFormat="false" ht="15" hidden="false" customHeight="false" outlineLevel="0" collapsed="false">
      <c r="A102" s="95"/>
      <c r="B102" s="94"/>
      <c r="C102" s="80"/>
      <c r="D102" s="81" t="str">
        <f aca="false">IF(C102="","",IFERROR(INDEX(Lists!$O$2:$O$13,MATCH(C102,Lists!$N$2:$N$13,0)),"Check domain code"))</f>
        <v/>
      </c>
      <c r="E102" s="81" t="str">
        <f aca="false">IF(C102="","",IFERROR(INDEX(Lists!$P$2:$P$13,MATCH(C102,Lists!$N$2:$N$13,0)),""))</f>
        <v/>
      </c>
      <c r="F102" s="80"/>
      <c r="G102" s="82"/>
      <c r="H102" s="82"/>
      <c r="I102" s="82"/>
      <c r="J102" s="94"/>
      <c r="K102" s="82"/>
      <c r="L102" s="82"/>
      <c r="M102" s="95"/>
      <c r="N102" s="85"/>
      <c r="O102" s="82"/>
      <c r="P102" s="86"/>
      <c r="Q102" s="86"/>
      <c r="R102" s="86"/>
      <c r="S102" s="21" t="str">
        <f aca="false">IF(OR(Q102="",R102=""),"",Q102*R102)</f>
        <v/>
      </c>
      <c r="T102" s="85" t="str">
        <f aca="false">IF(S102="","",INDEX(Settings!$A$20:$A$23,MATCH(S102,Settings!$B$20:$B$23,1)))</f>
        <v/>
      </c>
      <c r="U102" s="82"/>
      <c r="V102" s="87"/>
      <c r="W102" s="86"/>
      <c r="X102" s="82"/>
      <c r="Y102" s="96"/>
      <c r="Z102" s="96"/>
      <c r="AA102" s="96"/>
      <c r="AB102" s="96"/>
      <c r="AC102" s="96"/>
      <c r="AD102" s="96"/>
      <c r="AE102" s="96"/>
      <c r="AF102" s="96"/>
      <c r="AG102" s="96"/>
      <c r="AH102" s="96"/>
      <c r="AI102" s="96"/>
      <c r="AJ102" s="97"/>
      <c r="AK102" s="96"/>
      <c r="AL102" s="96"/>
      <c r="AM102" s="96"/>
      <c r="AN102" s="96"/>
      <c r="AO102" s="96"/>
      <c r="AP102" s="96"/>
      <c r="AQ102" s="97"/>
      <c r="AR102" s="97"/>
      <c r="AS102" s="86"/>
      <c r="AT102" s="86"/>
      <c r="AU102" s="85" t="str">
        <f aca="false">IF(OR(AS102="",AT102=""),"",AS102*AT102)</f>
        <v/>
      </c>
      <c r="AV102" s="21" t="str">
        <f aca="false">IF(AU102="","",INDEX(Settings!$A$20:$A$23,MATCH(AU102,Settings!$B$20:$B$23,1)))</f>
        <v/>
      </c>
      <c r="AW102" s="85" t="str">
        <f aca="false">IF(AV102&lt;&gt;"",AV102,T102)</f>
        <v/>
      </c>
      <c r="AX102" s="85" t="str">
        <f aca="false">IF(AW102="","",IF(MATCH(AW102,Settings!$A$20:$A$23,0)&lt;=MATCH(Settings!$C$28,Settings!$A$20:$A$23,0),"Yes","No"))</f>
        <v/>
      </c>
      <c r="AY102" s="81" t="str">
        <f aca="false">IF(AW102="","",IF(AX102="Yes",INDEX(Settings!$G$20:$G$23,MATCH(AW102,Settings!$A$20:$A$23,0)),INDEX(Settings!$G$20:$G$23,MATCH(AW102,Settings!$A$20:$A$23,0))&amp;" (outside appetite)"))</f>
        <v/>
      </c>
      <c r="AZ102" s="82"/>
      <c r="BA102" s="82"/>
      <c r="BB102" s="90"/>
      <c r="BC102" s="91" t="str">
        <f aca="false">IF(OR(BB102="",T102=""),"",BB102+INDEX(Settings!$E$20:$E$23,MATCH(T102,Settings!$A$20:$A$23,0)))</f>
        <v/>
      </c>
      <c r="BD102" s="90"/>
      <c r="BE102" s="82"/>
      <c r="BF102" s="81" t="str">
        <f aca="true">IF(A102="","",IF(OR(BE102="Closed",BE102="Accepted"),"No action",IF(BB102="","Set date identified",IF(TODAY()&gt;BC102,"Deadline exceeded",IF(BC102-TODAY()&lt;=Settings!$C$30,"Deadline approaching","On track")))))</f>
        <v/>
      </c>
      <c r="BG102" s="90"/>
      <c r="BH102" s="90"/>
      <c r="BI102" s="91" t="str">
        <f aca="false">IF(OR(BH102="",AW102=""),"",EDATE(BH102,INDEX(Settings!$F$20:$F$23,MATCH(AW102,Settings!$A$20:$A$23,0))))</f>
        <v/>
      </c>
      <c r="BJ102" s="85" t="str">
        <f aca="false">IF(T102="","",IF(MAX(IF(T102="",0,MATCH(T102,Settings!$A$20:$A$23,0)),IF(AV102="",0,MATCH(AV102,Settings!$A$20:$A$23,0)))&gt;=MATCH(Settings!$C$29,Settings!$A$20:$A$23,0),"Yes","No"))</f>
        <v/>
      </c>
      <c r="BK102" s="82"/>
      <c r="BL102" s="81" t="str">
        <f aca="true">IF(A102="","",IF(TRIM(IF(W102="","Treatment not chosen. ","")&amp;IF(AND(W102="Accept",AX102="No"),"Accepted outside appetite: record approval by "&amp;INDEX(Settings!$G$20:$G$23,MATCH(AW102,Settings!$A$20:$A$23,0))&amp;". ","")&amp;IF(AND(W102="Accept",BG102=""),"Acceptance expiry missing. ","")&amp;IF(AND(BG102&lt;&gt;"",BG102&lt;TODAY()),"Acceptance expired. ","")&amp;IF(AND(W102&lt;&gt;"",W102&lt;&gt;"Accept",AV102=""),"Target rating not set. ","")&amp;IF(AND(BE102="Closed",AX102="No"),"Closed while outside appetite. ","")&amp;IF(AND(W102="Transfer",BE102&lt;&gt;"Transferred",BE102&lt;&gt;"Closed"),"Transfer: record the contract, SLA and audit rights. ","")&amp;IF(AZ102="","Risk owner missing. ","")&amp;IF(K102="","Scenario not written. ",""))="","OK",TRIM(IF(W102="","Treatment not chosen. ","")&amp;IF(AND(W102="Accept",AX102="No"),"Accepted outside appetite: record approval by "&amp;INDEX(Settings!$G$20:$G$23,MATCH(AW102,Settings!$A$20:$A$23,0))&amp;". ","")&amp;IF(AND(W102="Accept",BG102=""),"Acceptance expiry missing. ","")&amp;IF(AND(BG102&lt;&gt;"",BG102&lt;TODAY()),"Acceptance expired. ","")&amp;IF(AND(W102&lt;&gt;"",W102&lt;&gt;"Accept",AV102=""),"Target rating not set. ","")&amp;IF(AND(BE102="Closed",AX102="No"),"Closed while outside appetite. ","")&amp;IF(AND(W102="Transfer",BE102&lt;&gt;"Transferred",BE102&lt;&gt;"Closed"),"Transfer: record the contract, SLA and audit rights. ","")&amp;IF(AZ102="","Risk owner missing. ","")&amp;IF(K102="","Scenario not written. ",""))))</f>
        <v/>
      </c>
      <c r="BM102" s="82"/>
    </row>
    <row r="103" customFormat="false" ht="15" hidden="false" customHeight="false" outlineLevel="0" collapsed="false">
      <c r="A103" s="84"/>
      <c r="B103" s="83"/>
      <c r="C103" s="80"/>
      <c r="D103" s="81" t="str">
        <f aca="false">IF(C103="","",IFERROR(INDEX(Lists!$O$2:$O$13,MATCH(C103,Lists!$N$2:$N$13,0)),"Check domain code"))</f>
        <v/>
      </c>
      <c r="E103" s="81" t="str">
        <f aca="false">IF(C103="","",IFERROR(INDEX(Lists!$P$2:$P$13,MATCH(C103,Lists!$N$2:$N$13,0)),""))</f>
        <v/>
      </c>
      <c r="F103" s="80"/>
      <c r="G103" s="82"/>
      <c r="H103" s="82"/>
      <c r="I103" s="82"/>
      <c r="J103" s="83"/>
      <c r="K103" s="82"/>
      <c r="L103" s="82"/>
      <c r="M103" s="84"/>
      <c r="N103" s="85"/>
      <c r="O103" s="82"/>
      <c r="P103" s="86"/>
      <c r="Q103" s="86"/>
      <c r="R103" s="86"/>
      <c r="S103" s="21" t="str">
        <f aca="false">IF(OR(Q103="",R103=""),"",Q103*R103)</f>
        <v/>
      </c>
      <c r="T103" s="85" t="str">
        <f aca="false">IF(S103="","",INDEX(Settings!$A$20:$A$23,MATCH(S103,Settings!$B$20:$B$23,1)))</f>
        <v/>
      </c>
      <c r="U103" s="82"/>
      <c r="V103" s="87"/>
      <c r="W103" s="86"/>
      <c r="X103" s="82"/>
      <c r="Y103" s="88"/>
      <c r="Z103" s="88"/>
      <c r="AA103" s="88"/>
      <c r="AB103" s="88"/>
      <c r="AC103" s="88"/>
      <c r="AD103" s="88"/>
      <c r="AE103" s="88"/>
      <c r="AF103" s="88"/>
      <c r="AG103" s="88"/>
      <c r="AH103" s="88"/>
      <c r="AI103" s="88"/>
      <c r="AJ103" s="89"/>
      <c r="AK103" s="88"/>
      <c r="AL103" s="88"/>
      <c r="AM103" s="88"/>
      <c r="AN103" s="88"/>
      <c r="AO103" s="88"/>
      <c r="AP103" s="88"/>
      <c r="AQ103" s="89"/>
      <c r="AR103" s="89"/>
      <c r="AS103" s="86"/>
      <c r="AT103" s="86"/>
      <c r="AU103" s="85" t="str">
        <f aca="false">IF(OR(AS103="",AT103=""),"",AS103*AT103)</f>
        <v/>
      </c>
      <c r="AV103" s="21" t="str">
        <f aca="false">IF(AU103="","",INDEX(Settings!$A$20:$A$23,MATCH(AU103,Settings!$B$20:$B$23,1)))</f>
        <v/>
      </c>
      <c r="AW103" s="85" t="str">
        <f aca="false">IF(AV103&lt;&gt;"",AV103,T103)</f>
        <v/>
      </c>
      <c r="AX103" s="85" t="str">
        <f aca="false">IF(AW103="","",IF(MATCH(AW103,Settings!$A$20:$A$23,0)&lt;=MATCH(Settings!$C$28,Settings!$A$20:$A$23,0),"Yes","No"))</f>
        <v/>
      </c>
      <c r="AY103" s="81" t="str">
        <f aca="false">IF(AW103="","",IF(AX103="Yes",INDEX(Settings!$G$20:$G$23,MATCH(AW103,Settings!$A$20:$A$23,0)),INDEX(Settings!$G$20:$G$23,MATCH(AW103,Settings!$A$20:$A$23,0))&amp;" (outside appetite)"))</f>
        <v/>
      </c>
      <c r="AZ103" s="82"/>
      <c r="BA103" s="82"/>
      <c r="BB103" s="90"/>
      <c r="BC103" s="91" t="str">
        <f aca="false">IF(OR(BB103="",T103=""),"",BB103+INDEX(Settings!$E$20:$E$23,MATCH(T103,Settings!$A$20:$A$23,0)))</f>
        <v/>
      </c>
      <c r="BD103" s="90"/>
      <c r="BE103" s="82"/>
      <c r="BF103" s="81" t="str">
        <f aca="true">IF(A103="","",IF(OR(BE103="Closed",BE103="Accepted"),"No action",IF(BB103="","Set date identified",IF(TODAY()&gt;BC103,"Deadline exceeded",IF(BC103-TODAY()&lt;=Settings!$C$30,"Deadline approaching","On track")))))</f>
        <v/>
      </c>
      <c r="BG103" s="90"/>
      <c r="BH103" s="90"/>
      <c r="BI103" s="91" t="str">
        <f aca="false">IF(OR(BH103="",AW103=""),"",EDATE(BH103,INDEX(Settings!$F$20:$F$23,MATCH(AW103,Settings!$A$20:$A$23,0))))</f>
        <v/>
      </c>
      <c r="BJ103" s="85" t="str">
        <f aca="false">IF(T103="","",IF(MAX(IF(T103="",0,MATCH(T103,Settings!$A$20:$A$23,0)),IF(AV103="",0,MATCH(AV103,Settings!$A$20:$A$23,0)))&gt;=MATCH(Settings!$C$29,Settings!$A$20:$A$23,0),"Yes","No"))</f>
        <v/>
      </c>
      <c r="BK103" s="82"/>
      <c r="BL103" s="81" t="str">
        <f aca="true">IF(A103="","",IF(TRIM(IF(W103="","Treatment not chosen. ","")&amp;IF(AND(W103="Accept",AX103="No"),"Accepted outside appetite: record approval by "&amp;INDEX(Settings!$G$20:$G$23,MATCH(AW103,Settings!$A$20:$A$23,0))&amp;". ","")&amp;IF(AND(W103="Accept",BG103=""),"Acceptance expiry missing. ","")&amp;IF(AND(BG103&lt;&gt;"",BG103&lt;TODAY()),"Acceptance expired. ","")&amp;IF(AND(W103&lt;&gt;"",W103&lt;&gt;"Accept",AV103=""),"Target rating not set. ","")&amp;IF(AND(BE103="Closed",AX103="No"),"Closed while outside appetite. ","")&amp;IF(AND(W103="Transfer",BE103&lt;&gt;"Transferred",BE103&lt;&gt;"Closed"),"Transfer: record the contract, SLA and audit rights. ","")&amp;IF(AZ103="","Risk owner missing. ","")&amp;IF(K103="","Scenario not written. ",""))="","OK",TRIM(IF(W103="","Treatment not chosen. ","")&amp;IF(AND(W103="Accept",AX103="No"),"Accepted outside appetite: record approval by "&amp;INDEX(Settings!$G$20:$G$23,MATCH(AW103,Settings!$A$20:$A$23,0))&amp;". ","")&amp;IF(AND(W103="Accept",BG103=""),"Acceptance expiry missing. ","")&amp;IF(AND(BG103&lt;&gt;"",BG103&lt;TODAY()),"Acceptance expired. ","")&amp;IF(AND(W103&lt;&gt;"",W103&lt;&gt;"Accept",AV103=""),"Target rating not set. ","")&amp;IF(AND(BE103="Closed",AX103="No"),"Closed while outside appetite. ","")&amp;IF(AND(W103="Transfer",BE103&lt;&gt;"Transferred",BE103&lt;&gt;"Closed"),"Transfer: record the contract, SLA and audit rights. ","")&amp;IF(AZ103="","Risk owner missing. ","")&amp;IF(K103="","Scenario not written. ",""))))</f>
        <v/>
      </c>
      <c r="BM103" s="82"/>
    </row>
    <row r="104" customFormat="false" ht="15" hidden="false" customHeight="false" outlineLevel="0" collapsed="false">
      <c r="A104" s="95"/>
      <c r="B104" s="94"/>
      <c r="C104" s="80"/>
      <c r="D104" s="81" t="str">
        <f aca="false">IF(C104="","",IFERROR(INDEX(Lists!$O$2:$O$13,MATCH(C104,Lists!$N$2:$N$13,0)),"Check domain code"))</f>
        <v/>
      </c>
      <c r="E104" s="81" t="str">
        <f aca="false">IF(C104="","",IFERROR(INDEX(Lists!$P$2:$P$13,MATCH(C104,Lists!$N$2:$N$13,0)),""))</f>
        <v/>
      </c>
      <c r="F104" s="80"/>
      <c r="G104" s="82"/>
      <c r="H104" s="82"/>
      <c r="I104" s="82"/>
      <c r="J104" s="94"/>
      <c r="K104" s="82"/>
      <c r="L104" s="82"/>
      <c r="M104" s="95"/>
      <c r="N104" s="85"/>
      <c r="O104" s="82"/>
      <c r="P104" s="86"/>
      <c r="Q104" s="86"/>
      <c r="R104" s="86"/>
      <c r="S104" s="21" t="str">
        <f aca="false">IF(OR(Q104="",R104=""),"",Q104*R104)</f>
        <v/>
      </c>
      <c r="T104" s="85" t="str">
        <f aca="false">IF(S104="","",INDEX(Settings!$A$20:$A$23,MATCH(S104,Settings!$B$20:$B$23,1)))</f>
        <v/>
      </c>
      <c r="U104" s="82"/>
      <c r="V104" s="87"/>
      <c r="W104" s="86"/>
      <c r="X104" s="82"/>
      <c r="Y104" s="96"/>
      <c r="Z104" s="96"/>
      <c r="AA104" s="96"/>
      <c r="AB104" s="96"/>
      <c r="AC104" s="96"/>
      <c r="AD104" s="96"/>
      <c r="AE104" s="96"/>
      <c r="AF104" s="96"/>
      <c r="AG104" s="96"/>
      <c r="AH104" s="96"/>
      <c r="AI104" s="96"/>
      <c r="AJ104" s="97"/>
      <c r="AK104" s="96"/>
      <c r="AL104" s="96"/>
      <c r="AM104" s="96"/>
      <c r="AN104" s="96"/>
      <c r="AO104" s="96"/>
      <c r="AP104" s="96"/>
      <c r="AQ104" s="97"/>
      <c r="AR104" s="97"/>
      <c r="AS104" s="86"/>
      <c r="AT104" s="86"/>
      <c r="AU104" s="85" t="str">
        <f aca="false">IF(OR(AS104="",AT104=""),"",AS104*AT104)</f>
        <v/>
      </c>
      <c r="AV104" s="21" t="str">
        <f aca="false">IF(AU104="","",INDEX(Settings!$A$20:$A$23,MATCH(AU104,Settings!$B$20:$B$23,1)))</f>
        <v/>
      </c>
      <c r="AW104" s="85" t="str">
        <f aca="false">IF(AV104&lt;&gt;"",AV104,T104)</f>
        <v/>
      </c>
      <c r="AX104" s="85" t="str">
        <f aca="false">IF(AW104="","",IF(MATCH(AW104,Settings!$A$20:$A$23,0)&lt;=MATCH(Settings!$C$28,Settings!$A$20:$A$23,0),"Yes","No"))</f>
        <v/>
      </c>
      <c r="AY104" s="81" t="str">
        <f aca="false">IF(AW104="","",IF(AX104="Yes",INDEX(Settings!$G$20:$G$23,MATCH(AW104,Settings!$A$20:$A$23,0)),INDEX(Settings!$G$20:$G$23,MATCH(AW104,Settings!$A$20:$A$23,0))&amp;" (outside appetite)"))</f>
        <v/>
      </c>
      <c r="AZ104" s="82"/>
      <c r="BA104" s="82"/>
      <c r="BB104" s="90"/>
      <c r="BC104" s="91" t="str">
        <f aca="false">IF(OR(BB104="",T104=""),"",BB104+INDEX(Settings!$E$20:$E$23,MATCH(T104,Settings!$A$20:$A$23,0)))</f>
        <v/>
      </c>
      <c r="BD104" s="90"/>
      <c r="BE104" s="82"/>
      <c r="BF104" s="81" t="str">
        <f aca="true">IF(A104="","",IF(OR(BE104="Closed",BE104="Accepted"),"No action",IF(BB104="","Set date identified",IF(TODAY()&gt;BC104,"Deadline exceeded",IF(BC104-TODAY()&lt;=Settings!$C$30,"Deadline approaching","On track")))))</f>
        <v/>
      </c>
      <c r="BG104" s="90"/>
      <c r="BH104" s="90"/>
      <c r="BI104" s="91" t="str">
        <f aca="false">IF(OR(BH104="",AW104=""),"",EDATE(BH104,INDEX(Settings!$F$20:$F$23,MATCH(AW104,Settings!$A$20:$A$23,0))))</f>
        <v/>
      </c>
      <c r="BJ104" s="85" t="str">
        <f aca="false">IF(T104="","",IF(MAX(IF(T104="",0,MATCH(T104,Settings!$A$20:$A$23,0)),IF(AV104="",0,MATCH(AV104,Settings!$A$20:$A$23,0)))&gt;=MATCH(Settings!$C$29,Settings!$A$20:$A$23,0),"Yes","No"))</f>
        <v/>
      </c>
      <c r="BK104" s="82"/>
      <c r="BL104" s="81" t="str">
        <f aca="true">IF(A104="","",IF(TRIM(IF(W104="","Treatment not chosen. ","")&amp;IF(AND(W104="Accept",AX104="No"),"Accepted outside appetite: record approval by "&amp;INDEX(Settings!$G$20:$G$23,MATCH(AW104,Settings!$A$20:$A$23,0))&amp;". ","")&amp;IF(AND(W104="Accept",BG104=""),"Acceptance expiry missing. ","")&amp;IF(AND(BG104&lt;&gt;"",BG104&lt;TODAY()),"Acceptance expired. ","")&amp;IF(AND(W104&lt;&gt;"",W104&lt;&gt;"Accept",AV104=""),"Target rating not set. ","")&amp;IF(AND(BE104="Closed",AX104="No"),"Closed while outside appetite. ","")&amp;IF(AND(W104="Transfer",BE104&lt;&gt;"Transferred",BE104&lt;&gt;"Closed"),"Transfer: record the contract, SLA and audit rights. ","")&amp;IF(AZ104="","Risk owner missing. ","")&amp;IF(K104="","Scenario not written. ",""))="","OK",TRIM(IF(W104="","Treatment not chosen. ","")&amp;IF(AND(W104="Accept",AX104="No"),"Accepted outside appetite: record approval by "&amp;INDEX(Settings!$G$20:$G$23,MATCH(AW104,Settings!$A$20:$A$23,0))&amp;". ","")&amp;IF(AND(W104="Accept",BG104=""),"Acceptance expiry missing. ","")&amp;IF(AND(BG104&lt;&gt;"",BG104&lt;TODAY()),"Acceptance expired. ","")&amp;IF(AND(W104&lt;&gt;"",W104&lt;&gt;"Accept",AV104=""),"Target rating not set. ","")&amp;IF(AND(BE104="Closed",AX104="No"),"Closed while outside appetite. ","")&amp;IF(AND(W104="Transfer",BE104&lt;&gt;"Transferred",BE104&lt;&gt;"Closed"),"Transfer: record the contract, SLA and audit rights. ","")&amp;IF(AZ104="","Risk owner missing. ","")&amp;IF(K104="","Scenario not written. ",""))))</f>
        <v/>
      </c>
      <c r="BM104" s="82"/>
    </row>
    <row r="105" customFormat="false" ht="15" hidden="false" customHeight="false" outlineLevel="0" collapsed="false">
      <c r="A105" s="84"/>
      <c r="B105" s="83"/>
      <c r="C105" s="80"/>
      <c r="D105" s="81" t="str">
        <f aca="false">IF(C105="","",IFERROR(INDEX(Lists!$O$2:$O$13,MATCH(C105,Lists!$N$2:$N$13,0)),"Check domain code"))</f>
        <v/>
      </c>
      <c r="E105" s="81" t="str">
        <f aca="false">IF(C105="","",IFERROR(INDEX(Lists!$P$2:$P$13,MATCH(C105,Lists!$N$2:$N$13,0)),""))</f>
        <v/>
      </c>
      <c r="F105" s="80"/>
      <c r="G105" s="82"/>
      <c r="H105" s="82"/>
      <c r="I105" s="82"/>
      <c r="J105" s="83"/>
      <c r="K105" s="82"/>
      <c r="L105" s="82"/>
      <c r="M105" s="84"/>
      <c r="N105" s="85"/>
      <c r="O105" s="82"/>
      <c r="P105" s="86"/>
      <c r="Q105" s="86"/>
      <c r="R105" s="86"/>
      <c r="S105" s="21" t="str">
        <f aca="false">IF(OR(Q105="",R105=""),"",Q105*R105)</f>
        <v/>
      </c>
      <c r="T105" s="85" t="str">
        <f aca="false">IF(S105="","",INDEX(Settings!$A$20:$A$23,MATCH(S105,Settings!$B$20:$B$23,1)))</f>
        <v/>
      </c>
      <c r="U105" s="82"/>
      <c r="V105" s="87"/>
      <c r="W105" s="86"/>
      <c r="X105" s="82"/>
      <c r="Y105" s="88"/>
      <c r="Z105" s="88"/>
      <c r="AA105" s="88"/>
      <c r="AB105" s="88"/>
      <c r="AC105" s="88"/>
      <c r="AD105" s="88"/>
      <c r="AE105" s="88"/>
      <c r="AF105" s="88"/>
      <c r="AG105" s="88"/>
      <c r="AH105" s="88"/>
      <c r="AI105" s="88"/>
      <c r="AJ105" s="89"/>
      <c r="AK105" s="88"/>
      <c r="AL105" s="88"/>
      <c r="AM105" s="88"/>
      <c r="AN105" s="88"/>
      <c r="AO105" s="88"/>
      <c r="AP105" s="88"/>
      <c r="AQ105" s="89"/>
      <c r="AR105" s="89"/>
      <c r="AS105" s="86"/>
      <c r="AT105" s="86"/>
      <c r="AU105" s="85" t="str">
        <f aca="false">IF(OR(AS105="",AT105=""),"",AS105*AT105)</f>
        <v/>
      </c>
      <c r="AV105" s="21" t="str">
        <f aca="false">IF(AU105="","",INDEX(Settings!$A$20:$A$23,MATCH(AU105,Settings!$B$20:$B$23,1)))</f>
        <v/>
      </c>
      <c r="AW105" s="85" t="str">
        <f aca="false">IF(AV105&lt;&gt;"",AV105,T105)</f>
        <v/>
      </c>
      <c r="AX105" s="85" t="str">
        <f aca="false">IF(AW105="","",IF(MATCH(AW105,Settings!$A$20:$A$23,0)&lt;=MATCH(Settings!$C$28,Settings!$A$20:$A$23,0),"Yes","No"))</f>
        <v/>
      </c>
      <c r="AY105" s="81" t="str">
        <f aca="false">IF(AW105="","",IF(AX105="Yes",INDEX(Settings!$G$20:$G$23,MATCH(AW105,Settings!$A$20:$A$23,0)),INDEX(Settings!$G$20:$G$23,MATCH(AW105,Settings!$A$20:$A$23,0))&amp;" (outside appetite)"))</f>
        <v/>
      </c>
      <c r="AZ105" s="82"/>
      <c r="BA105" s="82"/>
      <c r="BB105" s="90"/>
      <c r="BC105" s="91" t="str">
        <f aca="false">IF(OR(BB105="",T105=""),"",BB105+INDEX(Settings!$E$20:$E$23,MATCH(T105,Settings!$A$20:$A$23,0)))</f>
        <v/>
      </c>
      <c r="BD105" s="90"/>
      <c r="BE105" s="82"/>
      <c r="BF105" s="81" t="str">
        <f aca="true">IF(A105="","",IF(OR(BE105="Closed",BE105="Accepted"),"No action",IF(BB105="","Set date identified",IF(TODAY()&gt;BC105,"Deadline exceeded",IF(BC105-TODAY()&lt;=Settings!$C$30,"Deadline approaching","On track")))))</f>
        <v/>
      </c>
      <c r="BG105" s="90"/>
      <c r="BH105" s="90"/>
      <c r="BI105" s="91" t="str">
        <f aca="false">IF(OR(BH105="",AW105=""),"",EDATE(BH105,INDEX(Settings!$F$20:$F$23,MATCH(AW105,Settings!$A$20:$A$23,0))))</f>
        <v/>
      </c>
      <c r="BJ105" s="85" t="str">
        <f aca="false">IF(T105="","",IF(MAX(IF(T105="",0,MATCH(T105,Settings!$A$20:$A$23,0)),IF(AV105="",0,MATCH(AV105,Settings!$A$20:$A$23,0)))&gt;=MATCH(Settings!$C$29,Settings!$A$20:$A$23,0),"Yes","No"))</f>
        <v/>
      </c>
      <c r="BK105" s="82"/>
      <c r="BL105" s="81" t="str">
        <f aca="true">IF(A105="","",IF(TRIM(IF(W105="","Treatment not chosen. ","")&amp;IF(AND(W105="Accept",AX105="No"),"Accepted outside appetite: record approval by "&amp;INDEX(Settings!$G$20:$G$23,MATCH(AW105,Settings!$A$20:$A$23,0))&amp;". ","")&amp;IF(AND(W105="Accept",BG105=""),"Acceptance expiry missing. ","")&amp;IF(AND(BG105&lt;&gt;"",BG105&lt;TODAY()),"Acceptance expired. ","")&amp;IF(AND(W105&lt;&gt;"",W105&lt;&gt;"Accept",AV105=""),"Target rating not set. ","")&amp;IF(AND(BE105="Closed",AX105="No"),"Closed while outside appetite. ","")&amp;IF(AND(W105="Transfer",BE105&lt;&gt;"Transferred",BE105&lt;&gt;"Closed"),"Transfer: record the contract, SLA and audit rights. ","")&amp;IF(AZ105="","Risk owner missing. ","")&amp;IF(K105="","Scenario not written. ",""))="","OK",TRIM(IF(W105="","Treatment not chosen. ","")&amp;IF(AND(W105="Accept",AX105="No"),"Accepted outside appetite: record approval by "&amp;INDEX(Settings!$G$20:$G$23,MATCH(AW105,Settings!$A$20:$A$23,0))&amp;". ","")&amp;IF(AND(W105="Accept",BG105=""),"Acceptance expiry missing. ","")&amp;IF(AND(BG105&lt;&gt;"",BG105&lt;TODAY()),"Acceptance expired. ","")&amp;IF(AND(W105&lt;&gt;"",W105&lt;&gt;"Accept",AV105=""),"Target rating not set. ","")&amp;IF(AND(BE105="Closed",AX105="No"),"Closed while outside appetite. ","")&amp;IF(AND(W105="Transfer",BE105&lt;&gt;"Transferred",BE105&lt;&gt;"Closed"),"Transfer: record the contract, SLA and audit rights. ","")&amp;IF(AZ105="","Risk owner missing. ","")&amp;IF(K105="","Scenario not written. ",""))))</f>
        <v/>
      </c>
      <c r="BM105" s="82"/>
    </row>
    <row r="106" customFormat="false" ht="15" hidden="false" customHeight="false" outlineLevel="0" collapsed="false">
      <c r="A106" s="95"/>
      <c r="B106" s="94"/>
      <c r="C106" s="80"/>
      <c r="D106" s="81" t="str">
        <f aca="false">IF(C106="","",IFERROR(INDEX(Lists!$O$2:$O$13,MATCH(C106,Lists!$N$2:$N$13,0)),"Check domain code"))</f>
        <v/>
      </c>
      <c r="E106" s="81" t="str">
        <f aca="false">IF(C106="","",IFERROR(INDEX(Lists!$P$2:$P$13,MATCH(C106,Lists!$N$2:$N$13,0)),""))</f>
        <v/>
      </c>
      <c r="F106" s="80"/>
      <c r="G106" s="82"/>
      <c r="H106" s="82"/>
      <c r="I106" s="82"/>
      <c r="J106" s="94"/>
      <c r="K106" s="82"/>
      <c r="L106" s="82"/>
      <c r="M106" s="95"/>
      <c r="N106" s="85"/>
      <c r="O106" s="82"/>
      <c r="P106" s="86"/>
      <c r="Q106" s="86"/>
      <c r="R106" s="86"/>
      <c r="S106" s="21" t="str">
        <f aca="false">IF(OR(Q106="",R106=""),"",Q106*R106)</f>
        <v/>
      </c>
      <c r="T106" s="85" t="str">
        <f aca="false">IF(S106="","",INDEX(Settings!$A$20:$A$23,MATCH(S106,Settings!$B$20:$B$23,1)))</f>
        <v/>
      </c>
      <c r="U106" s="82"/>
      <c r="V106" s="87"/>
      <c r="W106" s="86"/>
      <c r="X106" s="82"/>
      <c r="Y106" s="96"/>
      <c r="Z106" s="96"/>
      <c r="AA106" s="96"/>
      <c r="AB106" s="96"/>
      <c r="AC106" s="96"/>
      <c r="AD106" s="96"/>
      <c r="AE106" s="96"/>
      <c r="AF106" s="96"/>
      <c r="AG106" s="96"/>
      <c r="AH106" s="96"/>
      <c r="AI106" s="96"/>
      <c r="AJ106" s="97"/>
      <c r="AK106" s="96"/>
      <c r="AL106" s="96"/>
      <c r="AM106" s="96"/>
      <c r="AN106" s="96"/>
      <c r="AO106" s="96"/>
      <c r="AP106" s="96"/>
      <c r="AQ106" s="97"/>
      <c r="AR106" s="97"/>
      <c r="AS106" s="86"/>
      <c r="AT106" s="86"/>
      <c r="AU106" s="85" t="str">
        <f aca="false">IF(OR(AS106="",AT106=""),"",AS106*AT106)</f>
        <v/>
      </c>
      <c r="AV106" s="21" t="str">
        <f aca="false">IF(AU106="","",INDEX(Settings!$A$20:$A$23,MATCH(AU106,Settings!$B$20:$B$23,1)))</f>
        <v/>
      </c>
      <c r="AW106" s="85" t="str">
        <f aca="false">IF(AV106&lt;&gt;"",AV106,T106)</f>
        <v/>
      </c>
      <c r="AX106" s="85" t="str">
        <f aca="false">IF(AW106="","",IF(MATCH(AW106,Settings!$A$20:$A$23,0)&lt;=MATCH(Settings!$C$28,Settings!$A$20:$A$23,0),"Yes","No"))</f>
        <v/>
      </c>
      <c r="AY106" s="81" t="str">
        <f aca="false">IF(AW106="","",IF(AX106="Yes",INDEX(Settings!$G$20:$G$23,MATCH(AW106,Settings!$A$20:$A$23,0)),INDEX(Settings!$G$20:$G$23,MATCH(AW106,Settings!$A$20:$A$23,0))&amp;" (outside appetite)"))</f>
        <v/>
      </c>
      <c r="AZ106" s="82"/>
      <c r="BA106" s="82"/>
      <c r="BB106" s="90"/>
      <c r="BC106" s="91" t="str">
        <f aca="false">IF(OR(BB106="",T106=""),"",BB106+INDEX(Settings!$E$20:$E$23,MATCH(T106,Settings!$A$20:$A$23,0)))</f>
        <v/>
      </c>
      <c r="BD106" s="90"/>
      <c r="BE106" s="82"/>
      <c r="BF106" s="81" t="str">
        <f aca="true">IF(A106="","",IF(OR(BE106="Closed",BE106="Accepted"),"No action",IF(BB106="","Set date identified",IF(TODAY()&gt;BC106,"Deadline exceeded",IF(BC106-TODAY()&lt;=Settings!$C$30,"Deadline approaching","On track")))))</f>
        <v/>
      </c>
      <c r="BG106" s="90"/>
      <c r="BH106" s="90"/>
      <c r="BI106" s="91" t="str">
        <f aca="false">IF(OR(BH106="",AW106=""),"",EDATE(BH106,INDEX(Settings!$F$20:$F$23,MATCH(AW106,Settings!$A$20:$A$23,0))))</f>
        <v/>
      </c>
      <c r="BJ106" s="85" t="str">
        <f aca="false">IF(T106="","",IF(MAX(IF(T106="",0,MATCH(T106,Settings!$A$20:$A$23,0)),IF(AV106="",0,MATCH(AV106,Settings!$A$20:$A$23,0)))&gt;=MATCH(Settings!$C$29,Settings!$A$20:$A$23,0),"Yes","No"))</f>
        <v/>
      </c>
      <c r="BK106" s="82"/>
      <c r="BL106" s="81" t="str">
        <f aca="true">IF(A106="","",IF(TRIM(IF(W106="","Treatment not chosen. ","")&amp;IF(AND(W106="Accept",AX106="No"),"Accepted outside appetite: record approval by "&amp;INDEX(Settings!$G$20:$G$23,MATCH(AW106,Settings!$A$20:$A$23,0))&amp;". ","")&amp;IF(AND(W106="Accept",BG106=""),"Acceptance expiry missing. ","")&amp;IF(AND(BG106&lt;&gt;"",BG106&lt;TODAY()),"Acceptance expired. ","")&amp;IF(AND(W106&lt;&gt;"",W106&lt;&gt;"Accept",AV106=""),"Target rating not set. ","")&amp;IF(AND(BE106="Closed",AX106="No"),"Closed while outside appetite. ","")&amp;IF(AND(W106="Transfer",BE106&lt;&gt;"Transferred",BE106&lt;&gt;"Closed"),"Transfer: record the contract, SLA and audit rights. ","")&amp;IF(AZ106="","Risk owner missing. ","")&amp;IF(K106="","Scenario not written. ",""))="","OK",TRIM(IF(W106="","Treatment not chosen. ","")&amp;IF(AND(W106="Accept",AX106="No"),"Accepted outside appetite: record approval by "&amp;INDEX(Settings!$G$20:$G$23,MATCH(AW106,Settings!$A$20:$A$23,0))&amp;". ","")&amp;IF(AND(W106="Accept",BG106=""),"Acceptance expiry missing. ","")&amp;IF(AND(BG106&lt;&gt;"",BG106&lt;TODAY()),"Acceptance expired. ","")&amp;IF(AND(W106&lt;&gt;"",W106&lt;&gt;"Accept",AV106=""),"Target rating not set. ","")&amp;IF(AND(BE106="Closed",AX106="No"),"Closed while outside appetite. ","")&amp;IF(AND(W106="Transfer",BE106&lt;&gt;"Transferred",BE106&lt;&gt;"Closed"),"Transfer: record the contract, SLA and audit rights. ","")&amp;IF(AZ106="","Risk owner missing. ","")&amp;IF(K106="","Scenario not written. ",""))))</f>
        <v/>
      </c>
      <c r="BM106" s="82"/>
    </row>
    <row r="107" customFormat="false" ht="15" hidden="false" customHeight="false" outlineLevel="0" collapsed="false">
      <c r="A107" s="84"/>
      <c r="B107" s="83"/>
      <c r="C107" s="80"/>
      <c r="D107" s="81" t="str">
        <f aca="false">IF(C107="","",IFERROR(INDEX(Lists!$O$2:$O$13,MATCH(C107,Lists!$N$2:$N$13,0)),"Check domain code"))</f>
        <v/>
      </c>
      <c r="E107" s="81" t="str">
        <f aca="false">IF(C107="","",IFERROR(INDEX(Lists!$P$2:$P$13,MATCH(C107,Lists!$N$2:$N$13,0)),""))</f>
        <v/>
      </c>
      <c r="F107" s="80"/>
      <c r="G107" s="82"/>
      <c r="H107" s="82"/>
      <c r="I107" s="82"/>
      <c r="J107" s="83"/>
      <c r="K107" s="82"/>
      <c r="L107" s="82"/>
      <c r="M107" s="84"/>
      <c r="N107" s="85"/>
      <c r="O107" s="82"/>
      <c r="P107" s="86"/>
      <c r="Q107" s="86"/>
      <c r="R107" s="86"/>
      <c r="S107" s="21" t="str">
        <f aca="false">IF(OR(Q107="",R107=""),"",Q107*R107)</f>
        <v/>
      </c>
      <c r="T107" s="85" t="str">
        <f aca="false">IF(S107="","",INDEX(Settings!$A$20:$A$23,MATCH(S107,Settings!$B$20:$B$23,1)))</f>
        <v/>
      </c>
      <c r="U107" s="82"/>
      <c r="V107" s="87"/>
      <c r="W107" s="86"/>
      <c r="X107" s="82"/>
      <c r="Y107" s="88"/>
      <c r="Z107" s="88"/>
      <c r="AA107" s="88"/>
      <c r="AB107" s="88"/>
      <c r="AC107" s="88"/>
      <c r="AD107" s="88"/>
      <c r="AE107" s="88"/>
      <c r="AF107" s="88"/>
      <c r="AG107" s="88"/>
      <c r="AH107" s="88"/>
      <c r="AI107" s="88"/>
      <c r="AJ107" s="89"/>
      <c r="AK107" s="88"/>
      <c r="AL107" s="88"/>
      <c r="AM107" s="88"/>
      <c r="AN107" s="88"/>
      <c r="AO107" s="88"/>
      <c r="AP107" s="88"/>
      <c r="AQ107" s="89"/>
      <c r="AR107" s="89"/>
      <c r="AS107" s="86"/>
      <c r="AT107" s="86"/>
      <c r="AU107" s="85" t="str">
        <f aca="false">IF(OR(AS107="",AT107=""),"",AS107*AT107)</f>
        <v/>
      </c>
      <c r="AV107" s="21" t="str">
        <f aca="false">IF(AU107="","",INDEX(Settings!$A$20:$A$23,MATCH(AU107,Settings!$B$20:$B$23,1)))</f>
        <v/>
      </c>
      <c r="AW107" s="85" t="str">
        <f aca="false">IF(AV107&lt;&gt;"",AV107,T107)</f>
        <v/>
      </c>
      <c r="AX107" s="85" t="str">
        <f aca="false">IF(AW107="","",IF(MATCH(AW107,Settings!$A$20:$A$23,0)&lt;=MATCH(Settings!$C$28,Settings!$A$20:$A$23,0),"Yes","No"))</f>
        <v/>
      </c>
      <c r="AY107" s="81" t="str">
        <f aca="false">IF(AW107="","",IF(AX107="Yes",INDEX(Settings!$G$20:$G$23,MATCH(AW107,Settings!$A$20:$A$23,0)),INDEX(Settings!$G$20:$G$23,MATCH(AW107,Settings!$A$20:$A$23,0))&amp;" (outside appetite)"))</f>
        <v/>
      </c>
      <c r="AZ107" s="82"/>
      <c r="BA107" s="82"/>
      <c r="BB107" s="90"/>
      <c r="BC107" s="91" t="str">
        <f aca="false">IF(OR(BB107="",T107=""),"",BB107+INDEX(Settings!$E$20:$E$23,MATCH(T107,Settings!$A$20:$A$23,0)))</f>
        <v/>
      </c>
      <c r="BD107" s="90"/>
      <c r="BE107" s="82"/>
      <c r="BF107" s="81" t="str">
        <f aca="true">IF(A107="","",IF(OR(BE107="Closed",BE107="Accepted"),"No action",IF(BB107="","Set date identified",IF(TODAY()&gt;BC107,"Deadline exceeded",IF(BC107-TODAY()&lt;=Settings!$C$30,"Deadline approaching","On track")))))</f>
        <v/>
      </c>
      <c r="BG107" s="90"/>
      <c r="BH107" s="90"/>
      <c r="BI107" s="91" t="str">
        <f aca="false">IF(OR(BH107="",AW107=""),"",EDATE(BH107,INDEX(Settings!$F$20:$F$23,MATCH(AW107,Settings!$A$20:$A$23,0))))</f>
        <v/>
      </c>
      <c r="BJ107" s="85" t="str">
        <f aca="false">IF(T107="","",IF(MAX(IF(T107="",0,MATCH(T107,Settings!$A$20:$A$23,0)),IF(AV107="",0,MATCH(AV107,Settings!$A$20:$A$23,0)))&gt;=MATCH(Settings!$C$29,Settings!$A$20:$A$23,0),"Yes","No"))</f>
        <v/>
      </c>
      <c r="BK107" s="82"/>
      <c r="BL107" s="81" t="str">
        <f aca="true">IF(A107="","",IF(TRIM(IF(W107="","Treatment not chosen. ","")&amp;IF(AND(W107="Accept",AX107="No"),"Accepted outside appetite: record approval by "&amp;INDEX(Settings!$G$20:$G$23,MATCH(AW107,Settings!$A$20:$A$23,0))&amp;". ","")&amp;IF(AND(W107="Accept",BG107=""),"Acceptance expiry missing. ","")&amp;IF(AND(BG107&lt;&gt;"",BG107&lt;TODAY()),"Acceptance expired. ","")&amp;IF(AND(W107&lt;&gt;"",W107&lt;&gt;"Accept",AV107=""),"Target rating not set. ","")&amp;IF(AND(BE107="Closed",AX107="No"),"Closed while outside appetite. ","")&amp;IF(AND(W107="Transfer",BE107&lt;&gt;"Transferred",BE107&lt;&gt;"Closed"),"Transfer: record the contract, SLA and audit rights. ","")&amp;IF(AZ107="","Risk owner missing. ","")&amp;IF(K107="","Scenario not written. ",""))="","OK",TRIM(IF(W107="","Treatment not chosen. ","")&amp;IF(AND(W107="Accept",AX107="No"),"Accepted outside appetite: record approval by "&amp;INDEX(Settings!$G$20:$G$23,MATCH(AW107,Settings!$A$20:$A$23,0))&amp;". ","")&amp;IF(AND(W107="Accept",BG107=""),"Acceptance expiry missing. ","")&amp;IF(AND(BG107&lt;&gt;"",BG107&lt;TODAY()),"Acceptance expired. ","")&amp;IF(AND(W107&lt;&gt;"",W107&lt;&gt;"Accept",AV107=""),"Target rating not set. ","")&amp;IF(AND(BE107="Closed",AX107="No"),"Closed while outside appetite. ","")&amp;IF(AND(W107="Transfer",BE107&lt;&gt;"Transferred",BE107&lt;&gt;"Closed"),"Transfer: record the contract, SLA and audit rights. ","")&amp;IF(AZ107="","Risk owner missing. ","")&amp;IF(K107="","Scenario not written. ",""))))</f>
        <v/>
      </c>
      <c r="BM107" s="82"/>
    </row>
    <row r="108" customFormat="false" ht="15" hidden="false" customHeight="false" outlineLevel="0" collapsed="false">
      <c r="A108" s="95"/>
      <c r="B108" s="94"/>
      <c r="C108" s="80"/>
      <c r="D108" s="81" t="str">
        <f aca="false">IF(C108="","",IFERROR(INDEX(Lists!$O$2:$O$13,MATCH(C108,Lists!$N$2:$N$13,0)),"Check domain code"))</f>
        <v/>
      </c>
      <c r="E108" s="81" t="str">
        <f aca="false">IF(C108="","",IFERROR(INDEX(Lists!$P$2:$P$13,MATCH(C108,Lists!$N$2:$N$13,0)),""))</f>
        <v/>
      </c>
      <c r="F108" s="80"/>
      <c r="G108" s="82"/>
      <c r="H108" s="82"/>
      <c r="I108" s="82"/>
      <c r="J108" s="94"/>
      <c r="K108" s="82"/>
      <c r="L108" s="82"/>
      <c r="M108" s="95"/>
      <c r="N108" s="85"/>
      <c r="O108" s="82"/>
      <c r="P108" s="86"/>
      <c r="Q108" s="86"/>
      <c r="R108" s="86"/>
      <c r="S108" s="21" t="str">
        <f aca="false">IF(OR(Q108="",R108=""),"",Q108*R108)</f>
        <v/>
      </c>
      <c r="T108" s="85" t="str">
        <f aca="false">IF(S108="","",INDEX(Settings!$A$20:$A$23,MATCH(S108,Settings!$B$20:$B$23,1)))</f>
        <v/>
      </c>
      <c r="U108" s="82"/>
      <c r="V108" s="87"/>
      <c r="W108" s="86"/>
      <c r="X108" s="82"/>
      <c r="Y108" s="96"/>
      <c r="Z108" s="96"/>
      <c r="AA108" s="96"/>
      <c r="AB108" s="96"/>
      <c r="AC108" s="96"/>
      <c r="AD108" s="96"/>
      <c r="AE108" s="96"/>
      <c r="AF108" s="96"/>
      <c r="AG108" s="96"/>
      <c r="AH108" s="96"/>
      <c r="AI108" s="96"/>
      <c r="AJ108" s="97"/>
      <c r="AK108" s="96"/>
      <c r="AL108" s="96"/>
      <c r="AM108" s="96"/>
      <c r="AN108" s="96"/>
      <c r="AO108" s="96"/>
      <c r="AP108" s="96"/>
      <c r="AQ108" s="97"/>
      <c r="AR108" s="97"/>
      <c r="AS108" s="86"/>
      <c r="AT108" s="86"/>
      <c r="AU108" s="85" t="str">
        <f aca="false">IF(OR(AS108="",AT108=""),"",AS108*AT108)</f>
        <v/>
      </c>
      <c r="AV108" s="21" t="str">
        <f aca="false">IF(AU108="","",INDEX(Settings!$A$20:$A$23,MATCH(AU108,Settings!$B$20:$B$23,1)))</f>
        <v/>
      </c>
      <c r="AW108" s="85" t="str">
        <f aca="false">IF(AV108&lt;&gt;"",AV108,T108)</f>
        <v/>
      </c>
      <c r="AX108" s="85" t="str">
        <f aca="false">IF(AW108="","",IF(MATCH(AW108,Settings!$A$20:$A$23,0)&lt;=MATCH(Settings!$C$28,Settings!$A$20:$A$23,0),"Yes","No"))</f>
        <v/>
      </c>
      <c r="AY108" s="81" t="str">
        <f aca="false">IF(AW108="","",IF(AX108="Yes",INDEX(Settings!$G$20:$G$23,MATCH(AW108,Settings!$A$20:$A$23,0)),INDEX(Settings!$G$20:$G$23,MATCH(AW108,Settings!$A$20:$A$23,0))&amp;" (outside appetite)"))</f>
        <v/>
      </c>
      <c r="AZ108" s="82"/>
      <c r="BA108" s="82"/>
      <c r="BB108" s="90"/>
      <c r="BC108" s="91" t="str">
        <f aca="false">IF(OR(BB108="",T108=""),"",BB108+INDEX(Settings!$E$20:$E$23,MATCH(T108,Settings!$A$20:$A$23,0)))</f>
        <v/>
      </c>
      <c r="BD108" s="90"/>
      <c r="BE108" s="82"/>
      <c r="BF108" s="81" t="str">
        <f aca="true">IF(A108="","",IF(OR(BE108="Closed",BE108="Accepted"),"No action",IF(BB108="","Set date identified",IF(TODAY()&gt;BC108,"Deadline exceeded",IF(BC108-TODAY()&lt;=Settings!$C$30,"Deadline approaching","On track")))))</f>
        <v/>
      </c>
      <c r="BG108" s="90"/>
      <c r="BH108" s="90"/>
      <c r="BI108" s="91" t="str">
        <f aca="false">IF(OR(BH108="",AW108=""),"",EDATE(BH108,INDEX(Settings!$F$20:$F$23,MATCH(AW108,Settings!$A$20:$A$23,0))))</f>
        <v/>
      </c>
      <c r="BJ108" s="85" t="str">
        <f aca="false">IF(T108="","",IF(MAX(IF(T108="",0,MATCH(T108,Settings!$A$20:$A$23,0)),IF(AV108="",0,MATCH(AV108,Settings!$A$20:$A$23,0)))&gt;=MATCH(Settings!$C$29,Settings!$A$20:$A$23,0),"Yes","No"))</f>
        <v/>
      </c>
      <c r="BK108" s="82"/>
      <c r="BL108" s="81" t="str">
        <f aca="true">IF(A108="","",IF(TRIM(IF(W108="","Treatment not chosen. ","")&amp;IF(AND(W108="Accept",AX108="No"),"Accepted outside appetite: record approval by "&amp;INDEX(Settings!$G$20:$G$23,MATCH(AW108,Settings!$A$20:$A$23,0))&amp;". ","")&amp;IF(AND(W108="Accept",BG108=""),"Acceptance expiry missing. ","")&amp;IF(AND(BG108&lt;&gt;"",BG108&lt;TODAY()),"Acceptance expired. ","")&amp;IF(AND(W108&lt;&gt;"",W108&lt;&gt;"Accept",AV108=""),"Target rating not set. ","")&amp;IF(AND(BE108="Closed",AX108="No"),"Closed while outside appetite. ","")&amp;IF(AND(W108="Transfer",BE108&lt;&gt;"Transferred",BE108&lt;&gt;"Closed"),"Transfer: record the contract, SLA and audit rights. ","")&amp;IF(AZ108="","Risk owner missing. ","")&amp;IF(K108="","Scenario not written. ",""))="","OK",TRIM(IF(W108="","Treatment not chosen. ","")&amp;IF(AND(W108="Accept",AX108="No"),"Accepted outside appetite: record approval by "&amp;INDEX(Settings!$G$20:$G$23,MATCH(AW108,Settings!$A$20:$A$23,0))&amp;". ","")&amp;IF(AND(W108="Accept",BG108=""),"Acceptance expiry missing. ","")&amp;IF(AND(BG108&lt;&gt;"",BG108&lt;TODAY()),"Acceptance expired. ","")&amp;IF(AND(W108&lt;&gt;"",W108&lt;&gt;"Accept",AV108=""),"Target rating not set. ","")&amp;IF(AND(BE108="Closed",AX108="No"),"Closed while outside appetite. ","")&amp;IF(AND(W108="Transfer",BE108&lt;&gt;"Transferred",BE108&lt;&gt;"Closed"),"Transfer: record the contract, SLA and audit rights. ","")&amp;IF(AZ108="","Risk owner missing. ","")&amp;IF(K108="","Scenario not written. ",""))))</f>
        <v/>
      </c>
      <c r="BM108" s="82"/>
    </row>
    <row r="109" customFormat="false" ht="15" hidden="false" customHeight="false" outlineLevel="0" collapsed="false">
      <c r="A109" s="84"/>
      <c r="B109" s="83"/>
      <c r="C109" s="80"/>
      <c r="D109" s="81" t="str">
        <f aca="false">IF(C109="","",IFERROR(INDEX(Lists!$O$2:$O$13,MATCH(C109,Lists!$N$2:$N$13,0)),"Check domain code"))</f>
        <v/>
      </c>
      <c r="E109" s="81" t="str">
        <f aca="false">IF(C109="","",IFERROR(INDEX(Lists!$P$2:$P$13,MATCH(C109,Lists!$N$2:$N$13,0)),""))</f>
        <v/>
      </c>
      <c r="F109" s="80"/>
      <c r="G109" s="82"/>
      <c r="H109" s="82"/>
      <c r="I109" s="82"/>
      <c r="J109" s="83"/>
      <c r="K109" s="82"/>
      <c r="L109" s="82"/>
      <c r="M109" s="84"/>
      <c r="N109" s="85"/>
      <c r="O109" s="82"/>
      <c r="P109" s="86"/>
      <c r="Q109" s="86"/>
      <c r="R109" s="86"/>
      <c r="S109" s="21" t="str">
        <f aca="false">IF(OR(Q109="",R109=""),"",Q109*R109)</f>
        <v/>
      </c>
      <c r="T109" s="85" t="str">
        <f aca="false">IF(S109="","",INDEX(Settings!$A$20:$A$23,MATCH(S109,Settings!$B$20:$B$23,1)))</f>
        <v/>
      </c>
      <c r="U109" s="82"/>
      <c r="V109" s="87"/>
      <c r="W109" s="86"/>
      <c r="X109" s="82"/>
      <c r="Y109" s="88"/>
      <c r="Z109" s="88"/>
      <c r="AA109" s="88"/>
      <c r="AB109" s="88"/>
      <c r="AC109" s="88"/>
      <c r="AD109" s="88"/>
      <c r="AE109" s="88"/>
      <c r="AF109" s="88"/>
      <c r="AG109" s="88"/>
      <c r="AH109" s="88"/>
      <c r="AI109" s="88"/>
      <c r="AJ109" s="89"/>
      <c r="AK109" s="88"/>
      <c r="AL109" s="88"/>
      <c r="AM109" s="88"/>
      <c r="AN109" s="88"/>
      <c r="AO109" s="88"/>
      <c r="AP109" s="88"/>
      <c r="AQ109" s="89"/>
      <c r="AR109" s="89"/>
      <c r="AS109" s="86"/>
      <c r="AT109" s="86"/>
      <c r="AU109" s="85" t="str">
        <f aca="false">IF(OR(AS109="",AT109=""),"",AS109*AT109)</f>
        <v/>
      </c>
      <c r="AV109" s="21" t="str">
        <f aca="false">IF(AU109="","",INDEX(Settings!$A$20:$A$23,MATCH(AU109,Settings!$B$20:$B$23,1)))</f>
        <v/>
      </c>
      <c r="AW109" s="85" t="str">
        <f aca="false">IF(AV109&lt;&gt;"",AV109,T109)</f>
        <v/>
      </c>
      <c r="AX109" s="85" t="str">
        <f aca="false">IF(AW109="","",IF(MATCH(AW109,Settings!$A$20:$A$23,0)&lt;=MATCH(Settings!$C$28,Settings!$A$20:$A$23,0),"Yes","No"))</f>
        <v/>
      </c>
      <c r="AY109" s="81" t="str">
        <f aca="false">IF(AW109="","",IF(AX109="Yes",INDEX(Settings!$G$20:$G$23,MATCH(AW109,Settings!$A$20:$A$23,0)),INDEX(Settings!$G$20:$G$23,MATCH(AW109,Settings!$A$20:$A$23,0))&amp;" (outside appetite)"))</f>
        <v/>
      </c>
      <c r="AZ109" s="82"/>
      <c r="BA109" s="82"/>
      <c r="BB109" s="90"/>
      <c r="BC109" s="91" t="str">
        <f aca="false">IF(OR(BB109="",T109=""),"",BB109+INDEX(Settings!$E$20:$E$23,MATCH(T109,Settings!$A$20:$A$23,0)))</f>
        <v/>
      </c>
      <c r="BD109" s="90"/>
      <c r="BE109" s="82"/>
      <c r="BF109" s="81" t="str">
        <f aca="true">IF(A109="","",IF(OR(BE109="Closed",BE109="Accepted"),"No action",IF(BB109="","Set date identified",IF(TODAY()&gt;BC109,"Deadline exceeded",IF(BC109-TODAY()&lt;=Settings!$C$30,"Deadline approaching","On track")))))</f>
        <v/>
      </c>
      <c r="BG109" s="90"/>
      <c r="BH109" s="90"/>
      <c r="BI109" s="91" t="str">
        <f aca="false">IF(OR(BH109="",AW109=""),"",EDATE(BH109,INDEX(Settings!$F$20:$F$23,MATCH(AW109,Settings!$A$20:$A$23,0))))</f>
        <v/>
      </c>
      <c r="BJ109" s="85" t="str">
        <f aca="false">IF(T109="","",IF(MAX(IF(T109="",0,MATCH(T109,Settings!$A$20:$A$23,0)),IF(AV109="",0,MATCH(AV109,Settings!$A$20:$A$23,0)))&gt;=MATCH(Settings!$C$29,Settings!$A$20:$A$23,0),"Yes","No"))</f>
        <v/>
      </c>
      <c r="BK109" s="82"/>
      <c r="BL109" s="81" t="str">
        <f aca="true">IF(A109="","",IF(TRIM(IF(W109="","Treatment not chosen. ","")&amp;IF(AND(W109="Accept",AX109="No"),"Accepted outside appetite: record approval by "&amp;INDEX(Settings!$G$20:$G$23,MATCH(AW109,Settings!$A$20:$A$23,0))&amp;". ","")&amp;IF(AND(W109="Accept",BG109=""),"Acceptance expiry missing. ","")&amp;IF(AND(BG109&lt;&gt;"",BG109&lt;TODAY()),"Acceptance expired. ","")&amp;IF(AND(W109&lt;&gt;"",W109&lt;&gt;"Accept",AV109=""),"Target rating not set. ","")&amp;IF(AND(BE109="Closed",AX109="No"),"Closed while outside appetite. ","")&amp;IF(AND(W109="Transfer",BE109&lt;&gt;"Transferred",BE109&lt;&gt;"Closed"),"Transfer: record the contract, SLA and audit rights. ","")&amp;IF(AZ109="","Risk owner missing. ","")&amp;IF(K109="","Scenario not written. ",""))="","OK",TRIM(IF(W109="","Treatment not chosen. ","")&amp;IF(AND(W109="Accept",AX109="No"),"Accepted outside appetite: record approval by "&amp;INDEX(Settings!$G$20:$G$23,MATCH(AW109,Settings!$A$20:$A$23,0))&amp;". ","")&amp;IF(AND(W109="Accept",BG109=""),"Acceptance expiry missing. ","")&amp;IF(AND(BG109&lt;&gt;"",BG109&lt;TODAY()),"Acceptance expired. ","")&amp;IF(AND(W109&lt;&gt;"",W109&lt;&gt;"Accept",AV109=""),"Target rating not set. ","")&amp;IF(AND(BE109="Closed",AX109="No"),"Closed while outside appetite. ","")&amp;IF(AND(W109="Transfer",BE109&lt;&gt;"Transferred",BE109&lt;&gt;"Closed"),"Transfer: record the contract, SLA and audit rights. ","")&amp;IF(AZ109="","Risk owner missing. ","")&amp;IF(K109="","Scenario not written. ",""))))</f>
        <v/>
      </c>
      <c r="BM109" s="82"/>
    </row>
    <row r="110" customFormat="false" ht="15" hidden="false" customHeight="false" outlineLevel="0" collapsed="false">
      <c r="A110" s="95"/>
      <c r="B110" s="94"/>
      <c r="C110" s="80"/>
      <c r="D110" s="81" t="str">
        <f aca="false">IF(C110="","",IFERROR(INDEX(Lists!$O$2:$O$13,MATCH(C110,Lists!$N$2:$N$13,0)),"Check domain code"))</f>
        <v/>
      </c>
      <c r="E110" s="81" t="str">
        <f aca="false">IF(C110="","",IFERROR(INDEX(Lists!$P$2:$P$13,MATCH(C110,Lists!$N$2:$N$13,0)),""))</f>
        <v/>
      </c>
      <c r="F110" s="80"/>
      <c r="G110" s="82"/>
      <c r="H110" s="82"/>
      <c r="I110" s="82"/>
      <c r="J110" s="94"/>
      <c r="K110" s="82"/>
      <c r="L110" s="82"/>
      <c r="M110" s="95"/>
      <c r="N110" s="85"/>
      <c r="O110" s="82"/>
      <c r="P110" s="86"/>
      <c r="Q110" s="86"/>
      <c r="R110" s="86"/>
      <c r="S110" s="21" t="str">
        <f aca="false">IF(OR(Q110="",R110=""),"",Q110*R110)</f>
        <v/>
      </c>
      <c r="T110" s="85" t="str">
        <f aca="false">IF(S110="","",INDEX(Settings!$A$20:$A$23,MATCH(S110,Settings!$B$20:$B$23,1)))</f>
        <v/>
      </c>
      <c r="U110" s="82"/>
      <c r="V110" s="87"/>
      <c r="W110" s="86"/>
      <c r="X110" s="82"/>
      <c r="Y110" s="96"/>
      <c r="Z110" s="96"/>
      <c r="AA110" s="96"/>
      <c r="AB110" s="96"/>
      <c r="AC110" s="96"/>
      <c r="AD110" s="96"/>
      <c r="AE110" s="96"/>
      <c r="AF110" s="96"/>
      <c r="AG110" s="96"/>
      <c r="AH110" s="96"/>
      <c r="AI110" s="96"/>
      <c r="AJ110" s="97"/>
      <c r="AK110" s="96"/>
      <c r="AL110" s="96"/>
      <c r="AM110" s="96"/>
      <c r="AN110" s="96"/>
      <c r="AO110" s="96"/>
      <c r="AP110" s="96"/>
      <c r="AQ110" s="97"/>
      <c r="AR110" s="97"/>
      <c r="AS110" s="86"/>
      <c r="AT110" s="86"/>
      <c r="AU110" s="85" t="str">
        <f aca="false">IF(OR(AS110="",AT110=""),"",AS110*AT110)</f>
        <v/>
      </c>
      <c r="AV110" s="21" t="str">
        <f aca="false">IF(AU110="","",INDEX(Settings!$A$20:$A$23,MATCH(AU110,Settings!$B$20:$B$23,1)))</f>
        <v/>
      </c>
      <c r="AW110" s="85" t="str">
        <f aca="false">IF(AV110&lt;&gt;"",AV110,T110)</f>
        <v/>
      </c>
      <c r="AX110" s="85" t="str">
        <f aca="false">IF(AW110="","",IF(MATCH(AW110,Settings!$A$20:$A$23,0)&lt;=MATCH(Settings!$C$28,Settings!$A$20:$A$23,0),"Yes","No"))</f>
        <v/>
      </c>
      <c r="AY110" s="81" t="str">
        <f aca="false">IF(AW110="","",IF(AX110="Yes",INDEX(Settings!$G$20:$G$23,MATCH(AW110,Settings!$A$20:$A$23,0)),INDEX(Settings!$G$20:$G$23,MATCH(AW110,Settings!$A$20:$A$23,0))&amp;" (outside appetite)"))</f>
        <v/>
      </c>
      <c r="AZ110" s="82"/>
      <c r="BA110" s="82"/>
      <c r="BB110" s="90"/>
      <c r="BC110" s="91" t="str">
        <f aca="false">IF(OR(BB110="",T110=""),"",BB110+INDEX(Settings!$E$20:$E$23,MATCH(T110,Settings!$A$20:$A$23,0)))</f>
        <v/>
      </c>
      <c r="BD110" s="90"/>
      <c r="BE110" s="82"/>
      <c r="BF110" s="81" t="str">
        <f aca="true">IF(A110="","",IF(OR(BE110="Closed",BE110="Accepted"),"No action",IF(BB110="","Set date identified",IF(TODAY()&gt;BC110,"Deadline exceeded",IF(BC110-TODAY()&lt;=Settings!$C$30,"Deadline approaching","On track")))))</f>
        <v/>
      </c>
      <c r="BG110" s="90"/>
      <c r="BH110" s="90"/>
      <c r="BI110" s="91" t="str">
        <f aca="false">IF(OR(BH110="",AW110=""),"",EDATE(BH110,INDEX(Settings!$F$20:$F$23,MATCH(AW110,Settings!$A$20:$A$23,0))))</f>
        <v/>
      </c>
      <c r="BJ110" s="85" t="str">
        <f aca="false">IF(T110="","",IF(MAX(IF(T110="",0,MATCH(T110,Settings!$A$20:$A$23,0)),IF(AV110="",0,MATCH(AV110,Settings!$A$20:$A$23,0)))&gt;=MATCH(Settings!$C$29,Settings!$A$20:$A$23,0),"Yes","No"))</f>
        <v/>
      </c>
      <c r="BK110" s="82"/>
      <c r="BL110" s="81" t="str">
        <f aca="true">IF(A110="","",IF(TRIM(IF(W110="","Treatment not chosen. ","")&amp;IF(AND(W110="Accept",AX110="No"),"Accepted outside appetite: record approval by "&amp;INDEX(Settings!$G$20:$G$23,MATCH(AW110,Settings!$A$20:$A$23,0))&amp;". ","")&amp;IF(AND(W110="Accept",BG110=""),"Acceptance expiry missing. ","")&amp;IF(AND(BG110&lt;&gt;"",BG110&lt;TODAY()),"Acceptance expired. ","")&amp;IF(AND(W110&lt;&gt;"",W110&lt;&gt;"Accept",AV110=""),"Target rating not set. ","")&amp;IF(AND(BE110="Closed",AX110="No"),"Closed while outside appetite. ","")&amp;IF(AND(W110="Transfer",BE110&lt;&gt;"Transferred",BE110&lt;&gt;"Closed"),"Transfer: record the contract, SLA and audit rights. ","")&amp;IF(AZ110="","Risk owner missing. ","")&amp;IF(K110="","Scenario not written. ",""))="","OK",TRIM(IF(W110="","Treatment not chosen. ","")&amp;IF(AND(W110="Accept",AX110="No"),"Accepted outside appetite: record approval by "&amp;INDEX(Settings!$G$20:$G$23,MATCH(AW110,Settings!$A$20:$A$23,0))&amp;". ","")&amp;IF(AND(W110="Accept",BG110=""),"Acceptance expiry missing. ","")&amp;IF(AND(BG110&lt;&gt;"",BG110&lt;TODAY()),"Acceptance expired. ","")&amp;IF(AND(W110&lt;&gt;"",W110&lt;&gt;"Accept",AV110=""),"Target rating not set. ","")&amp;IF(AND(BE110="Closed",AX110="No"),"Closed while outside appetite. ","")&amp;IF(AND(W110="Transfer",BE110&lt;&gt;"Transferred",BE110&lt;&gt;"Closed"),"Transfer: record the contract, SLA and audit rights. ","")&amp;IF(AZ110="","Risk owner missing. ","")&amp;IF(K110="","Scenario not written. ",""))))</f>
        <v/>
      </c>
      <c r="BM110" s="82"/>
    </row>
    <row r="111" customFormat="false" ht="15" hidden="false" customHeight="false" outlineLevel="0" collapsed="false">
      <c r="A111" s="84"/>
      <c r="B111" s="83"/>
      <c r="C111" s="80"/>
      <c r="D111" s="81" t="str">
        <f aca="false">IF(C111="","",IFERROR(INDEX(Lists!$O$2:$O$13,MATCH(C111,Lists!$N$2:$N$13,0)),"Check domain code"))</f>
        <v/>
      </c>
      <c r="E111" s="81" t="str">
        <f aca="false">IF(C111="","",IFERROR(INDEX(Lists!$P$2:$P$13,MATCH(C111,Lists!$N$2:$N$13,0)),""))</f>
        <v/>
      </c>
      <c r="F111" s="80"/>
      <c r="G111" s="82"/>
      <c r="H111" s="82"/>
      <c r="I111" s="82"/>
      <c r="J111" s="83"/>
      <c r="K111" s="82"/>
      <c r="L111" s="82"/>
      <c r="M111" s="84"/>
      <c r="N111" s="85"/>
      <c r="O111" s="82"/>
      <c r="P111" s="86"/>
      <c r="Q111" s="86"/>
      <c r="R111" s="86"/>
      <c r="S111" s="21" t="str">
        <f aca="false">IF(OR(Q111="",R111=""),"",Q111*R111)</f>
        <v/>
      </c>
      <c r="T111" s="85" t="str">
        <f aca="false">IF(S111="","",INDEX(Settings!$A$20:$A$23,MATCH(S111,Settings!$B$20:$B$23,1)))</f>
        <v/>
      </c>
      <c r="U111" s="82"/>
      <c r="V111" s="87"/>
      <c r="W111" s="86"/>
      <c r="X111" s="82"/>
      <c r="Y111" s="88"/>
      <c r="Z111" s="88"/>
      <c r="AA111" s="88"/>
      <c r="AB111" s="88"/>
      <c r="AC111" s="88"/>
      <c r="AD111" s="88"/>
      <c r="AE111" s="88"/>
      <c r="AF111" s="88"/>
      <c r="AG111" s="88"/>
      <c r="AH111" s="88"/>
      <c r="AI111" s="88"/>
      <c r="AJ111" s="89"/>
      <c r="AK111" s="88"/>
      <c r="AL111" s="88"/>
      <c r="AM111" s="88"/>
      <c r="AN111" s="88"/>
      <c r="AO111" s="88"/>
      <c r="AP111" s="88"/>
      <c r="AQ111" s="89"/>
      <c r="AR111" s="89"/>
      <c r="AS111" s="86"/>
      <c r="AT111" s="86"/>
      <c r="AU111" s="85" t="str">
        <f aca="false">IF(OR(AS111="",AT111=""),"",AS111*AT111)</f>
        <v/>
      </c>
      <c r="AV111" s="21" t="str">
        <f aca="false">IF(AU111="","",INDEX(Settings!$A$20:$A$23,MATCH(AU111,Settings!$B$20:$B$23,1)))</f>
        <v/>
      </c>
      <c r="AW111" s="85" t="str">
        <f aca="false">IF(AV111&lt;&gt;"",AV111,T111)</f>
        <v/>
      </c>
      <c r="AX111" s="85" t="str">
        <f aca="false">IF(AW111="","",IF(MATCH(AW111,Settings!$A$20:$A$23,0)&lt;=MATCH(Settings!$C$28,Settings!$A$20:$A$23,0),"Yes","No"))</f>
        <v/>
      </c>
      <c r="AY111" s="81" t="str">
        <f aca="false">IF(AW111="","",IF(AX111="Yes",INDEX(Settings!$G$20:$G$23,MATCH(AW111,Settings!$A$20:$A$23,0)),INDEX(Settings!$G$20:$G$23,MATCH(AW111,Settings!$A$20:$A$23,0))&amp;" (outside appetite)"))</f>
        <v/>
      </c>
      <c r="AZ111" s="82"/>
      <c r="BA111" s="82"/>
      <c r="BB111" s="90"/>
      <c r="BC111" s="91" t="str">
        <f aca="false">IF(OR(BB111="",T111=""),"",BB111+INDEX(Settings!$E$20:$E$23,MATCH(T111,Settings!$A$20:$A$23,0)))</f>
        <v/>
      </c>
      <c r="BD111" s="90"/>
      <c r="BE111" s="82"/>
      <c r="BF111" s="81" t="str">
        <f aca="true">IF(A111="","",IF(OR(BE111="Closed",BE111="Accepted"),"No action",IF(BB111="","Set date identified",IF(TODAY()&gt;BC111,"Deadline exceeded",IF(BC111-TODAY()&lt;=Settings!$C$30,"Deadline approaching","On track")))))</f>
        <v/>
      </c>
      <c r="BG111" s="90"/>
      <c r="BH111" s="90"/>
      <c r="BI111" s="91" t="str">
        <f aca="false">IF(OR(BH111="",AW111=""),"",EDATE(BH111,INDEX(Settings!$F$20:$F$23,MATCH(AW111,Settings!$A$20:$A$23,0))))</f>
        <v/>
      </c>
      <c r="BJ111" s="85" t="str">
        <f aca="false">IF(T111="","",IF(MAX(IF(T111="",0,MATCH(T111,Settings!$A$20:$A$23,0)),IF(AV111="",0,MATCH(AV111,Settings!$A$20:$A$23,0)))&gt;=MATCH(Settings!$C$29,Settings!$A$20:$A$23,0),"Yes","No"))</f>
        <v/>
      </c>
      <c r="BK111" s="82"/>
      <c r="BL111" s="81" t="str">
        <f aca="true">IF(A111="","",IF(TRIM(IF(W111="","Treatment not chosen. ","")&amp;IF(AND(W111="Accept",AX111="No"),"Accepted outside appetite: record approval by "&amp;INDEX(Settings!$G$20:$G$23,MATCH(AW111,Settings!$A$20:$A$23,0))&amp;". ","")&amp;IF(AND(W111="Accept",BG111=""),"Acceptance expiry missing. ","")&amp;IF(AND(BG111&lt;&gt;"",BG111&lt;TODAY()),"Acceptance expired. ","")&amp;IF(AND(W111&lt;&gt;"",W111&lt;&gt;"Accept",AV111=""),"Target rating not set. ","")&amp;IF(AND(BE111="Closed",AX111="No"),"Closed while outside appetite. ","")&amp;IF(AND(W111="Transfer",BE111&lt;&gt;"Transferred",BE111&lt;&gt;"Closed"),"Transfer: record the contract, SLA and audit rights. ","")&amp;IF(AZ111="","Risk owner missing. ","")&amp;IF(K111="","Scenario not written. ",""))="","OK",TRIM(IF(W111="","Treatment not chosen. ","")&amp;IF(AND(W111="Accept",AX111="No"),"Accepted outside appetite: record approval by "&amp;INDEX(Settings!$G$20:$G$23,MATCH(AW111,Settings!$A$20:$A$23,0))&amp;". ","")&amp;IF(AND(W111="Accept",BG111=""),"Acceptance expiry missing. ","")&amp;IF(AND(BG111&lt;&gt;"",BG111&lt;TODAY()),"Acceptance expired. ","")&amp;IF(AND(W111&lt;&gt;"",W111&lt;&gt;"Accept",AV111=""),"Target rating not set. ","")&amp;IF(AND(BE111="Closed",AX111="No"),"Closed while outside appetite. ","")&amp;IF(AND(W111="Transfer",BE111&lt;&gt;"Transferred",BE111&lt;&gt;"Closed"),"Transfer: record the contract, SLA and audit rights. ","")&amp;IF(AZ111="","Risk owner missing. ","")&amp;IF(K111="","Scenario not written. ",""))))</f>
        <v/>
      </c>
      <c r="BM111" s="82"/>
    </row>
    <row r="112" customFormat="false" ht="15" hidden="false" customHeight="false" outlineLevel="0" collapsed="false">
      <c r="A112" s="95"/>
      <c r="B112" s="94"/>
      <c r="C112" s="80"/>
      <c r="D112" s="81" t="str">
        <f aca="false">IF(C112="","",IFERROR(INDEX(Lists!$O$2:$O$13,MATCH(C112,Lists!$N$2:$N$13,0)),"Check domain code"))</f>
        <v/>
      </c>
      <c r="E112" s="81" t="str">
        <f aca="false">IF(C112="","",IFERROR(INDEX(Lists!$P$2:$P$13,MATCH(C112,Lists!$N$2:$N$13,0)),""))</f>
        <v/>
      </c>
      <c r="F112" s="80"/>
      <c r="G112" s="82"/>
      <c r="H112" s="82"/>
      <c r="I112" s="82"/>
      <c r="J112" s="94"/>
      <c r="K112" s="82"/>
      <c r="L112" s="82"/>
      <c r="M112" s="95"/>
      <c r="N112" s="85"/>
      <c r="O112" s="82"/>
      <c r="P112" s="86"/>
      <c r="Q112" s="86"/>
      <c r="R112" s="86"/>
      <c r="S112" s="21" t="str">
        <f aca="false">IF(OR(Q112="",R112=""),"",Q112*R112)</f>
        <v/>
      </c>
      <c r="T112" s="85" t="str">
        <f aca="false">IF(S112="","",INDEX(Settings!$A$20:$A$23,MATCH(S112,Settings!$B$20:$B$23,1)))</f>
        <v/>
      </c>
      <c r="U112" s="82"/>
      <c r="V112" s="87"/>
      <c r="W112" s="86"/>
      <c r="X112" s="82"/>
      <c r="Y112" s="96"/>
      <c r="Z112" s="96"/>
      <c r="AA112" s="96"/>
      <c r="AB112" s="96"/>
      <c r="AC112" s="96"/>
      <c r="AD112" s="96"/>
      <c r="AE112" s="96"/>
      <c r="AF112" s="96"/>
      <c r="AG112" s="96"/>
      <c r="AH112" s="96"/>
      <c r="AI112" s="96"/>
      <c r="AJ112" s="97"/>
      <c r="AK112" s="96"/>
      <c r="AL112" s="96"/>
      <c r="AM112" s="96"/>
      <c r="AN112" s="96"/>
      <c r="AO112" s="96"/>
      <c r="AP112" s="96"/>
      <c r="AQ112" s="97"/>
      <c r="AR112" s="97"/>
      <c r="AS112" s="86"/>
      <c r="AT112" s="86"/>
      <c r="AU112" s="85" t="str">
        <f aca="false">IF(OR(AS112="",AT112=""),"",AS112*AT112)</f>
        <v/>
      </c>
      <c r="AV112" s="21" t="str">
        <f aca="false">IF(AU112="","",INDEX(Settings!$A$20:$A$23,MATCH(AU112,Settings!$B$20:$B$23,1)))</f>
        <v/>
      </c>
      <c r="AW112" s="85" t="str">
        <f aca="false">IF(AV112&lt;&gt;"",AV112,T112)</f>
        <v/>
      </c>
      <c r="AX112" s="85" t="str">
        <f aca="false">IF(AW112="","",IF(MATCH(AW112,Settings!$A$20:$A$23,0)&lt;=MATCH(Settings!$C$28,Settings!$A$20:$A$23,0),"Yes","No"))</f>
        <v/>
      </c>
      <c r="AY112" s="81" t="str">
        <f aca="false">IF(AW112="","",IF(AX112="Yes",INDEX(Settings!$G$20:$G$23,MATCH(AW112,Settings!$A$20:$A$23,0)),INDEX(Settings!$G$20:$G$23,MATCH(AW112,Settings!$A$20:$A$23,0))&amp;" (outside appetite)"))</f>
        <v/>
      </c>
      <c r="AZ112" s="82"/>
      <c r="BA112" s="82"/>
      <c r="BB112" s="90"/>
      <c r="BC112" s="91" t="str">
        <f aca="false">IF(OR(BB112="",T112=""),"",BB112+INDEX(Settings!$E$20:$E$23,MATCH(T112,Settings!$A$20:$A$23,0)))</f>
        <v/>
      </c>
      <c r="BD112" s="90"/>
      <c r="BE112" s="82"/>
      <c r="BF112" s="81" t="str">
        <f aca="true">IF(A112="","",IF(OR(BE112="Closed",BE112="Accepted"),"No action",IF(BB112="","Set date identified",IF(TODAY()&gt;BC112,"Deadline exceeded",IF(BC112-TODAY()&lt;=Settings!$C$30,"Deadline approaching","On track")))))</f>
        <v/>
      </c>
      <c r="BG112" s="90"/>
      <c r="BH112" s="90"/>
      <c r="BI112" s="91" t="str">
        <f aca="false">IF(OR(BH112="",AW112=""),"",EDATE(BH112,INDEX(Settings!$F$20:$F$23,MATCH(AW112,Settings!$A$20:$A$23,0))))</f>
        <v/>
      </c>
      <c r="BJ112" s="85" t="str">
        <f aca="false">IF(T112="","",IF(MAX(IF(T112="",0,MATCH(T112,Settings!$A$20:$A$23,0)),IF(AV112="",0,MATCH(AV112,Settings!$A$20:$A$23,0)))&gt;=MATCH(Settings!$C$29,Settings!$A$20:$A$23,0),"Yes","No"))</f>
        <v/>
      </c>
      <c r="BK112" s="82"/>
      <c r="BL112" s="81" t="str">
        <f aca="true">IF(A112="","",IF(TRIM(IF(W112="","Treatment not chosen. ","")&amp;IF(AND(W112="Accept",AX112="No"),"Accepted outside appetite: record approval by "&amp;INDEX(Settings!$G$20:$G$23,MATCH(AW112,Settings!$A$20:$A$23,0))&amp;". ","")&amp;IF(AND(W112="Accept",BG112=""),"Acceptance expiry missing. ","")&amp;IF(AND(BG112&lt;&gt;"",BG112&lt;TODAY()),"Acceptance expired. ","")&amp;IF(AND(W112&lt;&gt;"",W112&lt;&gt;"Accept",AV112=""),"Target rating not set. ","")&amp;IF(AND(BE112="Closed",AX112="No"),"Closed while outside appetite. ","")&amp;IF(AND(W112="Transfer",BE112&lt;&gt;"Transferred",BE112&lt;&gt;"Closed"),"Transfer: record the contract, SLA and audit rights. ","")&amp;IF(AZ112="","Risk owner missing. ","")&amp;IF(K112="","Scenario not written. ",""))="","OK",TRIM(IF(W112="","Treatment not chosen. ","")&amp;IF(AND(W112="Accept",AX112="No"),"Accepted outside appetite: record approval by "&amp;INDEX(Settings!$G$20:$G$23,MATCH(AW112,Settings!$A$20:$A$23,0))&amp;". ","")&amp;IF(AND(W112="Accept",BG112=""),"Acceptance expiry missing. ","")&amp;IF(AND(BG112&lt;&gt;"",BG112&lt;TODAY()),"Acceptance expired. ","")&amp;IF(AND(W112&lt;&gt;"",W112&lt;&gt;"Accept",AV112=""),"Target rating not set. ","")&amp;IF(AND(BE112="Closed",AX112="No"),"Closed while outside appetite. ","")&amp;IF(AND(W112="Transfer",BE112&lt;&gt;"Transferred",BE112&lt;&gt;"Closed"),"Transfer: record the contract, SLA and audit rights. ","")&amp;IF(AZ112="","Risk owner missing. ","")&amp;IF(K112="","Scenario not written. ",""))))</f>
        <v/>
      </c>
      <c r="BM112" s="82"/>
    </row>
    <row r="113" customFormat="false" ht="15" hidden="false" customHeight="false" outlineLevel="0" collapsed="false">
      <c r="A113" s="84"/>
      <c r="B113" s="83"/>
      <c r="C113" s="80"/>
      <c r="D113" s="81" t="str">
        <f aca="false">IF(C113="","",IFERROR(INDEX(Lists!$O$2:$O$13,MATCH(C113,Lists!$N$2:$N$13,0)),"Check domain code"))</f>
        <v/>
      </c>
      <c r="E113" s="81" t="str">
        <f aca="false">IF(C113="","",IFERROR(INDEX(Lists!$P$2:$P$13,MATCH(C113,Lists!$N$2:$N$13,0)),""))</f>
        <v/>
      </c>
      <c r="F113" s="80"/>
      <c r="G113" s="82"/>
      <c r="H113" s="82"/>
      <c r="I113" s="82"/>
      <c r="J113" s="83"/>
      <c r="K113" s="82"/>
      <c r="L113" s="82"/>
      <c r="M113" s="84"/>
      <c r="N113" s="85"/>
      <c r="O113" s="82"/>
      <c r="P113" s="86"/>
      <c r="Q113" s="86"/>
      <c r="R113" s="86"/>
      <c r="S113" s="21" t="str">
        <f aca="false">IF(OR(Q113="",R113=""),"",Q113*R113)</f>
        <v/>
      </c>
      <c r="T113" s="85" t="str">
        <f aca="false">IF(S113="","",INDEX(Settings!$A$20:$A$23,MATCH(S113,Settings!$B$20:$B$23,1)))</f>
        <v/>
      </c>
      <c r="U113" s="82"/>
      <c r="V113" s="87"/>
      <c r="W113" s="86"/>
      <c r="X113" s="82"/>
      <c r="Y113" s="88"/>
      <c r="Z113" s="88"/>
      <c r="AA113" s="88"/>
      <c r="AB113" s="88"/>
      <c r="AC113" s="88"/>
      <c r="AD113" s="88"/>
      <c r="AE113" s="88"/>
      <c r="AF113" s="88"/>
      <c r="AG113" s="88"/>
      <c r="AH113" s="88"/>
      <c r="AI113" s="88"/>
      <c r="AJ113" s="89"/>
      <c r="AK113" s="88"/>
      <c r="AL113" s="88"/>
      <c r="AM113" s="88"/>
      <c r="AN113" s="88"/>
      <c r="AO113" s="88"/>
      <c r="AP113" s="88"/>
      <c r="AQ113" s="89"/>
      <c r="AR113" s="89"/>
      <c r="AS113" s="86"/>
      <c r="AT113" s="86"/>
      <c r="AU113" s="85" t="str">
        <f aca="false">IF(OR(AS113="",AT113=""),"",AS113*AT113)</f>
        <v/>
      </c>
      <c r="AV113" s="21" t="str">
        <f aca="false">IF(AU113="","",INDEX(Settings!$A$20:$A$23,MATCH(AU113,Settings!$B$20:$B$23,1)))</f>
        <v/>
      </c>
      <c r="AW113" s="85" t="str">
        <f aca="false">IF(AV113&lt;&gt;"",AV113,T113)</f>
        <v/>
      </c>
      <c r="AX113" s="85" t="str">
        <f aca="false">IF(AW113="","",IF(MATCH(AW113,Settings!$A$20:$A$23,0)&lt;=MATCH(Settings!$C$28,Settings!$A$20:$A$23,0),"Yes","No"))</f>
        <v/>
      </c>
      <c r="AY113" s="81" t="str">
        <f aca="false">IF(AW113="","",IF(AX113="Yes",INDEX(Settings!$G$20:$G$23,MATCH(AW113,Settings!$A$20:$A$23,0)),INDEX(Settings!$G$20:$G$23,MATCH(AW113,Settings!$A$20:$A$23,0))&amp;" (outside appetite)"))</f>
        <v/>
      </c>
      <c r="AZ113" s="82"/>
      <c r="BA113" s="82"/>
      <c r="BB113" s="90"/>
      <c r="BC113" s="91" t="str">
        <f aca="false">IF(OR(BB113="",T113=""),"",BB113+INDEX(Settings!$E$20:$E$23,MATCH(T113,Settings!$A$20:$A$23,0)))</f>
        <v/>
      </c>
      <c r="BD113" s="90"/>
      <c r="BE113" s="82"/>
      <c r="BF113" s="81" t="str">
        <f aca="true">IF(A113="","",IF(OR(BE113="Closed",BE113="Accepted"),"No action",IF(BB113="","Set date identified",IF(TODAY()&gt;BC113,"Deadline exceeded",IF(BC113-TODAY()&lt;=Settings!$C$30,"Deadline approaching","On track")))))</f>
        <v/>
      </c>
      <c r="BG113" s="90"/>
      <c r="BH113" s="90"/>
      <c r="BI113" s="91" t="str">
        <f aca="false">IF(OR(BH113="",AW113=""),"",EDATE(BH113,INDEX(Settings!$F$20:$F$23,MATCH(AW113,Settings!$A$20:$A$23,0))))</f>
        <v/>
      </c>
      <c r="BJ113" s="85" t="str">
        <f aca="false">IF(T113="","",IF(MAX(IF(T113="",0,MATCH(T113,Settings!$A$20:$A$23,0)),IF(AV113="",0,MATCH(AV113,Settings!$A$20:$A$23,0)))&gt;=MATCH(Settings!$C$29,Settings!$A$20:$A$23,0),"Yes","No"))</f>
        <v/>
      </c>
      <c r="BK113" s="82"/>
      <c r="BL113" s="81" t="str">
        <f aca="true">IF(A113="","",IF(TRIM(IF(W113="","Treatment not chosen. ","")&amp;IF(AND(W113="Accept",AX113="No"),"Accepted outside appetite: record approval by "&amp;INDEX(Settings!$G$20:$G$23,MATCH(AW113,Settings!$A$20:$A$23,0))&amp;". ","")&amp;IF(AND(W113="Accept",BG113=""),"Acceptance expiry missing. ","")&amp;IF(AND(BG113&lt;&gt;"",BG113&lt;TODAY()),"Acceptance expired. ","")&amp;IF(AND(W113&lt;&gt;"",W113&lt;&gt;"Accept",AV113=""),"Target rating not set. ","")&amp;IF(AND(BE113="Closed",AX113="No"),"Closed while outside appetite. ","")&amp;IF(AND(W113="Transfer",BE113&lt;&gt;"Transferred",BE113&lt;&gt;"Closed"),"Transfer: record the contract, SLA and audit rights. ","")&amp;IF(AZ113="","Risk owner missing. ","")&amp;IF(K113="","Scenario not written. ",""))="","OK",TRIM(IF(W113="","Treatment not chosen. ","")&amp;IF(AND(W113="Accept",AX113="No"),"Accepted outside appetite: record approval by "&amp;INDEX(Settings!$G$20:$G$23,MATCH(AW113,Settings!$A$20:$A$23,0))&amp;". ","")&amp;IF(AND(W113="Accept",BG113=""),"Acceptance expiry missing. ","")&amp;IF(AND(BG113&lt;&gt;"",BG113&lt;TODAY()),"Acceptance expired. ","")&amp;IF(AND(W113&lt;&gt;"",W113&lt;&gt;"Accept",AV113=""),"Target rating not set. ","")&amp;IF(AND(BE113="Closed",AX113="No"),"Closed while outside appetite. ","")&amp;IF(AND(W113="Transfer",BE113&lt;&gt;"Transferred",BE113&lt;&gt;"Closed"),"Transfer: record the contract, SLA and audit rights. ","")&amp;IF(AZ113="","Risk owner missing. ","")&amp;IF(K113="","Scenario not written. ",""))))</f>
        <v/>
      </c>
      <c r="BM113" s="82"/>
    </row>
    <row r="114" customFormat="false" ht="15" hidden="false" customHeight="false" outlineLevel="0" collapsed="false">
      <c r="A114" s="95"/>
      <c r="B114" s="94"/>
      <c r="C114" s="80"/>
      <c r="D114" s="81" t="str">
        <f aca="false">IF(C114="","",IFERROR(INDEX(Lists!$O$2:$O$13,MATCH(C114,Lists!$N$2:$N$13,0)),"Check domain code"))</f>
        <v/>
      </c>
      <c r="E114" s="81" t="str">
        <f aca="false">IF(C114="","",IFERROR(INDEX(Lists!$P$2:$P$13,MATCH(C114,Lists!$N$2:$N$13,0)),""))</f>
        <v/>
      </c>
      <c r="F114" s="80"/>
      <c r="G114" s="82"/>
      <c r="H114" s="82"/>
      <c r="I114" s="82"/>
      <c r="J114" s="94"/>
      <c r="K114" s="82"/>
      <c r="L114" s="82"/>
      <c r="M114" s="95"/>
      <c r="N114" s="85"/>
      <c r="O114" s="82"/>
      <c r="P114" s="86"/>
      <c r="Q114" s="86"/>
      <c r="R114" s="86"/>
      <c r="S114" s="21" t="str">
        <f aca="false">IF(OR(Q114="",R114=""),"",Q114*R114)</f>
        <v/>
      </c>
      <c r="T114" s="85" t="str">
        <f aca="false">IF(S114="","",INDEX(Settings!$A$20:$A$23,MATCH(S114,Settings!$B$20:$B$23,1)))</f>
        <v/>
      </c>
      <c r="U114" s="82"/>
      <c r="V114" s="87"/>
      <c r="W114" s="86"/>
      <c r="X114" s="82"/>
      <c r="Y114" s="96"/>
      <c r="Z114" s="96"/>
      <c r="AA114" s="96"/>
      <c r="AB114" s="96"/>
      <c r="AC114" s="96"/>
      <c r="AD114" s="96"/>
      <c r="AE114" s="96"/>
      <c r="AF114" s="96"/>
      <c r="AG114" s="96"/>
      <c r="AH114" s="96"/>
      <c r="AI114" s="96"/>
      <c r="AJ114" s="97"/>
      <c r="AK114" s="96"/>
      <c r="AL114" s="96"/>
      <c r="AM114" s="96"/>
      <c r="AN114" s="96"/>
      <c r="AO114" s="96"/>
      <c r="AP114" s="96"/>
      <c r="AQ114" s="97"/>
      <c r="AR114" s="97"/>
      <c r="AS114" s="86"/>
      <c r="AT114" s="86"/>
      <c r="AU114" s="85" t="str">
        <f aca="false">IF(OR(AS114="",AT114=""),"",AS114*AT114)</f>
        <v/>
      </c>
      <c r="AV114" s="21" t="str">
        <f aca="false">IF(AU114="","",INDEX(Settings!$A$20:$A$23,MATCH(AU114,Settings!$B$20:$B$23,1)))</f>
        <v/>
      </c>
      <c r="AW114" s="85" t="str">
        <f aca="false">IF(AV114&lt;&gt;"",AV114,T114)</f>
        <v/>
      </c>
      <c r="AX114" s="85" t="str">
        <f aca="false">IF(AW114="","",IF(MATCH(AW114,Settings!$A$20:$A$23,0)&lt;=MATCH(Settings!$C$28,Settings!$A$20:$A$23,0),"Yes","No"))</f>
        <v/>
      </c>
      <c r="AY114" s="81" t="str">
        <f aca="false">IF(AW114="","",IF(AX114="Yes",INDEX(Settings!$G$20:$G$23,MATCH(AW114,Settings!$A$20:$A$23,0)),INDEX(Settings!$G$20:$G$23,MATCH(AW114,Settings!$A$20:$A$23,0))&amp;" (outside appetite)"))</f>
        <v/>
      </c>
      <c r="AZ114" s="82"/>
      <c r="BA114" s="82"/>
      <c r="BB114" s="90"/>
      <c r="BC114" s="91" t="str">
        <f aca="false">IF(OR(BB114="",T114=""),"",BB114+INDEX(Settings!$E$20:$E$23,MATCH(T114,Settings!$A$20:$A$23,0)))</f>
        <v/>
      </c>
      <c r="BD114" s="90"/>
      <c r="BE114" s="82"/>
      <c r="BF114" s="81" t="str">
        <f aca="true">IF(A114="","",IF(OR(BE114="Closed",BE114="Accepted"),"No action",IF(BB114="","Set date identified",IF(TODAY()&gt;BC114,"Deadline exceeded",IF(BC114-TODAY()&lt;=Settings!$C$30,"Deadline approaching","On track")))))</f>
        <v/>
      </c>
      <c r="BG114" s="90"/>
      <c r="BH114" s="90"/>
      <c r="BI114" s="91" t="str">
        <f aca="false">IF(OR(BH114="",AW114=""),"",EDATE(BH114,INDEX(Settings!$F$20:$F$23,MATCH(AW114,Settings!$A$20:$A$23,0))))</f>
        <v/>
      </c>
      <c r="BJ114" s="85" t="str">
        <f aca="false">IF(T114="","",IF(MAX(IF(T114="",0,MATCH(T114,Settings!$A$20:$A$23,0)),IF(AV114="",0,MATCH(AV114,Settings!$A$20:$A$23,0)))&gt;=MATCH(Settings!$C$29,Settings!$A$20:$A$23,0),"Yes","No"))</f>
        <v/>
      </c>
      <c r="BK114" s="82"/>
      <c r="BL114" s="81" t="str">
        <f aca="true">IF(A114="","",IF(TRIM(IF(W114="","Treatment not chosen. ","")&amp;IF(AND(W114="Accept",AX114="No"),"Accepted outside appetite: record approval by "&amp;INDEX(Settings!$G$20:$G$23,MATCH(AW114,Settings!$A$20:$A$23,0))&amp;". ","")&amp;IF(AND(W114="Accept",BG114=""),"Acceptance expiry missing. ","")&amp;IF(AND(BG114&lt;&gt;"",BG114&lt;TODAY()),"Acceptance expired. ","")&amp;IF(AND(W114&lt;&gt;"",W114&lt;&gt;"Accept",AV114=""),"Target rating not set. ","")&amp;IF(AND(BE114="Closed",AX114="No"),"Closed while outside appetite. ","")&amp;IF(AND(W114="Transfer",BE114&lt;&gt;"Transferred",BE114&lt;&gt;"Closed"),"Transfer: record the contract, SLA and audit rights. ","")&amp;IF(AZ114="","Risk owner missing. ","")&amp;IF(K114="","Scenario not written. ",""))="","OK",TRIM(IF(W114="","Treatment not chosen. ","")&amp;IF(AND(W114="Accept",AX114="No"),"Accepted outside appetite: record approval by "&amp;INDEX(Settings!$G$20:$G$23,MATCH(AW114,Settings!$A$20:$A$23,0))&amp;". ","")&amp;IF(AND(W114="Accept",BG114=""),"Acceptance expiry missing. ","")&amp;IF(AND(BG114&lt;&gt;"",BG114&lt;TODAY()),"Acceptance expired. ","")&amp;IF(AND(W114&lt;&gt;"",W114&lt;&gt;"Accept",AV114=""),"Target rating not set. ","")&amp;IF(AND(BE114="Closed",AX114="No"),"Closed while outside appetite. ","")&amp;IF(AND(W114="Transfer",BE114&lt;&gt;"Transferred",BE114&lt;&gt;"Closed"),"Transfer: record the contract, SLA and audit rights. ","")&amp;IF(AZ114="","Risk owner missing. ","")&amp;IF(K114="","Scenario not written. ",""))))</f>
        <v/>
      </c>
      <c r="BM114" s="82"/>
    </row>
    <row r="115" customFormat="false" ht="15" hidden="false" customHeight="false" outlineLevel="0" collapsed="false">
      <c r="A115" s="84"/>
      <c r="B115" s="83"/>
      <c r="C115" s="80"/>
      <c r="D115" s="81" t="str">
        <f aca="false">IF(C115="","",IFERROR(INDEX(Lists!$O$2:$O$13,MATCH(C115,Lists!$N$2:$N$13,0)),"Check domain code"))</f>
        <v/>
      </c>
      <c r="E115" s="81" t="str">
        <f aca="false">IF(C115="","",IFERROR(INDEX(Lists!$P$2:$P$13,MATCH(C115,Lists!$N$2:$N$13,0)),""))</f>
        <v/>
      </c>
      <c r="F115" s="80"/>
      <c r="G115" s="82"/>
      <c r="H115" s="82"/>
      <c r="I115" s="82"/>
      <c r="J115" s="83"/>
      <c r="K115" s="82"/>
      <c r="L115" s="82"/>
      <c r="M115" s="84"/>
      <c r="N115" s="85"/>
      <c r="O115" s="82"/>
      <c r="P115" s="86"/>
      <c r="Q115" s="86"/>
      <c r="R115" s="86"/>
      <c r="S115" s="21" t="str">
        <f aca="false">IF(OR(Q115="",R115=""),"",Q115*R115)</f>
        <v/>
      </c>
      <c r="T115" s="85" t="str">
        <f aca="false">IF(S115="","",INDEX(Settings!$A$20:$A$23,MATCH(S115,Settings!$B$20:$B$23,1)))</f>
        <v/>
      </c>
      <c r="U115" s="82"/>
      <c r="V115" s="87"/>
      <c r="W115" s="86"/>
      <c r="X115" s="82"/>
      <c r="Y115" s="88"/>
      <c r="Z115" s="88"/>
      <c r="AA115" s="88"/>
      <c r="AB115" s="88"/>
      <c r="AC115" s="88"/>
      <c r="AD115" s="88"/>
      <c r="AE115" s="88"/>
      <c r="AF115" s="88"/>
      <c r="AG115" s="88"/>
      <c r="AH115" s="88"/>
      <c r="AI115" s="88"/>
      <c r="AJ115" s="89"/>
      <c r="AK115" s="88"/>
      <c r="AL115" s="88"/>
      <c r="AM115" s="88"/>
      <c r="AN115" s="88"/>
      <c r="AO115" s="88"/>
      <c r="AP115" s="88"/>
      <c r="AQ115" s="89"/>
      <c r="AR115" s="89"/>
      <c r="AS115" s="86"/>
      <c r="AT115" s="86"/>
      <c r="AU115" s="85" t="str">
        <f aca="false">IF(OR(AS115="",AT115=""),"",AS115*AT115)</f>
        <v/>
      </c>
      <c r="AV115" s="21" t="str">
        <f aca="false">IF(AU115="","",INDEX(Settings!$A$20:$A$23,MATCH(AU115,Settings!$B$20:$B$23,1)))</f>
        <v/>
      </c>
      <c r="AW115" s="85" t="str">
        <f aca="false">IF(AV115&lt;&gt;"",AV115,T115)</f>
        <v/>
      </c>
      <c r="AX115" s="85" t="str">
        <f aca="false">IF(AW115="","",IF(MATCH(AW115,Settings!$A$20:$A$23,0)&lt;=MATCH(Settings!$C$28,Settings!$A$20:$A$23,0),"Yes","No"))</f>
        <v/>
      </c>
      <c r="AY115" s="81" t="str">
        <f aca="false">IF(AW115="","",IF(AX115="Yes",INDEX(Settings!$G$20:$G$23,MATCH(AW115,Settings!$A$20:$A$23,0)),INDEX(Settings!$G$20:$G$23,MATCH(AW115,Settings!$A$20:$A$23,0))&amp;" (outside appetite)"))</f>
        <v/>
      </c>
      <c r="AZ115" s="82"/>
      <c r="BA115" s="82"/>
      <c r="BB115" s="90"/>
      <c r="BC115" s="91" t="str">
        <f aca="false">IF(OR(BB115="",T115=""),"",BB115+INDEX(Settings!$E$20:$E$23,MATCH(T115,Settings!$A$20:$A$23,0)))</f>
        <v/>
      </c>
      <c r="BD115" s="90"/>
      <c r="BE115" s="82"/>
      <c r="BF115" s="81" t="str">
        <f aca="true">IF(A115="","",IF(OR(BE115="Closed",BE115="Accepted"),"No action",IF(BB115="","Set date identified",IF(TODAY()&gt;BC115,"Deadline exceeded",IF(BC115-TODAY()&lt;=Settings!$C$30,"Deadline approaching","On track")))))</f>
        <v/>
      </c>
      <c r="BG115" s="90"/>
      <c r="BH115" s="90"/>
      <c r="BI115" s="91" t="str">
        <f aca="false">IF(OR(BH115="",AW115=""),"",EDATE(BH115,INDEX(Settings!$F$20:$F$23,MATCH(AW115,Settings!$A$20:$A$23,0))))</f>
        <v/>
      </c>
      <c r="BJ115" s="85" t="str">
        <f aca="false">IF(T115="","",IF(MAX(IF(T115="",0,MATCH(T115,Settings!$A$20:$A$23,0)),IF(AV115="",0,MATCH(AV115,Settings!$A$20:$A$23,0)))&gt;=MATCH(Settings!$C$29,Settings!$A$20:$A$23,0),"Yes","No"))</f>
        <v/>
      </c>
      <c r="BK115" s="82"/>
      <c r="BL115" s="81" t="str">
        <f aca="true">IF(A115="","",IF(TRIM(IF(W115="","Treatment not chosen. ","")&amp;IF(AND(W115="Accept",AX115="No"),"Accepted outside appetite: record approval by "&amp;INDEX(Settings!$G$20:$G$23,MATCH(AW115,Settings!$A$20:$A$23,0))&amp;". ","")&amp;IF(AND(W115="Accept",BG115=""),"Acceptance expiry missing. ","")&amp;IF(AND(BG115&lt;&gt;"",BG115&lt;TODAY()),"Acceptance expired. ","")&amp;IF(AND(W115&lt;&gt;"",W115&lt;&gt;"Accept",AV115=""),"Target rating not set. ","")&amp;IF(AND(BE115="Closed",AX115="No"),"Closed while outside appetite. ","")&amp;IF(AND(W115="Transfer",BE115&lt;&gt;"Transferred",BE115&lt;&gt;"Closed"),"Transfer: record the contract, SLA and audit rights. ","")&amp;IF(AZ115="","Risk owner missing. ","")&amp;IF(K115="","Scenario not written. ",""))="","OK",TRIM(IF(W115="","Treatment not chosen. ","")&amp;IF(AND(W115="Accept",AX115="No"),"Accepted outside appetite: record approval by "&amp;INDEX(Settings!$G$20:$G$23,MATCH(AW115,Settings!$A$20:$A$23,0))&amp;". ","")&amp;IF(AND(W115="Accept",BG115=""),"Acceptance expiry missing. ","")&amp;IF(AND(BG115&lt;&gt;"",BG115&lt;TODAY()),"Acceptance expired. ","")&amp;IF(AND(W115&lt;&gt;"",W115&lt;&gt;"Accept",AV115=""),"Target rating not set. ","")&amp;IF(AND(BE115="Closed",AX115="No"),"Closed while outside appetite. ","")&amp;IF(AND(W115="Transfer",BE115&lt;&gt;"Transferred",BE115&lt;&gt;"Closed"),"Transfer: record the contract, SLA and audit rights. ","")&amp;IF(AZ115="","Risk owner missing. ","")&amp;IF(K115="","Scenario not written. ",""))))</f>
        <v/>
      </c>
      <c r="BM115" s="82"/>
    </row>
    <row r="116" customFormat="false" ht="15" hidden="false" customHeight="false" outlineLevel="0" collapsed="false">
      <c r="A116" s="95"/>
      <c r="B116" s="94"/>
      <c r="C116" s="80"/>
      <c r="D116" s="81" t="str">
        <f aca="false">IF(C116="","",IFERROR(INDEX(Lists!$O$2:$O$13,MATCH(C116,Lists!$N$2:$N$13,0)),"Check domain code"))</f>
        <v/>
      </c>
      <c r="E116" s="81" t="str">
        <f aca="false">IF(C116="","",IFERROR(INDEX(Lists!$P$2:$P$13,MATCH(C116,Lists!$N$2:$N$13,0)),""))</f>
        <v/>
      </c>
      <c r="F116" s="80"/>
      <c r="G116" s="82"/>
      <c r="H116" s="82"/>
      <c r="I116" s="82"/>
      <c r="J116" s="94"/>
      <c r="K116" s="82"/>
      <c r="L116" s="82"/>
      <c r="M116" s="95"/>
      <c r="N116" s="85"/>
      <c r="O116" s="82"/>
      <c r="P116" s="86"/>
      <c r="Q116" s="86"/>
      <c r="R116" s="86"/>
      <c r="S116" s="21" t="str">
        <f aca="false">IF(OR(Q116="",R116=""),"",Q116*R116)</f>
        <v/>
      </c>
      <c r="T116" s="85" t="str">
        <f aca="false">IF(S116="","",INDEX(Settings!$A$20:$A$23,MATCH(S116,Settings!$B$20:$B$23,1)))</f>
        <v/>
      </c>
      <c r="U116" s="82"/>
      <c r="V116" s="87"/>
      <c r="W116" s="86"/>
      <c r="X116" s="82"/>
      <c r="Y116" s="96"/>
      <c r="Z116" s="96"/>
      <c r="AA116" s="96"/>
      <c r="AB116" s="96"/>
      <c r="AC116" s="96"/>
      <c r="AD116" s="96"/>
      <c r="AE116" s="96"/>
      <c r="AF116" s="96"/>
      <c r="AG116" s="96"/>
      <c r="AH116" s="96"/>
      <c r="AI116" s="96"/>
      <c r="AJ116" s="97"/>
      <c r="AK116" s="96"/>
      <c r="AL116" s="96"/>
      <c r="AM116" s="96"/>
      <c r="AN116" s="96"/>
      <c r="AO116" s="96"/>
      <c r="AP116" s="96"/>
      <c r="AQ116" s="97"/>
      <c r="AR116" s="97"/>
      <c r="AS116" s="86"/>
      <c r="AT116" s="86"/>
      <c r="AU116" s="85" t="str">
        <f aca="false">IF(OR(AS116="",AT116=""),"",AS116*AT116)</f>
        <v/>
      </c>
      <c r="AV116" s="21" t="str">
        <f aca="false">IF(AU116="","",INDEX(Settings!$A$20:$A$23,MATCH(AU116,Settings!$B$20:$B$23,1)))</f>
        <v/>
      </c>
      <c r="AW116" s="85" t="str">
        <f aca="false">IF(AV116&lt;&gt;"",AV116,T116)</f>
        <v/>
      </c>
      <c r="AX116" s="85" t="str">
        <f aca="false">IF(AW116="","",IF(MATCH(AW116,Settings!$A$20:$A$23,0)&lt;=MATCH(Settings!$C$28,Settings!$A$20:$A$23,0),"Yes","No"))</f>
        <v/>
      </c>
      <c r="AY116" s="81" t="str">
        <f aca="false">IF(AW116="","",IF(AX116="Yes",INDEX(Settings!$G$20:$G$23,MATCH(AW116,Settings!$A$20:$A$23,0)),INDEX(Settings!$G$20:$G$23,MATCH(AW116,Settings!$A$20:$A$23,0))&amp;" (outside appetite)"))</f>
        <v/>
      </c>
      <c r="AZ116" s="82"/>
      <c r="BA116" s="82"/>
      <c r="BB116" s="90"/>
      <c r="BC116" s="91" t="str">
        <f aca="false">IF(OR(BB116="",T116=""),"",BB116+INDEX(Settings!$E$20:$E$23,MATCH(T116,Settings!$A$20:$A$23,0)))</f>
        <v/>
      </c>
      <c r="BD116" s="90"/>
      <c r="BE116" s="82"/>
      <c r="BF116" s="81" t="str">
        <f aca="true">IF(A116="","",IF(OR(BE116="Closed",BE116="Accepted"),"No action",IF(BB116="","Set date identified",IF(TODAY()&gt;BC116,"Deadline exceeded",IF(BC116-TODAY()&lt;=Settings!$C$30,"Deadline approaching","On track")))))</f>
        <v/>
      </c>
      <c r="BG116" s="90"/>
      <c r="BH116" s="90"/>
      <c r="BI116" s="91" t="str">
        <f aca="false">IF(OR(BH116="",AW116=""),"",EDATE(BH116,INDEX(Settings!$F$20:$F$23,MATCH(AW116,Settings!$A$20:$A$23,0))))</f>
        <v/>
      </c>
      <c r="BJ116" s="85" t="str">
        <f aca="false">IF(T116="","",IF(MAX(IF(T116="",0,MATCH(T116,Settings!$A$20:$A$23,0)),IF(AV116="",0,MATCH(AV116,Settings!$A$20:$A$23,0)))&gt;=MATCH(Settings!$C$29,Settings!$A$20:$A$23,0),"Yes","No"))</f>
        <v/>
      </c>
      <c r="BK116" s="82"/>
      <c r="BL116" s="81" t="str">
        <f aca="true">IF(A116="","",IF(TRIM(IF(W116="","Treatment not chosen. ","")&amp;IF(AND(W116="Accept",AX116="No"),"Accepted outside appetite: record approval by "&amp;INDEX(Settings!$G$20:$G$23,MATCH(AW116,Settings!$A$20:$A$23,0))&amp;". ","")&amp;IF(AND(W116="Accept",BG116=""),"Acceptance expiry missing. ","")&amp;IF(AND(BG116&lt;&gt;"",BG116&lt;TODAY()),"Acceptance expired. ","")&amp;IF(AND(W116&lt;&gt;"",W116&lt;&gt;"Accept",AV116=""),"Target rating not set. ","")&amp;IF(AND(BE116="Closed",AX116="No"),"Closed while outside appetite. ","")&amp;IF(AND(W116="Transfer",BE116&lt;&gt;"Transferred",BE116&lt;&gt;"Closed"),"Transfer: record the contract, SLA and audit rights. ","")&amp;IF(AZ116="","Risk owner missing. ","")&amp;IF(K116="","Scenario not written. ",""))="","OK",TRIM(IF(W116="","Treatment not chosen. ","")&amp;IF(AND(W116="Accept",AX116="No"),"Accepted outside appetite: record approval by "&amp;INDEX(Settings!$G$20:$G$23,MATCH(AW116,Settings!$A$20:$A$23,0))&amp;". ","")&amp;IF(AND(W116="Accept",BG116=""),"Acceptance expiry missing. ","")&amp;IF(AND(BG116&lt;&gt;"",BG116&lt;TODAY()),"Acceptance expired. ","")&amp;IF(AND(W116&lt;&gt;"",W116&lt;&gt;"Accept",AV116=""),"Target rating not set. ","")&amp;IF(AND(BE116="Closed",AX116="No"),"Closed while outside appetite. ","")&amp;IF(AND(W116="Transfer",BE116&lt;&gt;"Transferred",BE116&lt;&gt;"Closed"),"Transfer: record the contract, SLA and audit rights. ","")&amp;IF(AZ116="","Risk owner missing. ","")&amp;IF(K116="","Scenario not written. ",""))))</f>
        <v/>
      </c>
      <c r="BM116" s="82"/>
    </row>
    <row r="117" customFormat="false" ht="15" hidden="false" customHeight="false" outlineLevel="0" collapsed="false">
      <c r="A117" s="84"/>
      <c r="B117" s="83"/>
      <c r="C117" s="80"/>
      <c r="D117" s="81" t="str">
        <f aca="false">IF(C117="","",IFERROR(INDEX(Lists!$O$2:$O$13,MATCH(C117,Lists!$N$2:$N$13,0)),"Check domain code"))</f>
        <v/>
      </c>
      <c r="E117" s="81" t="str">
        <f aca="false">IF(C117="","",IFERROR(INDEX(Lists!$P$2:$P$13,MATCH(C117,Lists!$N$2:$N$13,0)),""))</f>
        <v/>
      </c>
      <c r="F117" s="80"/>
      <c r="G117" s="82"/>
      <c r="H117" s="82"/>
      <c r="I117" s="82"/>
      <c r="J117" s="83"/>
      <c r="K117" s="82"/>
      <c r="L117" s="82"/>
      <c r="M117" s="84"/>
      <c r="N117" s="85"/>
      <c r="O117" s="82"/>
      <c r="P117" s="86"/>
      <c r="Q117" s="86"/>
      <c r="R117" s="86"/>
      <c r="S117" s="21" t="str">
        <f aca="false">IF(OR(Q117="",R117=""),"",Q117*R117)</f>
        <v/>
      </c>
      <c r="T117" s="85" t="str">
        <f aca="false">IF(S117="","",INDEX(Settings!$A$20:$A$23,MATCH(S117,Settings!$B$20:$B$23,1)))</f>
        <v/>
      </c>
      <c r="U117" s="82"/>
      <c r="V117" s="87"/>
      <c r="W117" s="86"/>
      <c r="X117" s="82"/>
      <c r="Y117" s="88"/>
      <c r="Z117" s="88"/>
      <c r="AA117" s="88"/>
      <c r="AB117" s="88"/>
      <c r="AC117" s="88"/>
      <c r="AD117" s="88"/>
      <c r="AE117" s="88"/>
      <c r="AF117" s="88"/>
      <c r="AG117" s="88"/>
      <c r="AH117" s="88"/>
      <c r="AI117" s="88"/>
      <c r="AJ117" s="89"/>
      <c r="AK117" s="88"/>
      <c r="AL117" s="88"/>
      <c r="AM117" s="88"/>
      <c r="AN117" s="88"/>
      <c r="AO117" s="88"/>
      <c r="AP117" s="88"/>
      <c r="AQ117" s="89"/>
      <c r="AR117" s="89"/>
      <c r="AS117" s="86"/>
      <c r="AT117" s="86"/>
      <c r="AU117" s="85" t="str">
        <f aca="false">IF(OR(AS117="",AT117=""),"",AS117*AT117)</f>
        <v/>
      </c>
      <c r="AV117" s="21" t="str">
        <f aca="false">IF(AU117="","",INDEX(Settings!$A$20:$A$23,MATCH(AU117,Settings!$B$20:$B$23,1)))</f>
        <v/>
      </c>
      <c r="AW117" s="85" t="str">
        <f aca="false">IF(AV117&lt;&gt;"",AV117,T117)</f>
        <v/>
      </c>
      <c r="AX117" s="85" t="str">
        <f aca="false">IF(AW117="","",IF(MATCH(AW117,Settings!$A$20:$A$23,0)&lt;=MATCH(Settings!$C$28,Settings!$A$20:$A$23,0),"Yes","No"))</f>
        <v/>
      </c>
      <c r="AY117" s="81" t="str">
        <f aca="false">IF(AW117="","",IF(AX117="Yes",INDEX(Settings!$G$20:$G$23,MATCH(AW117,Settings!$A$20:$A$23,0)),INDEX(Settings!$G$20:$G$23,MATCH(AW117,Settings!$A$20:$A$23,0))&amp;" (outside appetite)"))</f>
        <v/>
      </c>
      <c r="AZ117" s="82"/>
      <c r="BA117" s="82"/>
      <c r="BB117" s="90"/>
      <c r="BC117" s="91" t="str">
        <f aca="false">IF(OR(BB117="",T117=""),"",BB117+INDEX(Settings!$E$20:$E$23,MATCH(T117,Settings!$A$20:$A$23,0)))</f>
        <v/>
      </c>
      <c r="BD117" s="90"/>
      <c r="BE117" s="82"/>
      <c r="BF117" s="81" t="str">
        <f aca="true">IF(A117="","",IF(OR(BE117="Closed",BE117="Accepted"),"No action",IF(BB117="","Set date identified",IF(TODAY()&gt;BC117,"Deadline exceeded",IF(BC117-TODAY()&lt;=Settings!$C$30,"Deadline approaching","On track")))))</f>
        <v/>
      </c>
      <c r="BG117" s="90"/>
      <c r="BH117" s="90"/>
      <c r="BI117" s="91" t="str">
        <f aca="false">IF(OR(BH117="",AW117=""),"",EDATE(BH117,INDEX(Settings!$F$20:$F$23,MATCH(AW117,Settings!$A$20:$A$23,0))))</f>
        <v/>
      </c>
      <c r="BJ117" s="85" t="str">
        <f aca="false">IF(T117="","",IF(MAX(IF(T117="",0,MATCH(T117,Settings!$A$20:$A$23,0)),IF(AV117="",0,MATCH(AV117,Settings!$A$20:$A$23,0)))&gt;=MATCH(Settings!$C$29,Settings!$A$20:$A$23,0),"Yes","No"))</f>
        <v/>
      </c>
      <c r="BK117" s="82"/>
      <c r="BL117" s="81" t="str">
        <f aca="true">IF(A117="","",IF(TRIM(IF(W117="","Treatment not chosen. ","")&amp;IF(AND(W117="Accept",AX117="No"),"Accepted outside appetite: record approval by "&amp;INDEX(Settings!$G$20:$G$23,MATCH(AW117,Settings!$A$20:$A$23,0))&amp;". ","")&amp;IF(AND(W117="Accept",BG117=""),"Acceptance expiry missing. ","")&amp;IF(AND(BG117&lt;&gt;"",BG117&lt;TODAY()),"Acceptance expired. ","")&amp;IF(AND(W117&lt;&gt;"",W117&lt;&gt;"Accept",AV117=""),"Target rating not set. ","")&amp;IF(AND(BE117="Closed",AX117="No"),"Closed while outside appetite. ","")&amp;IF(AND(W117="Transfer",BE117&lt;&gt;"Transferred",BE117&lt;&gt;"Closed"),"Transfer: record the contract, SLA and audit rights. ","")&amp;IF(AZ117="","Risk owner missing. ","")&amp;IF(K117="","Scenario not written. ",""))="","OK",TRIM(IF(W117="","Treatment not chosen. ","")&amp;IF(AND(W117="Accept",AX117="No"),"Accepted outside appetite: record approval by "&amp;INDEX(Settings!$G$20:$G$23,MATCH(AW117,Settings!$A$20:$A$23,0))&amp;". ","")&amp;IF(AND(W117="Accept",BG117=""),"Acceptance expiry missing. ","")&amp;IF(AND(BG117&lt;&gt;"",BG117&lt;TODAY()),"Acceptance expired. ","")&amp;IF(AND(W117&lt;&gt;"",W117&lt;&gt;"Accept",AV117=""),"Target rating not set. ","")&amp;IF(AND(BE117="Closed",AX117="No"),"Closed while outside appetite. ","")&amp;IF(AND(W117="Transfer",BE117&lt;&gt;"Transferred",BE117&lt;&gt;"Closed"),"Transfer: record the contract, SLA and audit rights. ","")&amp;IF(AZ117="","Risk owner missing. ","")&amp;IF(K117="","Scenario not written. ",""))))</f>
        <v/>
      </c>
      <c r="BM117" s="82"/>
    </row>
    <row r="118" customFormat="false" ht="15" hidden="false" customHeight="false" outlineLevel="0" collapsed="false">
      <c r="A118" s="95"/>
      <c r="B118" s="94"/>
      <c r="C118" s="80"/>
      <c r="D118" s="81" t="str">
        <f aca="false">IF(C118="","",IFERROR(INDEX(Lists!$O$2:$O$13,MATCH(C118,Lists!$N$2:$N$13,0)),"Check domain code"))</f>
        <v/>
      </c>
      <c r="E118" s="81" t="str">
        <f aca="false">IF(C118="","",IFERROR(INDEX(Lists!$P$2:$P$13,MATCH(C118,Lists!$N$2:$N$13,0)),""))</f>
        <v/>
      </c>
      <c r="F118" s="80"/>
      <c r="G118" s="82"/>
      <c r="H118" s="82"/>
      <c r="I118" s="82"/>
      <c r="J118" s="94"/>
      <c r="K118" s="82"/>
      <c r="L118" s="82"/>
      <c r="M118" s="95"/>
      <c r="N118" s="85"/>
      <c r="O118" s="82"/>
      <c r="P118" s="86"/>
      <c r="Q118" s="86"/>
      <c r="R118" s="86"/>
      <c r="S118" s="21" t="str">
        <f aca="false">IF(OR(Q118="",R118=""),"",Q118*R118)</f>
        <v/>
      </c>
      <c r="T118" s="85" t="str">
        <f aca="false">IF(S118="","",INDEX(Settings!$A$20:$A$23,MATCH(S118,Settings!$B$20:$B$23,1)))</f>
        <v/>
      </c>
      <c r="U118" s="82"/>
      <c r="V118" s="87"/>
      <c r="W118" s="86"/>
      <c r="X118" s="82"/>
      <c r="Y118" s="96"/>
      <c r="Z118" s="96"/>
      <c r="AA118" s="96"/>
      <c r="AB118" s="96"/>
      <c r="AC118" s="96"/>
      <c r="AD118" s="96"/>
      <c r="AE118" s="96"/>
      <c r="AF118" s="96"/>
      <c r="AG118" s="96"/>
      <c r="AH118" s="96"/>
      <c r="AI118" s="96"/>
      <c r="AJ118" s="97"/>
      <c r="AK118" s="96"/>
      <c r="AL118" s="96"/>
      <c r="AM118" s="96"/>
      <c r="AN118" s="96"/>
      <c r="AO118" s="96"/>
      <c r="AP118" s="96"/>
      <c r="AQ118" s="97"/>
      <c r="AR118" s="97"/>
      <c r="AS118" s="86"/>
      <c r="AT118" s="86"/>
      <c r="AU118" s="85" t="str">
        <f aca="false">IF(OR(AS118="",AT118=""),"",AS118*AT118)</f>
        <v/>
      </c>
      <c r="AV118" s="21" t="str">
        <f aca="false">IF(AU118="","",INDEX(Settings!$A$20:$A$23,MATCH(AU118,Settings!$B$20:$B$23,1)))</f>
        <v/>
      </c>
      <c r="AW118" s="85" t="str">
        <f aca="false">IF(AV118&lt;&gt;"",AV118,T118)</f>
        <v/>
      </c>
      <c r="AX118" s="85" t="str">
        <f aca="false">IF(AW118="","",IF(MATCH(AW118,Settings!$A$20:$A$23,0)&lt;=MATCH(Settings!$C$28,Settings!$A$20:$A$23,0),"Yes","No"))</f>
        <v/>
      </c>
      <c r="AY118" s="81" t="str">
        <f aca="false">IF(AW118="","",IF(AX118="Yes",INDEX(Settings!$G$20:$G$23,MATCH(AW118,Settings!$A$20:$A$23,0)),INDEX(Settings!$G$20:$G$23,MATCH(AW118,Settings!$A$20:$A$23,0))&amp;" (outside appetite)"))</f>
        <v/>
      </c>
      <c r="AZ118" s="82"/>
      <c r="BA118" s="82"/>
      <c r="BB118" s="90"/>
      <c r="BC118" s="91" t="str">
        <f aca="false">IF(OR(BB118="",T118=""),"",BB118+INDEX(Settings!$E$20:$E$23,MATCH(T118,Settings!$A$20:$A$23,0)))</f>
        <v/>
      </c>
      <c r="BD118" s="90"/>
      <c r="BE118" s="82"/>
      <c r="BF118" s="81" t="str">
        <f aca="true">IF(A118="","",IF(OR(BE118="Closed",BE118="Accepted"),"No action",IF(BB118="","Set date identified",IF(TODAY()&gt;BC118,"Deadline exceeded",IF(BC118-TODAY()&lt;=Settings!$C$30,"Deadline approaching","On track")))))</f>
        <v/>
      </c>
      <c r="BG118" s="90"/>
      <c r="BH118" s="90"/>
      <c r="BI118" s="91" t="str">
        <f aca="false">IF(OR(BH118="",AW118=""),"",EDATE(BH118,INDEX(Settings!$F$20:$F$23,MATCH(AW118,Settings!$A$20:$A$23,0))))</f>
        <v/>
      </c>
      <c r="BJ118" s="85" t="str">
        <f aca="false">IF(T118="","",IF(MAX(IF(T118="",0,MATCH(T118,Settings!$A$20:$A$23,0)),IF(AV118="",0,MATCH(AV118,Settings!$A$20:$A$23,0)))&gt;=MATCH(Settings!$C$29,Settings!$A$20:$A$23,0),"Yes","No"))</f>
        <v/>
      </c>
      <c r="BK118" s="82"/>
      <c r="BL118" s="81" t="str">
        <f aca="true">IF(A118="","",IF(TRIM(IF(W118="","Treatment not chosen. ","")&amp;IF(AND(W118="Accept",AX118="No"),"Accepted outside appetite: record approval by "&amp;INDEX(Settings!$G$20:$G$23,MATCH(AW118,Settings!$A$20:$A$23,0))&amp;". ","")&amp;IF(AND(W118="Accept",BG118=""),"Acceptance expiry missing. ","")&amp;IF(AND(BG118&lt;&gt;"",BG118&lt;TODAY()),"Acceptance expired. ","")&amp;IF(AND(W118&lt;&gt;"",W118&lt;&gt;"Accept",AV118=""),"Target rating not set. ","")&amp;IF(AND(BE118="Closed",AX118="No"),"Closed while outside appetite. ","")&amp;IF(AND(W118="Transfer",BE118&lt;&gt;"Transferred",BE118&lt;&gt;"Closed"),"Transfer: record the contract, SLA and audit rights. ","")&amp;IF(AZ118="","Risk owner missing. ","")&amp;IF(K118="","Scenario not written. ",""))="","OK",TRIM(IF(W118="","Treatment not chosen. ","")&amp;IF(AND(W118="Accept",AX118="No"),"Accepted outside appetite: record approval by "&amp;INDEX(Settings!$G$20:$G$23,MATCH(AW118,Settings!$A$20:$A$23,0))&amp;". ","")&amp;IF(AND(W118="Accept",BG118=""),"Acceptance expiry missing. ","")&amp;IF(AND(BG118&lt;&gt;"",BG118&lt;TODAY()),"Acceptance expired. ","")&amp;IF(AND(W118&lt;&gt;"",W118&lt;&gt;"Accept",AV118=""),"Target rating not set. ","")&amp;IF(AND(BE118="Closed",AX118="No"),"Closed while outside appetite. ","")&amp;IF(AND(W118="Transfer",BE118&lt;&gt;"Transferred",BE118&lt;&gt;"Closed"),"Transfer: record the contract, SLA and audit rights. ","")&amp;IF(AZ118="","Risk owner missing. ","")&amp;IF(K118="","Scenario not written. ",""))))</f>
        <v/>
      </c>
      <c r="BM118" s="82"/>
    </row>
    <row r="119" customFormat="false" ht="15" hidden="false" customHeight="false" outlineLevel="0" collapsed="false">
      <c r="A119" s="84"/>
      <c r="B119" s="83"/>
      <c r="C119" s="80"/>
      <c r="D119" s="81" t="str">
        <f aca="false">IF(C119="","",IFERROR(INDEX(Lists!$O$2:$O$13,MATCH(C119,Lists!$N$2:$N$13,0)),"Check domain code"))</f>
        <v/>
      </c>
      <c r="E119" s="81" t="str">
        <f aca="false">IF(C119="","",IFERROR(INDEX(Lists!$P$2:$P$13,MATCH(C119,Lists!$N$2:$N$13,0)),""))</f>
        <v/>
      </c>
      <c r="F119" s="80"/>
      <c r="G119" s="82"/>
      <c r="H119" s="82"/>
      <c r="I119" s="82"/>
      <c r="J119" s="83"/>
      <c r="K119" s="82"/>
      <c r="L119" s="82"/>
      <c r="M119" s="84"/>
      <c r="N119" s="85"/>
      <c r="O119" s="82"/>
      <c r="P119" s="86"/>
      <c r="Q119" s="86"/>
      <c r="R119" s="86"/>
      <c r="S119" s="21" t="str">
        <f aca="false">IF(OR(Q119="",R119=""),"",Q119*R119)</f>
        <v/>
      </c>
      <c r="T119" s="85" t="str">
        <f aca="false">IF(S119="","",INDEX(Settings!$A$20:$A$23,MATCH(S119,Settings!$B$20:$B$23,1)))</f>
        <v/>
      </c>
      <c r="U119" s="82"/>
      <c r="V119" s="87"/>
      <c r="W119" s="86"/>
      <c r="X119" s="82"/>
      <c r="Y119" s="88"/>
      <c r="Z119" s="88"/>
      <c r="AA119" s="88"/>
      <c r="AB119" s="88"/>
      <c r="AC119" s="88"/>
      <c r="AD119" s="88"/>
      <c r="AE119" s="88"/>
      <c r="AF119" s="88"/>
      <c r="AG119" s="88"/>
      <c r="AH119" s="88"/>
      <c r="AI119" s="88"/>
      <c r="AJ119" s="89"/>
      <c r="AK119" s="88"/>
      <c r="AL119" s="88"/>
      <c r="AM119" s="88"/>
      <c r="AN119" s="88"/>
      <c r="AO119" s="88"/>
      <c r="AP119" s="88"/>
      <c r="AQ119" s="89"/>
      <c r="AR119" s="89"/>
      <c r="AS119" s="86"/>
      <c r="AT119" s="86"/>
      <c r="AU119" s="85" t="str">
        <f aca="false">IF(OR(AS119="",AT119=""),"",AS119*AT119)</f>
        <v/>
      </c>
      <c r="AV119" s="21" t="str">
        <f aca="false">IF(AU119="","",INDEX(Settings!$A$20:$A$23,MATCH(AU119,Settings!$B$20:$B$23,1)))</f>
        <v/>
      </c>
      <c r="AW119" s="85" t="str">
        <f aca="false">IF(AV119&lt;&gt;"",AV119,T119)</f>
        <v/>
      </c>
      <c r="AX119" s="85" t="str">
        <f aca="false">IF(AW119="","",IF(MATCH(AW119,Settings!$A$20:$A$23,0)&lt;=MATCH(Settings!$C$28,Settings!$A$20:$A$23,0),"Yes","No"))</f>
        <v/>
      </c>
      <c r="AY119" s="81" t="str">
        <f aca="false">IF(AW119="","",IF(AX119="Yes",INDEX(Settings!$G$20:$G$23,MATCH(AW119,Settings!$A$20:$A$23,0)),INDEX(Settings!$G$20:$G$23,MATCH(AW119,Settings!$A$20:$A$23,0))&amp;" (outside appetite)"))</f>
        <v/>
      </c>
      <c r="AZ119" s="82"/>
      <c r="BA119" s="82"/>
      <c r="BB119" s="90"/>
      <c r="BC119" s="91" t="str">
        <f aca="false">IF(OR(BB119="",T119=""),"",BB119+INDEX(Settings!$E$20:$E$23,MATCH(T119,Settings!$A$20:$A$23,0)))</f>
        <v/>
      </c>
      <c r="BD119" s="90"/>
      <c r="BE119" s="82"/>
      <c r="BF119" s="81" t="str">
        <f aca="true">IF(A119="","",IF(OR(BE119="Closed",BE119="Accepted"),"No action",IF(BB119="","Set date identified",IF(TODAY()&gt;BC119,"Deadline exceeded",IF(BC119-TODAY()&lt;=Settings!$C$30,"Deadline approaching","On track")))))</f>
        <v/>
      </c>
      <c r="BG119" s="90"/>
      <c r="BH119" s="90"/>
      <c r="BI119" s="91" t="str">
        <f aca="false">IF(OR(BH119="",AW119=""),"",EDATE(BH119,INDEX(Settings!$F$20:$F$23,MATCH(AW119,Settings!$A$20:$A$23,0))))</f>
        <v/>
      </c>
      <c r="BJ119" s="85" t="str">
        <f aca="false">IF(T119="","",IF(MAX(IF(T119="",0,MATCH(T119,Settings!$A$20:$A$23,0)),IF(AV119="",0,MATCH(AV119,Settings!$A$20:$A$23,0)))&gt;=MATCH(Settings!$C$29,Settings!$A$20:$A$23,0),"Yes","No"))</f>
        <v/>
      </c>
      <c r="BK119" s="82"/>
      <c r="BL119" s="81" t="str">
        <f aca="true">IF(A119="","",IF(TRIM(IF(W119="","Treatment not chosen. ","")&amp;IF(AND(W119="Accept",AX119="No"),"Accepted outside appetite: record approval by "&amp;INDEX(Settings!$G$20:$G$23,MATCH(AW119,Settings!$A$20:$A$23,0))&amp;". ","")&amp;IF(AND(W119="Accept",BG119=""),"Acceptance expiry missing. ","")&amp;IF(AND(BG119&lt;&gt;"",BG119&lt;TODAY()),"Acceptance expired. ","")&amp;IF(AND(W119&lt;&gt;"",W119&lt;&gt;"Accept",AV119=""),"Target rating not set. ","")&amp;IF(AND(BE119="Closed",AX119="No"),"Closed while outside appetite. ","")&amp;IF(AND(W119="Transfer",BE119&lt;&gt;"Transferred",BE119&lt;&gt;"Closed"),"Transfer: record the contract, SLA and audit rights. ","")&amp;IF(AZ119="","Risk owner missing. ","")&amp;IF(K119="","Scenario not written. ",""))="","OK",TRIM(IF(W119="","Treatment not chosen. ","")&amp;IF(AND(W119="Accept",AX119="No"),"Accepted outside appetite: record approval by "&amp;INDEX(Settings!$G$20:$G$23,MATCH(AW119,Settings!$A$20:$A$23,0))&amp;". ","")&amp;IF(AND(W119="Accept",BG119=""),"Acceptance expiry missing. ","")&amp;IF(AND(BG119&lt;&gt;"",BG119&lt;TODAY()),"Acceptance expired. ","")&amp;IF(AND(W119&lt;&gt;"",W119&lt;&gt;"Accept",AV119=""),"Target rating not set. ","")&amp;IF(AND(BE119="Closed",AX119="No"),"Closed while outside appetite. ","")&amp;IF(AND(W119="Transfer",BE119&lt;&gt;"Transferred",BE119&lt;&gt;"Closed"),"Transfer: record the contract, SLA and audit rights. ","")&amp;IF(AZ119="","Risk owner missing. ","")&amp;IF(K119="","Scenario not written. ",""))))</f>
        <v/>
      </c>
      <c r="BM119" s="82"/>
    </row>
    <row r="120" customFormat="false" ht="15" hidden="false" customHeight="false" outlineLevel="0" collapsed="false">
      <c r="A120" s="95"/>
      <c r="B120" s="94"/>
      <c r="C120" s="80"/>
      <c r="D120" s="81" t="str">
        <f aca="false">IF(C120="","",IFERROR(INDEX(Lists!$O$2:$O$13,MATCH(C120,Lists!$N$2:$N$13,0)),"Check domain code"))</f>
        <v/>
      </c>
      <c r="E120" s="81" t="str">
        <f aca="false">IF(C120="","",IFERROR(INDEX(Lists!$P$2:$P$13,MATCH(C120,Lists!$N$2:$N$13,0)),""))</f>
        <v/>
      </c>
      <c r="F120" s="80"/>
      <c r="G120" s="82"/>
      <c r="H120" s="82"/>
      <c r="I120" s="82"/>
      <c r="J120" s="94"/>
      <c r="K120" s="82"/>
      <c r="L120" s="82"/>
      <c r="M120" s="95"/>
      <c r="N120" s="85"/>
      <c r="O120" s="82"/>
      <c r="P120" s="86"/>
      <c r="Q120" s="86"/>
      <c r="R120" s="86"/>
      <c r="S120" s="21" t="str">
        <f aca="false">IF(OR(Q120="",R120=""),"",Q120*R120)</f>
        <v/>
      </c>
      <c r="T120" s="85" t="str">
        <f aca="false">IF(S120="","",INDEX(Settings!$A$20:$A$23,MATCH(S120,Settings!$B$20:$B$23,1)))</f>
        <v/>
      </c>
      <c r="U120" s="82"/>
      <c r="V120" s="87"/>
      <c r="W120" s="86"/>
      <c r="X120" s="82"/>
      <c r="Y120" s="96"/>
      <c r="Z120" s="96"/>
      <c r="AA120" s="96"/>
      <c r="AB120" s="96"/>
      <c r="AC120" s="96"/>
      <c r="AD120" s="96"/>
      <c r="AE120" s="96"/>
      <c r="AF120" s="96"/>
      <c r="AG120" s="96"/>
      <c r="AH120" s="96"/>
      <c r="AI120" s="96"/>
      <c r="AJ120" s="97"/>
      <c r="AK120" s="96"/>
      <c r="AL120" s="96"/>
      <c r="AM120" s="96"/>
      <c r="AN120" s="96"/>
      <c r="AO120" s="96"/>
      <c r="AP120" s="96"/>
      <c r="AQ120" s="97"/>
      <c r="AR120" s="97"/>
      <c r="AS120" s="86"/>
      <c r="AT120" s="86"/>
      <c r="AU120" s="85" t="str">
        <f aca="false">IF(OR(AS120="",AT120=""),"",AS120*AT120)</f>
        <v/>
      </c>
      <c r="AV120" s="21" t="str">
        <f aca="false">IF(AU120="","",INDEX(Settings!$A$20:$A$23,MATCH(AU120,Settings!$B$20:$B$23,1)))</f>
        <v/>
      </c>
      <c r="AW120" s="85" t="str">
        <f aca="false">IF(AV120&lt;&gt;"",AV120,T120)</f>
        <v/>
      </c>
      <c r="AX120" s="85" t="str">
        <f aca="false">IF(AW120="","",IF(MATCH(AW120,Settings!$A$20:$A$23,0)&lt;=MATCH(Settings!$C$28,Settings!$A$20:$A$23,0),"Yes","No"))</f>
        <v/>
      </c>
      <c r="AY120" s="81" t="str">
        <f aca="false">IF(AW120="","",IF(AX120="Yes",INDEX(Settings!$G$20:$G$23,MATCH(AW120,Settings!$A$20:$A$23,0)),INDEX(Settings!$G$20:$G$23,MATCH(AW120,Settings!$A$20:$A$23,0))&amp;" (outside appetite)"))</f>
        <v/>
      </c>
      <c r="AZ120" s="82"/>
      <c r="BA120" s="82"/>
      <c r="BB120" s="90"/>
      <c r="BC120" s="91" t="str">
        <f aca="false">IF(OR(BB120="",T120=""),"",BB120+INDEX(Settings!$E$20:$E$23,MATCH(T120,Settings!$A$20:$A$23,0)))</f>
        <v/>
      </c>
      <c r="BD120" s="90"/>
      <c r="BE120" s="82"/>
      <c r="BF120" s="81" t="str">
        <f aca="true">IF(A120="","",IF(OR(BE120="Closed",BE120="Accepted"),"No action",IF(BB120="","Set date identified",IF(TODAY()&gt;BC120,"Deadline exceeded",IF(BC120-TODAY()&lt;=Settings!$C$30,"Deadline approaching","On track")))))</f>
        <v/>
      </c>
      <c r="BG120" s="90"/>
      <c r="BH120" s="90"/>
      <c r="BI120" s="91" t="str">
        <f aca="false">IF(OR(BH120="",AW120=""),"",EDATE(BH120,INDEX(Settings!$F$20:$F$23,MATCH(AW120,Settings!$A$20:$A$23,0))))</f>
        <v/>
      </c>
      <c r="BJ120" s="85" t="str">
        <f aca="false">IF(T120="","",IF(MAX(IF(T120="",0,MATCH(T120,Settings!$A$20:$A$23,0)),IF(AV120="",0,MATCH(AV120,Settings!$A$20:$A$23,0)))&gt;=MATCH(Settings!$C$29,Settings!$A$20:$A$23,0),"Yes","No"))</f>
        <v/>
      </c>
      <c r="BK120" s="82"/>
      <c r="BL120" s="81" t="str">
        <f aca="true">IF(A120="","",IF(TRIM(IF(W120="","Treatment not chosen. ","")&amp;IF(AND(W120="Accept",AX120="No"),"Accepted outside appetite: record approval by "&amp;INDEX(Settings!$G$20:$G$23,MATCH(AW120,Settings!$A$20:$A$23,0))&amp;". ","")&amp;IF(AND(W120="Accept",BG120=""),"Acceptance expiry missing. ","")&amp;IF(AND(BG120&lt;&gt;"",BG120&lt;TODAY()),"Acceptance expired. ","")&amp;IF(AND(W120&lt;&gt;"",W120&lt;&gt;"Accept",AV120=""),"Target rating not set. ","")&amp;IF(AND(BE120="Closed",AX120="No"),"Closed while outside appetite. ","")&amp;IF(AND(W120="Transfer",BE120&lt;&gt;"Transferred",BE120&lt;&gt;"Closed"),"Transfer: record the contract, SLA and audit rights. ","")&amp;IF(AZ120="","Risk owner missing. ","")&amp;IF(K120="","Scenario not written. ",""))="","OK",TRIM(IF(W120="","Treatment not chosen. ","")&amp;IF(AND(W120="Accept",AX120="No"),"Accepted outside appetite: record approval by "&amp;INDEX(Settings!$G$20:$G$23,MATCH(AW120,Settings!$A$20:$A$23,0))&amp;". ","")&amp;IF(AND(W120="Accept",BG120=""),"Acceptance expiry missing. ","")&amp;IF(AND(BG120&lt;&gt;"",BG120&lt;TODAY()),"Acceptance expired. ","")&amp;IF(AND(W120&lt;&gt;"",W120&lt;&gt;"Accept",AV120=""),"Target rating not set. ","")&amp;IF(AND(BE120="Closed",AX120="No"),"Closed while outside appetite. ","")&amp;IF(AND(W120="Transfer",BE120&lt;&gt;"Transferred",BE120&lt;&gt;"Closed"),"Transfer: record the contract, SLA and audit rights. ","")&amp;IF(AZ120="","Risk owner missing. ","")&amp;IF(K120="","Scenario not written. ",""))))</f>
        <v/>
      </c>
      <c r="BM120" s="82"/>
    </row>
    <row r="121" customFormat="false" ht="15" hidden="false" customHeight="false" outlineLevel="0" collapsed="false">
      <c r="A121" s="84"/>
      <c r="B121" s="83"/>
      <c r="C121" s="80"/>
      <c r="D121" s="81" t="str">
        <f aca="false">IF(C121="","",IFERROR(INDEX(Lists!$O$2:$O$13,MATCH(C121,Lists!$N$2:$N$13,0)),"Check domain code"))</f>
        <v/>
      </c>
      <c r="E121" s="81" t="str">
        <f aca="false">IF(C121="","",IFERROR(INDEX(Lists!$P$2:$P$13,MATCH(C121,Lists!$N$2:$N$13,0)),""))</f>
        <v/>
      </c>
      <c r="F121" s="80"/>
      <c r="G121" s="82"/>
      <c r="H121" s="82"/>
      <c r="I121" s="82"/>
      <c r="J121" s="83"/>
      <c r="K121" s="82"/>
      <c r="L121" s="82"/>
      <c r="M121" s="84"/>
      <c r="N121" s="85"/>
      <c r="O121" s="82"/>
      <c r="P121" s="86"/>
      <c r="Q121" s="86"/>
      <c r="R121" s="86"/>
      <c r="S121" s="21" t="str">
        <f aca="false">IF(OR(Q121="",R121=""),"",Q121*R121)</f>
        <v/>
      </c>
      <c r="T121" s="85" t="str">
        <f aca="false">IF(S121="","",INDEX(Settings!$A$20:$A$23,MATCH(S121,Settings!$B$20:$B$23,1)))</f>
        <v/>
      </c>
      <c r="U121" s="82"/>
      <c r="V121" s="87"/>
      <c r="W121" s="86"/>
      <c r="X121" s="82"/>
      <c r="Y121" s="88"/>
      <c r="Z121" s="88"/>
      <c r="AA121" s="88"/>
      <c r="AB121" s="88"/>
      <c r="AC121" s="88"/>
      <c r="AD121" s="88"/>
      <c r="AE121" s="88"/>
      <c r="AF121" s="88"/>
      <c r="AG121" s="88"/>
      <c r="AH121" s="88"/>
      <c r="AI121" s="88"/>
      <c r="AJ121" s="89"/>
      <c r="AK121" s="88"/>
      <c r="AL121" s="88"/>
      <c r="AM121" s="88"/>
      <c r="AN121" s="88"/>
      <c r="AO121" s="88"/>
      <c r="AP121" s="88"/>
      <c r="AQ121" s="89"/>
      <c r="AR121" s="89"/>
      <c r="AS121" s="86"/>
      <c r="AT121" s="86"/>
      <c r="AU121" s="85" t="str">
        <f aca="false">IF(OR(AS121="",AT121=""),"",AS121*AT121)</f>
        <v/>
      </c>
      <c r="AV121" s="21" t="str">
        <f aca="false">IF(AU121="","",INDEX(Settings!$A$20:$A$23,MATCH(AU121,Settings!$B$20:$B$23,1)))</f>
        <v/>
      </c>
      <c r="AW121" s="85" t="str">
        <f aca="false">IF(AV121&lt;&gt;"",AV121,T121)</f>
        <v/>
      </c>
      <c r="AX121" s="85" t="str">
        <f aca="false">IF(AW121="","",IF(MATCH(AW121,Settings!$A$20:$A$23,0)&lt;=MATCH(Settings!$C$28,Settings!$A$20:$A$23,0),"Yes","No"))</f>
        <v/>
      </c>
      <c r="AY121" s="81" t="str">
        <f aca="false">IF(AW121="","",IF(AX121="Yes",INDEX(Settings!$G$20:$G$23,MATCH(AW121,Settings!$A$20:$A$23,0)),INDEX(Settings!$G$20:$G$23,MATCH(AW121,Settings!$A$20:$A$23,0))&amp;" (outside appetite)"))</f>
        <v/>
      </c>
      <c r="AZ121" s="82"/>
      <c r="BA121" s="82"/>
      <c r="BB121" s="90"/>
      <c r="BC121" s="91" t="str">
        <f aca="false">IF(OR(BB121="",T121=""),"",BB121+INDEX(Settings!$E$20:$E$23,MATCH(T121,Settings!$A$20:$A$23,0)))</f>
        <v/>
      </c>
      <c r="BD121" s="90"/>
      <c r="BE121" s="82"/>
      <c r="BF121" s="81" t="str">
        <f aca="true">IF(A121="","",IF(OR(BE121="Closed",BE121="Accepted"),"No action",IF(BB121="","Set date identified",IF(TODAY()&gt;BC121,"Deadline exceeded",IF(BC121-TODAY()&lt;=Settings!$C$30,"Deadline approaching","On track")))))</f>
        <v/>
      </c>
      <c r="BG121" s="90"/>
      <c r="BH121" s="90"/>
      <c r="BI121" s="91" t="str">
        <f aca="false">IF(OR(BH121="",AW121=""),"",EDATE(BH121,INDEX(Settings!$F$20:$F$23,MATCH(AW121,Settings!$A$20:$A$23,0))))</f>
        <v/>
      </c>
      <c r="BJ121" s="85" t="str">
        <f aca="false">IF(T121="","",IF(MAX(IF(T121="",0,MATCH(T121,Settings!$A$20:$A$23,0)),IF(AV121="",0,MATCH(AV121,Settings!$A$20:$A$23,0)))&gt;=MATCH(Settings!$C$29,Settings!$A$20:$A$23,0),"Yes","No"))</f>
        <v/>
      </c>
      <c r="BK121" s="82"/>
      <c r="BL121" s="81" t="str">
        <f aca="true">IF(A121="","",IF(TRIM(IF(W121="","Treatment not chosen. ","")&amp;IF(AND(W121="Accept",AX121="No"),"Accepted outside appetite: record approval by "&amp;INDEX(Settings!$G$20:$G$23,MATCH(AW121,Settings!$A$20:$A$23,0))&amp;". ","")&amp;IF(AND(W121="Accept",BG121=""),"Acceptance expiry missing. ","")&amp;IF(AND(BG121&lt;&gt;"",BG121&lt;TODAY()),"Acceptance expired. ","")&amp;IF(AND(W121&lt;&gt;"",W121&lt;&gt;"Accept",AV121=""),"Target rating not set. ","")&amp;IF(AND(BE121="Closed",AX121="No"),"Closed while outside appetite. ","")&amp;IF(AND(W121="Transfer",BE121&lt;&gt;"Transferred",BE121&lt;&gt;"Closed"),"Transfer: record the contract, SLA and audit rights. ","")&amp;IF(AZ121="","Risk owner missing. ","")&amp;IF(K121="","Scenario not written. ",""))="","OK",TRIM(IF(W121="","Treatment not chosen. ","")&amp;IF(AND(W121="Accept",AX121="No"),"Accepted outside appetite: record approval by "&amp;INDEX(Settings!$G$20:$G$23,MATCH(AW121,Settings!$A$20:$A$23,0))&amp;". ","")&amp;IF(AND(W121="Accept",BG121=""),"Acceptance expiry missing. ","")&amp;IF(AND(BG121&lt;&gt;"",BG121&lt;TODAY()),"Acceptance expired. ","")&amp;IF(AND(W121&lt;&gt;"",W121&lt;&gt;"Accept",AV121=""),"Target rating not set. ","")&amp;IF(AND(BE121="Closed",AX121="No"),"Closed while outside appetite. ","")&amp;IF(AND(W121="Transfer",BE121&lt;&gt;"Transferred",BE121&lt;&gt;"Closed"),"Transfer: record the contract, SLA and audit rights. ","")&amp;IF(AZ121="","Risk owner missing. ","")&amp;IF(K121="","Scenario not written. ",""))))</f>
        <v/>
      </c>
      <c r="BM121" s="82"/>
    </row>
    <row r="122" customFormat="false" ht="15" hidden="false" customHeight="false" outlineLevel="0" collapsed="false">
      <c r="A122" s="95"/>
      <c r="B122" s="94"/>
      <c r="C122" s="80"/>
      <c r="D122" s="81" t="str">
        <f aca="false">IF(C122="","",IFERROR(INDEX(Lists!$O$2:$O$13,MATCH(C122,Lists!$N$2:$N$13,0)),"Check domain code"))</f>
        <v/>
      </c>
      <c r="E122" s="81" t="str">
        <f aca="false">IF(C122="","",IFERROR(INDEX(Lists!$P$2:$P$13,MATCH(C122,Lists!$N$2:$N$13,0)),""))</f>
        <v/>
      </c>
      <c r="F122" s="80"/>
      <c r="G122" s="82"/>
      <c r="H122" s="82"/>
      <c r="I122" s="82"/>
      <c r="J122" s="94"/>
      <c r="K122" s="82"/>
      <c r="L122" s="82"/>
      <c r="M122" s="95"/>
      <c r="N122" s="85"/>
      <c r="O122" s="82"/>
      <c r="P122" s="86"/>
      <c r="Q122" s="86"/>
      <c r="R122" s="86"/>
      <c r="S122" s="21" t="str">
        <f aca="false">IF(OR(Q122="",R122=""),"",Q122*R122)</f>
        <v/>
      </c>
      <c r="T122" s="85" t="str">
        <f aca="false">IF(S122="","",INDEX(Settings!$A$20:$A$23,MATCH(S122,Settings!$B$20:$B$23,1)))</f>
        <v/>
      </c>
      <c r="U122" s="82"/>
      <c r="V122" s="87"/>
      <c r="W122" s="86"/>
      <c r="X122" s="82"/>
      <c r="Y122" s="96"/>
      <c r="Z122" s="96"/>
      <c r="AA122" s="96"/>
      <c r="AB122" s="96"/>
      <c r="AC122" s="96"/>
      <c r="AD122" s="96"/>
      <c r="AE122" s="96"/>
      <c r="AF122" s="96"/>
      <c r="AG122" s="96"/>
      <c r="AH122" s="96"/>
      <c r="AI122" s="96"/>
      <c r="AJ122" s="97"/>
      <c r="AK122" s="96"/>
      <c r="AL122" s="96"/>
      <c r="AM122" s="96"/>
      <c r="AN122" s="96"/>
      <c r="AO122" s="96"/>
      <c r="AP122" s="96"/>
      <c r="AQ122" s="97"/>
      <c r="AR122" s="97"/>
      <c r="AS122" s="86"/>
      <c r="AT122" s="86"/>
      <c r="AU122" s="85" t="str">
        <f aca="false">IF(OR(AS122="",AT122=""),"",AS122*AT122)</f>
        <v/>
      </c>
      <c r="AV122" s="21" t="str">
        <f aca="false">IF(AU122="","",INDEX(Settings!$A$20:$A$23,MATCH(AU122,Settings!$B$20:$B$23,1)))</f>
        <v/>
      </c>
      <c r="AW122" s="85" t="str">
        <f aca="false">IF(AV122&lt;&gt;"",AV122,T122)</f>
        <v/>
      </c>
      <c r="AX122" s="85" t="str">
        <f aca="false">IF(AW122="","",IF(MATCH(AW122,Settings!$A$20:$A$23,0)&lt;=MATCH(Settings!$C$28,Settings!$A$20:$A$23,0),"Yes","No"))</f>
        <v/>
      </c>
      <c r="AY122" s="81" t="str">
        <f aca="false">IF(AW122="","",IF(AX122="Yes",INDEX(Settings!$G$20:$G$23,MATCH(AW122,Settings!$A$20:$A$23,0)),INDEX(Settings!$G$20:$G$23,MATCH(AW122,Settings!$A$20:$A$23,0))&amp;" (outside appetite)"))</f>
        <v/>
      </c>
      <c r="AZ122" s="82"/>
      <c r="BA122" s="82"/>
      <c r="BB122" s="90"/>
      <c r="BC122" s="91" t="str">
        <f aca="false">IF(OR(BB122="",T122=""),"",BB122+INDEX(Settings!$E$20:$E$23,MATCH(T122,Settings!$A$20:$A$23,0)))</f>
        <v/>
      </c>
      <c r="BD122" s="90"/>
      <c r="BE122" s="82"/>
      <c r="BF122" s="81" t="str">
        <f aca="true">IF(A122="","",IF(OR(BE122="Closed",BE122="Accepted"),"No action",IF(BB122="","Set date identified",IF(TODAY()&gt;BC122,"Deadline exceeded",IF(BC122-TODAY()&lt;=Settings!$C$30,"Deadline approaching","On track")))))</f>
        <v/>
      </c>
      <c r="BG122" s="90"/>
      <c r="BH122" s="90"/>
      <c r="BI122" s="91" t="str">
        <f aca="false">IF(OR(BH122="",AW122=""),"",EDATE(BH122,INDEX(Settings!$F$20:$F$23,MATCH(AW122,Settings!$A$20:$A$23,0))))</f>
        <v/>
      </c>
      <c r="BJ122" s="85" t="str">
        <f aca="false">IF(T122="","",IF(MAX(IF(T122="",0,MATCH(T122,Settings!$A$20:$A$23,0)),IF(AV122="",0,MATCH(AV122,Settings!$A$20:$A$23,0)))&gt;=MATCH(Settings!$C$29,Settings!$A$20:$A$23,0),"Yes","No"))</f>
        <v/>
      </c>
      <c r="BK122" s="82"/>
      <c r="BL122" s="81" t="str">
        <f aca="true">IF(A122="","",IF(TRIM(IF(W122="","Treatment not chosen. ","")&amp;IF(AND(W122="Accept",AX122="No"),"Accepted outside appetite: record approval by "&amp;INDEX(Settings!$G$20:$G$23,MATCH(AW122,Settings!$A$20:$A$23,0))&amp;". ","")&amp;IF(AND(W122="Accept",BG122=""),"Acceptance expiry missing. ","")&amp;IF(AND(BG122&lt;&gt;"",BG122&lt;TODAY()),"Acceptance expired. ","")&amp;IF(AND(W122&lt;&gt;"",W122&lt;&gt;"Accept",AV122=""),"Target rating not set. ","")&amp;IF(AND(BE122="Closed",AX122="No"),"Closed while outside appetite. ","")&amp;IF(AND(W122="Transfer",BE122&lt;&gt;"Transferred",BE122&lt;&gt;"Closed"),"Transfer: record the contract, SLA and audit rights. ","")&amp;IF(AZ122="","Risk owner missing. ","")&amp;IF(K122="","Scenario not written. ",""))="","OK",TRIM(IF(W122="","Treatment not chosen. ","")&amp;IF(AND(W122="Accept",AX122="No"),"Accepted outside appetite: record approval by "&amp;INDEX(Settings!$G$20:$G$23,MATCH(AW122,Settings!$A$20:$A$23,0))&amp;". ","")&amp;IF(AND(W122="Accept",BG122=""),"Acceptance expiry missing. ","")&amp;IF(AND(BG122&lt;&gt;"",BG122&lt;TODAY()),"Acceptance expired. ","")&amp;IF(AND(W122&lt;&gt;"",W122&lt;&gt;"Accept",AV122=""),"Target rating not set. ","")&amp;IF(AND(BE122="Closed",AX122="No"),"Closed while outside appetite. ","")&amp;IF(AND(W122="Transfer",BE122&lt;&gt;"Transferred",BE122&lt;&gt;"Closed"),"Transfer: record the contract, SLA and audit rights. ","")&amp;IF(AZ122="","Risk owner missing. ","")&amp;IF(K122="","Scenario not written. ",""))))</f>
        <v/>
      </c>
      <c r="BM122" s="82"/>
    </row>
    <row r="123" customFormat="false" ht="15" hidden="false" customHeight="false" outlineLevel="0" collapsed="false">
      <c r="A123" s="84"/>
      <c r="B123" s="83"/>
      <c r="C123" s="80"/>
      <c r="D123" s="81" t="str">
        <f aca="false">IF(C123="","",IFERROR(INDEX(Lists!$O$2:$O$13,MATCH(C123,Lists!$N$2:$N$13,0)),"Check domain code"))</f>
        <v/>
      </c>
      <c r="E123" s="81" t="str">
        <f aca="false">IF(C123="","",IFERROR(INDEX(Lists!$P$2:$P$13,MATCH(C123,Lists!$N$2:$N$13,0)),""))</f>
        <v/>
      </c>
      <c r="F123" s="80"/>
      <c r="G123" s="82"/>
      <c r="H123" s="82"/>
      <c r="I123" s="82"/>
      <c r="J123" s="83"/>
      <c r="K123" s="82"/>
      <c r="L123" s="82"/>
      <c r="M123" s="84"/>
      <c r="N123" s="85"/>
      <c r="O123" s="82"/>
      <c r="P123" s="86"/>
      <c r="Q123" s="86"/>
      <c r="R123" s="86"/>
      <c r="S123" s="21" t="str">
        <f aca="false">IF(OR(Q123="",R123=""),"",Q123*R123)</f>
        <v/>
      </c>
      <c r="T123" s="85" t="str">
        <f aca="false">IF(S123="","",INDEX(Settings!$A$20:$A$23,MATCH(S123,Settings!$B$20:$B$23,1)))</f>
        <v/>
      </c>
      <c r="U123" s="82"/>
      <c r="V123" s="87"/>
      <c r="W123" s="86"/>
      <c r="X123" s="82"/>
      <c r="Y123" s="88"/>
      <c r="Z123" s="88"/>
      <c r="AA123" s="88"/>
      <c r="AB123" s="88"/>
      <c r="AC123" s="88"/>
      <c r="AD123" s="88"/>
      <c r="AE123" s="88"/>
      <c r="AF123" s="88"/>
      <c r="AG123" s="88"/>
      <c r="AH123" s="88"/>
      <c r="AI123" s="88"/>
      <c r="AJ123" s="89"/>
      <c r="AK123" s="88"/>
      <c r="AL123" s="88"/>
      <c r="AM123" s="88"/>
      <c r="AN123" s="88"/>
      <c r="AO123" s="88"/>
      <c r="AP123" s="88"/>
      <c r="AQ123" s="89"/>
      <c r="AR123" s="89"/>
      <c r="AS123" s="86"/>
      <c r="AT123" s="86"/>
      <c r="AU123" s="85" t="str">
        <f aca="false">IF(OR(AS123="",AT123=""),"",AS123*AT123)</f>
        <v/>
      </c>
      <c r="AV123" s="21" t="str">
        <f aca="false">IF(AU123="","",INDEX(Settings!$A$20:$A$23,MATCH(AU123,Settings!$B$20:$B$23,1)))</f>
        <v/>
      </c>
      <c r="AW123" s="85" t="str">
        <f aca="false">IF(AV123&lt;&gt;"",AV123,T123)</f>
        <v/>
      </c>
      <c r="AX123" s="85" t="str">
        <f aca="false">IF(AW123="","",IF(MATCH(AW123,Settings!$A$20:$A$23,0)&lt;=MATCH(Settings!$C$28,Settings!$A$20:$A$23,0),"Yes","No"))</f>
        <v/>
      </c>
      <c r="AY123" s="81" t="str">
        <f aca="false">IF(AW123="","",IF(AX123="Yes",INDEX(Settings!$G$20:$G$23,MATCH(AW123,Settings!$A$20:$A$23,0)),INDEX(Settings!$G$20:$G$23,MATCH(AW123,Settings!$A$20:$A$23,0))&amp;" (outside appetite)"))</f>
        <v/>
      </c>
      <c r="AZ123" s="82"/>
      <c r="BA123" s="82"/>
      <c r="BB123" s="90"/>
      <c r="BC123" s="91" t="str">
        <f aca="false">IF(OR(BB123="",T123=""),"",BB123+INDEX(Settings!$E$20:$E$23,MATCH(T123,Settings!$A$20:$A$23,0)))</f>
        <v/>
      </c>
      <c r="BD123" s="90"/>
      <c r="BE123" s="82"/>
      <c r="BF123" s="81" t="str">
        <f aca="true">IF(A123="","",IF(OR(BE123="Closed",BE123="Accepted"),"No action",IF(BB123="","Set date identified",IF(TODAY()&gt;BC123,"Deadline exceeded",IF(BC123-TODAY()&lt;=Settings!$C$30,"Deadline approaching","On track")))))</f>
        <v/>
      </c>
      <c r="BG123" s="90"/>
      <c r="BH123" s="90"/>
      <c r="BI123" s="91" t="str">
        <f aca="false">IF(OR(BH123="",AW123=""),"",EDATE(BH123,INDEX(Settings!$F$20:$F$23,MATCH(AW123,Settings!$A$20:$A$23,0))))</f>
        <v/>
      </c>
      <c r="BJ123" s="85" t="str">
        <f aca="false">IF(T123="","",IF(MAX(IF(T123="",0,MATCH(T123,Settings!$A$20:$A$23,0)),IF(AV123="",0,MATCH(AV123,Settings!$A$20:$A$23,0)))&gt;=MATCH(Settings!$C$29,Settings!$A$20:$A$23,0),"Yes","No"))</f>
        <v/>
      </c>
      <c r="BK123" s="82"/>
      <c r="BL123" s="81" t="str">
        <f aca="true">IF(A123="","",IF(TRIM(IF(W123="","Treatment not chosen. ","")&amp;IF(AND(W123="Accept",AX123="No"),"Accepted outside appetite: record approval by "&amp;INDEX(Settings!$G$20:$G$23,MATCH(AW123,Settings!$A$20:$A$23,0))&amp;". ","")&amp;IF(AND(W123="Accept",BG123=""),"Acceptance expiry missing. ","")&amp;IF(AND(BG123&lt;&gt;"",BG123&lt;TODAY()),"Acceptance expired. ","")&amp;IF(AND(W123&lt;&gt;"",W123&lt;&gt;"Accept",AV123=""),"Target rating not set. ","")&amp;IF(AND(BE123="Closed",AX123="No"),"Closed while outside appetite. ","")&amp;IF(AND(W123="Transfer",BE123&lt;&gt;"Transferred",BE123&lt;&gt;"Closed"),"Transfer: record the contract, SLA and audit rights. ","")&amp;IF(AZ123="","Risk owner missing. ","")&amp;IF(K123="","Scenario not written. ",""))="","OK",TRIM(IF(W123="","Treatment not chosen. ","")&amp;IF(AND(W123="Accept",AX123="No"),"Accepted outside appetite: record approval by "&amp;INDEX(Settings!$G$20:$G$23,MATCH(AW123,Settings!$A$20:$A$23,0))&amp;". ","")&amp;IF(AND(W123="Accept",BG123=""),"Acceptance expiry missing. ","")&amp;IF(AND(BG123&lt;&gt;"",BG123&lt;TODAY()),"Acceptance expired. ","")&amp;IF(AND(W123&lt;&gt;"",W123&lt;&gt;"Accept",AV123=""),"Target rating not set. ","")&amp;IF(AND(BE123="Closed",AX123="No"),"Closed while outside appetite. ","")&amp;IF(AND(W123="Transfer",BE123&lt;&gt;"Transferred",BE123&lt;&gt;"Closed"),"Transfer: record the contract, SLA and audit rights. ","")&amp;IF(AZ123="","Risk owner missing. ","")&amp;IF(K123="","Scenario not written. ",""))))</f>
        <v/>
      </c>
      <c r="BM123" s="82"/>
    </row>
    <row r="124" customFormat="false" ht="15" hidden="false" customHeight="false" outlineLevel="0" collapsed="false">
      <c r="A124" s="95"/>
      <c r="B124" s="94"/>
      <c r="C124" s="80"/>
      <c r="D124" s="81" t="str">
        <f aca="false">IF(C124="","",IFERROR(INDEX(Lists!$O$2:$O$13,MATCH(C124,Lists!$N$2:$N$13,0)),"Check domain code"))</f>
        <v/>
      </c>
      <c r="E124" s="81" t="str">
        <f aca="false">IF(C124="","",IFERROR(INDEX(Lists!$P$2:$P$13,MATCH(C124,Lists!$N$2:$N$13,0)),""))</f>
        <v/>
      </c>
      <c r="F124" s="80"/>
      <c r="G124" s="82"/>
      <c r="H124" s="82"/>
      <c r="I124" s="82"/>
      <c r="J124" s="94"/>
      <c r="K124" s="82"/>
      <c r="L124" s="82"/>
      <c r="M124" s="95"/>
      <c r="N124" s="85"/>
      <c r="O124" s="82"/>
      <c r="P124" s="86"/>
      <c r="Q124" s="86"/>
      <c r="R124" s="86"/>
      <c r="S124" s="21" t="str">
        <f aca="false">IF(OR(Q124="",R124=""),"",Q124*R124)</f>
        <v/>
      </c>
      <c r="T124" s="85" t="str">
        <f aca="false">IF(S124="","",INDEX(Settings!$A$20:$A$23,MATCH(S124,Settings!$B$20:$B$23,1)))</f>
        <v/>
      </c>
      <c r="U124" s="82"/>
      <c r="V124" s="87"/>
      <c r="W124" s="86"/>
      <c r="X124" s="82"/>
      <c r="Y124" s="96"/>
      <c r="Z124" s="96"/>
      <c r="AA124" s="96"/>
      <c r="AB124" s="96"/>
      <c r="AC124" s="96"/>
      <c r="AD124" s="96"/>
      <c r="AE124" s="96"/>
      <c r="AF124" s="96"/>
      <c r="AG124" s="96"/>
      <c r="AH124" s="96"/>
      <c r="AI124" s="96"/>
      <c r="AJ124" s="97"/>
      <c r="AK124" s="96"/>
      <c r="AL124" s="96"/>
      <c r="AM124" s="96"/>
      <c r="AN124" s="96"/>
      <c r="AO124" s="96"/>
      <c r="AP124" s="96"/>
      <c r="AQ124" s="97"/>
      <c r="AR124" s="97"/>
      <c r="AS124" s="86"/>
      <c r="AT124" s="86"/>
      <c r="AU124" s="85" t="str">
        <f aca="false">IF(OR(AS124="",AT124=""),"",AS124*AT124)</f>
        <v/>
      </c>
      <c r="AV124" s="21" t="str">
        <f aca="false">IF(AU124="","",INDEX(Settings!$A$20:$A$23,MATCH(AU124,Settings!$B$20:$B$23,1)))</f>
        <v/>
      </c>
      <c r="AW124" s="85" t="str">
        <f aca="false">IF(AV124&lt;&gt;"",AV124,T124)</f>
        <v/>
      </c>
      <c r="AX124" s="85" t="str">
        <f aca="false">IF(AW124="","",IF(MATCH(AW124,Settings!$A$20:$A$23,0)&lt;=MATCH(Settings!$C$28,Settings!$A$20:$A$23,0),"Yes","No"))</f>
        <v/>
      </c>
      <c r="AY124" s="81" t="str">
        <f aca="false">IF(AW124="","",IF(AX124="Yes",INDEX(Settings!$G$20:$G$23,MATCH(AW124,Settings!$A$20:$A$23,0)),INDEX(Settings!$G$20:$G$23,MATCH(AW124,Settings!$A$20:$A$23,0))&amp;" (outside appetite)"))</f>
        <v/>
      </c>
      <c r="AZ124" s="82"/>
      <c r="BA124" s="82"/>
      <c r="BB124" s="90"/>
      <c r="BC124" s="91" t="str">
        <f aca="false">IF(OR(BB124="",T124=""),"",BB124+INDEX(Settings!$E$20:$E$23,MATCH(T124,Settings!$A$20:$A$23,0)))</f>
        <v/>
      </c>
      <c r="BD124" s="90"/>
      <c r="BE124" s="82"/>
      <c r="BF124" s="81" t="str">
        <f aca="true">IF(A124="","",IF(OR(BE124="Closed",BE124="Accepted"),"No action",IF(BB124="","Set date identified",IF(TODAY()&gt;BC124,"Deadline exceeded",IF(BC124-TODAY()&lt;=Settings!$C$30,"Deadline approaching","On track")))))</f>
        <v/>
      </c>
      <c r="BG124" s="90"/>
      <c r="BH124" s="90"/>
      <c r="BI124" s="91" t="str">
        <f aca="false">IF(OR(BH124="",AW124=""),"",EDATE(BH124,INDEX(Settings!$F$20:$F$23,MATCH(AW124,Settings!$A$20:$A$23,0))))</f>
        <v/>
      </c>
      <c r="BJ124" s="85" t="str">
        <f aca="false">IF(T124="","",IF(MAX(IF(T124="",0,MATCH(T124,Settings!$A$20:$A$23,0)),IF(AV124="",0,MATCH(AV124,Settings!$A$20:$A$23,0)))&gt;=MATCH(Settings!$C$29,Settings!$A$20:$A$23,0),"Yes","No"))</f>
        <v/>
      </c>
      <c r="BK124" s="82"/>
      <c r="BL124" s="81" t="str">
        <f aca="true">IF(A124="","",IF(TRIM(IF(W124="","Treatment not chosen. ","")&amp;IF(AND(W124="Accept",AX124="No"),"Accepted outside appetite: record approval by "&amp;INDEX(Settings!$G$20:$G$23,MATCH(AW124,Settings!$A$20:$A$23,0))&amp;". ","")&amp;IF(AND(W124="Accept",BG124=""),"Acceptance expiry missing. ","")&amp;IF(AND(BG124&lt;&gt;"",BG124&lt;TODAY()),"Acceptance expired. ","")&amp;IF(AND(W124&lt;&gt;"",W124&lt;&gt;"Accept",AV124=""),"Target rating not set. ","")&amp;IF(AND(BE124="Closed",AX124="No"),"Closed while outside appetite. ","")&amp;IF(AND(W124="Transfer",BE124&lt;&gt;"Transferred",BE124&lt;&gt;"Closed"),"Transfer: record the contract, SLA and audit rights. ","")&amp;IF(AZ124="","Risk owner missing. ","")&amp;IF(K124="","Scenario not written. ",""))="","OK",TRIM(IF(W124="","Treatment not chosen. ","")&amp;IF(AND(W124="Accept",AX124="No"),"Accepted outside appetite: record approval by "&amp;INDEX(Settings!$G$20:$G$23,MATCH(AW124,Settings!$A$20:$A$23,0))&amp;". ","")&amp;IF(AND(W124="Accept",BG124=""),"Acceptance expiry missing. ","")&amp;IF(AND(BG124&lt;&gt;"",BG124&lt;TODAY()),"Acceptance expired. ","")&amp;IF(AND(W124&lt;&gt;"",W124&lt;&gt;"Accept",AV124=""),"Target rating not set. ","")&amp;IF(AND(BE124="Closed",AX124="No"),"Closed while outside appetite. ","")&amp;IF(AND(W124="Transfer",BE124&lt;&gt;"Transferred",BE124&lt;&gt;"Closed"),"Transfer: record the contract, SLA and audit rights. ","")&amp;IF(AZ124="","Risk owner missing. ","")&amp;IF(K124="","Scenario not written. ",""))))</f>
        <v/>
      </c>
      <c r="BM124" s="82"/>
    </row>
    <row r="125" customFormat="false" ht="15" hidden="false" customHeight="false" outlineLevel="0" collapsed="false">
      <c r="A125" s="84"/>
      <c r="B125" s="83"/>
      <c r="C125" s="80"/>
      <c r="D125" s="81" t="str">
        <f aca="false">IF(C125="","",IFERROR(INDEX(Lists!$O$2:$O$13,MATCH(C125,Lists!$N$2:$N$13,0)),"Check domain code"))</f>
        <v/>
      </c>
      <c r="E125" s="81" t="str">
        <f aca="false">IF(C125="","",IFERROR(INDEX(Lists!$P$2:$P$13,MATCH(C125,Lists!$N$2:$N$13,0)),""))</f>
        <v/>
      </c>
      <c r="F125" s="80"/>
      <c r="G125" s="82"/>
      <c r="H125" s="82"/>
      <c r="I125" s="82"/>
      <c r="J125" s="83"/>
      <c r="K125" s="82"/>
      <c r="L125" s="82"/>
      <c r="M125" s="84"/>
      <c r="N125" s="85"/>
      <c r="O125" s="82"/>
      <c r="P125" s="86"/>
      <c r="Q125" s="86"/>
      <c r="R125" s="86"/>
      <c r="S125" s="21" t="str">
        <f aca="false">IF(OR(Q125="",R125=""),"",Q125*R125)</f>
        <v/>
      </c>
      <c r="T125" s="85" t="str">
        <f aca="false">IF(S125="","",INDEX(Settings!$A$20:$A$23,MATCH(S125,Settings!$B$20:$B$23,1)))</f>
        <v/>
      </c>
      <c r="U125" s="82"/>
      <c r="V125" s="87"/>
      <c r="W125" s="86"/>
      <c r="X125" s="82"/>
      <c r="Y125" s="88"/>
      <c r="Z125" s="88"/>
      <c r="AA125" s="88"/>
      <c r="AB125" s="88"/>
      <c r="AC125" s="88"/>
      <c r="AD125" s="88"/>
      <c r="AE125" s="88"/>
      <c r="AF125" s="88"/>
      <c r="AG125" s="88"/>
      <c r="AH125" s="88"/>
      <c r="AI125" s="88"/>
      <c r="AJ125" s="89"/>
      <c r="AK125" s="88"/>
      <c r="AL125" s="88"/>
      <c r="AM125" s="88"/>
      <c r="AN125" s="88"/>
      <c r="AO125" s="88"/>
      <c r="AP125" s="88"/>
      <c r="AQ125" s="89"/>
      <c r="AR125" s="89"/>
      <c r="AS125" s="86"/>
      <c r="AT125" s="86"/>
      <c r="AU125" s="85" t="str">
        <f aca="false">IF(OR(AS125="",AT125=""),"",AS125*AT125)</f>
        <v/>
      </c>
      <c r="AV125" s="21" t="str">
        <f aca="false">IF(AU125="","",INDEX(Settings!$A$20:$A$23,MATCH(AU125,Settings!$B$20:$B$23,1)))</f>
        <v/>
      </c>
      <c r="AW125" s="85" t="str">
        <f aca="false">IF(AV125&lt;&gt;"",AV125,T125)</f>
        <v/>
      </c>
      <c r="AX125" s="85" t="str">
        <f aca="false">IF(AW125="","",IF(MATCH(AW125,Settings!$A$20:$A$23,0)&lt;=MATCH(Settings!$C$28,Settings!$A$20:$A$23,0),"Yes","No"))</f>
        <v/>
      </c>
      <c r="AY125" s="81" t="str">
        <f aca="false">IF(AW125="","",IF(AX125="Yes",INDEX(Settings!$G$20:$G$23,MATCH(AW125,Settings!$A$20:$A$23,0)),INDEX(Settings!$G$20:$G$23,MATCH(AW125,Settings!$A$20:$A$23,0))&amp;" (outside appetite)"))</f>
        <v/>
      </c>
      <c r="AZ125" s="82"/>
      <c r="BA125" s="82"/>
      <c r="BB125" s="90"/>
      <c r="BC125" s="91" t="str">
        <f aca="false">IF(OR(BB125="",T125=""),"",BB125+INDEX(Settings!$E$20:$E$23,MATCH(T125,Settings!$A$20:$A$23,0)))</f>
        <v/>
      </c>
      <c r="BD125" s="90"/>
      <c r="BE125" s="82"/>
      <c r="BF125" s="81" t="str">
        <f aca="true">IF(A125="","",IF(OR(BE125="Closed",BE125="Accepted"),"No action",IF(BB125="","Set date identified",IF(TODAY()&gt;BC125,"Deadline exceeded",IF(BC125-TODAY()&lt;=Settings!$C$30,"Deadline approaching","On track")))))</f>
        <v/>
      </c>
      <c r="BG125" s="90"/>
      <c r="BH125" s="90"/>
      <c r="BI125" s="91" t="str">
        <f aca="false">IF(OR(BH125="",AW125=""),"",EDATE(BH125,INDEX(Settings!$F$20:$F$23,MATCH(AW125,Settings!$A$20:$A$23,0))))</f>
        <v/>
      </c>
      <c r="BJ125" s="85" t="str">
        <f aca="false">IF(T125="","",IF(MAX(IF(T125="",0,MATCH(T125,Settings!$A$20:$A$23,0)),IF(AV125="",0,MATCH(AV125,Settings!$A$20:$A$23,0)))&gt;=MATCH(Settings!$C$29,Settings!$A$20:$A$23,0),"Yes","No"))</f>
        <v/>
      </c>
      <c r="BK125" s="82"/>
      <c r="BL125" s="81" t="str">
        <f aca="true">IF(A125="","",IF(TRIM(IF(W125="","Treatment not chosen. ","")&amp;IF(AND(W125="Accept",AX125="No"),"Accepted outside appetite: record approval by "&amp;INDEX(Settings!$G$20:$G$23,MATCH(AW125,Settings!$A$20:$A$23,0))&amp;". ","")&amp;IF(AND(W125="Accept",BG125=""),"Acceptance expiry missing. ","")&amp;IF(AND(BG125&lt;&gt;"",BG125&lt;TODAY()),"Acceptance expired. ","")&amp;IF(AND(W125&lt;&gt;"",W125&lt;&gt;"Accept",AV125=""),"Target rating not set. ","")&amp;IF(AND(BE125="Closed",AX125="No"),"Closed while outside appetite. ","")&amp;IF(AND(W125="Transfer",BE125&lt;&gt;"Transferred",BE125&lt;&gt;"Closed"),"Transfer: record the contract, SLA and audit rights. ","")&amp;IF(AZ125="","Risk owner missing. ","")&amp;IF(K125="","Scenario not written. ",""))="","OK",TRIM(IF(W125="","Treatment not chosen. ","")&amp;IF(AND(W125="Accept",AX125="No"),"Accepted outside appetite: record approval by "&amp;INDEX(Settings!$G$20:$G$23,MATCH(AW125,Settings!$A$20:$A$23,0))&amp;". ","")&amp;IF(AND(W125="Accept",BG125=""),"Acceptance expiry missing. ","")&amp;IF(AND(BG125&lt;&gt;"",BG125&lt;TODAY()),"Acceptance expired. ","")&amp;IF(AND(W125&lt;&gt;"",W125&lt;&gt;"Accept",AV125=""),"Target rating not set. ","")&amp;IF(AND(BE125="Closed",AX125="No"),"Closed while outside appetite. ","")&amp;IF(AND(W125="Transfer",BE125&lt;&gt;"Transferred",BE125&lt;&gt;"Closed"),"Transfer: record the contract, SLA and audit rights. ","")&amp;IF(AZ125="","Risk owner missing. ","")&amp;IF(K125="","Scenario not written. ",""))))</f>
        <v/>
      </c>
      <c r="BM125" s="82"/>
    </row>
    <row r="126" customFormat="false" ht="15" hidden="false" customHeight="false" outlineLevel="0" collapsed="false">
      <c r="A126" s="95"/>
      <c r="B126" s="94"/>
      <c r="C126" s="80"/>
      <c r="D126" s="81" t="str">
        <f aca="false">IF(C126="","",IFERROR(INDEX(Lists!$O$2:$O$13,MATCH(C126,Lists!$N$2:$N$13,0)),"Check domain code"))</f>
        <v/>
      </c>
      <c r="E126" s="81" t="str">
        <f aca="false">IF(C126="","",IFERROR(INDEX(Lists!$P$2:$P$13,MATCH(C126,Lists!$N$2:$N$13,0)),""))</f>
        <v/>
      </c>
      <c r="F126" s="80"/>
      <c r="G126" s="82"/>
      <c r="H126" s="82"/>
      <c r="I126" s="82"/>
      <c r="J126" s="94"/>
      <c r="K126" s="82"/>
      <c r="L126" s="82"/>
      <c r="M126" s="95"/>
      <c r="N126" s="85"/>
      <c r="O126" s="82"/>
      <c r="P126" s="86"/>
      <c r="Q126" s="86"/>
      <c r="R126" s="86"/>
      <c r="S126" s="21" t="str">
        <f aca="false">IF(OR(Q126="",R126=""),"",Q126*R126)</f>
        <v/>
      </c>
      <c r="T126" s="85" t="str">
        <f aca="false">IF(S126="","",INDEX(Settings!$A$20:$A$23,MATCH(S126,Settings!$B$20:$B$23,1)))</f>
        <v/>
      </c>
      <c r="U126" s="82"/>
      <c r="V126" s="87"/>
      <c r="W126" s="86"/>
      <c r="X126" s="82"/>
      <c r="Y126" s="96"/>
      <c r="Z126" s="96"/>
      <c r="AA126" s="96"/>
      <c r="AB126" s="96"/>
      <c r="AC126" s="96"/>
      <c r="AD126" s="96"/>
      <c r="AE126" s="96"/>
      <c r="AF126" s="96"/>
      <c r="AG126" s="96"/>
      <c r="AH126" s="96"/>
      <c r="AI126" s="96"/>
      <c r="AJ126" s="97"/>
      <c r="AK126" s="96"/>
      <c r="AL126" s="96"/>
      <c r="AM126" s="96"/>
      <c r="AN126" s="96"/>
      <c r="AO126" s="96"/>
      <c r="AP126" s="96"/>
      <c r="AQ126" s="97"/>
      <c r="AR126" s="97"/>
      <c r="AS126" s="86"/>
      <c r="AT126" s="86"/>
      <c r="AU126" s="85" t="str">
        <f aca="false">IF(OR(AS126="",AT126=""),"",AS126*AT126)</f>
        <v/>
      </c>
      <c r="AV126" s="21" t="str">
        <f aca="false">IF(AU126="","",INDEX(Settings!$A$20:$A$23,MATCH(AU126,Settings!$B$20:$B$23,1)))</f>
        <v/>
      </c>
      <c r="AW126" s="85" t="str">
        <f aca="false">IF(AV126&lt;&gt;"",AV126,T126)</f>
        <v/>
      </c>
      <c r="AX126" s="85" t="str">
        <f aca="false">IF(AW126="","",IF(MATCH(AW126,Settings!$A$20:$A$23,0)&lt;=MATCH(Settings!$C$28,Settings!$A$20:$A$23,0),"Yes","No"))</f>
        <v/>
      </c>
      <c r="AY126" s="81" t="str">
        <f aca="false">IF(AW126="","",IF(AX126="Yes",INDEX(Settings!$G$20:$G$23,MATCH(AW126,Settings!$A$20:$A$23,0)),INDEX(Settings!$G$20:$G$23,MATCH(AW126,Settings!$A$20:$A$23,0))&amp;" (outside appetite)"))</f>
        <v/>
      </c>
      <c r="AZ126" s="82"/>
      <c r="BA126" s="82"/>
      <c r="BB126" s="90"/>
      <c r="BC126" s="91" t="str">
        <f aca="false">IF(OR(BB126="",T126=""),"",BB126+INDEX(Settings!$E$20:$E$23,MATCH(T126,Settings!$A$20:$A$23,0)))</f>
        <v/>
      </c>
      <c r="BD126" s="90"/>
      <c r="BE126" s="82"/>
      <c r="BF126" s="81" t="str">
        <f aca="true">IF(A126="","",IF(OR(BE126="Closed",BE126="Accepted"),"No action",IF(BB126="","Set date identified",IF(TODAY()&gt;BC126,"Deadline exceeded",IF(BC126-TODAY()&lt;=Settings!$C$30,"Deadline approaching","On track")))))</f>
        <v/>
      </c>
      <c r="BG126" s="90"/>
      <c r="BH126" s="90"/>
      <c r="BI126" s="91" t="str">
        <f aca="false">IF(OR(BH126="",AW126=""),"",EDATE(BH126,INDEX(Settings!$F$20:$F$23,MATCH(AW126,Settings!$A$20:$A$23,0))))</f>
        <v/>
      </c>
      <c r="BJ126" s="85" t="str">
        <f aca="false">IF(T126="","",IF(MAX(IF(T126="",0,MATCH(T126,Settings!$A$20:$A$23,0)),IF(AV126="",0,MATCH(AV126,Settings!$A$20:$A$23,0)))&gt;=MATCH(Settings!$C$29,Settings!$A$20:$A$23,0),"Yes","No"))</f>
        <v/>
      </c>
      <c r="BK126" s="82"/>
      <c r="BL126" s="81" t="str">
        <f aca="true">IF(A126="","",IF(TRIM(IF(W126="","Treatment not chosen. ","")&amp;IF(AND(W126="Accept",AX126="No"),"Accepted outside appetite: record approval by "&amp;INDEX(Settings!$G$20:$G$23,MATCH(AW126,Settings!$A$20:$A$23,0))&amp;". ","")&amp;IF(AND(W126="Accept",BG126=""),"Acceptance expiry missing. ","")&amp;IF(AND(BG126&lt;&gt;"",BG126&lt;TODAY()),"Acceptance expired. ","")&amp;IF(AND(W126&lt;&gt;"",W126&lt;&gt;"Accept",AV126=""),"Target rating not set. ","")&amp;IF(AND(BE126="Closed",AX126="No"),"Closed while outside appetite. ","")&amp;IF(AND(W126="Transfer",BE126&lt;&gt;"Transferred",BE126&lt;&gt;"Closed"),"Transfer: record the contract, SLA and audit rights. ","")&amp;IF(AZ126="","Risk owner missing. ","")&amp;IF(K126="","Scenario not written. ",""))="","OK",TRIM(IF(W126="","Treatment not chosen. ","")&amp;IF(AND(W126="Accept",AX126="No"),"Accepted outside appetite: record approval by "&amp;INDEX(Settings!$G$20:$G$23,MATCH(AW126,Settings!$A$20:$A$23,0))&amp;". ","")&amp;IF(AND(W126="Accept",BG126=""),"Acceptance expiry missing. ","")&amp;IF(AND(BG126&lt;&gt;"",BG126&lt;TODAY()),"Acceptance expired. ","")&amp;IF(AND(W126&lt;&gt;"",W126&lt;&gt;"Accept",AV126=""),"Target rating not set. ","")&amp;IF(AND(BE126="Closed",AX126="No"),"Closed while outside appetite. ","")&amp;IF(AND(W126="Transfer",BE126&lt;&gt;"Transferred",BE126&lt;&gt;"Closed"),"Transfer: record the contract, SLA and audit rights. ","")&amp;IF(AZ126="","Risk owner missing. ","")&amp;IF(K126="","Scenario not written. ",""))))</f>
        <v/>
      </c>
      <c r="BM126" s="82"/>
    </row>
    <row r="127" customFormat="false" ht="15" hidden="false" customHeight="false" outlineLevel="0" collapsed="false">
      <c r="A127" s="84"/>
      <c r="B127" s="83"/>
      <c r="C127" s="80"/>
      <c r="D127" s="81" t="str">
        <f aca="false">IF(C127="","",IFERROR(INDEX(Lists!$O$2:$O$13,MATCH(C127,Lists!$N$2:$N$13,0)),"Check domain code"))</f>
        <v/>
      </c>
      <c r="E127" s="81" t="str">
        <f aca="false">IF(C127="","",IFERROR(INDEX(Lists!$P$2:$P$13,MATCH(C127,Lists!$N$2:$N$13,0)),""))</f>
        <v/>
      </c>
      <c r="F127" s="80"/>
      <c r="G127" s="82"/>
      <c r="H127" s="82"/>
      <c r="I127" s="82"/>
      <c r="J127" s="83"/>
      <c r="K127" s="82"/>
      <c r="L127" s="82"/>
      <c r="M127" s="84"/>
      <c r="N127" s="85"/>
      <c r="O127" s="82"/>
      <c r="P127" s="86"/>
      <c r="Q127" s="86"/>
      <c r="R127" s="86"/>
      <c r="S127" s="21" t="str">
        <f aca="false">IF(OR(Q127="",R127=""),"",Q127*R127)</f>
        <v/>
      </c>
      <c r="T127" s="85" t="str">
        <f aca="false">IF(S127="","",INDEX(Settings!$A$20:$A$23,MATCH(S127,Settings!$B$20:$B$23,1)))</f>
        <v/>
      </c>
      <c r="U127" s="82"/>
      <c r="V127" s="87"/>
      <c r="W127" s="86"/>
      <c r="X127" s="82"/>
      <c r="Y127" s="88"/>
      <c r="Z127" s="88"/>
      <c r="AA127" s="88"/>
      <c r="AB127" s="88"/>
      <c r="AC127" s="88"/>
      <c r="AD127" s="88"/>
      <c r="AE127" s="88"/>
      <c r="AF127" s="88"/>
      <c r="AG127" s="88"/>
      <c r="AH127" s="88"/>
      <c r="AI127" s="88"/>
      <c r="AJ127" s="89"/>
      <c r="AK127" s="88"/>
      <c r="AL127" s="88"/>
      <c r="AM127" s="88"/>
      <c r="AN127" s="88"/>
      <c r="AO127" s="88"/>
      <c r="AP127" s="88"/>
      <c r="AQ127" s="89"/>
      <c r="AR127" s="89"/>
      <c r="AS127" s="86"/>
      <c r="AT127" s="86"/>
      <c r="AU127" s="85" t="str">
        <f aca="false">IF(OR(AS127="",AT127=""),"",AS127*AT127)</f>
        <v/>
      </c>
      <c r="AV127" s="21" t="str">
        <f aca="false">IF(AU127="","",INDEX(Settings!$A$20:$A$23,MATCH(AU127,Settings!$B$20:$B$23,1)))</f>
        <v/>
      </c>
      <c r="AW127" s="85" t="str">
        <f aca="false">IF(AV127&lt;&gt;"",AV127,T127)</f>
        <v/>
      </c>
      <c r="AX127" s="85" t="str">
        <f aca="false">IF(AW127="","",IF(MATCH(AW127,Settings!$A$20:$A$23,0)&lt;=MATCH(Settings!$C$28,Settings!$A$20:$A$23,0),"Yes","No"))</f>
        <v/>
      </c>
      <c r="AY127" s="81" t="str">
        <f aca="false">IF(AW127="","",IF(AX127="Yes",INDEX(Settings!$G$20:$G$23,MATCH(AW127,Settings!$A$20:$A$23,0)),INDEX(Settings!$G$20:$G$23,MATCH(AW127,Settings!$A$20:$A$23,0))&amp;" (outside appetite)"))</f>
        <v/>
      </c>
      <c r="AZ127" s="82"/>
      <c r="BA127" s="82"/>
      <c r="BB127" s="90"/>
      <c r="BC127" s="91" t="str">
        <f aca="false">IF(OR(BB127="",T127=""),"",BB127+INDEX(Settings!$E$20:$E$23,MATCH(T127,Settings!$A$20:$A$23,0)))</f>
        <v/>
      </c>
      <c r="BD127" s="90"/>
      <c r="BE127" s="82"/>
      <c r="BF127" s="81" t="str">
        <f aca="true">IF(A127="","",IF(OR(BE127="Closed",BE127="Accepted"),"No action",IF(BB127="","Set date identified",IF(TODAY()&gt;BC127,"Deadline exceeded",IF(BC127-TODAY()&lt;=Settings!$C$30,"Deadline approaching","On track")))))</f>
        <v/>
      </c>
      <c r="BG127" s="90"/>
      <c r="BH127" s="90"/>
      <c r="BI127" s="91" t="str">
        <f aca="false">IF(OR(BH127="",AW127=""),"",EDATE(BH127,INDEX(Settings!$F$20:$F$23,MATCH(AW127,Settings!$A$20:$A$23,0))))</f>
        <v/>
      </c>
      <c r="BJ127" s="85" t="str">
        <f aca="false">IF(T127="","",IF(MAX(IF(T127="",0,MATCH(T127,Settings!$A$20:$A$23,0)),IF(AV127="",0,MATCH(AV127,Settings!$A$20:$A$23,0)))&gt;=MATCH(Settings!$C$29,Settings!$A$20:$A$23,0),"Yes","No"))</f>
        <v/>
      </c>
      <c r="BK127" s="82"/>
      <c r="BL127" s="81" t="str">
        <f aca="true">IF(A127="","",IF(TRIM(IF(W127="","Treatment not chosen. ","")&amp;IF(AND(W127="Accept",AX127="No"),"Accepted outside appetite: record approval by "&amp;INDEX(Settings!$G$20:$G$23,MATCH(AW127,Settings!$A$20:$A$23,0))&amp;". ","")&amp;IF(AND(W127="Accept",BG127=""),"Acceptance expiry missing. ","")&amp;IF(AND(BG127&lt;&gt;"",BG127&lt;TODAY()),"Acceptance expired. ","")&amp;IF(AND(W127&lt;&gt;"",W127&lt;&gt;"Accept",AV127=""),"Target rating not set. ","")&amp;IF(AND(BE127="Closed",AX127="No"),"Closed while outside appetite. ","")&amp;IF(AND(W127="Transfer",BE127&lt;&gt;"Transferred",BE127&lt;&gt;"Closed"),"Transfer: record the contract, SLA and audit rights. ","")&amp;IF(AZ127="","Risk owner missing. ","")&amp;IF(K127="","Scenario not written. ",""))="","OK",TRIM(IF(W127="","Treatment not chosen. ","")&amp;IF(AND(W127="Accept",AX127="No"),"Accepted outside appetite: record approval by "&amp;INDEX(Settings!$G$20:$G$23,MATCH(AW127,Settings!$A$20:$A$23,0))&amp;". ","")&amp;IF(AND(W127="Accept",BG127=""),"Acceptance expiry missing. ","")&amp;IF(AND(BG127&lt;&gt;"",BG127&lt;TODAY()),"Acceptance expired. ","")&amp;IF(AND(W127&lt;&gt;"",W127&lt;&gt;"Accept",AV127=""),"Target rating not set. ","")&amp;IF(AND(BE127="Closed",AX127="No"),"Closed while outside appetite. ","")&amp;IF(AND(W127="Transfer",BE127&lt;&gt;"Transferred",BE127&lt;&gt;"Closed"),"Transfer: record the contract, SLA and audit rights. ","")&amp;IF(AZ127="","Risk owner missing. ","")&amp;IF(K127="","Scenario not written. ",""))))</f>
        <v/>
      </c>
      <c r="BM127" s="82"/>
    </row>
    <row r="128" customFormat="false" ht="15" hidden="false" customHeight="false" outlineLevel="0" collapsed="false">
      <c r="A128" s="95"/>
      <c r="B128" s="94"/>
      <c r="C128" s="80"/>
      <c r="D128" s="81" t="str">
        <f aca="false">IF(C128="","",IFERROR(INDEX(Lists!$O$2:$O$13,MATCH(C128,Lists!$N$2:$N$13,0)),"Check domain code"))</f>
        <v/>
      </c>
      <c r="E128" s="81" t="str">
        <f aca="false">IF(C128="","",IFERROR(INDEX(Lists!$P$2:$P$13,MATCH(C128,Lists!$N$2:$N$13,0)),""))</f>
        <v/>
      </c>
      <c r="F128" s="80"/>
      <c r="G128" s="82"/>
      <c r="H128" s="82"/>
      <c r="I128" s="82"/>
      <c r="J128" s="94"/>
      <c r="K128" s="82"/>
      <c r="L128" s="82"/>
      <c r="M128" s="95"/>
      <c r="N128" s="85"/>
      <c r="O128" s="82"/>
      <c r="P128" s="86"/>
      <c r="Q128" s="86"/>
      <c r="R128" s="86"/>
      <c r="S128" s="21" t="str">
        <f aca="false">IF(OR(Q128="",R128=""),"",Q128*R128)</f>
        <v/>
      </c>
      <c r="T128" s="85" t="str">
        <f aca="false">IF(S128="","",INDEX(Settings!$A$20:$A$23,MATCH(S128,Settings!$B$20:$B$23,1)))</f>
        <v/>
      </c>
      <c r="U128" s="82"/>
      <c r="V128" s="87"/>
      <c r="W128" s="86"/>
      <c r="X128" s="82"/>
      <c r="Y128" s="96"/>
      <c r="Z128" s="96"/>
      <c r="AA128" s="96"/>
      <c r="AB128" s="96"/>
      <c r="AC128" s="96"/>
      <c r="AD128" s="96"/>
      <c r="AE128" s="96"/>
      <c r="AF128" s="96"/>
      <c r="AG128" s="96"/>
      <c r="AH128" s="96"/>
      <c r="AI128" s="96"/>
      <c r="AJ128" s="97"/>
      <c r="AK128" s="96"/>
      <c r="AL128" s="96"/>
      <c r="AM128" s="96"/>
      <c r="AN128" s="96"/>
      <c r="AO128" s="96"/>
      <c r="AP128" s="96"/>
      <c r="AQ128" s="97"/>
      <c r="AR128" s="97"/>
      <c r="AS128" s="86"/>
      <c r="AT128" s="86"/>
      <c r="AU128" s="85" t="str">
        <f aca="false">IF(OR(AS128="",AT128=""),"",AS128*AT128)</f>
        <v/>
      </c>
      <c r="AV128" s="21" t="str">
        <f aca="false">IF(AU128="","",INDEX(Settings!$A$20:$A$23,MATCH(AU128,Settings!$B$20:$B$23,1)))</f>
        <v/>
      </c>
      <c r="AW128" s="85" t="str">
        <f aca="false">IF(AV128&lt;&gt;"",AV128,T128)</f>
        <v/>
      </c>
      <c r="AX128" s="85" t="str">
        <f aca="false">IF(AW128="","",IF(MATCH(AW128,Settings!$A$20:$A$23,0)&lt;=MATCH(Settings!$C$28,Settings!$A$20:$A$23,0),"Yes","No"))</f>
        <v/>
      </c>
      <c r="AY128" s="81" t="str">
        <f aca="false">IF(AW128="","",IF(AX128="Yes",INDEX(Settings!$G$20:$G$23,MATCH(AW128,Settings!$A$20:$A$23,0)),INDEX(Settings!$G$20:$G$23,MATCH(AW128,Settings!$A$20:$A$23,0))&amp;" (outside appetite)"))</f>
        <v/>
      </c>
      <c r="AZ128" s="82"/>
      <c r="BA128" s="82"/>
      <c r="BB128" s="90"/>
      <c r="BC128" s="91" t="str">
        <f aca="false">IF(OR(BB128="",T128=""),"",BB128+INDEX(Settings!$E$20:$E$23,MATCH(T128,Settings!$A$20:$A$23,0)))</f>
        <v/>
      </c>
      <c r="BD128" s="90"/>
      <c r="BE128" s="82"/>
      <c r="BF128" s="81" t="str">
        <f aca="true">IF(A128="","",IF(OR(BE128="Closed",BE128="Accepted"),"No action",IF(BB128="","Set date identified",IF(TODAY()&gt;BC128,"Deadline exceeded",IF(BC128-TODAY()&lt;=Settings!$C$30,"Deadline approaching","On track")))))</f>
        <v/>
      </c>
      <c r="BG128" s="90"/>
      <c r="BH128" s="90"/>
      <c r="BI128" s="91" t="str">
        <f aca="false">IF(OR(BH128="",AW128=""),"",EDATE(BH128,INDEX(Settings!$F$20:$F$23,MATCH(AW128,Settings!$A$20:$A$23,0))))</f>
        <v/>
      </c>
      <c r="BJ128" s="85" t="str">
        <f aca="false">IF(T128="","",IF(MAX(IF(T128="",0,MATCH(T128,Settings!$A$20:$A$23,0)),IF(AV128="",0,MATCH(AV128,Settings!$A$20:$A$23,0)))&gt;=MATCH(Settings!$C$29,Settings!$A$20:$A$23,0),"Yes","No"))</f>
        <v/>
      </c>
      <c r="BK128" s="82"/>
      <c r="BL128" s="81" t="str">
        <f aca="true">IF(A128="","",IF(TRIM(IF(W128="","Treatment not chosen. ","")&amp;IF(AND(W128="Accept",AX128="No"),"Accepted outside appetite: record approval by "&amp;INDEX(Settings!$G$20:$G$23,MATCH(AW128,Settings!$A$20:$A$23,0))&amp;". ","")&amp;IF(AND(W128="Accept",BG128=""),"Acceptance expiry missing. ","")&amp;IF(AND(BG128&lt;&gt;"",BG128&lt;TODAY()),"Acceptance expired. ","")&amp;IF(AND(W128&lt;&gt;"",W128&lt;&gt;"Accept",AV128=""),"Target rating not set. ","")&amp;IF(AND(BE128="Closed",AX128="No"),"Closed while outside appetite. ","")&amp;IF(AND(W128="Transfer",BE128&lt;&gt;"Transferred",BE128&lt;&gt;"Closed"),"Transfer: record the contract, SLA and audit rights. ","")&amp;IF(AZ128="","Risk owner missing. ","")&amp;IF(K128="","Scenario not written. ",""))="","OK",TRIM(IF(W128="","Treatment not chosen. ","")&amp;IF(AND(W128="Accept",AX128="No"),"Accepted outside appetite: record approval by "&amp;INDEX(Settings!$G$20:$G$23,MATCH(AW128,Settings!$A$20:$A$23,0))&amp;". ","")&amp;IF(AND(W128="Accept",BG128=""),"Acceptance expiry missing. ","")&amp;IF(AND(BG128&lt;&gt;"",BG128&lt;TODAY()),"Acceptance expired. ","")&amp;IF(AND(W128&lt;&gt;"",W128&lt;&gt;"Accept",AV128=""),"Target rating not set. ","")&amp;IF(AND(BE128="Closed",AX128="No"),"Closed while outside appetite. ","")&amp;IF(AND(W128="Transfer",BE128&lt;&gt;"Transferred",BE128&lt;&gt;"Closed"),"Transfer: record the contract, SLA and audit rights. ","")&amp;IF(AZ128="","Risk owner missing. ","")&amp;IF(K128="","Scenario not written. ",""))))</f>
        <v/>
      </c>
      <c r="BM128" s="82"/>
    </row>
    <row r="129" customFormat="false" ht="15" hidden="false" customHeight="false" outlineLevel="0" collapsed="false">
      <c r="A129" s="84"/>
      <c r="B129" s="83"/>
      <c r="C129" s="80"/>
      <c r="D129" s="81" t="str">
        <f aca="false">IF(C129="","",IFERROR(INDEX(Lists!$O$2:$O$13,MATCH(C129,Lists!$N$2:$N$13,0)),"Check domain code"))</f>
        <v/>
      </c>
      <c r="E129" s="81" t="str">
        <f aca="false">IF(C129="","",IFERROR(INDEX(Lists!$P$2:$P$13,MATCH(C129,Lists!$N$2:$N$13,0)),""))</f>
        <v/>
      </c>
      <c r="F129" s="80"/>
      <c r="G129" s="82"/>
      <c r="H129" s="82"/>
      <c r="I129" s="82"/>
      <c r="J129" s="83"/>
      <c r="K129" s="82"/>
      <c r="L129" s="82"/>
      <c r="M129" s="84"/>
      <c r="N129" s="85"/>
      <c r="O129" s="82"/>
      <c r="P129" s="86"/>
      <c r="Q129" s="86"/>
      <c r="R129" s="86"/>
      <c r="S129" s="21" t="str">
        <f aca="false">IF(OR(Q129="",R129=""),"",Q129*R129)</f>
        <v/>
      </c>
      <c r="T129" s="85" t="str">
        <f aca="false">IF(S129="","",INDEX(Settings!$A$20:$A$23,MATCH(S129,Settings!$B$20:$B$23,1)))</f>
        <v/>
      </c>
      <c r="U129" s="82"/>
      <c r="V129" s="87"/>
      <c r="W129" s="86"/>
      <c r="X129" s="82"/>
      <c r="Y129" s="88"/>
      <c r="Z129" s="88"/>
      <c r="AA129" s="88"/>
      <c r="AB129" s="88"/>
      <c r="AC129" s="88"/>
      <c r="AD129" s="88"/>
      <c r="AE129" s="88"/>
      <c r="AF129" s="88"/>
      <c r="AG129" s="88"/>
      <c r="AH129" s="88"/>
      <c r="AI129" s="88"/>
      <c r="AJ129" s="89"/>
      <c r="AK129" s="88"/>
      <c r="AL129" s="88"/>
      <c r="AM129" s="88"/>
      <c r="AN129" s="88"/>
      <c r="AO129" s="88"/>
      <c r="AP129" s="88"/>
      <c r="AQ129" s="89"/>
      <c r="AR129" s="89"/>
      <c r="AS129" s="86"/>
      <c r="AT129" s="86"/>
      <c r="AU129" s="85" t="str">
        <f aca="false">IF(OR(AS129="",AT129=""),"",AS129*AT129)</f>
        <v/>
      </c>
      <c r="AV129" s="21" t="str">
        <f aca="false">IF(AU129="","",INDEX(Settings!$A$20:$A$23,MATCH(AU129,Settings!$B$20:$B$23,1)))</f>
        <v/>
      </c>
      <c r="AW129" s="85" t="str">
        <f aca="false">IF(AV129&lt;&gt;"",AV129,T129)</f>
        <v/>
      </c>
      <c r="AX129" s="85" t="str">
        <f aca="false">IF(AW129="","",IF(MATCH(AW129,Settings!$A$20:$A$23,0)&lt;=MATCH(Settings!$C$28,Settings!$A$20:$A$23,0),"Yes","No"))</f>
        <v/>
      </c>
      <c r="AY129" s="81" t="str">
        <f aca="false">IF(AW129="","",IF(AX129="Yes",INDEX(Settings!$G$20:$G$23,MATCH(AW129,Settings!$A$20:$A$23,0)),INDEX(Settings!$G$20:$G$23,MATCH(AW129,Settings!$A$20:$A$23,0))&amp;" (outside appetite)"))</f>
        <v/>
      </c>
      <c r="AZ129" s="82"/>
      <c r="BA129" s="82"/>
      <c r="BB129" s="90"/>
      <c r="BC129" s="91" t="str">
        <f aca="false">IF(OR(BB129="",T129=""),"",BB129+INDEX(Settings!$E$20:$E$23,MATCH(T129,Settings!$A$20:$A$23,0)))</f>
        <v/>
      </c>
      <c r="BD129" s="90"/>
      <c r="BE129" s="82"/>
      <c r="BF129" s="81" t="str">
        <f aca="true">IF(A129="","",IF(OR(BE129="Closed",BE129="Accepted"),"No action",IF(BB129="","Set date identified",IF(TODAY()&gt;BC129,"Deadline exceeded",IF(BC129-TODAY()&lt;=Settings!$C$30,"Deadline approaching","On track")))))</f>
        <v/>
      </c>
      <c r="BG129" s="90"/>
      <c r="BH129" s="90"/>
      <c r="BI129" s="91" t="str">
        <f aca="false">IF(OR(BH129="",AW129=""),"",EDATE(BH129,INDEX(Settings!$F$20:$F$23,MATCH(AW129,Settings!$A$20:$A$23,0))))</f>
        <v/>
      </c>
      <c r="BJ129" s="85" t="str">
        <f aca="false">IF(T129="","",IF(MAX(IF(T129="",0,MATCH(T129,Settings!$A$20:$A$23,0)),IF(AV129="",0,MATCH(AV129,Settings!$A$20:$A$23,0)))&gt;=MATCH(Settings!$C$29,Settings!$A$20:$A$23,0),"Yes","No"))</f>
        <v/>
      </c>
      <c r="BK129" s="82"/>
      <c r="BL129" s="81" t="str">
        <f aca="true">IF(A129="","",IF(TRIM(IF(W129="","Treatment not chosen. ","")&amp;IF(AND(W129="Accept",AX129="No"),"Accepted outside appetite: record approval by "&amp;INDEX(Settings!$G$20:$G$23,MATCH(AW129,Settings!$A$20:$A$23,0))&amp;". ","")&amp;IF(AND(W129="Accept",BG129=""),"Acceptance expiry missing. ","")&amp;IF(AND(BG129&lt;&gt;"",BG129&lt;TODAY()),"Acceptance expired. ","")&amp;IF(AND(W129&lt;&gt;"",W129&lt;&gt;"Accept",AV129=""),"Target rating not set. ","")&amp;IF(AND(BE129="Closed",AX129="No"),"Closed while outside appetite. ","")&amp;IF(AND(W129="Transfer",BE129&lt;&gt;"Transferred",BE129&lt;&gt;"Closed"),"Transfer: record the contract, SLA and audit rights. ","")&amp;IF(AZ129="","Risk owner missing. ","")&amp;IF(K129="","Scenario not written. ",""))="","OK",TRIM(IF(W129="","Treatment not chosen. ","")&amp;IF(AND(W129="Accept",AX129="No"),"Accepted outside appetite: record approval by "&amp;INDEX(Settings!$G$20:$G$23,MATCH(AW129,Settings!$A$20:$A$23,0))&amp;". ","")&amp;IF(AND(W129="Accept",BG129=""),"Acceptance expiry missing. ","")&amp;IF(AND(BG129&lt;&gt;"",BG129&lt;TODAY()),"Acceptance expired. ","")&amp;IF(AND(W129&lt;&gt;"",W129&lt;&gt;"Accept",AV129=""),"Target rating not set. ","")&amp;IF(AND(BE129="Closed",AX129="No"),"Closed while outside appetite. ","")&amp;IF(AND(W129="Transfer",BE129&lt;&gt;"Transferred",BE129&lt;&gt;"Closed"),"Transfer: record the contract, SLA and audit rights. ","")&amp;IF(AZ129="","Risk owner missing. ","")&amp;IF(K129="","Scenario not written. ",""))))</f>
        <v/>
      </c>
      <c r="BM129" s="82"/>
    </row>
    <row r="130" customFormat="false" ht="15" hidden="false" customHeight="false" outlineLevel="0" collapsed="false">
      <c r="A130" s="95"/>
      <c r="B130" s="94"/>
      <c r="C130" s="80"/>
      <c r="D130" s="81" t="str">
        <f aca="false">IF(C130="","",IFERROR(INDEX(Lists!$O$2:$O$13,MATCH(C130,Lists!$N$2:$N$13,0)),"Check domain code"))</f>
        <v/>
      </c>
      <c r="E130" s="81" t="str">
        <f aca="false">IF(C130="","",IFERROR(INDEX(Lists!$P$2:$P$13,MATCH(C130,Lists!$N$2:$N$13,0)),""))</f>
        <v/>
      </c>
      <c r="F130" s="80"/>
      <c r="G130" s="82"/>
      <c r="H130" s="82"/>
      <c r="I130" s="82"/>
      <c r="J130" s="94"/>
      <c r="K130" s="82"/>
      <c r="L130" s="82"/>
      <c r="M130" s="95"/>
      <c r="N130" s="85"/>
      <c r="O130" s="82"/>
      <c r="P130" s="86"/>
      <c r="Q130" s="86"/>
      <c r="R130" s="86"/>
      <c r="S130" s="21" t="str">
        <f aca="false">IF(OR(Q130="",R130=""),"",Q130*R130)</f>
        <v/>
      </c>
      <c r="T130" s="85" t="str">
        <f aca="false">IF(S130="","",INDEX(Settings!$A$20:$A$23,MATCH(S130,Settings!$B$20:$B$23,1)))</f>
        <v/>
      </c>
      <c r="U130" s="82"/>
      <c r="V130" s="87"/>
      <c r="W130" s="86"/>
      <c r="X130" s="82"/>
      <c r="Y130" s="96"/>
      <c r="Z130" s="96"/>
      <c r="AA130" s="96"/>
      <c r="AB130" s="96"/>
      <c r="AC130" s="96"/>
      <c r="AD130" s="96"/>
      <c r="AE130" s="96"/>
      <c r="AF130" s="96"/>
      <c r="AG130" s="96"/>
      <c r="AH130" s="96"/>
      <c r="AI130" s="96"/>
      <c r="AJ130" s="97"/>
      <c r="AK130" s="96"/>
      <c r="AL130" s="96"/>
      <c r="AM130" s="96"/>
      <c r="AN130" s="96"/>
      <c r="AO130" s="96"/>
      <c r="AP130" s="96"/>
      <c r="AQ130" s="97"/>
      <c r="AR130" s="97"/>
      <c r="AS130" s="86"/>
      <c r="AT130" s="86"/>
      <c r="AU130" s="85" t="str">
        <f aca="false">IF(OR(AS130="",AT130=""),"",AS130*AT130)</f>
        <v/>
      </c>
      <c r="AV130" s="21" t="str">
        <f aca="false">IF(AU130="","",INDEX(Settings!$A$20:$A$23,MATCH(AU130,Settings!$B$20:$B$23,1)))</f>
        <v/>
      </c>
      <c r="AW130" s="85" t="str">
        <f aca="false">IF(AV130&lt;&gt;"",AV130,T130)</f>
        <v/>
      </c>
      <c r="AX130" s="85" t="str">
        <f aca="false">IF(AW130="","",IF(MATCH(AW130,Settings!$A$20:$A$23,0)&lt;=MATCH(Settings!$C$28,Settings!$A$20:$A$23,0),"Yes","No"))</f>
        <v/>
      </c>
      <c r="AY130" s="81" t="str">
        <f aca="false">IF(AW130="","",IF(AX130="Yes",INDEX(Settings!$G$20:$G$23,MATCH(AW130,Settings!$A$20:$A$23,0)),INDEX(Settings!$G$20:$G$23,MATCH(AW130,Settings!$A$20:$A$23,0))&amp;" (outside appetite)"))</f>
        <v/>
      </c>
      <c r="AZ130" s="82"/>
      <c r="BA130" s="82"/>
      <c r="BB130" s="90"/>
      <c r="BC130" s="91" t="str">
        <f aca="false">IF(OR(BB130="",T130=""),"",BB130+INDEX(Settings!$E$20:$E$23,MATCH(T130,Settings!$A$20:$A$23,0)))</f>
        <v/>
      </c>
      <c r="BD130" s="90"/>
      <c r="BE130" s="82"/>
      <c r="BF130" s="81" t="str">
        <f aca="true">IF(A130="","",IF(OR(BE130="Closed",BE130="Accepted"),"No action",IF(BB130="","Set date identified",IF(TODAY()&gt;BC130,"Deadline exceeded",IF(BC130-TODAY()&lt;=Settings!$C$30,"Deadline approaching","On track")))))</f>
        <v/>
      </c>
      <c r="BG130" s="90"/>
      <c r="BH130" s="90"/>
      <c r="BI130" s="91" t="str">
        <f aca="false">IF(OR(BH130="",AW130=""),"",EDATE(BH130,INDEX(Settings!$F$20:$F$23,MATCH(AW130,Settings!$A$20:$A$23,0))))</f>
        <v/>
      </c>
      <c r="BJ130" s="85" t="str">
        <f aca="false">IF(T130="","",IF(MAX(IF(T130="",0,MATCH(T130,Settings!$A$20:$A$23,0)),IF(AV130="",0,MATCH(AV130,Settings!$A$20:$A$23,0)))&gt;=MATCH(Settings!$C$29,Settings!$A$20:$A$23,0),"Yes","No"))</f>
        <v/>
      </c>
      <c r="BK130" s="82"/>
      <c r="BL130" s="81" t="str">
        <f aca="true">IF(A130="","",IF(TRIM(IF(W130="","Treatment not chosen. ","")&amp;IF(AND(W130="Accept",AX130="No"),"Accepted outside appetite: record approval by "&amp;INDEX(Settings!$G$20:$G$23,MATCH(AW130,Settings!$A$20:$A$23,0))&amp;". ","")&amp;IF(AND(W130="Accept",BG130=""),"Acceptance expiry missing. ","")&amp;IF(AND(BG130&lt;&gt;"",BG130&lt;TODAY()),"Acceptance expired. ","")&amp;IF(AND(W130&lt;&gt;"",W130&lt;&gt;"Accept",AV130=""),"Target rating not set. ","")&amp;IF(AND(BE130="Closed",AX130="No"),"Closed while outside appetite. ","")&amp;IF(AND(W130="Transfer",BE130&lt;&gt;"Transferred",BE130&lt;&gt;"Closed"),"Transfer: record the contract, SLA and audit rights. ","")&amp;IF(AZ130="","Risk owner missing. ","")&amp;IF(K130="","Scenario not written. ",""))="","OK",TRIM(IF(W130="","Treatment not chosen. ","")&amp;IF(AND(W130="Accept",AX130="No"),"Accepted outside appetite: record approval by "&amp;INDEX(Settings!$G$20:$G$23,MATCH(AW130,Settings!$A$20:$A$23,0))&amp;". ","")&amp;IF(AND(W130="Accept",BG130=""),"Acceptance expiry missing. ","")&amp;IF(AND(BG130&lt;&gt;"",BG130&lt;TODAY()),"Acceptance expired. ","")&amp;IF(AND(W130&lt;&gt;"",W130&lt;&gt;"Accept",AV130=""),"Target rating not set. ","")&amp;IF(AND(BE130="Closed",AX130="No"),"Closed while outside appetite. ","")&amp;IF(AND(W130="Transfer",BE130&lt;&gt;"Transferred",BE130&lt;&gt;"Closed"),"Transfer: record the contract, SLA and audit rights. ","")&amp;IF(AZ130="","Risk owner missing. ","")&amp;IF(K130="","Scenario not written. ",""))))</f>
        <v/>
      </c>
      <c r="BM130" s="82"/>
    </row>
    <row r="131" customFormat="false" ht="15" hidden="false" customHeight="false" outlineLevel="0" collapsed="false">
      <c r="A131" s="84"/>
      <c r="B131" s="83"/>
      <c r="C131" s="80"/>
      <c r="D131" s="81" t="str">
        <f aca="false">IF(C131="","",IFERROR(INDEX(Lists!$O$2:$O$13,MATCH(C131,Lists!$N$2:$N$13,0)),"Check domain code"))</f>
        <v/>
      </c>
      <c r="E131" s="81" t="str">
        <f aca="false">IF(C131="","",IFERROR(INDEX(Lists!$P$2:$P$13,MATCH(C131,Lists!$N$2:$N$13,0)),""))</f>
        <v/>
      </c>
      <c r="F131" s="80"/>
      <c r="G131" s="82"/>
      <c r="H131" s="82"/>
      <c r="I131" s="82"/>
      <c r="J131" s="83"/>
      <c r="K131" s="82"/>
      <c r="L131" s="82"/>
      <c r="M131" s="84"/>
      <c r="N131" s="85"/>
      <c r="O131" s="82"/>
      <c r="P131" s="86"/>
      <c r="Q131" s="86"/>
      <c r="R131" s="86"/>
      <c r="S131" s="21" t="str">
        <f aca="false">IF(OR(Q131="",R131=""),"",Q131*R131)</f>
        <v/>
      </c>
      <c r="T131" s="85" t="str">
        <f aca="false">IF(S131="","",INDEX(Settings!$A$20:$A$23,MATCH(S131,Settings!$B$20:$B$23,1)))</f>
        <v/>
      </c>
      <c r="U131" s="82"/>
      <c r="V131" s="87"/>
      <c r="W131" s="86"/>
      <c r="X131" s="82"/>
      <c r="Y131" s="88"/>
      <c r="Z131" s="88"/>
      <c r="AA131" s="88"/>
      <c r="AB131" s="88"/>
      <c r="AC131" s="88"/>
      <c r="AD131" s="88"/>
      <c r="AE131" s="88"/>
      <c r="AF131" s="88"/>
      <c r="AG131" s="88"/>
      <c r="AH131" s="88"/>
      <c r="AI131" s="88"/>
      <c r="AJ131" s="89"/>
      <c r="AK131" s="88"/>
      <c r="AL131" s="88"/>
      <c r="AM131" s="88"/>
      <c r="AN131" s="88"/>
      <c r="AO131" s="88"/>
      <c r="AP131" s="88"/>
      <c r="AQ131" s="89"/>
      <c r="AR131" s="89"/>
      <c r="AS131" s="86"/>
      <c r="AT131" s="86"/>
      <c r="AU131" s="85" t="str">
        <f aca="false">IF(OR(AS131="",AT131=""),"",AS131*AT131)</f>
        <v/>
      </c>
      <c r="AV131" s="21" t="str">
        <f aca="false">IF(AU131="","",INDEX(Settings!$A$20:$A$23,MATCH(AU131,Settings!$B$20:$B$23,1)))</f>
        <v/>
      </c>
      <c r="AW131" s="85" t="str">
        <f aca="false">IF(AV131&lt;&gt;"",AV131,T131)</f>
        <v/>
      </c>
      <c r="AX131" s="85" t="str">
        <f aca="false">IF(AW131="","",IF(MATCH(AW131,Settings!$A$20:$A$23,0)&lt;=MATCH(Settings!$C$28,Settings!$A$20:$A$23,0),"Yes","No"))</f>
        <v/>
      </c>
      <c r="AY131" s="81" t="str">
        <f aca="false">IF(AW131="","",IF(AX131="Yes",INDEX(Settings!$G$20:$G$23,MATCH(AW131,Settings!$A$20:$A$23,0)),INDEX(Settings!$G$20:$G$23,MATCH(AW131,Settings!$A$20:$A$23,0))&amp;" (outside appetite)"))</f>
        <v/>
      </c>
      <c r="AZ131" s="82"/>
      <c r="BA131" s="82"/>
      <c r="BB131" s="90"/>
      <c r="BC131" s="91" t="str">
        <f aca="false">IF(OR(BB131="",T131=""),"",BB131+INDEX(Settings!$E$20:$E$23,MATCH(T131,Settings!$A$20:$A$23,0)))</f>
        <v/>
      </c>
      <c r="BD131" s="90"/>
      <c r="BE131" s="82"/>
      <c r="BF131" s="81" t="str">
        <f aca="true">IF(A131="","",IF(OR(BE131="Closed",BE131="Accepted"),"No action",IF(BB131="","Set date identified",IF(TODAY()&gt;BC131,"Deadline exceeded",IF(BC131-TODAY()&lt;=Settings!$C$30,"Deadline approaching","On track")))))</f>
        <v/>
      </c>
      <c r="BG131" s="90"/>
      <c r="BH131" s="90"/>
      <c r="BI131" s="91" t="str">
        <f aca="false">IF(OR(BH131="",AW131=""),"",EDATE(BH131,INDEX(Settings!$F$20:$F$23,MATCH(AW131,Settings!$A$20:$A$23,0))))</f>
        <v/>
      </c>
      <c r="BJ131" s="85" t="str">
        <f aca="false">IF(T131="","",IF(MAX(IF(T131="",0,MATCH(T131,Settings!$A$20:$A$23,0)),IF(AV131="",0,MATCH(AV131,Settings!$A$20:$A$23,0)))&gt;=MATCH(Settings!$C$29,Settings!$A$20:$A$23,0),"Yes","No"))</f>
        <v/>
      </c>
      <c r="BK131" s="82"/>
      <c r="BL131" s="81" t="str">
        <f aca="true">IF(A131="","",IF(TRIM(IF(W131="","Treatment not chosen. ","")&amp;IF(AND(W131="Accept",AX131="No"),"Accepted outside appetite: record approval by "&amp;INDEX(Settings!$G$20:$G$23,MATCH(AW131,Settings!$A$20:$A$23,0))&amp;". ","")&amp;IF(AND(W131="Accept",BG131=""),"Acceptance expiry missing. ","")&amp;IF(AND(BG131&lt;&gt;"",BG131&lt;TODAY()),"Acceptance expired. ","")&amp;IF(AND(W131&lt;&gt;"",W131&lt;&gt;"Accept",AV131=""),"Target rating not set. ","")&amp;IF(AND(BE131="Closed",AX131="No"),"Closed while outside appetite. ","")&amp;IF(AND(W131="Transfer",BE131&lt;&gt;"Transferred",BE131&lt;&gt;"Closed"),"Transfer: record the contract, SLA and audit rights. ","")&amp;IF(AZ131="","Risk owner missing. ","")&amp;IF(K131="","Scenario not written. ",""))="","OK",TRIM(IF(W131="","Treatment not chosen. ","")&amp;IF(AND(W131="Accept",AX131="No"),"Accepted outside appetite: record approval by "&amp;INDEX(Settings!$G$20:$G$23,MATCH(AW131,Settings!$A$20:$A$23,0))&amp;". ","")&amp;IF(AND(W131="Accept",BG131=""),"Acceptance expiry missing. ","")&amp;IF(AND(BG131&lt;&gt;"",BG131&lt;TODAY()),"Acceptance expired. ","")&amp;IF(AND(W131&lt;&gt;"",W131&lt;&gt;"Accept",AV131=""),"Target rating not set. ","")&amp;IF(AND(BE131="Closed",AX131="No"),"Closed while outside appetite. ","")&amp;IF(AND(W131="Transfer",BE131&lt;&gt;"Transferred",BE131&lt;&gt;"Closed"),"Transfer: record the contract, SLA and audit rights. ","")&amp;IF(AZ131="","Risk owner missing. ","")&amp;IF(K131="","Scenario not written. ",""))))</f>
        <v/>
      </c>
      <c r="BM131" s="82"/>
    </row>
    <row r="132" customFormat="false" ht="15" hidden="false" customHeight="false" outlineLevel="0" collapsed="false">
      <c r="A132" s="95"/>
      <c r="B132" s="94"/>
      <c r="C132" s="80"/>
      <c r="D132" s="81" t="str">
        <f aca="false">IF(C132="","",IFERROR(INDEX(Lists!$O$2:$O$13,MATCH(C132,Lists!$N$2:$N$13,0)),"Check domain code"))</f>
        <v/>
      </c>
      <c r="E132" s="81" t="str">
        <f aca="false">IF(C132="","",IFERROR(INDEX(Lists!$P$2:$P$13,MATCH(C132,Lists!$N$2:$N$13,0)),""))</f>
        <v/>
      </c>
      <c r="F132" s="80"/>
      <c r="G132" s="82"/>
      <c r="H132" s="82"/>
      <c r="I132" s="82"/>
      <c r="J132" s="94"/>
      <c r="K132" s="82"/>
      <c r="L132" s="82"/>
      <c r="M132" s="95"/>
      <c r="N132" s="85"/>
      <c r="O132" s="82"/>
      <c r="P132" s="86"/>
      <c r="Q132" s="86"/>
      <c r="R132" s="86"/>
      <c r="S132" s="21" t="str">
        <f aca="false">IF(OR(Q132="",R132=""),"",Q132*R132)</f>
        <v/>
      </c>
      <c r="T132" s="85" t="str">
        <f aca="false">IF(S132="","",INDEX(Settings!$A$20:$A$23,MATCH(S132,Settings!$B$20:$B$23,1)))</f>
        <v/>
      </c>
      <c r="U132" s="82"/>
      <c r="V132" s="87"/>
      <c r="W132" s="86"/>
      <c r="X132" s="82"/>
      <c r="Y132" s="96"/>
      <c r="Z132" s="96"/>
      <c r="AA132" s="96"/>
      <c r="AB132" s="96"/>
      <c r="AC132" s="96"/>
      <c r="AD132" s="96"/>
      <c r="AE132" s="96"/>
      <c r="AF132" s="96"/>
      <c r="AG132" s="96"/>
      <c r="AH132" s="96"/>
      <c r="AI132" s="96"/>
      <c r="AJ132" s="97"/>
      <c r="AK132" s="96"/>
      <c r="AL132" s="96"/>
      <c r="AM132" s="96"/>
      <c r="AN132" s="96"/>
      <c r="AO132" s="96"/>
      <c r="AP132" s="96"/>
      <c r="AQ132" s="97"/>
      <c r="AR132" s="97"/>
      <c r="AS132" s="86"/>
      <c r="AT132" s="86"/>
      <c r="AU132" s="85" t="str">
        <f aca="false">IF(OR(AS132="",AT132=""),"",AS132*AT132)</f>
        <v/>
      </c>
      <c r="AV132" s="21" t="str">
        <f aca="false">IF(AU132="","",INDEX(Settings!$A$20:$A$23,MATCH(AU132,Settings!$B$20:$B$23,1)))</f>
        <v/>
      </c>
      <c r="AW132" s="85" t="str">
        <f aca="false">IF(AV132&lt;&gt;"",AV132,T132)</f>
        <v/>
      </c>
      <c r="AX132" s="85" t="str">
        <f aca="false">IF(AW132="","",IF(MATCH(AW132,Settings!$A$20:$A$23,0)&lt;=MATCH(Settings!$C$28,Settings!$A$20:$A$23,0),"Yes","No"))</f>
        <v/>
      </c>
      <c r="AY132" s="81" t="str">
        <f aca="false">IF(AW132="","",IF(AX132="Yes",INDEX(Settings!$G$20:$G$23,MATCH(AW132,Settings!$A$20:$A$23,0)),INDEX(Settings!$G$20:$G$23,MATCH(AW132,Settings!$A$20:$A$23,0))&amp;" (outside appetite)"))</f>
        <v/>
      </c>
      <c r="AZ132" s="82"/>
      <c r="BA132" s="82"/>
      <c r="BB132" s="90"/>
      <c r="BC132" s="91" t="str">
        <f aca="false">IF(OR(BB132="",T132=""),"",BB132+INDEX(Settings!$E$20:$E$23,MATCH(T132,Settings!$A$20:$A$23,0)))</f>
        <v/>
      </c>
      <c r="BD132" s="90"/>
      <c r="BE132" s="82"/>
      <c r="BF132" s="81" t="str">
        <f aca="true">IF(A132="","",IF(OR(BE132="Closed",BE132="Accepted"),"No action",IF(BB132="","Set date identified",IF(TODAY()&gt;BC132,"Deadline exceeded",IF(BC132-TODAY()&lt;=Settings!$C$30,"Deadline approaching","On track")))))</f>
        <v/>
      </c>
      <c r="BG132" s="90"/>
      <c r="BH132" s="90"/>
      <c r="BI132" s="91" t="str">
        <f aca="false">IF(OR(BH132="",AW132=""),"",EDATE(BH132,INDEX(Settings!$F$20:$F$23,MATCH(AW132,Settings!$A$20:$A$23,0))))</f>
        <v/>
      </c>
      <c r="BJ132" s="85" t="str">
        <f aca="false">IF(T132="","",IF(MAX(IF(T132="",0,MATCH(T132,Settings!$A$20:$A$23,0)),IF(AV132="",0,MATCH(AV132,Settings!$A$20:$A$23,0)))&gt;=MATCH(Settings!$C$29,Settings!$A$20:$A$23,0),"Yes","No"))</f>
        <v/>
      </c>
      <c r="BK132" s="82"/>
      <c r="BL132" s="81" t="str">
        <f aca="true">IF(A132="","",IF(TRIM(IF(W132="","Treatment not chosen. ","")&amp;IF(AND(W132="Accept",AX132="No"),"Accepted outside appetite: record approval by "&amp;INDEX(Settings!$G$20:$G$23,MATCH(AW132,Settings!$A$20:$A$23,0))&amp;". ","")&amp;IF(AND(W132="Accept",BG132=""),"Acceptance expiry missing. ","")&amp;IF(AND(BG132&lt;&gt;"",BG132&lt;TODAY()),"Acceptance expired. ","")&amp;IF(AND(W132&lt;&gt;"",W132&lt;&gt;"Accept",AV132=""),"Target rating not set. ","")&amp;IF(AND(BE132="Closed",AX132="No"),"Closed while outside appetite. ","")&amp;IF(AND(W132="Transfer",BE132&lt;&gt;"Transferred",BE132&lt;&gt;"Closed"),"Transfer: record the contract, SLA and audit rights. ","")&amp;IF(AZ132="","Risk owner missing. ","")&amp;IF(K132="","Scenario not written. ",""))="","OK",TRIM(IF(W132="","Treatment not chosen. ","")&amp;IF(AND(W132="Accept",AX132="No"),"Accepted outside appetite: record approval by "&amp;INDEX(Settings!$G$20:$G$23,MATCH(AW132,Settings!$A$20:$A$23,0))&amp;". ","")&amp;IF(AND(W132="Accept",BG132=""),"Acceptance expiry missing. ","")&amp;IF(AND(BG132&lt;&gt;"",BG132&lt;TODAY()),"Acceptance expired. ","")&amp;IF(AND(W132&lt;&gt;"",W132&lt;&gt;"Accept",AV132=""),"Target rating not set. ","")&amp;IF(AND(BE132="Closed",AX132="No"),"Closed while outside appetite. ","")&amp;IF(AND(W132="Transfer",BE132&lt;&gt;"Transferred",BE132&lt;&gt;"Closed"),"Transfer: record the contract, SLA and audit rights. ","")&amp;IF(AZ132="","Risk owner missing. ","")&amp;IF(K132="","Scenario not written. ",""))))</f>
        <v/>
      </c>
      <c r="BM132" s="82"/>
    </row>
    <row r="133" customFormat="false" ht="15" hidden="false" customHeight="false" outlineLevel="0" collapsed="false">
      <c r="A133" s="84"/>
      <c r="B133" s="83"/>
      <c r="C133" s="80"/>
      <c r="D133" s="81" t="str">
        <f aca="false">IF(C133="","",IFERROR(INDEX(Lists!$O$2:$O$13,MATCH(C133,Lists!$N$2:$N$13,0)),"Check domain code"))</f>
        <v/>
      </c>
      <c r="E133" s="81" t="str">
        <f aca="false">IF(C133="","",IFERROR(INDEX(Lists!$P$2:$P$13,MATCH(C133,Lists!$N$2:$N$13,0)),""))</f>
        <v/>
      </c>
      <c r="F133" s="80"/>
      <c r="G133" s="82"/>
      <c r="H133" s="82"/>
      <c r="I133" s="82"/>
      <c r="J133" s="83"/>
      <c r="K133" s="82"/>
      <c r="L133" s="82"/>
      <c r="M133" s="84"/>
      <c r="N133" s="85"/>
      <c r="O133" s="82"/>
      <c r="P133" s="86"/>
      <c r="Q133" s="86"/>
      <c r="R133" s="86"/>
      <c r="S133" s="21" t="str">
        <f aca="false">IF(OR(Q133="",R133=""),"",Q133*R133)</f>
        <v/>
      </c>
      <c r="T133" s="85" t="str">
        <f aca="false">IF(S133="","",INDEX(Settings!$A$20:$A$23,MATCH(S133,Settings!$B$20:$B$23,1)))</f>
        <v/>
      </c>
      <c r="U133" s="82"/>
      <c r="V133" s="87"/>
      <c r="W133" s="86"/>
      <c r="X133" s="82"/>
      <c r="Y133" s="88"/>
      <c r="Z133" s="88"/>
      <c r="AA133" s="88"/>
      <c r="AB133" s="88"/>
      <c r="AC133" s="88"/>
      <c r="AD133" s="88"/>
      <c r="AE133" s="88"/>
      <c r="AF133" s="88"/>
      <c r="AG133" s="88"/>
      <c r="AH133" s="88"/>
      <c r="AI133" s="88"/>
      <c r="AJ133" s="89"/>
      <c r="AK133" s="88"/>
      <c r="AL133" s="88"/>
      <c r="AM133" s="88"/>
      <c r="AN133" s="88"/>
      <c r="AO133" s="88"/>
      <c r="AP133" s="88"/>
      <c r="AQ133" s="89"/>
      <c r="AR133" s="89"/>
      <c r="AS133" s="86"/>
      <c r="AT133" s="86"/>
      <c r="AU133" s="85" t="str">
        <f aca="false">IF(OR(AS133="",AT133=""),"",AS133*AT133)</f>
        <v/>
      </c>
      <c r="AV133" s="21" t="str">
        <f aca="false">IF(AU133="","",INDEX(Settings!$A$20:$A$23,MATCH(AU133,Settings!$B$20:$B$23,1)))</f>
        <v/>
      </c>
      <c r="AW133" s="85" t="str">
        <f aca="false">IF(AV133&lt;&gt;"",AV133,T133)</f>
        <v/>
      </c>
      <c r="AX133" s="85" t="str">
        <f aca="false">IF(AW133="","",IF(MATCH(AW133,Settings!$A$20:$A$23,0)&lt;=MATCH(Settings!$C$28,Settings!$A$20:$A$23,0),"Yes","No"))</f>
        <v/>
      </c>
      <c r="AY133" s="81" t="str">
        <f aca="false">IF(AW133="","",IF(AX133="Yes",INDEX(Settings!$G$20:$G$23,MATCH(AW133,Settings!$A$20:$A$23,0)),INDEX(Settings!$G$20:$G$23,MATCH(AW133,Settings!$A$20:$A$23,0))&amp;" (outside appetite)"))</f>
        <v/>
      </c>
      <c r="AZ133" s="82"/>
      <c r="BA133" s="82"/>
      <c r="BB133" s="90"/>
      <c r="BC133" s="91" t="str">
        <f aca="false">IF(OR(BB133="",T133=""),"",BB133+INDEX(Settings!$E$20:$E$23,MATCH(T133,Settings!$A$20:$A$23,0)))</f>
        <v/>
      </c>
      <c r="BD133" s="90"/>
      <c r="BE133" s="82"/>
      <c r="BF133" s="81" t="str">
        <f aca="true">IF(A133="","",IF(OR(BE133="Closed",BE133="Accepted"),"No action",IF(BB133="","Set date identified",IF(TODAY()&gt;BC133,"Deadline exceeded",IF(BC133-TODAY()&lt;=Settings!$C$30,"Deadline approaching","On track")))))</f>
        <v/>
      </c>
      <c r="BG133" s="90"/>
      <c r="BH133" s="90"/>
      <c r="BI133" s="91" t="str">
        <f aca="false">IF(OR(BH133="",AW133=""),"",EDATE(BH133,INDEX(Settings!$F$20:$F$23,MATCH(AW133,Settings!$A$20:$A$23,0))))</f>
        <v/>
      </c>
      <c r="BJ133" s="85" t="str">
        <f aca="false">IF(T133="","",IF(MAX(IF(T133="",0,MATCH(T133,Settings!$A$20:$A$23,0)),IF(AV133="",0,MATCH(AV133,Settings!$A$20:$A$23,0)))&gt;=MATCH(Settings!$C$29,Settings!$A$20:$A$23,0),"Yes","No"))</f>
        <v/>
      </c>
      <c r="BK133" s="82"/>
      <c r="BL133" s="81" t="str">
        <f aca="true">IF(A133="","",IF(TRIM(IF(W133="","Treatment not chosen. ","")&amp;IF(AND(W133="Accept",AX133="No"),"Accepted outside appetite: record approval by "&amp;INDEX(Settings!$G$20:$G$23,MATCH(AW133,Settings!$A$20:$A$23,0))&amp;". ","")&amp;IF(AND(W133="Accept",BG133=""),"Acceptance expiry missing. ","")&amp;IF(AND(BG133&lt;&gt;"",BG133&lt;TODAY()),"Acceptance expired. ","")&amp;IF(AND(W133&lt;&gt;"",W133&lt;&gt;"Accept",AV133=""),"Target rating not set. ","")&amp;IF(AND(BE133="Closed",AX133="No"),"Closed while outside appetite. ","")&amp;IF(AND(W133="Transfer",BE133&lt;&gt;"Transferred",BE133&lt;&gt;"Closed"),"Transfer: record the contract, SLA and audit rights. ","")&amp;IF(AZ133="","Risk owner missing. ","")&amp;IF(K133="","Scenario not written. ",""))="","OK",TRIM(IF(W133="","Treatment not chosen. ","")&amp;IF(AND(W133="Accept",AX133="No"),"Accepted outside appetite: record approval by "&amp;INDEX(Settings!$G$20:$G$23,MATCH(AW133,Settings!$A$20:$A$23,0))&amp;". ","")&amp;IF(AND(W133="Accept",BG133=""),"Acceptance expiry missing. ","")&amp;IF(AND(BG133&lt;&gt;"",BG133&lt;TODAY()),"Acceptance expired. ","")&amp;IF(AND(W133&lt;&gt;"",W133&lt;&gt;"Accept",AV133=""),"Target rating not set. ","")&amp;IF(AND(BE133="Closed",AX133="No"),"Closed while outside appetite. ","")&amp;IF(AND(W133="Transfer",BE133&lt;&gt;"Transferred",BE133&lt;&gt;"Closed"),"Transfer: record the contract, SLA and audit rights. ","")&amp;IF(AZ133="","Risk owner missing. ","")&amp;IF(K133="","Scenario not written. ",""))))</f>
        <v/>
      </c>
      <c r="BM133" s="82"/>
    </row>
    <row r="134" customFormat="false" ht="15" hidden="false" customHeight="false" outlineLevel="0" collapsed="false">
      <c r="A134" s="95"/>
      <c r="B134" s="94"/>
      <c r="C134" s="80"/>
      <c r="D134" s="81" t="str">
        <f aca="false">IF(C134="","",IFERROR(INDEX(Lists!$O$2:$O$13,MATCH(C134,Lists!$N$2:$N$13,0)),"Check domain code"))</f>
        <v/>
      </c>
      <c r="E134" s="81" t="str">
        <f aca="false">IF(C134="","",IFERROR(INDEX(Lists!$P$2:$P$13,MATCH(C134,Lists!$N$2:$N$13,0)),""))</f>
        <v/>
      </c>
      <c r="F134" s="80"/>
      <c r="G134" s="82"/>
      <c r="H134" s="82"/>
      <c r="I134" s="82"/>
      <c r="J134" s="94"/>
      <c r="K134" s="82"/>
      <c r="L134" s="82"/>
      <c r="M134" s="95"/>
      <c r="N134" s="85"/>
      <c r="O134" s="82"/>
      <c r="P134" s="86"/>
      <c r="Q134" s="86"/>
      <c r="R134" s="86"/>
      <c r="S134" s="21" t="str">
        <f aca="false">IF(OR(Q134="",R134=""),"",Q134*R134)</f>
        <v/>
      </c>
      <c r="T134" s="85" t="str">
        <f aca="false">IF(S134="","",INDEX(Settings!$A$20:$A$23,MATCH(S134,Settings!$B$20:$B$23,1)))</f>
        <v/>
      </c>
      <c r="U134" s="82"/>
      <c r="V134" s="87"/>
      <c r="W134" s="86"/>
      <c r="X134" s="82"/>
      <c r="Y134" s="96"/>
      <c r="Z134" s="96"/>
      <c r="AA134" s="96"/>
      <c r="AB134" s="96"/>
      <c r="AC134" s="96"/>
      <c r="AD134" s="96"/>
      <c r="AE134" s="96"/>
      <c r="AF134" s="96"/>
      <c r="AG134" s="96"/>
      <c r="AH134" s="96"/>
      <c r="AI134" s="96"/>
      <c r="AJ134" s="97"/>
      <c r="AK134" s="96"/>
      <c r="AL134" s="96"/>
      <c r="AM134" s="96"/>
      <c r="AN134" s="96"/>
      <c r="AO134" s="96"/>
      <c r="AP134" s="96"/>
      <c r="AQ134" s="97"/>
      <c r="AR134" s="97"/>
      <c r="AS134" s="86"/>
      <c r="AT134" s="86"/>
      <c r="AU134" s="85" t="str">
        <f aca="false">IF(OR(AS134="",AT134=""),"",AS134*AT134)</f>
        <v/>
      </c>
      <c r="AV134" s="21" t="str">
        <f aca="false">IF(AU134="","",INDEX(Settings!$A$20:$A$23,MATCH(AU134,Settings!$B$20:$B$23,1)))</f>
        <v/>
      </c>
      <c r="AW134" s="85" t="str">
        <f aca="false">IF(AV134&lt;&gt;"",AV134,T134)</f>
        <v/>
      </c>
      <c r="AX134" s="85" t="str">
        <f aca="false">IF(AW134="","",IF(MATCH(AW134,Settings!$A$20:$A$23,0)&lt;=MATCH(Settings!$C$28,Settings!$A$20:$A$23,0),"Yes","No"))</f>
        <v/>
      </c>
      <c r="AY134" s="81" t="str">
        <f aca="false">IF(AW134="","",IF(AX134="Yes",INDEX(Settings!$G$20:$G$23,MATCH(AW134,Settings!$A$20:$A$23,0)),INDEX(Settings!$G$20:$G$23,MATCH(AW134,Settings!$A$20:$A$23,0))&amp;" (outside appetite)"))</f>
        <v/>
      </c>
      <c r="AZ134" s="82"/>
      <c r="BA134" s="82"/>
      <c r="BB134" s="90"/>
      <c r="BC134" s="91" t="str">
        <f aca="false">IF(OR(BB134="",T134=""),"",BB134+INDEX(Settings!$E$20:$E$23,MATCH(T134,Settings!$A$20:$A$23,0)))</f>
        <v/>
      </c>
      <c r="BD134" s="90"/>
      <c r="BE134" s="82"/>
      <c r="BF134" s="81" t="str">
        <f aca="true">IF(A134="","",IF(OR(BE134="Closed",BE134="Accepted"),"No action",IF(BB134="","Set date identified",IF(TODAY()&gt;BC134,"Deadline exceeded",IF(BC134-TODAY()&lt;=Settings!$C$30,"Deadline approaching","On track")))))</f>
        <v/>
      </c>
      <c r="BG134" s="90"/>
      <c r="BH134" s="90"/>
      <c r="BI134" s="91" t="str">
        <f aca="false">IF(OR(BH134="",AW134=""),"",EDATE(BH134,INDEX(Settings!$F$20:$F$23,MATCH(AW134,Settings!$A$20:$A$23,0))))</f>
        <v/>
      </c>
      <c r="BJ134" s="85" t="str">
        <f aca="false">IF(T134="","",IF(MAX(IF(T134="",0,MATCH(T134,Settings!$A$20:$A$23,0)),IF(AV134="",0,MATCH(AV134,Settings!$A$20:$A$23,0)))&gt;=MATCH(Settings!$C$29,Settings!$A$20:$A$23,0),"Yes","No"))</f>
        <v/>
      </c>
      <c r="BK134" s="82"/>
      <c r="BL134" s="81" t="str">
        <f aca="true">IF(A134="","",IF(TRIM(IF(W134="","Treatment not chosen. ","")&amp;IF(AND(W134="Accept",AX134="No"),"Accepted outside appetite: record approval by "&amp;INDEX(Settings!$G$20:$G$23,MATCH(AW134,Settings!$A$20:$A$23,0))&amp;". ","")&amp;IF(AND(W134="Accept",BG134=""),"Acceptance expiry missing. ","")&amp;IF(AND(BG134&lt;&gt;"",BG134&lt;TODAY()),"Acceptance expired. ","")&amp;IF(AND(W134&lt;&gt;"",W134&lt;&gt;"Accept",AV134=""),"Target rating not set. ","")&amp;IF(AND(BE134="Closed",AX134="No"),"Closed while outside appetite. ","")&amp;IF(AND(W134="Transfer",BE134&lt;&gt;"Transferred",BE134&lt;&gt;"Closed"),"Transfer: record the contract, SLA and audit rights. ","")&amp;IF(AZ134="","Risk owner missing. ","")&amp;IF(K134="","Scenario not written. ",""))="","OK",TRIM(IF(W134="","Treatment not chosen. ","")&amp;IF(AND(W134="Accept",AX134="No"),"Accepted outside appetite: record approval by "&amp;INDEX(Settings!$G$20:$G$23,MATCH(AW134,Settings!$A$20:$A$23,0))&amp;". ","")&amp;IF(AND(W134="Accept",BG134=""),"Acceptance expiry missing. ","")&amp;IF(AND(BG134&lt;&gt;"",BG134&lt;TODAY()),"Acceptance expired. ","")&amp;IF(AND(W134&lt;&gt;"",W134&lt;&gt;"Accept",AV134=""),"Target rating not set. ","")&amp;IF(AND(BE134="Closed",AX134="No"),"Closed while outside appetite. ","")&amp;IF(AND(W134="Transfer",BE134&lt;&gt;"Transferred",BE134&lt;&gt;"Closed"),"Transfer: record the contract, SLA and audit rights. ","")&amp;IF(AZ134="","Risk owner missing. ","")&amp;IF(K134="","Scenario not written. ",""))))</f>
        <v/>
      </c>
      <c r="BM134" s="82"/>
    </row>
    <row r="135" customFormat="false" ht="15" hidden="false" customHeight="false" outlineLevel="0" collapsed="false">
      <c r="A135" s="84"/>
      <c r="B135" s="83"/>
      <c r="C135" s="80"/>
      <c r="D135" s="81" t="str">
        <f aca="false">IF(C135="","",IFERROR(INDEX(Lists!$O$2:$O$13,MATCH(C135,Lists!$N$2:$N$13,0)),"Check domain code"))</f>
        <v/>
      </c>
      <c r="E135" s="81" t="str">
        <f aca="false">IF(C135="","",IFERROR(INDEX(Lists!$P$2:$P$13,MATCH(C135,Lists!$N$2:$N$13,0)),""))</f>
        <v/>
      </c>
      <c r="F135" s="80"/>
      <c r="G135" s="82"/>
      <c r="H135" s="82"/>
      <c r="I135" s="82"/>
      <c r="J135" s="83"/>
      <c r="K135" s="82"/>
      <c r="L135" s="82"/>
      <c r="M135" s="84"/>
      <c r="N135" s="85"/>
      <c r="O135" s="82"/>
      <c r="P135" s="86"/>
      <c r="Q135" s="86"/>
      <c r="R135" s="86"/>
      <c r="S135" s="21" t="str">
        <f aca="false">IF(OR(Q135="",R135=""),"",Q135*R135)</f>
        <v/>
      </c>
      <c r="T135" s="85" t="str">
        <f aca="false">IF(S135="","",INDEX(Settings!$A$20:$A$23,MATCH(S135,Settings!$B$20:$B$23,1)))</f>
        <v/>
      </c>
      <c r="U135" s="82"/>
      <c r="V135" s="87"/>
      <c r="W135" s="86"/>
      <c r="X135" s="82"/>
      <c r="Y135" s="88"/>
      <c r="Z135" s="88"/>
      <c r="AA135" s="88"/>
      <c r="AB135" s="88"/>
      <c r="AC135" s="88"/>
      <c r="AD135" s="88"/>
      <c r="AE135" s="88"/>
      <c r="AF135" s="88"/>
      <c r="AG135" s="88"/>
      <c r="AH135" s="88"/>
      <c r="AI135" s="88"/>
      <c r="AJ135" s="89"/>
      <c r="AK135" s="88"/>
      <c r="AL135" s="88"/>
      <c r="AM135" s="88"/>
      <c r="AN135" s="88"/>
      <c r="AO135" s="88"/>
      <c r="AP135" s="88"/>
      <c r="AQ135" s="89"/>
      <c r="AR135" s="89"/>
      <c r="AS135" s="86"/>
      <c r="AT135" s="86"/>
      <c r="AU135" s="85" t="str">
        <f aca="false">IF(OR(AS135="",AT135=""),"",AS135*AT135)</f>
        <v/>
      </c>
      <c r="AV135" s="21" t="str">
        <f aca="false">IF(AU135="","",INDEX(Settings!$A$20:$A$23,MATCH(AU135,Settings!$B$20:$B$23,1)))</f>
        <v/>
      </c>
      <c r="AW135" s="85" t="str">
        <f aca="false">IF(AV135&lt;&gt;"",AV135,T135)</f>
        <v/>
      </c>
      <c r="AX135" s="85" t="str">
        <f aca="false">IF(AW135="","",IF(MATCH(AW135,Settings!$A$20:$A$23,0)&lt;=MATCH(Settings!$C$28,Settings!$A$20:$A$23,0),"Yes","No"))</f>
        <v/>
      </c>
      <c r="AY135" s="81" t="str">
        <f aca="false">IF(AW135="","",IF(AX135="Yes",INDEX(Settings!$G$20:$G$23,MATCH(AW135,Settings!$A$20:$A$23,0)),INDEX(Settings!$G$20:$G$23,MATCH(AW135,Settings!$A$20:$A$23,0))&amp;" (outside appetite)"))</f>
        <v/>
      </c>
      <c r="AZ135" s="82"/>
      <c r="BA135" s="82"/>
      <c r="BB135" s="90"/>
      <c r="BC135" s="91" t="str">
        <f aca="false">IF(OR(BB135="",T135=""),"",BB135+INDEX(Settings!$E$20:$E$23,MATCH(T135,Settings!$A$20:$A$23,0)))</f>
        <v/>
      </c>
      <c r="BD135" s="90"/>
      <c r="BE135" s="82"/>
      <c r="BF135" s="81" t="str">
        <f aca="true">IF(A135="","",IF(OR(BE135="Closed",BE135="Accepted"),"No action",IF(BB135="","Set date identified",IF(TODAY()&gt;BC135,"Deadline exceeded",IF(BC135-TODAY()&lt;=Settings!$C$30,"Deadline approaching","On track")))))</f>
        <v/>
      </c>
      <c r="BG135" s="90"/>
      <c r="BH135" s="90"/>
      <c r="BI135" s="91" t="str">
        <f aca="false">IF(OR(BH135="",AW135=""),"",EDATE(BH135,INDEX(Settings!$F$20:$F$23,MATCH(AW135,Settings!$A$20:$A$23,0))))</f>
        <v/>
      </c>
      <c r="BJ135" s="85" t="str">
        <f aca="false">IF(T135="","",IF(MAX(IF(T135="",0,MATCH(T135,Settings!$A$20:$A$23,0)),IF(AV135="",0,MATCH(AV135,Settings!$A$20:$A$23,0)))&gt;=MATCH(Settings!$C$29,Settings!$A$20:$A$23,0),"Yes","No"))</f>
        <v/>
      </c>
      <c r="BK135" s="82"/>
      <c r="BL135" s="81" t="str">
        <f aca="true">IF(A135="","",IF(TRIM(IF(W135="","Treatment not chosen. ","")&amp;IF(AND(W135="Accept",AX135="No"),"Accepted outside appetite: record approval by "&amp;INDEX(Settings!$G$20:$G$23,MATCH(AW135,Settings!$A$20:$A$23,0))&amp;". ","")&amp;IF(AND(W135="Accept",BG135=""),"Acceptance expiry missing. ","")&amp;IF(AND(BG135&lt;&gt;"",BG135&lt;TODAY()),"Acceptance expired. ","")&amp;IF(AND(W135&lt;&gt;"",W135&lt;&gt;"Accept",AV135=""),"Target rating not set. ","")&amp;IF(AND(BE135="Closed",AX135="No"),"Closed while outside appetite. ","")&amp;IF(AND(W135="Transfer",BE135&lt;&gt;"Transferred",BE135&lt;&gt;"Closed"),"Transfer: record the contract, SLA and audit rights. ","")&amp;IF(AZ135="","Risk owner missing. ","")&amp;IF(K135="","Scenario not written. ",""))="","OK",TRIM(IF(W135="","Treatment not chosen. ","")&amp;IF(AND(W135="Accept",AX135="No"),"Accepted outside appetite: record approval by "&amp;INDEX(Settings!$G$20:$G$23,MATCH(AW135,Settings!$A$20:$A$23,0))&amp;". ","")&amp;IF(AND(W135="Accept",BG135=""),"Acceptance expiry missing. ","")&amp;IF(AND(BG135&lt;&gt;"",BG135&lt;TODAY()),"Acceptance expired. ","")&amp;IF(AND(W135&lt;&gt;"",W135&lt;&gt;"Accept",AV135=""),"Target rating not set. ","")&amp;IF(AND(BE135="Closed",AX135="No"),"Closed while outside appetite. ","")&amp;IF(AND(W135="Transfer",BE135&lt;&gt;"Transferred",BE135&lt;&gt;"Closed"),"Transfer: record the contract, SLA and audit rights. ","")&amp;IF(AZ135="","Risk owner missing. ","")&amp;IF(K135="","Scenario not written. ",""))))</f>
        <v/>
      </c>
      <c r="BM135" s="82"/>
    </row>
    <row r="136" customFormat="false" ht="15" hidden="false" customHeight="false" outlineLevel="0" collapsed="false">
      <c r="A136" s="95"/>
      <c r="B136" s="94"/>
      <c r="C136" s="80"/>
      <c r="D136" s="81" t="str">
        <f aca="false">IF(C136="","",IFERROR(INDEX(Lists!$O$2:$O$13,MATCH(C136,Lists!$N$2:$N$13,0)),"Check domain code"))</f>
        <v/>
      </c>
      <c r="E136" s="81" t="str">
        <f aca="false">IF(C136="","",IFERROR(INDEX(Lists!$P$2:$P$13,MATCH(C136,Lists!$N$2:$N$13,0)),""))</f>
        <v/>
      </c>
      <c r="F136" s="80"/>
      <c r="G136" s="82"/>
      <c r="H136" s="82"/>
      <c r="I136" s="82"/>
      <c r="J136" s="94"/>
      <c r="K136" s="82"/>
      <c r="L136" s="82"/>
      <c r="M136" s="95"/>
      <c r="N136" s="85"/>
      <c r="O136" s="82"/>
      <c r="P136" s="86"/>
      <c r="Q136" s="86"/>
      <c r="R136" s="86"/>
      <c r="S136" s="21" t="str">
        <f aca="false">IF(OR(Q136="",R136=""),"",Q136*R136)</f>
        <v/>
      </c>
      <c r="T136" s="85" t="str">
        <f aca="false">IF(S136="","",INDEX(Settings!$A$20:$A$23,MATCH(S136,Settings!$B$20:$B$23,1)))</f>
        <v/>
      </c>
      <c r="U136" s="82"/>
      <c r="V136" s="87"/>
      <c r="W136" s="86"/>
      <c r="X136" s="82"/>
      <c r="Y136" s="96"/>
      <c r="Z136" s="96"/>
      <c r="AA136" s="96"/>
      <c r="AB136" s="96"/>
      <c r="AC136" s="96"/>
      <c r="AD136" s="96"/>
      <c r="AE136" s="96"/>
      <c r="AF136" s="96"/>
      <c r="AG136" s="96"/>
      <c r="AH136" s="96"/>
      <c r="AI136" s="96"/>
      <c r="AJ136" s="97"/>
      <c r="AK136" s="96"/>
      <c r="AL136" s="96"/>
      <c r="AM136" s="96"/>
      <c r="AN136" s="96"/>
      <c r="AO136" s="96"/>
      <c r="AP136" s="96"/>
      <c r="AQ136" s="97"/>
      <c r="AR136" s="97"/>
      <c r="AS136" s="86"/>
      <c r="AT136" s="86"/>
      <c r="AU136" s="85" t="str">
        <f aca="false">IF(OR(AS136="",AT136=""),"",AS136*AT136)</f>
        <v/>
      </c>
      <c r="AV136" s="21" t="str">
        <f aca="false">IF(AU136="","",INDEX(Settings!$A$20:$A$23,MATCH(AU136,Settings!$B$20:$B$23,1)))</f>
        <v/>
      </c>
      <c r="AW136" s="85" t="str">
        <f aca="false">IF(AV136&lt;&gt;"",AV136,T136)</f>
        <v/>
      </c>
      <c r="AX136" s="85" t="str">
        <f aca="false">IF(AW136="","",IF(MATCH(AW136,Settings!$A$20:$A$23,0)&lt;=MATCH(Settings!$C$28,Settings!$A$20:$A$23,0),"Yes","No"))</f>
        <v/>
      </c>
      <c r="AY136" s="81" t="str">
        <f aca="false">IF(AW136="","",IF(AX136="Yes",INDEX(Settings!$G$20:$G$23,MATCH(AW136,Settings!$A$20:$A$23,0)),INDEX(Settings!$G$20:$G$23,MATCH(AW136,Settings!$A$20:$A$23,0))&amp;" (outside appetite)"))</f>
        <v/>
      </c>
      <c r="AZ136" s="82"/>
      <c r="BA136" s="82"/>
      <c r="BB136" s="90"/>
      <c r="BC136" s="91" t="str">
        <f aca="false">IF(OR(BB136="",T136=""),"",BB136+INDEX(Settings!$E$20:$E$23,MATCH(T136,Settings!$A$20:$A$23,0)))</f>
        <v/>
      </c>
      <c r="BD136" s="90"/>
      <c r="BE136" s="82"/>
      <c r="BF136" s="81" t="str">
        <f aca="true">IF(A136="","",IF(OR(BE136="Closed",BE136="Accepted"),"No action",IF(BB136="","Set date identified",IF(TODAY()&gt;BC136,"Deadline exceeded",IF(BC136-TODAY()&lt;=Settings!$C$30,"Deadline approaching","On track")))))</f>
        <v/>
      </c>
      <c r="BG136" s="90"/>
      <c r="BH136" s="90"/>
      <c r="BI136" s="91" t="str">
        <f aca="false">IF(OR(BH136="",AW136=""),"",EDATE(BH136,INDEX(Settings!$F$20:$F$23,MATCH(AW136,Settings!$A$20:$A$23,0))))</f>
        <v/>
      </c>
      <c r="BJ136" s="85" t="str">
        <f aca="false">IF(T136="","",IF(MAX(IF(T136="",0,MATCH(T136,Settings!$A$20:$A$23,0)),IF(AV136="",0,MATCH(AV136,Settings!$A$20:$A$23,0)))&gt;=MATCH(Settings!$C$29,Settings!$A$20:$A$23,0),"Yes","No"))</f>
        <v/>
      </c>
      <c r="BK136" s="82"/>
      <c r="BL136" s="81" t="str">
        <f aca="true">IF(A136="","",IF(TRIM(IF(W136="","Treatment not chosen. ","")&amp;IF(AND(W136="Accept",AX136="No"),"Accepted outside appetite: record approval by "&amp;INDEX(Settings!$G$20:$G$23,MATCH(AW136,Settings!$A$20:$A$23,0))&amp;". ","")&amp;IF(AND(W136="Accept",BG136=""),"Acceptance expiry missing. ","")&amp;IF(AND(BG136&lt;&gt;"",BG136&lt;TODAY()),"Acceptance expired. ","")&amp;IF(AND(W136&lt;&gt;"",W136&lt;&gt;"Accept",AV136=""),"Target rating not set. ","")&amp;IF(AND(BE136="Closed",AX136="No"),"Closed while outside appetite. ","")&amp;IF(AND(W136="Transfer",BE136&lt;&gt;"Transferred",BE136&lt;&gt;"Closed"),"Transfer: record the contract, SLA and audit rights. ","")&amp;IF(AZ136="","Risk owner missing. ","")&amp;IF(K136="","Scenario not written. ",""))="","OK",TRIM(IF(W136="","Treatment not chosen. ","")&amp;IF(AND(W136="Accept",AX136="No"),"Accepted outside appetite: record approval by "&amp;INDEX(Settings!$G$20:$G$23,MATCH(AW136,Settings!$A$20:$A$23,0))&amp;". ","")&amp;IF(AND(W136="Accept",BG136=""),"Acceptance expiry missing. ","")&amp;IF(AND(BG136&lt;&gt;"",BG136&lt;TODAY()),"Acceptance expired. ","")&amp;IF(AND(W136&lt;&gt;"",W136&lt;&gt;"Accept",AV136=""),"Target rating not set. ","")&amp;IF(AND(BE136="Closed",AX136="No"),"Closed while outside appetite. ","")&amp;IF(AND(W136="Transfer",BE136&lt;&gt;"Transferred",BE136&lt;&gt;"Closed"),"Transfer: record the contract, SLA and audit rights. ","")&amp;IF(AZ136="","Risk owner missing. ","")&amp;IF(K136="","Scenario not written. ",""))))</f>
        <v/>
      </c>
      <c r="BM136" s="82"/>
    </row>
    <row r="137" customFormat="false" ht="15" hidden="false" customHeight="false" outlineLevel="0" collapsed="false">
      <c r="A137" s="84"/>
      <c r="B137" s="83"/>
      <c r="C137" s="80"/>
      <c r="D137" s="81" t="str">
        <f aca="false">IF(C137="","",IFERROR(INDEX(Lists!$O$2:$O$13,MATCH(C137,Lists!$N$2:$N$13,0)),"Check domain code"))</f>
        <v/>
      </c>
      <c r="E137" s="81" t="str">
        <f aca="false">IF(C137="","",IFERROR(INDEX(Lists!$P$2:$P$13,MATCH(C137,Lists!$N$2:$N$13,0)),""))</f>
        <v/>
      </c>
      <c r="F137" s="80"/>
      <c r="G137" s="82"/>
      <c r="H137" s="82"/>
      <c r="I137" s="82"/>
      <c r="J137" s="83"/>
      <c r="K137" s="82"/>
      <c r="L137" s="82"/>
      <c r="M137" s="84"/>
      <c r="N137" s="85"/>
      <c r="O137" s="82"/>
      <c r="P137" s="86"/>
      <c r="Q137" s="86"/>
      <c r="R137" s="86"/>
      <c r="S137" s="21" t="str">
        <f aca="false">IF(OR(Q137="",R137=""),"",Q137*R137)</f>
        <v/>
      </c>
      <c r="T137" s="85" t="str">
        <f aca="false">IF(S137="","",INDEX(Settings!$A$20:$A$23,MATCH(S137,Settings!$B$20:$B$23,1)))</f>
        <v/>
      </c>
      <c r="U137" s="82"/>
      <c r="V137" s="87"/>
      <c r="W137" s="86"/>
      <c r="X137" s="82"/>
      <c r="Y137" s="88"/>
      <c r="Z137" s="88"/>
      <c r="AA137" s="88"/>
      <c r="AB137" s="88"/>
      <c r="AC137" s="88"/>
      <c r="AD137" s="88"/>
      <c r="AE137" s="88"/>
      <c r="AF137" s="88"/>
      <c r="AG137" s="88"/>
      <c r="AH137" s="88"/>
      <c r="AI137" s="88"/>
      <c r="AJ137" s="89"/>
      <c r="AK137" s="88"/>
      <c r="AL137" s="88"/>
      <c r="AM137" s="88"/>
      <c r="AN137" s="88"/>
      <c r="AO137" s="88"/>
      <c r="AP137" s="88"/>
      <c r="AQ137" s="89"/>
      <c r="AR137" s="89"/>
      <c r="AS137" s="86"/>
      <c r="AT137" s="86"/>
      <c r="AU137" s="85" t="str">
        <f aca="false">IF(OR(AS137="",AT137=""),"",AS137*AT137)</f>
        <v/>
      </c>
      <c r="AV137" s="21" t="str">
        <f aca="false">IF(AU137="","",INDEX(Settings!$A$20:$A$23,MATCH(AU137,Settings!$B$20:$B$23,1)))</f>
        <v/>
      </c>
      <c r="AW137" s="85" t="str">
        <f aca="false">IF(AV137&lt;&gt;"",AV137,T137)</f>
        <v/>
      </c>
      <c r="AX137" s="85" t="str">
        <f aca="false">IF(AW137="","",IF(MATCH(AW137,Settings!$A$20:$A$23,0)&lt;=MATCH(Settings!$C$28,Settings!$A$20:$A$23,0),"Yes","No"))</f>
        <v/>
      </c>
      <c r="AY137" s="81" t="str">
        <f aca="false">IF(AW137="","",IF(AX137="Yes",INDEX(Settings!$G$20:$G$23,MATCH(AW137,Settings!$A$20:$A$23,0)),INDEX(Settings!$G$20:$G$23,MATCH(AW137,Settings!$A$20:$A$23,0))&amp;" (outside appetite)"))</f>
        <v/>
      </c>
      <c r="AZ137" s="82"/>
      <c r="BA137" s="82"/>
      <c r="BB137" s="90"/>
      <c r="BC137" s="91" t="str">
        <f aca="false">IF(OR(BB137="",T137=""),"",BB137+INDEX(Settings!$E$20:$E$23,MATCH(T137,Settings!$A$20:$A$23,0)))</f>
        <v/>
      </c>
      <c r="BD137" s="90"/>
      <c r="BE137" s="82"/>
      <c r="BF137" s="81" t="str">
        <f aca="true">IF(A137="","",IF(OR(BE137="Closed",BE137="Accepted"),"No action",IF(BB137="","Set date identified",IF(TODAY()&gt;BC137,"Deadline exceeded",IF(BC137-TODAY()&lt;=Settings!$C$30,"Deadline approaching","On track")))))</f>
        <v/>
      </c>
      <c r="BG137" s="90"/>
      <c r="BH137" s="90"/>
      <c r="BI137" s="91" t="str">
        <f aca="false">IF(OR(BH137="",AW137=""),"",EDATE(BH137,INDEX(Settings!$F$20:$F$23,MATCH(AW137,Settings!$A$20:$A$23,0))))</f>
        <v/>
      </c>
      <c r="BJ137" s="85" t="str">
        <f aca="false">IF(T137="","",IF(MAX(IF(T137="",0,MATCH(T137,Settings!$A$20:$A$23,0)),IF(AV137="",0,MATCH(AV137,Settings!$A$20:$A$23,0)))&gt;=MATCH(Settings!$C$29,Settings!$A$20:$A$23,0),"Yes","No"))</f>
        <v/>
      </c>
      <c r="BK137" s="82"/>
      <c r="BL137" s="81" t="str">
        <f aca="true">IF(A137="","",IF(TRIM(IF(W137="","Treatment not chosen. ","")&amp;IF(AND(W137="Accept",AX137="No"),"Accepted outside appetite: record approval by "&amp;INDEX(Settings!$G$20:$G$23,MATCH(AW137,Settings!$A$20:$A$23,0))&amp;". ","")&amp;IF(AND(W137="Accept",BG137=""),"Acceptance expiry missing. ","")&amp;IF(AND(BG137&lt;&gt;"",BG137&lt;TODAY()),"Acceptance expired. ","")&amp;IF(AND(W137&lt;&gt;"",W137&lt;&gt;"Accept",AV137=""),"Target rating not set. ","")&amp;IF(AND(BE137="Closed",AX137="No"),"Closed while outside appetite. ","")&amp;IF(AND(W137="Transfer",BE137&lt;&gt;"Transferred",BE137&lt;&gt;"Closed"),"Transfer: record the contract, SLA and audit rights. ","")&amp;IF(AZ137="","Risk owner missing. ","")&amp;IF(K137="","Scenario not written. ",""))="","OK",TRIM(IF(W137="","Treatment not chosen. ","")&amp;IF(AND(W137="Accept",AX137="No"),"Accepted outside appetite: record approval by "&amp;INDEX(Settings!$G$20:$G$23,MATCH(AW137,Settings!$A$20:$A$23,0))&amp;". ","")&amp;IF(AND(W137="Accept",BG137=""),"Acceptance expiry missing. ","")&amp;IF(AND(BG137&lt;&gt;"",BG137&lt;TODAY()),"Acceptance expired. ","")&amp;IF(AND(W137&lt;&gt;"",W137&lt;&gt;"Accept",AV137=""),"Target rating not set. ","")&amp;IF(AND(BE137="Closed",AX137="No"),"Closed while outside appetite. ","")&amp;IF(AND(W137="Transfer",BE137&lt;&gt;"Transferred",BE137&lt;&gt;"Closed"),"Transfer: record the contract, SLA and audit rights. ","")&amp;IF(AZ137="","Risk owner missing. ","")&amp;IF(K137="","Scenario not written. ",""))))</f>
        <v/>
      </c>
      <c r="BM137" s="82"/>
    </row>
    <row r="138" customFormat="false" ht="15" hidden="false" customHeight="false" outlineLevel="0" collapsed="false">
      <c r="A138" s="95"/>
      <c r="B138" s="94"/>
      <c r="C138" s="80"/>
      <c r="D138" s="81" t="str">
        <f aca="false">IF(C138="","",IFERROR(INDEX(Lists!$O$2:$O$13,MATCH(C138,Lists!$N$2:$N$13,0)),"Check domain code"))</f>
        <v/>
      </c>
      <c r="E138" s="81" t="str">
        <f aca="false">IF(C138="","",IFERROR(INDEX(Lists!$P$2:$P$13,MATCH(C138,Lists!$N$2:$N$13,0)),""))</f>
        <v/>
      </c>
      <c r="F138" s="80"/>
      <c r="G138" s="82"/>
      <c r="H138" s="82"/>
      <c r="I138" s="82"/>
      <c r="J138" s="94"/>
      <c r="K138" s="82"/>
      <c r="L138" s="82"/>
      <c r="M138" s="95"/>
      <c r="N138" s="85"/>
      <c r="O138" s="82"/>
      <c r="P138" s="86"/>
      <c r="Q138" s="86"/>
      <c r="R138" s="86"/>
      <c r="S138" s="21" t="str">
        <f aca="false">IF(OR(Q138="",R138=""),"",Q138*R138)</f>
        <v/>
      </c>
      <c r="T138" s="85" t="str">
        <f aca="false">IF(S138="","",INDEX(Settings!$A$20:$A$23,MATCH(S138,Settings!$B$20:$B$23,1)))</f>
        <v/>
      </c>
      <c r="U138" s="82"/>
      <c r="V138" s="87"/>
      <c r="W138" s="86"/>
      <c r="X138" s="82"/>
      <c r="Y138" s="96"/>
      <c r="Z138" s="96"/>
      <c r="AA138" s="96"/>
      <c r="AB138" s="96"/>
      <c r="AC138" s="96"/>
      <c r="AD138" s="96"/>
      <c r="AE138" s="96"/>
      <c r="AF138" s="96"/>
      <c r="AG138" s="96"/>
      <c r="AH138" s="96"/>
      <c r="AI138" s="96"/>
      <c r="AJ138" s="97"/>
      <c r="AK138" s="96"/>
      <c r="AL138" s="96"/>
      <c r="AM138" s="96"/>
      <c r="AN138" s="96"/>
      <c r="AO138" s="96"/>
      <c r="AP138" s="96"/>
      <c r="AQ138" s="97"/>
      <c r="AR138" s="97"/>
      <c r="AS138" s="86"/>
      <c r="AT138" s="86"/>
      <c r="AU138" s="85" t="str">
        <f aca="false">IF(OR(AS138="",AT138=""),"",AS138*AT138)</f>
        <v/>
      </c>
      <c r="AV138" s="21" t="str">
        <f aca="false">IF(AU138="","",INDEX(Settings!$A$20:$A$23,MATCH(AU138,Settings!$B$20:$B$23,1)))</f>
        <v/>
      </c>
      <c r="AW138" s="85" t="str">
        <f aca="false">IF(AV138&lt;&gt;"",AV138,T138)</f>
        <v/>
      </c>
      <c r="AX138" s="85" t="str">
        <f aca="false">IF(AW138="","",IF(MATCH(AW138,Settings!$A$20:$A$23,0)&lt;=MATCH(Settings!$C$28,Settings!$A$20:$A$23,0),"Yes","No"))</f>
        <v/>
      </c>
      <c r="AY138" s="81" t="str">
        <f aca="false">IF(AW138="","",IF(AX138="Yes",INDEX(Settings!$G$20:$G$23,MATCH(AW138,Settings!$A$20:$A$23,0)),INDEX(Settings!$G$20:$G$23,MATCH(AW138,Settings!$A$20:$A$23,0))&amp;" (outside appetite)"))</f>
        <v/>
      </c>
      <c r="AZ138" s="82"/>
      <c r="BA138" s="82"/>
      <c r="BB138" s="90"/>
      <c r="BC138" s="91" t="str">
        <f aca="false">IF(OR(BB138="",T138=""),"",BB138+INDEX(Settings!$E$20:$E$23,MATCH(T138,Settings!$A$20:$A$23,0)))</f>
        <v/>
      </c>
      <c r="BD138" s="90"/>
      <c r="BE138" s="82"/>
      <c r="BF138" s="81" t="str">
        <f aca="true">IF(A138="","",IF(OR(BE138="Closed",BE138="Accepted"),"No action",IF(BB138="","Set date identified",IF(TODAY()&gt;BC138,"Deadline exceeded",IF(BC138-TODAY()&lt;=Settings!$C$30,"Deadline approaching","On track")))))</f>
        <v/>
      </c>
      <c r="BG138" s="90"/>
      <c r="BH138" s="90"/>
      <c r="BI138" s="91" t="str">
        <f aca="false">IF(OR(BH138="",AW138=""),"",EDATE(BH138,INDEX(Settings!$F$20:$F$23,MATCH(AW138,Settings!$A$20:$A$23,0))))</f>
        <v/>
      </c>
      <c r="BJ138" s="85" t="str">
        <f aca="false">IF(T138="","",IF(MAX(IF(T138="",0,MATCH(T138,Settings!$A$20:$A$23,0)),IF(AV138="",0,MATCH(AV138,Settings!$A$20:$A$23,0)))&gt;=MATCH(Settings!$C$29,Settings!$A$20:$A$23,0),"Yes","No"))</f>
        <v/>
      </c>
      <c r="BK138" s="82"/>
      <c r="BL138" s="81" t="str">
        <f aca="true">IF(A138="","",IF(TRIM(IF(W138="","Treatment not chosen. ","")&amp;IF(AND(W138="Accept",AX138="No"),"Accepted outside appetite: record approval by "&amp;INDEX(Settings!$G$20:$G$23,MATCH(AW138,Settings!$A$20:$A$23,0))&amp;". ","")&amp;IF(AND(W138="Accept",BG138=""),"Acceptance expiry missing. ","")&amp;IF(AND(BG138&lt;&gt;"",BG138&lt;TODAY()),"Acceptance expired. ","")&amp;IF(AND(W138&lt;&gt;"",W138&lt;&gt;"Accept",AV138=""),"Target rating not set. ","")&amp;IF(AND(BE138="Closed",AX138="No"),"Closed while outside appetite. ","")&amp;IF(AND(W138="Transfer",BE138&lt;&gt;"Transferred",BE138&lt;&gt;"Closed"),"Transfer: record the contract, SLA and audit rights. ","")&amp;IF(AZ138="","Risk owner missing. ","")&amp;IF(K138="","Scenario not written. ",""))="","OK",TRIM(IF(W138="","Treatment not chosen. ","")&amp;IF(AND(W138="Accept",AX138="No"),"Accepted outside appetite: record approval by "&amp;INDEX(Settings!$G$20:$G$23,MATCH(AW138,Settings!$A$20:$A$23,0))&amp;". ","")&amp;IF(AND(W138="Accept",BG138=""),"Acceptance expiry missing. ","")&amp;IF(AND(BG138&lt;&gt;"",BG138&lt;TODAY()),"Acceptance expired. ","")&amp;IF(AND(W138&lt;&gt;"",W138&lt;&gt;"Accept",AV138=""),"Target rating not set. ","")&amp;IF(AND(BE138="Closed",AX138="No"),"Closed while outside appetite. ","")&amp;IF(AND(W138="Transfer",BE138&lt;&gt;"Transferred",BE138&lt;&gt;"Closed"),"Transfer: record the contract, SLA and audit rights. ","")&amp;IF(AZ138="","Risk owner missing. ","")&amp;IF(K138="","Scenario not written. ",""))))</f>
        <v/>
      </c>
      <c r="BM138" s="82"/>
    </row>
    <row r="139" customFormat="false" ht="15" hidden="false" customHeight="false" outlineLevel="0" collapsed="false">
      <c r="A139" s="84"/>
      <c r="B139" s="83"/>
      <c r="C139" s="80"/>
      <c r="D139" s="81" t="str">
        <f aca="false">IF(C139="","",IFERROR(INDEX(Lists!$O$2:$O$13,MATCH(C139,Lists!$N$2:$N$13,0)),"Check domain code"))</f>
        <v/>
      </c>
      <c r="E139" s="81" t="str">
        <f aca="false">IF(C139="","",IFERROR(INDEX(Lists!$P$2:$P$13,MATCH(C139,Lists!$N$2:$N$13,0)),""))</f>
        <v/>
      </c>
      <c r="F139" s="80"/>
      <c r="G139" s="82"/>
      <c r="H139" s="82"/>
      <c r="I139" s="82"/>
      <c r="J139" s="83"/>
      <c r="K139" s="82"/>
      <c r="L139" s="82"/>
      <c r="M139" s="84"/>
      <c r="N139" s="85"/>
      <c r="O139" s="82"/>
      <c r="P139" s="86"/>
      <c r="Q139" s="86"/>
      <c r="R139" s="86"/>
      <c r="S139" s="21" t="str">
        <f aca="false">IF(OR(Q139="",R139=""),"",Q139*R139)</f>
        <v/>
      </c>
      <c r="T139" s="85" t="str">
        <f aca="false">IF(S139="","",INDEX(Settings!$A$20:$A$23,MATCH(S139,Settings!$B$20:$B$23,1)))</f>
        <v/>
      </c>
      <c r="U139" s="82"/>
      <c r="V139" s="87"/>
      <c r="W139" s="86"/>
      <c r="X139" s="82"/>
      <c r="Y139" s="88"/>
      <c r="Z139" s="88"/>
      <c r="AA139" s="88"/>
      <c r="AB139" s="88"/>
      <c r="AC139" s="88"/>
      <c r="AD139" s="88"/>
      <c r="AE139" s="88"/>
      <c r="AF139" s="88"/>
      <c r="AG139" s="88"/>
      <c r="AH139" s="88"/>
      <c r="AI139" s="88"/>
      <c r="AJ139" s="89"/>
      <c r="AK139" s="88"/>
      <c r="AL139" s="88"/>
      <c r="AM139" s="88"/>
      <c r="AN139" s="88"/>
      <c r="AO139" s="88"/>
      <c r="AP139" s="88"/>
      <c r="AQ139" s="89"/>
      <c r="AR139" s="89"/>
      <c r="AS139" s="86"/>
      <c r="AT139" s="86"/>
      <c r="AU139" s="85" t="str">
        <f aca="false">IF(OR(AS139="",AT139=""),"",AS139*AT139)</f>
        <v/>
      </c>
      <c r="AV139" s="21" t="str">
        <f aca="false">IF(AU139="","",INDEX(Settings!$A$20:$A$23,MATCH(AU139,Settings!$B$20:$B$23,1)))</f>
        <v/>
      </c>
      <c r="AW139" s="85" t="str">
        <f aca="false">IF(AV139&lt;&gt;"",AV139,T139)</f>
        <v/>
      </c>
      <c r="AX139" s="85" t="str">
        <f aca="false">IF(AW139="","",IF(MATCH(AW139,Settings!$A$20:$A$23,0)&lt;=MATCH(Settings!$C$28,Settings!$A$20:$A$23,0),"Yes","No"))</f>
        <v/>
      </c>
      <c r="AY139" s="81" t="str">
        <f aca="false">IF(AW139="","",IF(AX139="Yes",INDEX(Settings!$G$20:$G$23,MATCH(AW139,Settings!$A$20:$A$23,0)),INDEX(Settings!$G$20:$G$23,MATCH(AW139,Settings!$A$20:$A$23,0))&amp;" (outside appetite)"))</f>
        <v/>
      </c>
      <c r="AZ139" s="82"/>
      <c r="BA139" s="82"/>
      <c r="BB139" s="90"/>
      <c r="BC139" s="91" t="str">
        <f aca="false">IF(OR(BB139="",T139=""),"",BB139+INDEX(Settings!$E$20:$E$23,MATCH(T139,Settings!$A$20:$A$23,0)))</f>
        <v/>
      </c>
      <c r="BD139" s="90"/>
      <c r="BE139" s="82"/>
      <c r="BF139" s="81" t="str">
        <f aca="true">IF(A139="","",IF(OR(BE139="Closed",BE139="Accepted"),"No action",IF(BB139="","Set date identified",IF(TODAY()&gt;BC139,"Deadline exceeded",IF(BC139-TODAY()&lt;=Settings!$C$30,"Deadline approaching","On track")))))</f>
        <v/>
      </c>
      <c r="BG139" s="90"/>
      <c r="BH139" s="90"/>
      <c r="BI139" s="91" t="str">
        <f aca="false">IF(OR(BH139="",AW139=""),"",EDATE(BH139,INDEX(Settings!$F$20:$F$23,MATCH(AW139,Settings!$A$20:$A$23,0))))</f>
        <v/>
      </c>
      <c r="BJ139" s="85" t="str">
        <f aca="false">IF(T139="","",IF(MAX(IF(T139="",0,MATCH(T139,Settings!$A$20:$A$23,0)),IF(AV139="",0,MATCH(AV139,Settings!$A$20:$A$23,0)))&gt;=MATCH(Settings!$C$29,Settings!$A$20:$A$23,0),"Yes","No"))</f>
        <v/>
      </c>
      <c r="BK139" s="82"/>
      <c r="BL139" s="81" t="str">
        <f aca="true">IF(A139="","",IF(TRIM(IF(W139="","Treatment not chosen. ","")&amp;IF(AND(W139="Accept",AX139="No"),"Accepted outside appetite: record approval by "&amp;INDEX(Settings!$G$20:$G$23,MATCH(AW139,Settings!$A$20:$A$23,0))&amp;". ","")&amp;IF(AND(W139="Accept",BG139=""),"Acceptance expiry missing. ","")&amp;IF(AND(BG139&lt;&gt;"",BG139&lt;TODAY()),"Acceptance expired. ","")&amp;IF(AND(W139&lt;&gt;"",W139&lt;&gt;"Accept",AV139=""),"Target rating not set. ","")&amp;IF(AND(BE139="Closed",AX139="No"),"Closed while outside appetite. ","")&amp;IF(AND(W139="Transfer",BE139&lt;&gt;"Transferred",BE139&lt;&gt;"Closed"),"Transfer: record the contract, SLA and audit rights. ","")&amp;IF(AZ139="","Risk owner missing. ","")&amp;IF(K139="","Scenario not written. ",""))="","OK",TRIM(IF(W139="","Treatment not chosen. ","")&amp;IF(AND(W139="Accept",AX139="No"),"Accepted outside appetite: record approval by "&amp;INDEX(Settings!$G$20:$G$23,MATCH(AW139,Settings!$A$20:$A$23,0))&amp;". ","")&amp;IF(AND(W139="Accept",BG139=""),"Acceptance expiry missing. ","")&amp;IF(AND(BG139&lt;&gt;"",BG139&lt;TODAY()),"Acceptance expired. ","")&amp;IF(AND(W139&lt;&gt;"",W139&lt;&gt;"Accept",AV139=""),"Target rating not set. ","")&amp;IF(AND(BE139="Closed",AX139="No"),"Closed while outside appetite. ","")&amp;IF(AND(W139="Transfer",BE139&lt;&gt;"Transferred",BE139&lt;&gt;"Closed"),"Transfer: record the contract, SLA and audit rights. ","")&amp;IF(AZ139="","Risk owner missing. ","")&amp;IF(K139="","Scenario not written. ",""))))</f>
        <v/>
      </c>
      <c r="BM139" s="82"/>
    </row>
    <row r="140" customFormat="false" ht="15" hidden="false" customHeight="false" outlineLevel="0" collapsed="false">
      <c r="A140" s="95"/>
      <c r="B140" s="94"/>
      <c r="C140" s="80"/>
      <c r="D140" s="81" t="str">
        <f aca="false">IF(C140="","",IFERROR(INDEX(Lists!$O$2:$O$13,MATCH(C140,Lists!$N$2:$N$13,0)),"Check domain code"))</f>
        <v/>
      </c>
      <c r="E140" s="81" t="str">
        <f aca="false">IF(C140="","",IFERROR(INDEX(Lists!$P$2:$P$13,MATCH(C140,Lists!$N$2:$N$13,0)),""))</f>
        <v/>
      </c>
      <c r="F140" s="80"/>
      <c r="G140" s="82"/>
      <c r="H140" s="82"/>
      <c r="I140" s="82"/>
      <c r="J140" s="94"/>
      <c r="K140" s="82"/>
      <c r="L140" s="82"/>
      <c r="M140" s="95"/>
      <c r="N140" s="85"/>
      <c r="O140" s="82"/>
      <c r="P140" s="86"/>
      <c r="Q140" s="86"/>
      <c r="R140" s="86"/>
      <c r="S140" s="21" t="str">
        <f aca="false">IF(OR(Q140="",R140=""),"",Q140*R140)</f>
        <v/>
      </c>
      <c r="T140" s="85" t="str">
        <f aca="false">IF(S140="","",INDEX(Settings!$A$20:$A$23,MATCH(S140,Settings!$B$20:$B$23,1)))</f>
        <v/>
      </c>
      <c r="U140" s="82"/>
      <c r="V140" s="87"/>
      <c r="W140" s="86"/>
      <c r="X140" s="82"/>
      <c r="Y140" s="96"/>
      <c r="Z140" s="96"/>
      <c r="AA140" s="96"/>
      <c r="AB140" s="96"/>
      <c r="AC140" s="96"/>
      <c r="AD140" s="96"/>
      <c r="AE140" s="96"/>
      <c r="AF140" s="96"/>
      <c r="AG140" s="96"/>
      <c r="AH140" s="96"/>
      <c r="AI140" s="96"/>
      <c r="AJ140" s="97"/>
      <c r="AK140" s="96"/>
      <c r="AL140" s="96"/>
      <c r="AM140" s="96"/>
      <c r="AN140" s="96"/>
      <c r="AO140" s="96"/>
      <c r="AP140" s="96"/>
      <c r="AQ140" s="97"/>
      <c r="AR140" s="97"/>
      <c r="AS140" s="86"/>
      <c r="AT140" s="86"/>
      <c r="AU140" s="85" t="str">
        <f aca="false">IF(OR(AS140="",AT140=""),"",AS140*AT140)</f>
        <v/>
      </c>
      <c r="AV140" s="21" t="str">
        <f aca="false">IF(AU140="","",INDEX(Settings!$A$20:$A$23,MATCH(AU140,Settings!$B$20:$B$23,1)))</f>
        <v/>
      </c>
      <c r="AW140" s="85" t="str">
        <f aca="false">IF(AV140&lt;&gt;"",AV140,T140)</f>
        <v/>
      </c>
      <c r="AX140" s="85" t="str">
        <f aca="false">IF(AW140="","",IF(MATCH(AW140,Settings!$A$20:$A$23,0)&lt;=MATCH(Settings!$C$28,Settings!$A$20:$A$23,0),"Yes","No"))</f>
        <v/>
      </c>
      <c r="AY140" s="81" t="str">
        <f aca="false">IF(AW140="","",IF(AX140="Yes",INDEX(Settings!$G$20:$G$23,MATCH(AW140,Settings!$A$20:$A$23,0)),INDEX(Settings!$G$20:$G$23,MATCH(AW140,Settings!$A$20:$A$23,0))&amp;" (outside appetite)"))</f>
        <v/>
      </c>
      <c r="AZ140" s="82"/>
      <c r="BA140" s="82"/>
      <c r="BB140" s="90"/>
      <c r="BC140" s="91" t="str">
        <f aca="false">IF(OR(BB140="",T140=""),"",BB140+INDEX(Settings!$E$20:$E$23,MATCH(T140,Settings!$A$20:$A$23,0)))</f>
        <v/>
      </c>
      <c r="BD140" s="90"/>
      <c r="BE140" s="82"/>
      <c r="BF140" s="81" t="str">
        <f aca="true">IF(A140="","",IF(OR(BE140="Closed",BE140="Accepted"),"No action",IF(BB140="","Set date identified",IF(TODAY()&gt;BC140,"Deadline exceeded",IF(BC140-TODAY()&lt;=Settings!$C$30,"Deadline approaching","On track")))))</f>
        <v/>
      </c>
      <c r="BG140" s="90"/>
      <c r="BH140" s="90"/>
      <c r="BI140" s="91" t="str">
        <f aca="false">IF(OR(BH140="",AW140=""),"",EDATE(BH140,INDEX(Settings!$F$20:$F$23,MATCH(AW140,Settings!$A$20:$A$23,0))))</f>
        <v/>
      </c>
      <c r="BJ140" s="85" t="str">
        <f aca="false">IF(T140="","",IF(MAX(IF(T140="",0,MATCH(T140,Settings!$A$20:$A$23,0)),IF(AV140="",0,MATCH(AV140,Settings!$A$20:$A$23,0)))&gt;=MATCH(Settings!$C$29,Settings!$A$20:$A$23,0),"Yes","No"))</f>
        <v/>
      </c>
      <c r="BK140" s="82"/>
      <c r="BL140" s="81" t="str">
        <f aca="true">IF(A140="","",IF(TRIM(IF(W140="","Treatment not chosen. ","")&amp;IF(AND(W140="Accept",AX140="No"),"Accepted outside appetite: record approval by "&amp;INDEX(Settings!$G$20:$G$23,MATCH(AW140,Settings!$A$20:$A$23,0))&amp;". ","")&amp;IF(AND(W140="Accept",BG140=""),"Acceptance expiry missing. ","")&amp;IF(AND(BG140&lt;&gt;"",BG140&lt;TODAY()),"Acceptance expired. ","")&amp;IF(AND(W140&lt;&gt;"",W140&lt;&gt;"Accept",AV140=""),"Target rating not set. ","")&amp;IF(AND(BE140="Closed",AX140="No"),"Closed while outside appetite. ","")&amp;IF(AND(W140="Transfer",BE140&lt;&gt;"Transferred",BE140&lt;&gt;"Closed"),"Transfer: record the contract, SLA and audit rights. ","")&amp;IF(AZ140="","Risk owner missing. ","")&amp;IF(K140="","Scenario not written. ",""))="","OK",TRIM(IF(W140="","Treatment not chosen. ","")&amp;IF(AND(W140="Accept",AX140="No"),"Accepted outside appetite: record approval by "&amp;INDEX(Settings!$G$20:$G$23,MATCH(AW140,Settings!$A$20:$A$23,0))&amp;". ","")&amp;IF(AND(W140="Accept",BG140=""),"Acceptance expiry missing. ","")&amp;IF(AND(BG140&lt;&gt;"",BG140&lt;TODAY()),"Acceptance expired. ","")&amp;IF(AND(W140&lt;&gt;"",W140&lt;&gt;"Accept",AV140=""),"Target rating not set. ","")&amp;IF(AND(BE140="Closed",AX140="No"),"Closed while outside appetite. ","")&amp;IF(AND(W140="Transfer",BE140&lt;&gt;"Transferred",BE140&lt;&gt;"Closed"),"Transfer: record the contract, SLA and audit rights. ","")&amp;IF(AZ140="","Risk owner missing. ","")&amp;IF(K140="","Scenario not written. ",""))))</f>
        <v/>
      </c>
      <c r="BM140" s="82"/>
    </row>
    <row r="141" customFormat="false" ht="15" hidden="false" customHeight="false" outlineLevel="0" collapsed="false">
      <c r="A141" s="84"/>
      <c r="B141" s="83"/>
      <c r="C141" s="80"/>
      <c r="D141" s="81" t="str">
        <f aca="false">IF(C141="","",IFERROR(INDEX(Lists!$O$2:$O$13,MATCH(C141,Lists!$N$2:$N$13,0)),"Check domain code"))</f>
        <v/>
      </c>
      <c r="E141" s="81" t="str">
        <f aca="false">IF(C141="","",IFERROR(INDEX(Lists!$P$2:$P$13,MATCH(C141,Lists!$N$2:$N$13,0)),""))</f>
        <v/>
      </c>
      <c r="F141" s="80"/>
      <c r="G141" s="82"/>
      <c r="H141" s="82"/>
      <c r="I141" s="82"/>
      <c r="J141" s="83"/>
      <c r="K141" s="82"/>
      <c r="L141" s="82"/>
      <c r="M141" s="84"/>
      <c r="N141" s="85"/>
      <c r="O141" s="82"/>
      <c r="P141" s="86"/>
      <c r="Q141" s="86"/>
      <c r="R141" s="86"/>
      <c r="S141" s="21" t="str">
        <f aca="false">IF(OR(Q141="",R141=""),"",Q141*R141)</f>
        <v/>
      </c>
      <c r="T141" s="85" t="str">
        <f aca="false">IF(S141="","",INDEX(Settings!$A$20:$A$23,MATCH(S141,Settings!$B$20:$B$23,1)))</f>
        <v/>
      </c>
      <c r="U141" s="82"/>
      <c r="V141" s="87"/>
      <c r="W141" s="86"/>
      <c r="X141" s="82"/>
      <c r="Y141" s="88"/>
      <c r="Z141" s="88"/>
      <c r="AA141" s="88"/>
      <c r="AB141" s="88"/>
      <c r="AC141" s="88"/>
      <c r="AD141" s="88"/>
      <c r="AE141" s="88"/>
      <c r="AF141" s="88"/>
      <c r="AG141" s="88"/>
      <c r="AH141" s="88"/>
      <c r="AI141" s="88"/>
      <c r="AJ141" s="89"/>
      <c r="AK141" s="88"/>
      <c r="AL141" s="88"/>
      <c r="AM141" s="88"/>
      <c r="AN141" s="88"/>
      <c r="AO141" s="88"/>
      <c r="AP141" s="88"/>
      <c r="AQ141" s="89"/>
      <c r="AR141" s="89"/>
      <c r="AS141" s="86"/>
      <c r="AT141" s="86"/>
      <c r="AU141" s="85" t="str">
        <f aca="false">IF(OR(AS141="",AT141=""),"",AS141*AT141)</f>
        <v/>
      </c>
      <c r="AV141" s="21" t="str">
        <f aca="false">IF(AU141="","",INDEX(Settings!$A$20:$A$23,MATCH(AU141,Settings!$B$20:$B$23,1)))</f>
        <v/>
      </c>
      <c r="AW141" s="85" t="str">
        <f aca="false">IF(AV141&lt;&gt;"",AV141,T141)</f>
        <v/>
      </c>
      <c r="AX141" s="85" t="str">
        <f aca="false">IF(AW141="","",IF(MATCH(AW141,Settings!$A$20:$A$23,0)&lt;=MATCH(Settings!$C$28,Settings!$A$20:$A$23,0),"Yes","No"))</f>
        <v/>
      </c>
      <c r="AY141" s="81" t="str">
        <f aca="false">IF(AW141="","",IF(AX141="Yes",INDEX(Settings!$G$20:$G$23,MATCH(AW141,Settings!$A$20:$A$23,0)),INDEX(Settings!$G$20:$G$23,MATCH(AW141,Settings!$A$20:$A$23,0))&amp;" (outside appetite)"))</f>
        <v/>
      </c>
      <c r="AZ141" s="82"/>
      <c r="BA141" s="82"/>
      <c r="BB141" s="90"/>
      <c r="BC141" s="91" t="str">
        <f aca="false">IF(OR(BB141="",T141=""),"",BB141+INDEX(Settings!$E$20:$E$23,MATCH(T141,Settings!$A$20:$A$23,0)))</f>
        <v/>
      </c>
      <c r="BD141" s="90"/>
      <c r="BE141" s="82"/>
      <c r="BF141" s="81" t="str">
        <f aca="true">IF(A141="","",IF(OR(BE141="Closed",BE141="Accepted"),"No action",IF(BB141="","Set date identified",IF(TODAY()&gt;BC141,"Deadline exceeded",IF(BC141-TODAY()&lt;=Settings!$C$30,"Deadline approaching","On track")))))</f>
        <v/>
      </c>
      <c r="BG141" s="90"/>
      <c r="BH141" s="90"/>
      <c r="BI141" s="91" t="str">
        <f aca="false">IF(OR(BH141="",AW141=""),"",EDATE(BH141,INDEX(Settings!$F$20:$F$23,MATCH(AW141,Settings!$A$20:$A$23,0))))</f>
        <v/>
      </c>
      <c r="BJ141" s="85" t="str">
        <f aca="false">IF(T141="","",IF(MAX(IF(T141="",0,MATCH(T141,Settings!$A$20:$A$23,0)),IF(AV141="",0,MATCH(AV141,Settings!$A$20:$A$23,0)))&gt;=MATCH(Settings!$C$29,Settings!$A$20:$A$23,0),"Yes","No"))</f>
        <v/>
      </c>
      <c r="BK141" s="82"/>
      <c r="BL141" s="81" t="str">
        <f aca="true">IF(A141="","",IF(TRIM(IF(W141="","Treatment not chosen. ","")&amp;IF(AND(W141="Accept",AX141="No"),"Accepted outside appetite: record approval by "&amp;INDEX(Settings!$G$20:$G$23,MATCH(AW141,Settings!$A$20:$A$23,0))&amp;". ","")&amp;IF(AND(W141="Accept",BG141=""),"Acceptance expiry missing. ","")&amp;IF(AND(BG141&lt;&gt;"",BG141&lt;TODAY()),"Acceptance expired. ","")&amp;IF(AND(W141&lt;&gt;"",W141&lt;&gt;"Accept",AV141=""),"Target rating not set. ","")&amp;IF(AND(BE141="Closed",AX141="No"),"Closed while outside appetite. ","")&amp;IF(AND(W141="Transfer",BE141&lt;&gt;"Transferred",BE141&lt;&gt;"Closed"),"Transfer: record the contract, SLA and audit rights. ","")&amp;IF(AZ141="","Risk owner missing. ","")&amp;IF(K141="","Scenario not written. ",""))="","OK",TRIM(IF(W141="","Treatment not chosen. ","")&amp;IF(AND(W141="Accept",AX141="No"),"Accepted outside appetite: record approval by "&amp;INDEX(Settings!$G$20:$G$23,MATCH(AW141,Settings!$A$20:$A$23,0))&amp;". ","")&amp;IF(AND(W141="Accept",BG141=""),"Acceptance expiry missing. ","")&amp;IF(AND(BG141&lt;&gt;"",BG141&lt;TODAY()),"Acceptance expired. ","")&amp;IF(AND(W141&lt;&gt;"",W141&lt;&gt;"Accept",AV141=""),"Target rating not set. ","")&amp;IF(AND(BE141="Closed",AX141="No"),"Closed while outside appetite. ","")&amp;IF(AND(W141="Transfer",BE141&lt;&gt;"Transferred",BE141&lt;&gt;"Closed"),"Transfer: record the contract, SLA and audit rights. ","")&amp;IF(AZ141="","Risk owner missing. ","")&amp;IF(K141="","Scenario not written. ",""))))</f>
        <v/>
      </c>
      <c r="BM141" s="82"/>
    </row>
    <row r="142" customFormat="false" ht="15" hidden="false" customHeight="false" outlineLevel="0" collapsed="false">
      <c r="A142" s="95"/>
      <c r="B142" s="94"/>
      <c r="C142" s="80"/>
      <c r="D142" s="81" t="str">
        <f aca="false">IF(C142="","",IFERROR(INDEX(Lists!$O$2:$O$13,MATCH(C142,Lists!$N$2:$N$13,0)),"Check domain code"))</f>
        <v/>
      </c>
      <c r="E142" s="81" t="str">
        <f aca="false">IF(C142="","",IFERROR(INDEX(Lists!$P$2:$P$13,MATCH(C142,Lists!$N$2:$N$13,0)),""))</f>
        <v/>
      </c>
      <c r="F142" s="80"/>
      <c r="G142" s="82"/>
      <c r="H142" s="82"/>
      <c r="I142" s="82"/>
      <c r="J142" s="94"/>
      <c r="K142" s="82"/>
      <c r="L142" s="82"/>
      <c r="M142" s="95"/>
      <c r="N142" s="85"/>
      <c r="O142" s="82"/>
      <c r="P142" s="86"/>
      <c r="Q142" s="86"/>
      <c r="R142" s="86"/>
      <c r="S142" s="21" t="str">
        <f aca="false">IF(OR(Q142="",R142=""),"",Q142*R142)</f>
        <v/>
      </c>
      <c r="T142" s="85" t="str">
        <f aca="false">IF(S142="","",INDEX(Settings!$A$20:$A$23,MATCH(S142,Settings!$B$20:$B$23,1)))</f>
        <v/>
      </c>
      <c r="U142" s="82"/>
      <c r="V142" s="87"/>
      <c r="W142" s="86"/>
      <c r="X142" s="82"/>
      <c r="Y142" s="96"/>
      <c r="Z142" s="96"/>
      <c r="AA142" s="96"/>
      <c r="AB142" s="96"/>
      <c r="AC142" s="96"/>
      <c r="AD142" s="96"/>
      <c r="AE142" s="96"/>
      <c r="AF142" s="96"/>
      <c r="AG142" s="96"/>
      <c r="AH142" s="96"/>
      <c r="AI142" s="96"/>
      <c r="AJ142" s="97"/>
      <c r="AK142" s="96"/>
      <c r="AL142" s="96"/>
      <c r="AM142" s="96"/>
      <c r="AN142" s="96"/>
      <c r="AO142" s="96"/>
      <c r="AP142" s="96"/>
      <c r="AQ142" s="97"/>
      <c r="AR142" s="97"/>
      <c r="AS142" s="86"/>
      <c r="AT142" s="86"/>
      <c r="AU142" s="85" t="str">
        <f aca="false">IF(OR(AS142="",AT142=""),"",AS142*AT142)</f>
        <v/>
      </c>
      <c r="AV142" s="21" t="str">
        <f aca="false">IF(AU142="","",INDEX(Settings!$A$20:$A$23,MATCH(AU142,Settings!$B$20:$B$23,1)))</f>
        <v/>
      </c>
      <c r="AW142" s="85" t="str">
        <f aca="false">IF(AV142&lt;&gt;"",AV142,T142)</f>
        <v/>
      </c>
      <c r="AX142" s="85" t="str">
        <f aca="false">IF(AW142="","",IF(MATCH(AW142,Settings!$A$20:$A$23,0)&lt;=MATCH(Settings!$C$28,Settings!$A$20:$A$23,0),"Yes","No"))</f>
        <v/>
      </c>
      <c r="AY142" s="81" t="str">
        <f aca="false">IF(AW142="","",IF(AX142="Yes",INDEX(Settings!$G$20:$G$23,MATCH(AW142,Settings!$A$20:$A$23,0)),INDEX(Settings!$G$20:$G$23,MATCH(AW142,Settings!$A$20:$A$23,0))&amp;" (outside appetite)"))</f>
        <v/>
      </c>
      <c r="AZ142" s="82"/>
      <c r="BA142" s="82"/>
      <c r="BB142" s="90"/>
      <c r="BC142" s="91" t="str">
        <f aca="false">IF(OR(BB142="",T142=""),"",BB142+INDEX(Settings!$E$20:$E$23,MATCH(T142,Settings!$A$20:$A$23,0)))</f>
        <v/>
      </c>
      <c r="BD142" s="90"/>
      <c r="BE142" s="82"/>
      <c r="BF142" s="81" t="str">
        <f aca="true">IF(A142="","",IF(OR(BE142="Closed",BE142="Accepted"),"No action",IF(BB142="","Set date identified",IF(TODAY()&gt;BC142,"Deadline exceeded",IF(BC142-TODAY()&lt;=Settings!$C$30,"Deadline approaching","On track")))))</f>
        <v/>
      </c>
      <c r="BG142" s="90"/>
      <c r="BH142" s="90"/>
      <c r="BI142" s="91" t="str">
        <f aca="false">IF(OR(BH142="",AW142=""),"",EDATE(BH142,INDEX(Settings!$F$20:$F$23,MATCH(AW142,Settings!$A$20:$A$23,0))))</f>
        <v/>
      </c>
      <c r="BJ142" s="85" t="str">
        <f aca="false">IF(T142="","",IF(MAX(IF(T142="",0,MATCH(T142,Settings!$A$20:$A$23,0)),IF(AV142="",0,MATCH(AV142,Settings!$A$20:$A$23,0)))&gt;=MATCH(Settings!$C$29,Settings!$A$20:$A$23,0),"Yes","No"))</f>
        <v/>
      </c>
      <c r="BK142" s="82"/>
      <c r="BL142" s="81" t="str">
        <f aca="true">IF(A142="","",IF(TRIM(IF(W142="","Treatment not chosen. ","")&amp;IF(AND(W142="Accept",AX142="No"),"Accepted outside appetite: record approval by "&amp;INDEX(Settings!$G$20:$G$23,MATCH(AW142,Settings!$A$20:$A$23,0))&amp;". ","")&amp;IF(AND(W142="Accept",BG142=""),"Acceptance expiry missing. ","")&amp;IF(AND(BG142&lt;&gt;"",BG142&lt;TODAY()),"Acceptance expired. ","")&amp;IF(AND(W142&lt;&gt;"",W142&lt;&gt;"Accept",AV142=""),"Target rating not set. ","")&amp;IF(AND(BE142="Closed",AX142="No"),"Closed while outside appetite. ","")&amp;IF(AND(W142="Transfer",BE142&lt;&gt;"Transferred",BE142&lt;&gt;"Closed"),"Transfer: record the contract, SLA and audit rights. ","")&amp;IF(AZ142="","Risk owner missing. ","")&amp;IF(K142="","Scenario not written. ",""))="","OK",TRIM(IF(W142="","Treatment not chosen. ","")&amp;IF(AND(W142="Accept",AX142="No"),"Accepted outside appetite: record approval by "&amp;INDEX(Settings!$G$20:$G$23,MATCH(AW142,Settings!$A$20:$A$23,0))&amp;". ","")&amp;IF(AND(W142="Accept",BG142=""),"Acceptance expiry missing. ","")&amp;IF(AND(BG142&lt;&gt;"",BG142&lt;TODAY()),"Acceptance expired. ","")&amp;IF(AND(W142&lt;&gt;"",W142&lt;&gt;"Accept",AV142=""),"Target rating not set. ","")&amp;IF(AND(BE142="Closed",AX142="No"),"Closed while outside appetite. ","")&amp;IF(AND(W142="Transfer",BE142&lt;&gt;"Transferred",BE142&lt;&gt;"Closed"),"Transfer: record the contract, SLA and audit rights. ","")&amp;IF(AZ142="","Risk owner missing. ","")&amp;IF(K142="","Scenario not written. ",""))))</f>
        <v/>
      </c>
      <c r="BM142" s="82"/>
    </row>
    <row r="143" customFormat="false" ht="15" hidden="false" customHeight="false" outlineLevel="0" collapsed="false">
      <c r="A143" s="84"/>
      <c r="B143" s="83"/>
      <c r="C143" s="80"/>
      <c r="D143" s="81" t="str">
        <f aca="false">IF(C143="","",IFERROR(INDEX(Lists!$O$2:$O$13,MATCH(C143,Lists!$N$2:$N$13,0)),"Check domain code"))</f>
        <v/>
      </c>
      <c r="E143" s="81" t="str">
        <f aca="false">IF(C143="","",IFERROR(INDEX(Lists!$P$2:$P$13,MATCH(C143,Lists!$N$2:$N$13,0)),""))</f>
        <v/>
      </c>
      <c r="F143" s="80"/>
      <c r="G143" s="82"/>
      <c r="H143" s="82"/>
      <c r="I143" s="82"/>
      <c r="J143" s="83"/>
      <c r="K143" s="82"/>
      <c r="L143" s="82"/>
      <c r="M143" s="84"/>
      <c r="N143" s="85"/>
      <c r="O143" s="82"/>
      <c r="P143" s="86"/>
      <c r="Q143" s="86"/>
      <c r="R143" s="86"/>
      <c r="S143" s="21" t="str">
        <f aca="false">IF(OR(Q143="",R143=""),"",Q143*R143)</f>
        <v/>
      </c>
      <c r="T143" s="85" t="str">
        <f aca="false">IF(S143="","",INDEX(Settings!$A$20:$A$23,MATCH(S143,Settings!$B$20:$B$23,1)))</f>
        <v/>
      </c>
      <c r="U143" s="82"/>
      <c r="V143" s="87"/>
      <c r="W143" s="86"/>
      <c r="X143" s="82"/>
      <c r="Y143" s="88"/>
      <c r="Z143" s="88"/>
      <c r="AA143" s="88"/>
      <c r="AB143" s="88"/>
      <c r="AC143" s="88"/>
      <c r="AD143" s="88"/>
      <c r="AE143" s="88"/>
      <c r="AF143" s="88"/>
      <c r="AG143" s="88"/>
      <c r="AH143" s="88"/>
      <c r="AI143" s="88"/>
      <c r="AJ143" s="89"/>
      <c r="AK143" s="88"/>
      <c r="AL143" s="88"/>
      <c r="AM143" s="88"/>
      <c r="AN143" s="88"/>
      <c r="AO143" s="88"/>
      <c r="AP143" s="88"/>
      <c r="AQ143" s="89"/>
      <c r="AR143" s="89"/>
      <c r="AS143" s="86"/>
      <c r="AT143" s="86"/>
      <c r="AU143" s="85" t="str">
        <f aca="false">IF(OR(AS143="",AT143=""),"",AS143*AT143)</f>
        <v/>
      </c>
      <c r="AV143" s="21" t="str">
        <f aca="false">IF(AU143="","",INDEX(Settings!$A$20:$A$23,MATCH(AU143,Settings!$B$20:$B$23,1)))</f>
        <v/>
      </c>
      <c r="AW143" s="85" t="str">
        <f aca="false">IF(AV143&lt;&gt;"",AV143,T143)</f>
        <v/>
      </c>
      <c r="AX143" s="85" t="str">
        <f aca="false">IF(AW143="","",IF(MATCH(AW143,Settings!$A$20:$A$23,0)&lt;=MATCH(Settings!$C$28,Settings!$A$20:$A$23,0),"Yes","No"))</f>
        <v/>
      </c>
      <c r="AY143" s="81" t="str">
        <f aca="false">IF(AW143="","",IF(AX143="Yes",INDEX(Settings!$G$20:$G$23,MATCH(AW143,Settings!$A$20:$A$23,0)),INDEX(Settings!$G$20:$G$23,MATCH(AW143,Settings!$A$20:$A$23,0))&amp;" (outside appetite)"))</f>
        <v/>
      </c>
      <c r="AZ143" s="82"/>
      <c r="BA143" s="82"/>
      <c r="BB143" s="90"/>
      <c r="BC143" s="91" t="str">
        <f aca="false">IF(OR(BB143="",T143=""),"",BB143+INDEX(Settings!$E$20:$E$23,MATCH(T143,Settings!$A$20:$A$23,0)))</f>
        <v/>
      </c>
      <c r="BD143" s="90"/>
      <c r="BE143" s="82"/>
      <c r="BF143" s="81" t="str">
        <f aca="true">IF(A143="","",IF(OR(BE143="Closed",BE143="Accepted"),"No action",IF(BB143="","Set date identified",IF(TODAY()&gt;BC143,"Deadline exceeded",IF(BC143-TODAY()&lt;=Settings!$C$30,"Deadline approaching","On track")))))</f>
        <v/>
      </c>
      <c r="BG143" s="90"/>
      <c r="BH143" s="90"/>
      <c r="BI143" s="91" t="str">
        <f aca="false">IF(OR(BH143="",AW143=""),"",EDATE(BH143,INDEX(Settings!$F$20:$F$23,MATCH(AW143,Settings!$A$20:$A$23,0))))</f>
        <v/>
      </c>
      <c r="BJ143" s="85" t="str">
        <f aca="false">IF(T143="","",IF(MAX(IF(T143="",0,MATCH(T143,Settings!$A$20:$A$23,0)),IF(AV143="",0,MATCH(AV143,Settings!$A$20:$A$23,0)))&gt;=MATCH(Settings!$C$29,Settings!$A$20:$A$23,0),"Yes","No"))</f>
        <v/>
      </c>
      <c r="BK143" s="82"/>
      <c r="BL143" s="81" t="str">
        <f aca="true">IF(A143="","",IF(TRIM(IF(W143="","Treatment not chosen. ","")&amp;IF(AND(W143="Accept",AX143="No"),"Accepted outside appetite: record approval by "&amp;INDEX(Settings!$G$20:$G$23,MATCH(AW143,Settings!$A$20:$A$23,0))&amp;". ","")&amp;IF(AND(W143="Accept",BG143=""),"Acceptance expiry missing. ","")&amp;IF(AND(BG143&lt;&gt;"",BG143&lt;TODAY()),"Acceptance expired. ","")&amp;IF(AND(W143&lt;&gt;"",W143&lt;&gt;"Accept",AV143=""),"Target rating not set. ","")&amp;IF(AND(BE143="Closed",AX143="No"),"Closed while outside appetite. ","")&amp;IF(AND(W143="Transfer",BE143&lt;&gt;"Transferred",BE143&lt;&gt;"Closed"),"Transfer: record the contract, SLA and audit rights. ","")&amp;IF(AZ143="","Risk owner missing. ","")&amp;IF(K143="","Scenario not written. ",""))="","OK",TRIM(IF(W143="","Treatment not chosen. ","")&amp;IF(AND(W143="Accept",AX143="No"),"Accepted outside appetite: record approval by "&amp;INDEX(Settings!$G$20:$G$23,MATCH(AW143,Settings!$A$20:$A$23,0))&amp;". ","")&amp;IF(AND(W143="Accept",BG143=""),"Acceptance expiry missing. ","")&amp;IF(AND(BG143&lt;&gt;"",BG143&lt;TODAY()),"Acceptance expired. ","")&amp;IF(AND(W143&lt;&gt;"",W143&lt;&gt;"Accept",AV143=""),"Target rating not set. ","")&amp;IF(AND(BE143="Closed",AX143="No"),"Closed while outside appetite. ","")&amp;IF(AND(W143="Transfer",BE143&lt;&gt;"Transferred",BE143&lt;&gt;"Closed"),"Transfer: record the contract, SLA and audit rights. ","")&amp;IF(AZ143="","Risk owner missing. ","")&amp;IF(K143="","Scenario not written. ",""))))</f>
        <v/>
      </c>
      <c r="BM143" s="82"/>
    </row>
    <row r="144" customFormat="false" ht="15" hidden="false" customHeight="false" outlineLevel="0" collapsed="false">
      <c r="A144" s="95"/>
      <c r="B144" s="94"/>
      <c r="C144" s="80"/>
      <c r="D144" s="81" t="str">
        <f aca="false">IF(C144="","",IFERROR(INDEX(Lists!$O$2:$O$13,MATCH(C144,Lists!$N$2:$N$13,0)),"Check domain code"))</f>
        <v/>
      </c>
      <c r="E144" s="81" t="str">
        <f aca="false">IF(C144="","",IFERROR(INDEX(Lists!$P$2:$P$13,MATCH(C144,Lists!$N$2:$N$13,0)),""))</f>
        <v/>
      </c>
      <c r="F144" s="80"/>
      <c r="G144" s="82"/>
      <c r="H144" s="82"/>
      <c r="I144" s="82"/>
      <c r="J144" s="94"/>
      <c r="K144" s="82"/>
      <c r="L144" s="82"/>
      <c r="M144" s="95"/>
      <c r="N144" s="85"/>
      <c r="O144" s="82"/>
      <c r="P144" s="86"/>
      <c r="Q144" s="86"/>
      <c r="R144" s="86"/>
      <c r="S144" s="21" t="str">
        <f aca="false">IF(OR(Q144="",R144=""),"",Q144*R144)</f>
        <v/>
      </c>
      <c r="T144" s="85" t="str">
        <f aca="false">IF(S144="","",INDEX(Settings!$A$20:$A$23,MATCH(S144,Settings!$B$20:$B$23,1)))</f>
        <v/>
      </c>
      <c r="U144" s="82"/>
      <c r="V144" s="87"/>
      <c r="W144" s="86"/>
      <c r="X144" s="82"/>
      <c r="Y144" s="96"/>
      <c r="Z144" s="96"/>
      <c r="AA144" s="96"/>
      <c r="AB144" s="96"/>
      <c r="AC144" s="96"/>
      <c r="AD144" s="96"/>
      <c r="AE144" s="96"/>
      <c r="AF144" s="96"/>
      <c r="AG144" s="96"/>
      <c r="AH144" s="96"/>
      <c r="AI144" s="96"/>
      <c r="AJ144" s="97"/>
      <c r="AK144" s="96"/>
      <c r="AL144" s="96"/>
      <c r="AM144" s="96"/>
      <c r="AN144" s="96"/>
      <c r="AO144" s="96"/>
      <c r="AP144" s="96"/>
      <c r="AQ144" s="97"/>
      <c r="AR144" s="97"/>
      <c r="AS144" s="86"/>
      <c r="AT144" s="86"/>
      <c r="AU144" s="85" t="str">
        <f aca="false">IF(OR(AS144="",AT144=""),"",AS144*AT144)</f>
        <v/>
      </c>
      <c r="AV144" s="21" t="str">
        <f aca="false">IF(AU144="","",INDEX(Settings!$A$20:$A$23,MATCH(AU144,Settings!$B$20:$B$23,1)))</f>
        <v/>
      </c>
      <c r="AW144" s="85" t="str">
        <f aca="false">IF(AV144&lt;&gt;"",AV144,T144)</f>
        <v/>
      </c>
      <c r="AX144" s="85" t="str">
        <f aca="false">IF(AW144="","",IF(MATCH(AW144,Settings!$A$20:$A$23,0)&lt;=MATCH(Settings!$C$28,Settings!$A$20:$A$23,0),"Yes","No"))</f>
        <v/>
      </c>
      <c r="AY144" s="81" t="str">
        <f aca="false">IF(AW144="","",IF(AX144="Yes",INDEX(Settings!$G$20:$G$23,MATCH(AW144,Settings!$A$20:$A$23,0)),INDEX(Settings!$G$20:$G$23,MATCH(AW144,Settings!$A$20:$A$23,0))&amp;" (outside appetite)"))</f>
        <v/>
      </c>
      <c r="AZ144" s="82"/>
      <c r="BA144" s="82"/>
      <c r="BB144" s="90"/>
      <c r="BC144" s="91" t="str">
        <f aca="false">IF(OR(BB144="",T144=""),"",BB144+INDEX(Settings!$E$20:$E$23,MATCH(T144,Settings!$A$20:$A$23,0)))</f>
        <v/>
      </c>
      <c r="BD144" s="90"/>
      <c r="BE144" s="82"/>
      <c r="BF144" s="81" t="str">
        <f aca="true">IF(A144="","",IF(OR(BE144="Closed",BE144="Accepted"),"No action",IF(BB144="","Set date identified",IF(TODAY()&gt;BC144,"Deadline exceeded",IF(BC144-TODAY()&lt;=Settings!$C$30,"Deadline approaching","On track")))))</f>
        <v/>
      </c>
      <c r="BG144" s="90"/>
      <c r="BH144" s="90"/>
      <c r="BI144" s="91" t="str">
        <f aca="false">IF(OR(BH144="",AW144=""),"",EDATE(BH144,INDEX(Settings!$F$20:$F$23,MATCH(AW144,Settings!$A$20:$A$23,0))))</f>
        <v/>
      </c>
      <c r="BJ144" s="85" t="str">
        <f aca="false">IF(T144="","",IF(MAX(IF(T144="",0,MATCH(T144,Settings!$A$20:$A$23,0)),IF(AV144="",0,MATCH(AV144,Settings!$A$20:$A$23,0)))&gt;=MATCH(Settings!$C$29,Settings!$A$20:$A$23,0),"Yes","No"))</f>
        <v/>
      </c>
      <c r="BK144" s="82"/>
      <c r="BL144" s="81" t="str">
        <f aca="true">IF(A144="","",IF(TRIM(IF(W144="","Treatment not chosen. ","")&amp;IF(AND(W144="Accept",AX144="No"),"Accepted outside appetite: record approval by "&amp;INDEX(Settings!$G$20:$G$23,MATCH(AW144,Settings!$A$20:$A$23,0))&amp;". ","")&amp;IF(AND(W144="Accept",BG144=""),"Acceptance expiry missing. ","")&amp;IF(AND(BG144&lt;&gt;"",BG144&lt;TODAY()),"Acceptance expired. ","")&amp;IF(AND(W144&lt;&gt;"",W144&lt;&gt;"Accept",AV144=""),"Target rating not set. ","")&amp;IF(AND(BE144="Closed",AX144="No"),"Closed while outside appetite. ","")&amp;IF(AND(W144="Transfer",BE144&lt;&gt;"Transferred",BE144&lt;&gt;"Closed"),"Transfer: record the contract, SLA and audit rights. ","")&amp;IF(AZ144="","Risk owner missing. ","")&amp;IF(K144="","Scenario not written. ",""))="","OK",TRIM(IF(W144="","Treatment not chosen. ","")&amp;IF(AND(W144="Accept",AX144="No"),"Accepted outside appetite: record approval by "&amp;INDEX(Settings!$G$20:$G$23,MATCH(AW144,Settings!$A$20:$A$23,0))&amp;". ","")&amp;IF(AND(W144="Accept",BG144=""),"Acceptance expiry missing. ","")&amp;IF(AND(BG144&lt;&gt;"",BG144&lt;TODAY()),"Acceptance expired. ","")&amp;IF(AND(W144&lt;&gt;"",W144&lt;&gt;"Accept",AV144=""),"Target rating not set. ","")&amp;IF(AND(BE144="Closed",AX144="No"),"Closed while outside appetite. ","")&amp;IF(AND(W144="Transfer",BE144&lt;&gt;"Transferred",BE144&lt;&gt;"Closed"),"Transfer: record the contract, SLA and audit rights. ","")&amp;IF(AZ144="","Risk owner missing. ","")&amp;IF(K144="","Scenario not written. ",""))))</f>
        <v/>
      </c>
      <c r="BM144" s="82"/>
    </row>
    <row r="145" customFormat="false" ht="15" hidden="false" customHeight="false" outlineLevel="0" collapsed="false">
      <c r="A145" s="84"/>
      <c r="B145" s="83"/>
      <c r="C145" s="80"/>
      <c r="D145" s="81" t="str">
        <f aca="false">IF(C145="","",IFERROR(INDEX(Lists!$O$2:$O$13,MATCH(C145,Lists!$N$2:$N$13,0)),"Check domain code"))</f>
        <v/>
      </c>
      <c r="E145" s="81" t="str">
        <f aca="false">IF(C145="","",IFERROR(INDEX(Lists!$P$2:$P$13,MATCH(C145,Lists!$N$2:$N$13,0)),""))</f>
        <v/>
      </c>
      <c r="F145" s="80"/>
      <c r="G145" s="82"/>
      <c r="H145" s="82"/>
      <c r="I145" s="82"/>
      <c r="J145" s="83"/>
      <c r="K145" s="82"/>
      <c r="L145" s="82"/>
      <c r="M145" s="84"/>
      <c r="N145" s="85"/>
      <c r="O145" s="82"/>
      <c r="P145" s="86"/>
      <c r="Q145" s="86"/>
      <c r="R145" s="86"/>
      <c r="S145" s="21" t="str">
        <f aca="false">IF(OR(Q145="",R145=""),"",Q145*R145)</f>
        <v/>
      </c>
      <c r="T145" s="85" t="str">
        <f aca="false">IF(S145="","",INDEX(Settings!$A$20:$A$23,MATCH(S145,Settings!$B$20:$B$23,1)))</f>
        <v/>
      </c>
      <c r="U145" s="82"/>
      <c r="V145" s="87"/>
      <c r="W145" s="86"/>
      <c r="X145" s="82"/>
      <c r="Y145" s="88"/>
      <c r="Z145" s="88"/>
      <c r="AA145" s="88"/>
      <c r="AB145" s="88"/>
      <c r="AC145" s="88"/>
      <c r="AD145" s="88"/>
      <c r="AE145" s="88"/>
      <c r="AF145" s="88"/>
      <c r="AG145" s="88"/>
      <c r="AH145" s="88"/>
      <c r="AI145" s="88"/>
      <c r="AJ145" s="89"/>
      <c r="AK145" s="88"/>
      <c r="AL145" s="88"/>
      <c r="AM145" s="88"/>
      <c r="AN145" s="88"/>
      <c r="AO145" s="88"/>
      <c r="AP145" s="88"/>
      <c r="AQ145" s="89"/>
      <c r="AR145" s="89"/>
      <c r="AS145" s="86"/>
      <c r="AT145" s="86"/>
      <c r="AU145" s="85" t="str">
        <f aca="false">IF(OR(AS145="",AT145=""),"",AS145*AT145)</f>
        <v/>
      </c>
      <c r="AV145" s="21" t="str">
        <f aca="false">IF(AU145="","",INDEX(Settings!$A$20:$A$23,MATCH(AU145,Settings!$B$20:$B$23,1)))</f>
        <v/>
      </c>
      <c r="AW145" s="85" t="str">
        <f aca="false">IF(AV145&lt;&gt;"",AV145,T145)</f>
        <v/>
      </c>
      <c r="AX145" s="85" t="str">
        <f aca="false">IF(AW145="","",IF(MATCH(AW145,Settings!$A$20:$A$23,0)&lt;=MATCH(Settings!$C$28,Settings!$A$20:$A$23,0),"Yes","No"))</f>
        <v/>
      </c>
      <c r="AY145" s="81" t="str">
        <f aca="false">IF(AW145="","",IF(AX145="Yes",INDEX(Settings!$G$20:$G$23,MATCH(AW145,Settings!$A$20:$A$23,0)),INDEX(Settings!$G$20:$G$23,MATCH(AW145,Settings!$A$20:$A$23,0))&amp;" (outside appetite)"))</f>
        <v/>
      </c>
      <c r="AZ145" s="82"/>
      <c r="BA145" s="82"/>
      <c r="BB145" s="90"/>
      <c r="BC145" s="91" t="str">
        <f aca="false">IF(OR(BB145="",T145=""),"",BB145+INDEX(Settings!$E$20:$E$23,MATCH(T145,Settings!$A$20:$A$23,0)))</f>
        <v/>
      </c>
      <c r="BD145" s="90"/>
      <c r="BE145" s="82"/>
      <c r="BF145" s="81" t="str">
        <f aca="true">IF(A145="","",IF(OR(BE145="Closed",BE145="Accepted"),"No action",IF(BB145="","Set date identified",IF(TODAY()&gt;BC145,"Deadline exceeded",IF(BC145-TODAY()&lt;=Settings!$C$30,"Deadline approaching","On track")))))</f>
        <v/>
      </c>
      <c r="BG145" s="90"/>
      <c r="BH145" s="90"/>
      <c r="BI145" s="91" t="str">
        <f aca="false">IF(OR(BH145="",AW145=""),"",EDATE(BH145,INDEX(Settings!$F$20:$F$23,MATCH(AW145,Settings!$A$20:$A$23,0))))</f>
        <v/>
      </c>
      <c r="BJ145" s="85" t="str">
        <f aca="false">IF(T145="","",IF(MAX(IF(T145="",0,MATCH(T145,Settings!$A$20:$A$23,0)),IF(AV145="",0,MATCH(AV145,Settings!$A$20:$A$23,0)))&gt;=MATCH(Settings!$C$29,Settings!$A$20:$A$23,0),"Yes","No"))</f>
        <v/>
      </c>
      <c r="BK145" s="82"/>
      <c r="BL145" s="81" t="str">
        <f aca="true">IF(A145="","",IF(TRIM(IF(W145="","Treatment not chosen. ","")&amp;IF(AND(W145="Accept",AX145="No"),"Accepted outside appetite: record approval by "&amp;INDEX(Settings!$G$20:$G$23,MATCH(AW145,Settings!$A$20:$A$23,0))&amp;". ","")&amp;IF(AND(W145="Accept",BG145=""),"Acceptance expiry missing. ","")&amp;IF(AND(BG145&lt;&gt;"",BG145&lt;TODAY()),"Acceptance expired. ","")&amp;IF(AND(W145&lt;&gt;"",W145&lt;&gt;"Accept",AV145=""),"Target rating not set. ","")&amp;IF(AND(BE145="Closed",AX145="No"),"Closed while outside appetite. ","")&amp;IF(AND(W145="Transfer",BE145&lt;&gt;"Transferred",BE145&lt;&gt;"Closed"),"Transfer: record the contract, SLA and audit rights. ","")&amp;IF(AZ145="","Risk owner missing. ","")&amp;IF(K145="","Scenario not written. ",""))="","OK",TRIM(IF(W145="","Treatment not chosen. ","")&amp;IF(AND(W145="Accept",AX145="No"),"Accepted outside appetite: record approval by "&amp;INDEX(Settings!$G$20:$G$23,MATCH(AW145,Settings!$A$20:$A$23,0))&amp;". ","")&amp;IF(AND(W145="Accept",BG145=""),"Acceptance expiry missing. ","")&amp;IF(AND(BG145&lt;&gt;"",BG145&lt;TODAY()),"Acceptance expired. ","")&amp;IF(AND(W145&lt;&gt;"",W145&lt;&gt;"Accept",AV145=""),"Target rating not set. ","")&amp;IF(AND(BE145="Closed",AX145="No"),"Closed while outside appetite. ","")&amp;IF(AND(W145="Transfer",BE145&lt;&gt;"Transferred",BE145&lt;&gt;"Closed"),"Transfer: record the contract, SLA and audit rights. ","")&amp;IF(AZ145="","Risk owner missing. ","")&amp;IF(K145="","Scenario not written. ",""))))</f>
        <v/>
      </c>
      <c r="BM145" s="82"/>
    </row>
    <row r="146" customFormat="false" ht="15" hidden="false" customHeight="false" outlineLevel="0" collapsed="false">
      <c r="A146" s="95"/>
      <c r="B146" s="94"/>
      <c r="C146" s="80"/>
      <c r="D146" s="81" t="str">
        <f aca="false">IF(C146="","",IFERROR(INDEX(Lists!$O$2:$O$13,MATCH(C146,Lists!$N$2:$N$13,0)),"Check domain code"))</f>
        <v/>
      </c>
      <c r="E146" s="81" t="str">
        <f aca="false">IF(C146="","",IFERROR(INDEX(Lists!$P$2:$P$13,MATCH(C146,Lists!$N$2:$N$13,0)),""))</f>
        <v/>
      </c>
      <c r="F146" s="80"/>
      <c r="G146" s="82"/>
      <c r="H146" s="82"/>
      <c r="I146" s="82"/>
      <c r="J146" s="94"/>
      <c r="K146" s="82"/>
      <c r="L146" s="82"/>
      <c r="M146" s="95"/>
      <c r="N146" s="85"/>
      <c r="O146" s="82"/>
      <c r="P146" s="86"/>
      <c r="Q146" s="86"/>
      <c r="R146" s="86"/>
      <c r="S146" s="21" t="str">
        <f aca="false">IF(OR(Q146="",R146=""),"",Q146*R146)</f>
        <v/>
      </c>
      <c r="T146" s="85" t="str">
        <f aca="false">IF(S146="","",INDEX(Settings!$A$20:$A$23,MATCH(S146,Settings!$B$20:$B$23,1)))</f>
        <v/>
      </c>
      <c r="U146" s="82"/>
      <c r="V146" s="87"/>
      <c r="W146" s="86"/>
      <c r="X146" s="82"/>
      <c r="Y146" s="96"/>
      <c r="Z146" s="96"/>
      <c r="AA146" s="96"/>
      <c r="AB146" s="96"/>
      <c r="AC146" s="96"/>
      <c r="AD146" s="96"/>
      <c r="AE146" s="96"/>
      <c r="AF146" s="96"/>
      <c r="AG146" s="96"/>
      <c r="AH146" s="96"/>
      <c r="AI146" s="96"/>
      <c r="AJ146" s="97"/>
      <c r="AK146" s="96"/>
      <c r="AL146" s="96"/>
      <c r="AM146" s="96"/>
      <c r="AN146" s="96"/>
      <c r="AO146" s="96"/>
      <c r="AP146" s="96"/>
      <c r="AQ146" s="97"/>
      <c r="AR146" s="97"/>
      <c r="AS146" s="86"/>
      <c r="AT146" s="86"/>
      <c r="AU146" s="85" t="str">
        <f aca="false">IF(OR(AS146="",AT146=""),"",AS146*AT146)</f>
        <v/>
      </c>
      <c r="AV146" s="21" t="str">
        <f aca="false">IF(AU146="","",INDEX(Settings!$A$20:$A$23,MATCH(AU146,Settings!$B$20:$B$23,1)))</f>
        <v/>
      </c>
      <c r="AW146" s="85" t="str">
        <f aca="false">IF(AV146&lt;&gt;"",AV146,T146)</f>
        <v/>
      </c>
      <c r="AX146" s="85" t="str">
        <f aca="false">IF(AW146="","",IF(MATCH(AW146,Settings!$A$20:$A$23,0)&lt;=MATCH(Settings!$C$28,Settings!$A$20:$A$23,0),"Yes","No"))</f>
        <v/>
      </c>
      <c r="AY146" s="81" t="str">
        <f aca="false">IF(AW146="","",IF(AX146="Yes",INDEX(Settings!$G$20:$G$23,MATCH(AW146,Settings!$A$20:$A$23,0)),INDEX(Settings!$G$20:$G$23,MATCH(AW146,Settings!$A$20:$A$23,0))&amp;" (outside appetite)"))</f>
        <v/>
      </c>
      <c r="AZ146" s="82"/>
      <c r="BA146" s="82"/>
      <c r="BB146" s="90"/>
      <c r="BC146" s="91" t="str">
        <f aca="false">IF(OR(BB146="",T146=""),"",BB146+INDEX(Settings!$E$20:$E$23,MATCH(T146,Settings!$A$20:$A$23,0)))</f>
        <v/>
      </c>
      <c r="BD146" s="90"/>
      <c r="BE146" s="82"/>
      <c r="BF146" s="81" t="str">
        <f aca="true">IF(A146="","",IF(OR(BE146="Closed",BE146="Accepted"),"No action",IF(BB146="","Set date identified",IF(TODAY()&gt;BC146,"Deadline exceeded",IF(BC146-TODAY()&lt;=Settings!$C$30,"Deadline approaching","On track")))))</f>
        <v/>
      </c>
      <c r="BG146" s="90"/>
      <c r="BH146" s="90"/>
      <c r="BI146" s="91" t="str">
        <f aca="false">IF(OR(BH146="",AW146=""),"",EDATE(BH146,INDEX(Settings!$F$20:$F$23,MATCH(AW146,Settings!$A$20:$A$23,0))))</f>
        <v/>
      </c>
      <c r="BJ146" s="85" t="str">
        <f aca="false">IF(T146="","",IF(MAX(IF(T146="",0,MATCH(T146,Settings!$A$20:$A$23,0)),IF(AV146="",0,MATCH(AV146,Settings!$A$20:$A$23,0)))&gt;=MATCH(Settings!$C$29,Settings!$A$20:$A$23,0),"Yes","No"))</f>
        <v/>
      </c>
      <c r="BK146" s="82"/>
      <c r="BL146" s="81" t="str">
        <f aca="true">IF(A146="","",IF(TRIM(IF(W146="","Treatment not chosen. ","")&amp;IF(AND(W146="Accept",AX146="No"),"Accepted outside appetite: record approval by "&amp;INDEX(Settings!$G$20:$G$23,MATCH(AW146,Settings!$A$20:$A$23,0))&amp;". ","")&amp;IF(AND(W146="Accept",BG146=""),"Acceptance expiry missing. ","")&amp;IF(AND(BG146&lt;&gt;"",BG146&lt;TODAY()),"Acceptance expired. ","")&amp;IF(AND(W146&lt;&gt;"",W146&lt;&gt;"Accept",AV146=""),"Target rating not set. ","")&amp;IF(AND(BE146="Closed",AX146="No"),"Closed while outside appetite. ","")&amp;IF(AND(W146="Transfer",BE146&lt;&gt;"Transferred",BE146&lt;&gt;"Closed"),"Transfer: record the contract, SLA and audit rights. ","")&amp;IF(AZ146="","Risk owner missing. ","")&amp;IF(K146="","Scenario not written. ",""))="","OK",TRIM(IF(W146="","Treatment not chosen. ","")&amp;IF(AND(W146="Accept",AX146="No"),"Accepted outside appetite: record approval by "&amp;INDEX(Settings!$G$20:$G$23,MATCH(AW146,Settings!$A$20:$A$23,0))&amp;". ","")&amp;IF(AND(W146="Accept",BG146=""),"Acceptance expiry missing. ","")&amp;IF(AND(BG146&lt;&gt;"",BG146&lt;TODAY()),"Acceptance expired. ","")&amp;IF(AND(W146&lt;&gt;"",W146&lt;&gt;"Accept",AV146=""),"Target rating not set. ","")&amp;IF(AND(BE146="Closed",AX146="No"),"Closed while outside appetite. ","")&amp;IF(AND(W146="Transfer",BE146&lt;&gt;"Transferred",BE146&lt;&gt;"Closed"),"Transfer: record the contract, SLA and audit rights. ","")&amp;IF(AZ146="","Risk owner missing. ","")&amp;IF(K146="","Scenario not written. ",""))))</f>
        <v/>
      </c>
      <c r="BM146" s="82"/>
    </row>
    <row r="147" customFormat="false" ht="15" hidden="false" customHeight="false" outlineLevel="0" collapsed="false">
      <c r="A147" s="84"/>
      <c r="B147" s="83"/>
      <c r="C147" s="80"/>
      <c r="D147" s="81" t="str">
        <f aca="false">IF(C147="","",IFERROR(INDEX(Lists!$O$2:$O$13,MATCH(C147,Lists!$N$2:$N$13,0)),"Check domain code"))</f>
        <v/>
      </c>
      <c r="E147" s="81" t="str">
        <f aca="false">IF(C147="","",IFERROR(INDEX(Lists!$P$2:$P$13,MATCH(C147,Lists!$N$2:$N$13,0)),""))</f>
        <v/>
      </c>
      <c r="F147" s="80"/>
      <c r="G147" s="82"/>
      <c r="H147" s="82"/>
      <c r="I147" s="82"/>
      <c r="J147" s="83"/>
      <c r="K147" s="82"/>
      <c r="L147" s="82"/>
      <c r="M147" s="84"/>
      <c r="N147" s="85"/>
      <c r="O147" s="82"/>
      <c r="P147" s="86"/>
      <c r="Q147" s="86"/>
      <c r="R147" s="86"/>
      <c r="S147" s="21" t="str">
        <f aca="false">IF(OR(Q147="",R147=""),"",Q147*R147)</f>
        <v/>
      </c>
      <c r="T147" s="85" t="str">
        <f aca="false">IF(S147="","",INDEX(Settings!$A$20:$A$23,MATCH(S147,Settings!$B$20:$B$23,1)))</f>
        <v/>
      </c>
      <c r="U147" s="82"/>
      <c r="V147" s="87"/>
      <c r="W147" s="86"/>
      <c r="X147" s="82"/>
      <c r="Y147" s="88"/>
      <c r="Z147" s="88"/>
      <c r="AA147" s="88"/>
      <c r="AB147" s="88"/>
      <c r="AC147" s="88"/>
      <c r="AD147" s="88"/>
      <c r="AE147" s="88"/>
      <c r="AF147" s="88"/>
      <c r="AG147" s="88"/>
      <c r="AH147" s="88"/>
      <c r="AI147" s="88"/>
      <c r="AJ147" s="89"/>
      <c r="AK147" s="88"/>
      <c r="AL147" s="88"/>
      <c r="AM147" s="88"/>
      <c r="AN147" s="88"/>
      <c r="AO147" s="88"/>
      <c r="AP147" s="88"/>
      <c r="AQ147" s="89"/>
      <c r="AR147" s="89"/>
      <c r="AS147" s="86"/>
      <c r="AT147" s="86"/>
      <c r="AU147" s="85" t="str">
        <f aca="false">IF(OR(AS147="",AT147=""),"",AS147*AT147)</f>
        <v/>
      </c>
      <c r="AV147" s="21" t="str">
        <f aca="false">IF(AU147="","",INDEX(Settings!$A$20:$A$23,MATCH(AU147,Settings!$B$20:$B$23,1)))</f>
        <v/>
      </c>
      <c r="AW147" s="85" t="str">
        <f aca="false">IF(AV147&lt;&gt;"",AV147,T147)</f>
        <v/>
      </c>
      <c r="AX147" s="85" t="str">
        <f aca="false">IF(AW147="","",IF(MATCH(AW147,Settings!$A$20:$A$23,0)&lt;=MATCH(Settings!$C$28,Settings!$A$20:$A$23,0),"Yes","No"))</f>
        <v/>
      </c>
      <c r="AY147" s="81" t="str">
        <f aca="false">IF(AW147="","",IF(AX147="Yes",INDEX(Settings!$G$20:$G$23,MATCH(AW147,Settings!$A$20:$A$23,0)),INDEX(Settings!$G$20:$G$23,MATCH(AW147,Settings!$A$20:$A$23,0))&amp;" (outside appetite)"))</f>
        <v/>
      </c>
      <c r="AZ147" s="82"/>
      <c r="BA147" s="82"/>
      <c r="BB147" s="90"/>
      <c r="BC147" s="91" t="str">
        <f aca="false">IF(OR(BB147="",T147=""),"",BB147+INDEX(Settings!$E$20:$E$23,MATCH(T147,Settings!$A$20:$A$23,0)))</f>
        <v/>
      </c>
      <c r="BD147" s="90"/>
      <c r="BE147" s="82"/>
      <c r="BF147" s="81" t="str">
        <f aca="true">IF(A147="","",IF(OR(BE147="Closed",BE147="Accepted"),"No action",IF(BB147="","Set date identified",IF(TODAY()&gt;BC147,"Deadline exceeded",IF(BC147-TODAY()&lt;=Settings!$C$30,"Deadline approaching","On track")))))</f>
        <v/>
      </c>
      <c r="BG147" s="90"/>
      <c r="BH147" s="90"/>
      <c r="BI147" s="91" t="str">
        <f aca="false">IF(OR(BH147="",AW147=""),"",EDATE(BH147,INDEX(Settings!$F$20:$F$23,MATCH(AW147,Settings!$A$20:$A$23,0))))</f>
        <v/>
      </c>
      <c r="BJ147" s="85" t="str">
        <f aca="false">IF(T147="","",IF(MAX(IF(T147="",0,MATCH(T147,Settings!$A$20:$A$23,0)),IF(AV147="",0,MATCH(AV147,Settings!$A$20:$A$23,0)))&gt;=MATCH(Settings!$C$29,Settings!$A$20:$A$23,0),"Yes","No"))</f>
        <v/>
      </c>
      <c r="BK147" s="82"/>
      <c r="BL147" s="81" t="str">
        <f aca="true">IF(A147="","",IF(TRIM(IF(W147="","Treatment not chosen. ","")&amp;IF(AND(W147="Accept",AX147="No"),"Accepted outside appetite: record approval by "&amp;INDEX(Settings!$G$20:$G$23,MATCH(AW147,Settings!$A$20:$A$23,0))&amp;". ","")&amp;IF(AND(W147="Accept",BG147=""),"Acceptance expiry missing. ","")&amp;IF(AND(BG147&lt;&gt;"",BG147&lt;TODAY()),"Acceptance expired. ","")&amp;IF(AND(W147&lt;&gt;"",W147&lt;&gt;"Accept",AV147=""),"Target rating not set. ","")&amp;IF(AND(BE147="Closed",AX147="No"),"Closed while outside appetite. ","")&amp;IF(AND(W147="Transfer",BE147&lt;&gt;"Transferred",BE147&lt;&gt;"Closed"),"Transfer: record the contract, SLA and audit rights. ","")&amp;IF(AZ147="","Risk owner missing. ","")&amp;IF(K147="","Scenario not written. ",""))="","OK",TRIM(IF(W147="","Treatment not chosen. ","")&amp;IF(AND(W147="Accept",AX147="No"),"Accepted outside appetite: record approval by "&amp;INDEX(Settings!$G$20:$G$23,MATCH(AW147,Settings!$A$20:$A$23,0))&amp;". ","")&amp;IF(AND(W147="Accept",BG147=""),"Acceptance expiry missing. ","")&amp;IF(AND(BG147&lt;&gt;"",BG147&lt;TODAY()),"Acceptance expired. ","")&amp;IF(AND(W147&lt;&gt;"",W147&lt;&gt;"Accept",AV147=""),"Target rating not set. ","")&amp;IF(AND(BE147="Closed",AX147="No"),"Closed while outside appetite. ","")&amp;IF(AND(W147="Transfer",BE147&lt;&gt;"Transferred",BE147&lt;&gt;"Closed"),"Transfer: record the contract, SLA and audit rights. ","")&amp;IF(AZ147="","Risk owner missing. ","")&amp;IF(K147="","Scenario not written. ",""))))</f>
        <v/>
      </c>
      <c r="BM147" s="82"/>
    </row>
    <row r="148" customFormat="false" ht="15" hidden="false" customHeight="false" outlineLevel="0" collapsed="false">
      <c r="A148" s="95"/>
      <c r="B148" s="94"/>
      <c r="C148" s="80"/>
      <c r="D148" s="81" t="str">
        <f aca="false">IF(C148="","",IFERROR(INDEX(Lists!$O$2:$O$13,MATCH(C148,Lists!$N$2:$N$13,0)),"Check domain code"))</f>
        <v/>
      </c>
      <c r="E148" s="81" t="str">
        <f aca="false">IF(C148="","",IFERROR(INDEX(Lists!$P$2:$P$13,MATCH(C148,Lists!$N$2:$N$13,0)),""))</f>
        <v/>
      </c>
      <c r="F148" s="80"/>
      <c r="G148" s="82"/>
      <c r="H148" s="82"/>
      <c r="I148" s="82"/>
      <c r="J148" s="94"/>
      <c r="K148" s="82"/>
      <c r="L148" s="82"/>
      <c r="M148" s="95"/>
      <c r="N148" s="85"/>
      <c r="O148" s="82"/>
      <c r="P148" s="86"/>
      <c r="Q148" s="86"/>
      <c r="R148" s="86"/>
      <c r="S148" s="21" t="str">
        <f aca="false">IF(OR(Q148="",R148=""),"",Q148*R148)</f>
        <v/>
      </c>
      <c r="T148" s="85" t="str">
        <f aca="false">IF(S148="","",INDEX(Settings!$A$20:$A$23,MATCH(S148,Settings!$B$20:$B$23,1)))</f>
        <v/>
      </c>
      <c r="U148" s="82"/>
      <c r="V148" s="87"/>
      <c r="W148" s="86"/>
      <c r="X148" s="82"/>
      <c r="Y148" s="96"/>
      <c r="Z148" s="96"/>
      <c r="AA148" s="96"/>
      <c r="AB148" s="96"/>
      <c r="AC148" s="96"/>
      <c r="AD148" s="96"/>
      <c r="AE148" s="96"/>
      <c r="AF148" s="96"/>
      <c r="AG148" s="96"/>
      <c r="AH148" s="96"/>
      <c r="AI148" s="96"/>
      <c r="AJ148" s="97"/>
      <c r="AK148" s="96"/>
      <c r="AL148" s="96"/>
      <c r="AM148" s="96"/>
      <c r="AN148" s="96"/>
      <c r="AO148" s="96"/>
      <c r="AP148" s="96"/>
      <c r="AQ148" s="97"/>
      <c r="AR148" s="97"/>
      <c r="AS148" s="86"/>
      <c r="AT148" s="86"/>
      <c r="AU148" s="85" t="str">
        <f aca="false">IF(OR(AS148="",AT148=""),"",AS148*AT148)</f>
        <v/>
      </c>
      <c r="AV148" s="21" t="str">
        <f aca="false">IF(AU148="","",INDEX(Settings!$A$20:$A$23,MATCH(AU148,Settings!$B$20:$B$23,1)))</f>
        <v/>
      </c>
      <c r="AW148" s="85" t="str">
        <f aca="false">IF(AV148&lt;&gt;"",AV148,T148)</f>
        <v/>
      </c>
      <c r="AX148" s="85" t="str">
        <f aca="false">IF(AW148="","",IF(MATCH(AW148,Settings!$A$20:$A$23,0)&lt;=MATCH(Settings!$C$28,Settings!$A$20:$A$23,0),"Yes","No"))</f>
        <v/>
      </c>
      <c r="AY148" s="81" t="str">
        <f aca="false">IF(AW148="","",IF(AX148="Yes",INDEX(Settings!$G$20:$G$23,MATCH(AW148,Settings!$A$20:$A$23,0)),INDEX(Settings!$G$20:$G$23,MATCH(AW148,Settings!$A$20:$A$23,0))&amp;" (outside appetite)"))</f>
        <v/>
      </c>
      <c r="AZ148" s="82"/>
      <c r="BA148" s="82"/>
      <c r="BB148" s="90"/>
      <c r="BC148" s="91" t="str">
        <f aca="false">IF(OR(BB148="",T148=""),"",BB148+INDEX(Settings!$E$20:$E$23,MATCH(T148,Settings!$A$20:$A$23,0)))</f>
        <v/>
      </c>
      <c r="BD148" s="90"/>
      <c r="BE148" s="82"/>
      <c r="BF148" s="81" t="str">
        <f aca="true">IF(A148="","",IF(OR(BE148="Closed",BE148="Accepted"),"No action",IF(BB148="","Set date identified",IF(TODAY()&gt;BC148,"Deadline exceeded",IF(BC148-TODAY()&lt;=Settings!$C$30,"Deadline approaching","On track")))))</f>
        <v/>
      </c>
      <c r="BG148" s="90"/>
      <c r="BH148" s="90"/>
      <c r="BI148" s="91" t="str">
        <f aca="false">IF(OR(BH148="",AW148=""),"",EDATE(BH148,INDEX(Settings!$F$20:$F$23,MATCH(AW148,Settings!$A$20:$A$23,0))))</f>
        <v/>
      </c>
      <c r="BJ148" s="85" t="str">
        <f aca="false">IF(T148="","",IF(MAX(IF(T148="",0,MATCH(T148,Settings!$A$20:$A$23,0)),IF(AV148="",0,MATCH(AV148,Settings!$A$20:$A$23,0)))&gt;=MATCH(Settings!$C$29,Settings!$A$20:$A$23,0),"Yes","No"))</f>
        <v/>
      </c>
      <c r="BK148" s="82"/>
      <c r="BL148" s="81" t="str">
        <f aca="true">IF(A148="","",IF(TRIM(IF(W148="","Treatment not chosen. ","")&amp;IF(AND(W148="Accept",AX148="No"),"Accepted outside appetite: record approval by "&amp;INDEX(Settings!$G$20:$G$23,MATCH(AW148,Settings!$A$20:$A$23,0))&amp;". ","")&amp;IF(AND(W148="Accept",BG148=""),"Acceptance expiry missing. ","")&amp;IF(AND(BG148&lt;&gt;"",BG148&lt;TODAY()),"Acceptance expired. ","")&amp;IF(AND(W148&lt;&gt;"",W148&lt;&gt;"Accept",AV148=""),"Target rating not set. ","")&amp;IF(AND(BE148="Closed",AX148="No"),"Closed while outside appetite. ","")&amp;IF(AND(W148="Transfer",BE148&lt;&gt;"Transferred",BE148&lt;&gt;"Closed"),"Transfer: record the contract, SLA and audit rights. ","")&amp;IF(AZ148="","Risk owner missing. ","")&amp;IF(K148="","Scenario not written. ",""))="","OK",TRIM(IF(W148="","Treatment not chosen. ","")&amp;IF(AND(W148="Accept",AX148="No"),"Accepted outside appetite: record approval by "&amp;INDEX(Settings!$G$20:$G$23,MATCH(AW148,Settings!$A$20:$A$23,0))&amp;". ","")&amp;IF(AND(W148="Accept",BG148=""),"Acceptance expiry missing. ","")&amp;IF(AND(BG148&lt;&gt;"",BG148&lt;TODAY()),"Acceptance expired. ","")&amp;IF(AND(W148&lt;&gt;"",W148&lt;&gt;"Accept",AV148=""),"Target rating not set. ","")&amp;IF(AND(BE148="Closed",AX148="No"),"Closed while outside appetite. ","")&amp;IF(AND(W148="Transfer",BE148&lt;&gt;"Transferred",BE148&lt;&gt;"Closed"),"Transfer: record the contract, SLA and audit rights. ","")&amp;IF(AZ148="","Risk owner missing. ","")&amp;IF(K148="","Scenario not written. ",""))))</f>
        <v/>
      </c>
      <c r="BM148" s="82"/>
    </row>
    <row r="149" customFormat="false" ht="15" hidden="false" customHeight="false" outlineLevel="0" collapsed="false">
      <c r="A149" s="84"/>
      <c r="B149" s="83"/>
      <c r="C149" s="80"/>
      <c r="D149" s="81" t="str">
        <f aca="false">IF(C149="","",IFERROR(INDEX(Lists!$O$2:$O$13,MATCH(C149,Lists!$N$2:$N$13,0)),"Check domain code"))</f>
        <v/>
      </c>
      <c r="E149" s="81" t="str">
        <f aca="false">IF(C149="","",IFERROR(INDEX(Lists!$P$2:$P$13,MATCH(C149,Lists!$N$2:$N$13,0)),""))</f>
        <v/>
      </c>
      <c r="F149" s="80"/>
      <c r="G149" s="82"/>
      <c r="H149" s="82"/>
      <c r="I149" s="82"/>
      <c r="J149" s="83"/>
      <c r="K149" s="82"/>
      <c r="L149" s="82"/>
      <c r="M149" s="84"/>
      <c r="N149" s="85"/>
      <c r="O149" s="82"/>
      <c r="P149" s="86"/>
      <c r="Q149" s="86"/>
      <c r="R149" s="86"/>
      <c r="S149" s="21" t="str">
        <f aca="false">IF(OR(Q149="",R149=""),"",Q149*R149)</f>
        <v/>
      </c>
      <c r="T149" s="85" t="str">
        <f aca="false">IF(S149="","",INDEX(Settings!$A$20:$A$23,MATCH(S149,Settings!$B$20:$B$23,1)))</f>
        <v/>
      </c>
      <c r="U149" s="82"/>
      <c r="V149" s="87"/>
      <c r="W149" s="86"/>
      <c r="X149" s="82"/>
      <c r="Y149" s="88"/>
      <c r="Z149" s="88"/>
      <c r="AA149" s="88"/>
      <c r="AB149" s="88"/>
      <c r="AC149" s="88"/>
      <c r="AD149" s="88"/>
      <c r="AE149" s="88"/>
      <c r="AF149" s="88"/>
      <c r="AG149" s="88"/>
      <c r="AH149" s="88"/>
      <c r="AI149" s="88"/>
      <c r="AJ149" s="89"/>
      <c r="AK149" s="88"/>
      <c r="AL149" s="88"/>
      <c r="AM149" s="88"/>
      <c r="AN149" s="88"/>
      <c r="AO149" s="88"/>
      <c r="AP149" s="88"/>
      <c r="AQ149" s="89"/>
      <c r="AR149" s="89"/>
      <c r="AS149" s="86"/>
      <c r="AT149" s="86"/>
      <c r="AU149" s="85" t="str">
        <f aca="false">IF(OR(AS149="",AT149=""),"",AS149*AT149)</f>
        <v/>
      </c>
      <c r="AV149" s="21" t="str">
        <f aca="false">IF(AU149="","",INDEX(Settings!$A$20:$A$23,MATCH(AU149,Settings!$B$20:$B$23,1)))</f>
        <v/>
      </c>
      <c r="AW149" s="85" t="str">
        <f aca="false">IF(AV149&lt;&gt;"",AV149,T149)</f>
        <v/>
      </c>
      <c r="AX149" s="85" t="str">
        <f aca="false">IF(AW149="","",IF(MATCH(AW149,Settings!$A$20:$A$23,0)&lt;=MATCH(Settings!$C$28,Settings!$A$20:$A$23,0),"Yes","No"))</f>
        <v/>
      </c>
      <c r="AY149" s="81" t="str">
        <f aca="false">IF(AW149="","",IF(AX149="Yes",INDEX(Settings!$G$20:$G$23,MATCH(AW149,Settings!$A$20:$A$23,0)),INDEX(Settings!$G$20:$G$23,MATCH(AW149,Settings!$A$20:$A$23,0))&amp;" (outside appetite)"))</f>
        <v/>
      </c>
      <c r="AZ149" s="82"/>
      <c r="BA149" s="82"/>
      <c r="BB149" s="90"/>
      <c r="BC149" s="91" t="str">
        <f aca="false">IF(OR(BB149="",T149=""),"",BB149+INDEX(Settings!$E$20:$E$23,MATCH(T149,Settings!$A$20:$A$23,0)))</f>
        <v/>
      </c>
      <c r="BD149" s="90"/>
      <c r="BE149" s="82"/>
      <c r="BF149" s="81" t="str">
        <f aca="true">IF(A149="","",IF(OR(BE149="Closed",BE149="Accepted"),"No action",IF(BB149="","Set date identified",IF(TODAY()&gt;BC149,"Deadline exceeded",IF(BC149-TODAY()&lt;=Settings!$C$30,"Deadline approaching","On track")))))</f>
        <v/>
      </c>
      <c r="BG149" s="90"/>
      <c r="BH149" s="90"/>
      <c r="BI149" s="91" t="str">
        <f aca="false">IF(OR(BH149="",AW149=""),"",EDATE(BH149,INDEX(Settings!$F$20:$F$23,MATCH(AW149,Settings!$A$20:$A$23,0))))</f>
        <v/>
      </c>
      <c r="BJ149" s="85" t="str">
        <f aca="false">IF(T149="","",IF(MAX(IF(T149="",0,MATCH(T149,Settings!$A$20:$A$23,0)),IF(AV149="",0,MATCH(AV149,Settings!$A$20:$A$23,0)))&gt;=MATCH(Settings!$C$29,Settings!$A$20:$A$23,0),"Yes","No"))</f>
        <v/>
      </c>
      <c r="BK149" s="82"/>
      <c r="BL149" s="81" t="str">
        <f aca="true">IF(A149="","",IF(TRIM(IF(W149="","Treatment not chosen. ","")&amp;IF(AND(W149="Accept",AX149="No"),"Accepted outside appetite: record approval by "&amp;INDEX(Settings!$G$20:$G$23,MATCH(AW149,Settings!$A$20:$A$23,0))&amp;". ","")&amp;IF(AND(W149="Accept",BG149=""),"Acceptance expiry missing. ","")&amp;IF(AND(BG149&lt;&gt;"",BG149&lt;TODAY()),"Acceptance expired. ","")&amp;IF(AND(W149&lt;&gt;"",W149&lt;&gt;"Accept",AV149=""),"Target rating not set. ","")&amp;IF(AND(BE149="Closed",AX149="No"),"Closed while outside appetite. ","")&amp;IF(AND(W149="Transfer",BE149&lt;&gt;"Transferred",BE149&lt;&gt;"Closed"),"Transfer: record the contract, SLA and audit rights. ","")&amp;IF(AZ149="","Risk owner missing. ","")&amp;IF(K149="","Scenario not written. ",""))="","OK",TRIM(IF(W149="","Treatment not chosen. ","")&amp;IF(AND(W149="Accept",AX149="No"),"Accepted outside appetite: record approval by "&amp;INDEX(Settings!$G$20:$G$23,MATCH(AW149,Settings!$A$20:$A$23,0))&amp;". ","")&amp;IF(AND(W149="Accept",BG149=""),"Acceptance expiry missing. ","")&amp;IF(AND(BG149&lt;&gt;"",BG149&lt;TODAY()),"Acceptance expired. ","")&amp;IF(AND(W149&lt;&gt;"",W149&lt;&gt;"Accept",AV149=""),"Target rating not set. ","")&amp;IF(AND(BE149="Closed",AX149="No"),"Closed while outside appetite. ","")&amp;IF(AND(W149="Transfer",BE149&lt;&gt;"Transferred",BE149&lt;&gt;"Closed"),"Transfer: record the contract, SLA and audit rights. ","")&amp;IF(AZ149="","Risk owner missing. ","")&amp;IF(K149="","Scenario not written. ",""))))</f>
        <v/>
      </c>
      <c r="BM149" s="82"/>
    </row>
    <row r="150" customFormat="false" ht="15" hidden="false" customHeight="false" outlineLevel="0" collapsed="false">
      <c r="A150" s="95"/>
      <c r="B150" s="94"/>
      <c r="C150" s="80"/>
      <c r="D150" s="81" t="str">
        <f aca="false">IF(C150="","",IFERROR(INDEX(Lists!$O$2:$O$13,MATCH(C150,Lists!$N$2:$N$13,0)),"Check domain code"))</f>
        <v/>
      </c>
      <c r="E150" s="81" t="str">
        <f aca="false">IF(C150="","",IFERROR(INDEX(Lists!$P$2:$P$13,MATCH(C150,Lists!$N$2:$N$13,0)),""))</f>
        <v/>
      </c>
      <c r="F150" s="80"/>
      <c r="G150" s="82"/>
      <c r="H150" s="82"/>
      <c r="I150" s="82"/>
      <c r="J150" s="94"/>
      <c r="K150" s="82"/>
      <c r="L150" s="82"/>
      <c r="M150" s="95"/>
      <c r="N150" s="85"/>
      <c r="O150" s="82"/>
      <c r="P150" s="86"/>
      <c r="Q150" s="86"/>
      <c r="R150" s="86"/>
      <c r="S150" s="21" t="str">
        <f aca="false">IF(OR(Q150="",R150=""),"",Q150*R150)</f>
        <v/>
      </c>
      <c r="T150" s="85" t="str">
        <f aca="false">IF(S150="","",INDEX(Settings!$A$20:$A$23,MATCH(S150,Settings!$B$20:$B$23,1)))</f>
        <v/>
      </c>
      <c r="U150" s="82"/>
      <c r="V150" s="87"/>
      <c r="W150" s="86"/>
      <c r="X150" s="82"/>
      <c r="Y150" s="96"/>
      <c r="Z150" s="96"/>
      <c r="AA150" s="96"/>
      <c r="AB150" s="96"/>
      <c r="AC150" s="96"/>
      <c r="AD150" s="96"/>
      <c r="AE150" s="96"/>
      <c r="AF150" s="96"/>
      <c r="AG150" s="96"/>
      <c r="AH150" s="96"/>
      <c r="AI150" s="96"/>
      <c r="AJ150" s="97"/>
      <c r="AK150" s="96"/>
      <c r="AL150" s="96"/>
      <c r="AM150" s="96"/>
      <c r="AN150" s="96"/>
      <c r="AO150" s="96"/>
      <c r="AP150" s="96"/>
      <c r="AQ150" s="97"/>
      <c r="AR150" s="97"/>
      <c r="AS150" s="86"/>
      <c r="AT150" s="86"/>
      <c r="AU150" s="85" t="str">
        <f aca="false">IF(OR(AS150="",AT150=""),"",AS150*AT150)</f>
        <v/>
      </c>
      <c r="AV150" s="21" t="str">
        <f aca="false">IF(AU150="","",INDEX(Settings!$A$20:$A$23,MATCH(AU150,Settings!$B$20:$B$23,1)))</f>
        <v/>
      </c>
      <c r="AW150" s="85" t="str">
        <f aca="false">IF(AV150&lt;&gt;"",AV150,T150)</f>
        <v/>
      </c>
      <c r="AX150" s="85" t="str">
        <f aca="false">IF(AW150="","",IF(MATCH(AW150,Settings!$A$20:$A$23,0)&lt;=MATCH(Settings!$C$28,Settings!$A$20:$A$23,0),"Yes","No"))</f>
        <v/>
      </c>
      <c r="AY150" s="81" t="str">
        <f aca="false">IF(AW150="","",IF(AX150="Yes",INDEX(Settings!$G$20:$G$23,MATCH(AW150,Settings!$A$20:$A$23,0)),INDEX(Settings!$G$20:$G$23,MATCH(AW150,Settings!$A$20:$A$23,0))&amp;" (outside appetite)"))</f>
        <v/>
      </c>
      <c r="AZ150" s="82"/>
      <c r="BA150" s="82"/>
      <c r="BB150" s="90"/>
      <c r="BC150" s="91" t="str">
        <f aca="false">IF(OR(BB150="",T150=""),"",BB150+INDEX(Settings!$E$20:$E$23,MATCH(T150,Settings!$A$20:$A$23,0)))</f>
        <v/>
      </c>
      <c r="BD150" s="90"/>
      <c r="BE150" s="82"/>
      <c r="BF150" s="81" t="str">
        <f aca="true">IF(A150="","",IF(OR(BE150="Closed",BE150="Accepted"),"No action",IF(BB150="","Set date identified",IF(TODAY()&gt;BC150,"Deadline exceeded",IF(BC150-TODAY()&lt;=Settings!$C$30,"Deadline approaching","On track")))))</f>
        <v/>
      </c>
      <c r="BG150" s="90"/>
      <c r="BH150" s="90"/>
      <c r="BI150" s="91" t="str">
        <f aca="false">IF(OR(BH150="",AW150=""),"",EDATE(BH150,INDEX(Settings!$F$20:$F$23,MATCH(AW150,Settings!$A$20:$A$23,0))))</f>
        <v/>
      </c>
      <c r="BJ150" s="85" t="str">
        <f aca="false">IF(T150="","",IF(MAX(IF(T150="",0,MATCH(T150,Settings!$A$20:$A$23,0)),IF(AV150="",0,MATCH(AV150,Settings!$A$20:$A$23,0)))&gt;=MATCH(Settings!$C$29,Settings!$A$20:$A$23,0),"Yes","No"))</f>
        <v/>
      </c>
      <c r="BK150" s="82"/>
      <c r="BL150" s="81" t="str">
        <f aca="true">IF(A150="","",IF(TRIM(IF(W150="","Treatment not chosen. ","")&amp;IF(AND(W150="Accept",AX150="No"),"Accepted outside appetite: record approval by "&amp;INDEX(Settings!$G$20:$G$23,MATCH(AW150,Settings!$A$20:$A$23,0))&amp;". ","")&amp;IF(AND(W150="Accept",BG150=""),"Acceptance expiry missing. ","")&amp;IF(AND(BG150&lt;&gt;"",BG150&lt;TODAY()),"Acceptance expired. ","")&amp;IF(AND(W150&lt;&gt;"",W150&lt;&gt;"Accept",AV150=""),"Target rating not set. ","")&amp;IF(AND(BE150="Closed",AX150="No"),"Closed while outside appetite. ","")&amp;IF(AND(W150="Transfer",BE150&lt;&gt;"Transferred",BE150&lt;&gt;"Closed"),"Transfer: record the contract, SLA and audit rights. ","")&amp;IF(AZ150="","Risk owner missing. ","")&amp;IF(K150="","Scenario not written. ",""))="","OK",TRIM(IF(W150="","Treatment not chosen. ","")&amp;IF(AND(W150="Accept",AX150="No"),"Accepted outside appetite: record approval by "&amp;INDEX(Settings!$G$20:$G$23,MATCH(AW150,Settings!$A$20:$A$23,0))&amp;". ","")&amp;IF(AND(W150="Accept",BG150=""),"Acceptance expiry missing. ","")&amp;IF(AND(BG150&lt;&gt;"",BG150&lt;TODAY()),"Acceptance expired. ","")&amp;IF(AND(W150&lt;&gt;"",W150&lt;&gt;"Accept",AV150=""),"Target rating not set. ","")&amp;IF(AND(BE150="Closed",AX150="No"),"Closed while outside appetite. ","")&amp;IF(AND(W150="Transfer",BE150&lt;&gt;"Transferred",BE150&lt;&gt;"Closed"),"Transfer: record the contract, SLA and audit rights. ","")&amp;IF(AZ150="","Risk owner missing. ","")&amp;IF(K150="","Scenario not written. ",""))))</f>
        <v/>
      </c>
      <c r="BM150" s="82"/>
    </row>
  </sheetData>
  <autoFilter ref="A4:BM150"/>
  <mergeCells count="6">
    <mergeCell ref="A2:N2"/>
    <mergeCell ref="A3:N3"/>
    <mergeCell ref="O3:V3"/>
    <mergeCell ref="W3:AR3"/>
    <mergeCell ref="AS3:AY3"/>
    <mergeCell ref="AZ3:BM3"/>
  </mergeCells>
  <conditionalFormatting sqref="T5:T150">
    <cfRule type="cellIs" priority="2" operator="equal" aboveAverage="0" equalAverage="0" bottom="0" percent="0" rank="0" text="" dxfId="41">
      <formula>"Low"</formula>
    </cfRule>
    <cfRule type="cellIs" priority="3" operator="equal" aboveAverage="0" equalAverage="0" bottom="0" percent="0" rank="0" text="" dxfId="42">
      <formula>"Medium"</formula>
    </cfRule>
    <cfRule type="cellIs" priority="4" operator="equal" aboveAverage="0" equalAverage="0" bottom="0" percent="0" rank="0" text="" dxfId="43">
      <formula>"High"</formula>
    </cfRule>
    <cfRule type="cellIs" priority="5" operator="equal" aboveAverage="0" equalAverage="0" bottom="0" percent="0" rank="0" text="" dxfId="44">
      <formula>"Critical"</formula>
    </cfRule>
  </conditionalFormatting>
  <conditionalFormatting sqref="AV5:AV150">
    <cfRule type="cellIs" priority="6" operator="equal" aboveAverage="0" equalAverage="0" bottom="0" percent="0" rank="0" text="" dxfId="41">
      <formula>"Low"</formula>
    </cfRule>
    <cfRule type="cellIs" priority="7" operator="equal" aboveAverage="0" equalAverage="0" bottom="0" percent="0" rank="0" text="" dxfId="42">
      <formula>"Medium"</formula>
    </cfRule>
    <cfRule type="cellIs" priority="8" operator="equal" aboveAverage="0" equalAverage="0" bottom="0" percent="0" rank="0" text="" dxfId="43">
      <formula>"High"</formula>
    </cfRule>
    <cfRule type="cellIs" priority="9" operator="equal" aboveAverage="0" equalAverage="0" bottom="0" percent="0" rank="0" text="" dxfId="44">
      <formula>"Critical"</formula>
    </cfRule>
  </conditionalFormatting>
  <conditionalFormatting sqref="AW5:AW150">
    <cfRule type="cellIs" priority="10" operator="equal" aboveAverage="0" equalAverage="0" bottom="0" percent="0" rank="0" text="" dxfId="41">
      <formula>"Low"</formula>
    </cfRule>
    <cfRule type="cellIs" priority="11" operator="equal" aboveAverage="0" equalAverage="0" bottom="0" percent="0" rank="0" text="" dxfId="42">
      <formula>"Medium"</formula>
    </cfRule>
    <cfRule type="cellIs" priority="12" operator="equal" aboveAverage="0" equalAverage="0" bottom="0" percent="0" rank="0" text="" dxfId="43">
      <formula>"High"</formula>
    </cfRule>
    <cfRule type="cellIs" priority="13" operator="equal" aboveAverage="0" equalAverage="0" bottom="0" percent="0" rank="0" text="" dxfId="44">
      <formula>"Critical"</formula>
    </cfRule>
  </conditionalFormatting>
  <conditionalFormatting sqref="AX5:AX150">
    <cfRule type="cellIs" priority="14" operator="equal" aboveAverage="0" equalAverage="0" bottom="0" percent="0" rank="0" text="" dxfId="0">
      <formula>"No"</formula>
    </cfRule>
    <cfRule type="cellIs" priority="15" operator="equal" aboveAverage="0" equalAverage="0" bottom="0" percent="0" rank="0" text="" dxfId="3">
      <formula>"Yes"</formula>
    </cfRule>
  </conditionalFormatting>
  <conditionalFormatting sqref="BJ5:BJ150">
    <cfRule type="cellIs" priority="16" operator="equal" aboveAverage="0" equalAverage="0" bottom="0" percent="0" rank="0" text="" dxfId="1">
      <formula>"Yes"</formula>
    </cfRule>
    <cfRule type="cellIs" priority="17" operator="equal" aboveAverage="0" equalAverage="0" bottom="0" percent="0" rank="0" text="" dxfId="45">
      <formula>"No"</formula>
    </cfRule>
  </conditionalFormatting>
  <conditionalFormatting sqref="N5:N150">
    <cfRule type="cellIs" priority="18" operator="equal" aboveAverage="0" equalAverage="0" bottom="0" percent="0" rank="0" text="" dxfId="46">
      <formula>"Applies"</formula>
    </cfRule>
    <cfRule type="cellIs" priority="19" operator="equal" aboveAverage="0" equalAverage="0" bottom="0" percent="0" rank="0" text="" dxfId="47">
      <formula>"Not triggered"</formula>
    </cfRule>
  </conditionalFormatting>
  <conditionalFormatting sqref="BF5:BF150">
    <cfRule type="cellIs" priority="20" operator="equal" aboveAverage="0" equalAverage="0" bottom="0" percent="0" rank="0" text="" dxfId="0">
      <formula>"Deadline exceeded"</formula>
    </cfRule>
    <cfRule type="cellIs" priority="21" operator="equal" aboveAverage="0" equalAverage="0" bottom="0" percent="0" rank="0" text="" dxfId="2">
      <formula>"Deadline approaching"</formula>
    </cfRule>
    <cfRule type="cellIs" priority="22" operator="equal" aboveAverage="0" equalAverage="0" bottom="0" percent="0" rank="0" text="" dxfId="3">
      <formula>"On track"</formula>
    </cfRule>
    <cfRule type="cellIs" priority="23" operator="equal" aboveAverage="0" equalAverage="0" bottom="0" percent="0" rank="0" text="" dxfId="48">
      <formula>"Set date identified"</formula>
    </cfRule>
  </conditionalFormatting>
  <conditionalFormatting sqref="BL5:BL150">
    <cfRule type="cellIs" priority="24" operator="equal" aboveAverage="0" equalAverage="0" bottom="0" percent="0" rank="0" text="" dxfId="3">
      <formula>"OK"</formula>
    </cfRule>
    <cfRule type="cellIs" priority="25" operator="notEqual" aboveAverage="0" equalAverage="0" bottom="0" percent="0" rank="0" text="" dxfId="48">
      <formula>"OK"</formula>
    </cfRule>
  </conditionalFormatting>
  <conditionalFormatting sqref="BA5:BD150">
    <cfRule type="expression" priority="26" aboveAverage="0" equalAverage="0" bottom="0" percent="0" rank="0" text="" dxfId="47">
      <formula>$W5="Accept"</formula>
    </cfRule>
  </conditionalFormatting>
  <conditionalFormatting sqref="Q5:Q150">
    <cfRule type="cellIs" priority="27" operator="equal" aboveAverage="0" equalAverage="0" bottom="0" percent="0" rank="0" text="" dxfId="41">
      <formula>1</formula>
    </cfRule>
    <cfRule type="cellIs" priority="28" operator="equal" aboveAverage="0" equalAverage="0" bottom="0" percent="0" rank="0" text="" dxfId="42">
      <formula>2</formula>
    </cfRule>
    <cfRule type="cellIs" priority="29" operator="equal" aboveAverage="0" equalAverage="0" bottom="0" percent="0" rank="0" text="" dxfId="43">
      <formula>3</formula>
    </cfRule>
    <cfRule type="cellIs" priority="30" operator="equal" aboveAverage="0" equalAverage="0" bottom="0" percent="0" rank="0" text="" dxfId="44">
      <formula>4</formula>
    </cfRule>
  </conditionalFormatting>
  <conditionalFormatting sqref="R5:R150">
    <cfRule type="cellIs" priority="31" operator="equal" aboveAverage="0" equalAverage="0" bottom="0" percent="0" rank="0" text="" dxfId="41">
      <formula>1</formula>
    </cfRule>
    <cfRule type="cellIs" priority="32" operator="equal" aboveAverage="0" equalAverage="0" bottom="0" percent="0" rank="0" text="" dxfId="42">
      <formula>2</formula>
    </cfRule>
    <cfRule type="cellIs" priority="33" operator="equal" aboveAverage="0" equalAverage="0" bottom="0" percent="0" rank="0" text="" dxfId="43">
      <formula>3</formula>
    </cfRule>
    <cfRule type="cellIs" priority="34" operator="equal" aboveAverage="0" equalAverage="0" bottom="0" percent="0" rank="0" text="" dxfId="44">
      <formula>4</formula>
    </cfRule>
  </conditionalFormatting>
  <conditionalFormatting sqref="AS5:AS150">
    <cfRule type="cellIs" priority="35" operator="equal" aboveAverage="0" equalAverage="0" bottom="0" percent="0" rank="0" text="" dxfId="41">
      <formula>1</formula>
    </cfRule>
    <cfRule type="cellIs" priority="36" operator="equal" aboveAverage="0" equalAverage="0" bottom="0" percent="0" rank="0" text="" dxfId="42">
      <formula>2</formula>
    </cfRule>
    <cfRule type="cellIs" priority="37" operator="equal" aboveAverage="0" equalAverage="0" bottom="0" percent="0" rank="0" text="" dxfId="43">
      <formula>3</formula>
    </cfRule>
    <cfRule type="cellIs" priority="38" operator="equal" aboveAverage="0" equalAverage="0" bottom="0" percent="0" rank="0" text="" dxfId="44">
      <formula>4</formula>
    </cfRule>
  </conditionalFormatting>
  <conditionalFormatting sqref="AT5:AT150">
    <cfRule type="cellIs" priority="39" operator="equal" aboveAverage="0" equalAverage="0" bottom="0" percent="0" rank="0" text="" dxfId="41">
      <formula>1</formula>
    </cfRule>
    <cfRule type="cellIs" priority="40" operator="equal" aboveAverage="0" equalAverage="0" bottom="0" percent="0" rank="0" text="" dxfId="42">
      <formula>2</formula>
    </cfRule>
    <cfRule type="cellIs" priority="41" operator="equal" aboveAverage="0" equalAverage="0" bottom="0" percent="0" rank="0" text="" dxfId="43">
      <formula>3</formula>
    </cfRule>
    <cfRule type="cellIs" priority="42" operator="equal" aboveAverage="0" equalAverage="0" bottom="0" percent="0" rank="0" text="" dxfId="44">
      <formula>4</formula>
    </cfRule>
  </conditionalFormatting>
  <conditionalFormatting sqref="S5:S150">
    <cfRule type="colorScale" priority="43">
      <colorScale>
        <cfvo type="num" val="1"/>
        <cfvo type="num" val="6"/>
        <cfvo type="num" val="16"/>
        <color rgb="FF63BE7B"/>
        <color rgb="FFFFEB84"/>
        <color rgb="FFF8696B"/>
      </colorScale>
    </cfRule>
  </conditionalFormatting>
  <conditionalFormatting sqref="AU5:AU150">
    <cfRule type="colorScale" priority="44">
      <colorScale>
        <cfvo type="num" val="1"/>
        <cfvo type="num" val="6"/>
        <cfvo type="num" val="16"/>
        <color rgb="FF63BE7B"/>
        <color rgb="FFFFEB84"/>
        <color rgb="FFF8696B"/>
      </colorScale>
    </cfRule>
  </conditionalFormatting>
  <conditionalFormatting sqref="BE5:BE150">
    <cfRule type="cellIs" priority="45" operator="equal" aboveAverage="0" equalAverage="0" bottom="0" percent="0" rank="0" text="" dxfId="49">
      <formula>"Open"</formula>
    </cfRule>
    <cfRule type="cellIs" priority="46" operator="equal" aboveAverage="0" equalAverage="0" bottom="0" percent="0" rank="0" text="" dxfId="50">
      <formula>"In progress"</formula>
    </cfRule>
    <cfRule type="cellIs" priority="47" operator="equal" aboveAverage="0" equalAverage="0" bottom="0" percent="0" rank="0" text="" dxfId="51">
      <formula>"Mitigated - verifying"</formula>
    </cfRule>
    <cfRule type="cellIs" priority="48" operator="equal" aboveAverage="0" equalAverage="0" bottom="0" percent="0" rank="0" text="" dxfId="52">
      <formula>"Transferred"</formula>
    </cfRule>
    <cfRule type="cellIs" priority="49" operator="equal" aboveAverage="0" equalAverage="0" bottom="0" percent="0" rank="0" text="" dxfId="46">
      <formula>"Accepted"</formula>
    </cfRule>
    <cfRule type="cellIs" priority="50" operator="equal" aboveAverage="0" equalAverage="0" bottom="0" percent="0" rank="0" text="" dxfId="53">
      <formula>"Closed"</formula>
    </cfRule>
  </conditionalFormatting>
  <conditionalFormatting sqref="W5:W150">
    <cfRule type="cellIs" priority="51" operator="equal" aboveAverage="0" equalAverage="0" bottom="0" percent="0" rank="0" text="" dxfId="51">
      <formula>"Mitigate"</formula>
    </cfRule>
    <cfRule type="cellIs" priority="52" operator="equal" aboveAverage="0" equalAverage="0" bottom="0" percent="0" rank="0" text="" dxfId="43">
      <formula>"Avoid"</formula>
    </cfRule>
    <cfRule type="cellIs" priority="53" operator="equal" aboveAverage="0" equalAverage="0" bottom="0" percent="0" rank="0" text="" dxfId="52">
      <formula>"Transfer"</formula>
    </cfRule>
    <cfRule type="cellIs" priority="54" operator="equal" aboveAverage="0" equalAverage="0" bottom="0" percent="0" rank="0" text="" dxfId="46">
      <formula>"Accept"</formula>
    </cfRule>
  </conditionalFormatting>
  <conditionalFormatting sqref="P5:P150">
    <cfRule type="cellIs" priority="55" operator="equal" aboveAverage="0" equalAverage="0" bottom="0" percent="0" rank="0" text="" dxfId="0">
      <formula>"None"</formula>
    </cfRule>
    <cfRule type="cellIs" priority="56" operator="equal" aboveAverage="0" equalAverage="0" bottom="0" percent="0" rank="0" text="" dxfId="1">
      <formula>"Weak"</formula>
    </cfRule>
    <cfRule type="cellIs" priority="57" operator="equal" aboveAverage="0" equalAverage="0" bottom="0" percent="0" rank="0" text="" dxfId="2">
      <formula>"Partial"</formula>
    </cfRule>
    <cfRule type="cellIs" priority="58" operator="equal" aboveAverage="0" equalAverage="0" bottom="0" percent="0" rank="0" text="" dxfId="3">
      <formula>"Effective"</formula>
    </cfRule>
  </conditionalFormatting>
  <conditionalFormatting sqref="C5:C150">
    <cfRule type="cellIs" priority="59" operator="equal" aboveAverage="0" equalAverage="0" bottom="0" percent="0" rank="0" text="" dxfId="54">
      <formula>"01"</formula>
    </cfRule>
    <cfRule type="cellIs" priority="60" operator="equal" aboveAverage="0" equalAverage="0" bottom="0" percent="0" rank="0" text="" dxfId="55">
      <formula>"02"</formula>
    </cfRule>
    <cfRule type="cellIs" priority="61" operator="equal" aboveAverage="0" equalAverage="0" bottom="0" percent="0" rank="0" text="" dxfId="56">
      <formula>"03"</formula>
    </cfRule>
    <cfRule type="cellIs" priority="62" operator="equal" aboveAverage="0" equalAverage="0" bottom="0" percent="0" rank="0" text="" dxfId="57">
      <formula>"04"</formula>
    </cfRule>
    <cfRule type="cellIs" priority="63" operator="equal" aboveAverage="0" equalAverage="0" bottom="0" percent="0" rank="0" text="" dxfId="49">
      <formula>"05"</formula>
    </cfRule>
    <cfRule type="cellIs" priority="64" operator="equal" aboveAverage="0" equalAverage="0" bottom="0" percent="0" rank="0" text="" dxfId="58">
      <formula>"06"</formula>
    </cfRule>
    <cfRule type="cellIs" priority="65" operator="equal" aboveAverage="0" equalAverage="0" bottom="0" percent="0" rank="0" text="" dxfId="59">
      <formula>"07"</formula>
    </cfRule>
    <cfRule type="cellIs" priority="66" operator="equal" aboveAverage="0" equalAverage="0" bottom="0" percent="0" rank="0" text="" dxfId="60">
      <formula>"08"</formula>
    </cfRule>
    <cfRule type="cellIs" priority="67" operator="equal" aboveAverage="0" equalAverage="0" bottom="0" percent="0" rank="0" text="" dxfId="43">
      <formula>"09"</formula>
    </cfRule>
    <cfRule type="cellIs" priority="68" operator="equal" aboveAverage="0" equalAverage="0" bottom="0" percent="0" rank="0" text="" dxfId="61">
      <formula>"10"</formula>
    </cfRule>
    <cfRule type="cellIs" priority="69" operator="equal" aboveAverage="0" equalAverage="0" bottom="0" percent="0" rank="0" text="" dxfId="50">
      <formula>"11"</formula>
    </cfRule>
    <cfRule type="cellIs" priority="70" operator="equal" aboveAverage="0" equalAverage="0" bottom="0" percent="0" rank="0" text="" dxfId="62">
      <formula>"12"</formula>
    </cfRule>
  </conditionalFormatting>
  <conditionalFormatting sqref="F5:F150">
    <cfRule type="cellIs" priority="71" operator="equal" aboveAverage="0" equalAverage="0" bottom="0" percent="0" rank="0" text="" dxfId="54">
      <formula>"01"</formula>
    </cfRule>
    <cfRule type="cellIs" priority="72" operator="equal" aboveAverage="0" equalAverage="0" bottom="0" percent="0" rank="0" text="" dxfId="55">
      <formula>"02"</formula>
    </cfRule>
    <cfRule type="cellIs" priority="73" operator="equal" aboveAverage="0" equalAverage="0" bottom="0" percent="0" rank="0" text="" dxfId="56">
      <formula>"03"</formula>
    </cfRule>
    <cfRule type="cellIs" priority="74" operator="equal" aboveAverage="0" equalAverage="0" bottom="0" percent="0" rank="0" text="" dxfId="57">
      <formula>"04"</formula>
    </cfRule>
    <cfRule type="cellIs" priority="75" operator="equal" aboveAverage="0" equalAverage="0" bottom="0" percent="0" rank="0" text="" dxfId="49">
      <formula>"05"</formula>
    </cfRule>
    <cfRule type="cellIs" priority="76" operator="equal" aboveAverage="0" equalAverage="0" bottom="0" percent="0" rank="0" text="" dxfId="58">
      <formula>"06"</formula>
    </cfRule>
    <cfRule type="cellIs" priority="77" operator="equal" aboveAverage="0" equalAverage="0" bottom="0" percent="0" rank="0" text="" dxfId="59">
      <formula>"07"</formula>
    </cfRule>
    <cfRule type="cellIs" priority="78" operator="equal" aboveAverage="0" equalAverage="0" bottom="0" percent="0" rank="0" text="" dxfId="60">
      <formula>"08"</formula>
    </cfRule>
    <cfRule type="cellIs" priority="79" operator="equal" aboveAverage="0" equalAverage="0" bottom="0" percent="0" rank="0" text="" dxfId="43">
      <formula>"09"</formula>
    </cfRule>
    <cfRule type="cellIs" priority="80" operator="equal" aboveAverage="0" equalAverage="0" bottom="0" percent="0" rank="0" text="" dxfId="61">
      <formula>"10"</formula>
    </cfRule>
    <cfRule type="cellIs" priority="81" operator="equal" aboveAverage="0" equalAverage="0" bottom="0" percent="0" rank="0" text="" dxfId="50">
      <formula>"11"</formula>
    </cfRule>
    <cfRule type="cellIs" priority="82" operator="equal" aboveAverage="0" equalAverage="0" bottom="0" percent="0" rank="0" text="" dxfId="62">
      <formula>"12"</formula>
    </cfRule>
  </conditionalFormatting>
  <dataValidations count="18">
    <dataValidation allowBlank="true" errorStyle="stop" operator="between" showDropDown="false" showErrorMessage="false" showInputMessage="false" sqref="C5:C150" type="list">
      <formula1>Lists!$A$2:$A$13</formula1>
      <formula2>0</formula2>
    </dataValidation>
    <dataValidation allowBlank="true" errorStyle="stop" operator="between" showDropDown="false" showErrorMessage="false" showInputMessage="false" sqref="F5:F150" type="list">
      <formula1>Lists!$A$2:$A$13</formula1>
      <formula2>0</formula2>
    </dataValidation>
    <dataValidation allowBlank="true" errorStyle="stop" operator="between" showDropDown="false" showErrorMessage="false" showInputMessage="false" sqref="H5:H150" type="list">
      <formula1>Lists!$B$2:$B$9</formula1>
      <formula2>0</formula2>
    </dataValidation>
    <dataValidation allowBlank="true" errorStyle="stop" operator="between" showDropDown="false" showErrorMessage="false" showInputMessage="false" sqref="I5:I150" type="list">
      <formula1>Lists!$C$2:$C$17</formula1>
      <formula2>0</formula2>
    </dataValidation>
    <dataValidation allowBlank="true" errorStyle="stop" operator="between" showDropDown="false" showErrorMessage="false" showInputMessage="false" sqref="L5:L150" type="list">
      <formula1>Lists!$D$2:$D$11</formula1>
      <formula2>0</formula2>
    </dataValidation>
    <dataValidation allowBlank="true" errorStyle="stop" operator="between" showDropDown="false" showErrorMessage="false" showInputMessage="false" sqref="P5:P150" type="list">
      <formula1>Lists!$E$2:$E$5</formula1>
      <formula2>0</formula2>
    </dataValidation>
    <dataValidation allowBlank="true" errorStyle="stop" operator="between" showDropDown="false" showErrorMessage="false" showInputMessage="false" sqref="Q5:Q150" type="list">
      <formula1>Lists!$L$2:$L$5</formula1>
      <formula2>0</formula2>
    </dataValidation>
    <dataValidation allowBlank="true" errorStyle="stop" operator="between" showDropDown="false" showErrorMessage="false" showInputMessage="false" sqref="R5:R150" type="list">
      <formula1>Lists!$L$2:$L$5</formula1>
      <formula2>0</formula2>
    </dataValidation>
    <dataValidation allowBlank="true" errorStyle="stop" operator="between" showDropDown="false" showErrorMessage="false" showInputMessage="false" sqref="AS5:AS150" type="list">
      <formula1>Lists!$L$2:$L$5</formula1>
      <formula2>0</formula2>
    </dataValidation>
    <dataValidation allowBlank="true" errorStyle="stop" operator="between" showDropDown="false" showErrorMessage="false" showInputMessage="false" sqref="AT5:AT150" type="list">
      <formula1>Lists!$L$2:$L$5</formula1>
      <formula2>0</formula2>
    </dataValidation>
    <dataValidation allowBlank="true" errorStyle="stop" operator="between" showDropDown="false" showErrorMessage="false" showInputMessage="false" sqref="U5:U150" type="list">
      <formula1>Lists!$F$2:$F$4</formula1>
      <formula2>0</formula2>
    </dataValidation>
    <dataValidation allowBlank="true" errorStyle="stop" operator="between" showDropDown="false" showErrorMessage="false" showInputMessage="false" sqref="W5:W150" type="list">
      <formula1>Lists!$G$2:$G$5</formula1>
      <formula2>0</formula2>
    </dataValidation>
    <dataValidation allowBlank="true" errorStyle="stop" operator="between" showDropDown="false" showErrorMessage="false" showInputMessage="false" sqref="BE5:BE150" type="list">
      <formula1>Lists!$H$2:$H$7</formula1>
      <formula2>0</formula2>
    </dataValidation>
    <dataValidation allowBlank="true" error="Value not in the list. Keep it if it is your organization's role name." errorStyle="warning" operator="between" showDropDown="false" showErrorMessage="false" showInputMessage="false" sqref="AZ5:AZ150" type="list">
      <formula1>Lists!$I$2:$I$25</formula1>
      <formula2>0</formula2>
    </dataValidation>
    <dataValidation allowBlank="true" error="Enter a date." errorStyle="stop" operator="greaterThan" showDropDown="false" showErrorMessage="false" showInputMessage="false" sqref="BB5:BB150" type="date">
      <formula1>DATE(2000,1,1)</formula1>
      <formula2>0</formula2>
    </dataValidation>
    <dataValidation allowBlank="true" error="Enter a date." errorStyle="stop" operator="greaterThan" showDropDown="false" showErrorMessage="false" showInputMessage="false" sqref="BD5:BD150" type="date">
      <formula1>DATE(2000,1,1)</formula1>
      <formula2>0</formula2>
    </dataValidation>
    <dataValidation allowBlank="true" error="Enter a date." errorStyle="stop" operator="greaterThan" showDropDown="false" showErrorMessage="false" showInputMessage="false" sqref="BG5:BG150" type="date">
      <formula1>DATE(2000,1,1)</formula1>
      <formula2>0</formula2>
    </dataValidation>
    <dataValidation allowBlank="true" error="Enter a date." errorStyle="stop" operator="greaterThan" showDropDown="false" showErrorMessage="false" showInputMessage="false" sqref="BH5:BH150"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H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18"/>
    <col collapsed="false" customWidth="true" hidden="false" outlineLevel="0" max="5" min="5" style="0" width="90"/>
  </cols>
  <sheetData>
    <row r="1" customFormat="false" ht="30" hidden="false" customHeight="true" outlineLevel="0" collapsed="false">
      <c r="A1" s="98" t="s">
        <v>1127</v>
      </c>
      <c r="B1" s="99"/>
      <c r="C1" s="99"/>
      <c r="D1" s="99"/>
      <c r="E1" s="99"/>
      <c r="F1" s="99"/>
      <c r="G1" s="99"/>
      <c r="H1" s="99"/>
    </row>
    <row r="2" customFormat="false" ht="15" hidden="false" customHeight="false" outlineLevel="0" collapsed="false">
      <c r="A2" s="3" t="s">
        <v>1128</v>
      </c>
    </row>
    <row r="4" customFormat="false" ht="15" hidden="false" customHeight="false" outlineLevel="0" collapsed="false">
      <c r="A4" s="100" t="s">
        <v>1129</v>
      </c>
      <c r="B4" s="100" t="s">
        <v>1130</v>
      </c>
      <c r="C4" s="100" t="s">
        <v>1131</v>
      </c>
      <c r="D4" s="100" t="s">
        <v>1132</v>
      </c>
      <c r="E4" s="100" t="s">
        <v>1133</v>
      </c>
    </row>
    <row r="5" customFormat="false" ht="15" hidden="false" customHeight="false" outlineLevel="0" collapsed="false">
      <c r="A5" s="101" t="s">
        <v>1134</v>
      </c>
      <c r="B5" s="6" t="s">
        <v>197</v>
      </c>
      <c r="C5" s="5" t="s">
        <v>202</v>
      </c>
      <c r="D5" s="6" t="s">
        <v>1135</v>
      </c>
      <c r="E5" s="6" t="s">
        <v>1136</v>
      </c>
    </row>
    <row r="6" customFormat="false" ht="15" hidden="false" customHeight="false" outlineLevel="0" collapsed="false">
      <c r="A6" s="102" t="s">
        <v>1137</v>
      </c>
      <c r="B6" s="103" t="s">
        <v>197</v>
      </c>
      <c r="C6" s="104" t="s">
        <v>203</v>
      </c>
      <c r="D6" s="103" t="s">
        <v>1135</v>
      </c>
      <c r="E6" s="103" t="s">
        <v>1138</v>
      </c>
    </row>
    <row r="7" customFormat="false" ht="15" hidden="false" customHeight="false" outlineLevel="0" collapsed="false">
      <c r="A7" s="101" t="s">
        <v>1139</v>
      </c>
      <c r="B7" s="6" t="s">
        <v>197</v>
      </c>
      <c r="C7" s="5" t="s">
        <v>204</v>
      </c>
      <c r="D7" s="82" t="s">
        <v>1140</v>
      </c>
      <c r="E7" s="6" t="s">
        <v>1141</v>
      </c>
    </row>
    <row r="8" customFormat="false" ht="15" hidden="false" customHeight="false" outlineLevel="0" collapsed="false">
      <c r="A8" s="102" t="s">
        <v>1142</v>
      </c>
      <c r="B8" s="103" t="s">
        <v>197</v>
      </c>
      <c r="C8" s="104" t="s">
        <v>205</v>
      </c>
      <c r="D8" s="81" t="s">
        <v>1143</v>
      </c>
      <c r="E8" s="103" t="s">
        <v>1144</v>
      </c>
    </row>
    <row r="9" customFormat="false" ht="15" hidden="false" customHeight="false" outlineLevel="0" collapsed="false">
      <c r="A9" s="101" t="s">
        <v>1145</v>
      </c>
      <c r="B9" s="6" t="s">
        <v>197</v>
      </c>
      <c r="C9" s="5" t="s">
        <v>206</v>
      </c>
      <c r="D9" s="81" t="s">
        <v>1143</v>
      </c>
      <c r="E9" s="6" t="s">
        <v>1146</v>
      </c>
    </row>
    <row r="10" customFormat="false" ht="15" hidden="false" customHeight="false" outlineLevel="0" collapsed="false">
      <c r="A10" s="102" t="s">
        <v>1147</v>
      </c>
      <c r="B10" s="103" t="s">
        <v>197</v>
      </c>
      <c r="C10" s="104" t="s">
        <v>207</v>
      </c>
      <c r="D10" s="82" t="s">
        <v>1140</v>
      </c>
      <c r="E10" s="103" t="s">
        <v>1148</v>
      </c>
    </row>
    <row r="11" customFormat="false" ht="15" hidden="false" customHeight="false" outlineLevel="0" collapsed="false">
      <c r="A11" s="101" t="s">
        <v>1149</v>
      </c>
      <c r="B11" s="6" t="s">
        <v>197</v>
      </c>
      <c r="C11" s="5" t="s">
        <v>208</v>
      </c>
      <c r="D11" s="82" t="s">
        <v>1140</v>
      </c>
      <c r="E11" s="6" t="s">
        <v>1150</v>
      </c>
    </row>
    <row r="12" customFormat="false" ht="15" hidden="false" customHeight="false" outlineLevel="0" collapsed="false">
      <c r="A12" s="102" t="s">
        <v>1151</v>
      </c>
      <c r="B12" s="103" t="s">
        <v>197</v>
      </c>
      <c r="C12" s="104" t="s">
        <v>209</v>
      </c>
      <c r="D12" s="82" t="s">
        <v>1140</v>
      </c>
      <c r="E12" s="103" t="s">
        <v>1152</v>
      </c>
    </row>
    <row r="13" customFormat="false" ht="15" hidden="false" customHeight="false" outlineLevel="0" collapsed="false">
      <c r="A13" s="101" t="s">
        <v>1153</v>
      </c>
      <c r="B13" s="6" t="s">
        <v>197</v>
      </c>
      <c r="C13" s="5" t="s">
        <v>210</v>
      </c>
      <c r="D13" s="82" t="s">
        <v>1140</v>
      </c>
      <c r="E13" s="6" t="s">
        <v>1154</v>
      </c>
    </row>
    <row r="14" customFormat="false" ht="15" hidden="false" customHeight="false" outlineLevel="0" collapsed="false">
      <c r="A14" s="102" t="s">
        <v>1155</v>
      </c>
      <c r="B14" s="103" t="s">
        <v>197</v>
      </c>
      <c r="C14" s="104" t="s">
        <v>211</v>
      </c>
      <c r="D14" s="103" t="s">
        <v>1135</v>
      </c>
      <c r="E14" s="103" t="s">
        <v>1156</v>
      </c>
    </row>
    <row r="15" customFormat="false" ht="15" hidden="false" customHeight="false" outlineLevel="0" collapsed="false">
      <c r="A15" s="101" t="s">
        <v>1157</v>
      </c>
      <c r="B15" s="6" t="s">
        <v>197</v>
      </c>
      <c r="C15" s="5" t="s">
        <v>212</v>
      </c>
      <c r="D15" s="82" t="s">
        <v>1140</v>
      </c>
      <c r="E15" s="6" t="s">
        <v>1158</v>
      </c>
    </row>
    <row r="16" customFormat="false" ht="23.85" hidden="false" customHeight="false" outlineLevel="0" collapsed="false">
      <c r="A16" s="102" t="s">
        <v>1159</v>
      </c>
      <c r="B16" s="103" t="s">
        <v>197</v>
      </c>
      <c r="C16" s="104" t="s">
        <v>213</v>
      </c>
      <c r="D16" s="82" t="s">
        <v>1140</v>
      </c>
      <c r="E16" s="103" t="s">
        <v>1160</v>
      </c>
    </row>
    <row r="17" customFormat="false" ht="15" hidden="false" customHeight="false" outlineLevel="0" collapsed="false">
      <c r="A17" s="101" t="s">
        <v>1161</v>
      </c>
      <c r="B17" s="6" t="s">
        <v>197</v>
      </c>
      <c r="C17" s="5" t="s">
        <v>214</v>
      </c>
      <c r="D17" s="6" t="s">
        <v>1135</v>
      </c>
      <c r="E17" s="6" t="s">
        <v>1162</v>
      </c>
    </row>
    <row r="18" customFormat="false" ht="15" hidden="false" customHeight="false" outlineLevel="0" collapsed="false">
      <c r="A18" s="102" t="s">
        <v>1163</v>
      </c>
      <c r="B18" s="103" t="s">
        <v>197</v>
      </c>
      <c r="C18" s="104" t="s">
        <v>215</v>
      </c>
      <c r="D18" s="81" t="s">
        <v>1143</v>
      </c>
      <c r="E18" s="103" t="s">
        <v>1164</v>
      </c>
    </row>
    <row r="19" customFormat="false" ht="23.85" hidden="false" customHeight="false" outlineLevel="0" collapsed="false">
      <c r="A19" s="101" t="s">
        <v>1165</v>
      </c>
      <c r="B19" s="6" t="s">
        <v>198</v>
      </c>
      <c r="C19" s="5" t="s">
        <v>216</v>
      </c>
      <c r="D19" s="82" t="s">
        <v>1140</v>
      </c>
      <c r="E19" s="6" t="s">
        <v>1166</v>
      </c>
    </row>
    <row r="20" customFormat="false" ht="23.85" hidden="false" customHeight="false" outlineLevel="0" collapsed="false">
      <c r="A20" s="102" t="s">
        <v>1167</v>
      </c>
      <c r="B20" s="103" t="s">
        <v>198</v>
      </c>
      <c r="C20" s="104" t="s">
        <v>217</v>
      </c>
      <c r="D20" s="82" t="s">
        <v>1140</v>
      </c>
      <c r="E20" s="103" t="s">
        <v>1168</v>
      </c>
    </row>
    <row r="21" customFormat="false" ht="23.85" hidden="false" customHeight="false" outlineLevel="0" collapsed="false">
      <c r="A21" s="101" t="s">
        <v>1169</v>
      </c>
      <c r="B21" s="6" t="s">
        <v>198</v>
      </c>
      <c r="C21" s="5" t="s">
        <v>218</v>
      </c>
      <c r="D21" s="82" t="s">
        <v>1140</v>
      </c>
      <c r="E21" s="6" t="s">
        <v>1170</v>
      </c>
    </row>
    <row r="22" customFormat="false" ht="23.85" hidden="false" customHeight="false" outlineLevel="0" collapsed="false">
      <c r="A22" s="102" t="s">
        <v>1171</v>
      </c>
      <c r="B22" s="103" t="s">
        <v>198</v>
      </c>
      <c r="C22" s="104" t="s">
        <v>219</v>
      </c>
      <c r="D22" s="82" t="s">
        <v>1140</v>
      </c>
      <c r="E22" s="103" t="s">
        <v>1172</v>
      </c>
    </row>
    <row r="23" customFormat="false" ht="23.85" hidden="false" customHeight="false" outlineLevel="0" collapsed="false">
      <c r="A23" s="101" t="s">
        <v>1173</v>
      </c>
      <c r="B23" s="6" t="s">
        <v>198</v>
      </c>
      <c r="C23" s="5" t="s">
        <v>220</v>
      </c>
      <c r="D23" s="81" t="s">
        <v>1143</v>
      </c>
      <c r="E23" s="6" t="s">
        <v>1174</v>
      </c>
    </row>
    <row r="24" customFormat="false" ht="23.85" hidden="false" customHeight="false" outlineLevel="0" collapsed="false">
      <c r="A24" s="102" t="s">
        <v>1175</v>
      </c>
      <c r="B24" s="103" t="s">
        <v>198</v>
      </c>
      <c r="C24" s="104" t="s">
        <v>221</v>
      </c>
      <c r="D24" s="81" t="s">
        <v>1143</v>
      </c>
      <c r="E24" s="103" t="s">
        <v>1176</v>
      </c>
    </row>
    <row r="25" customFormat="false" ht="23.85" hidden="false" customHeight="false" outlineLevel="0" collapsed="false">
      <c r="A25" s="101" t="s">
        <v>1177</v>
      </c>
      <c r="B25" s="6" t="s">
        <v>198</v>
      </c>
      <c r="C25" s="5" t="s">
        <v>222</v>
      </c>
      <c r="D25" s="82" t="s">
        <v>1140</v>
      </c>
      <c r="E25" s="6" t="s">
        <v>1178</v>
      </c>
    </row>
    <row r="26" customFormat="false" ht="23.85" hidden="false" customHeight="false" outlineLevel="0" collapsed="false">
      <c r="A26" s="102" t="s">
        <v>1179</v>
      </c>
      <c r="B26" s="103" t="s">
        <v>198</v>
      </c>
      <c r="C26" s="104" t="s">
        <v>223</v>
      </c>
      <c r="D26" s="82" t="s">
        <v>1140</v>
      </c>
      <c r="E26" s="103" t="s">
        <v>1180</v>
      </c>
    </row>
    <row r="27" customFormat="false" ht="23.85" hidden="false" customHeight="false" outlineLevel="0" collapsed="false">
      <c r="A27" s="101" t="s">
        <v>1181</v>
      </c>
      <c r="B27" s="6" t="s">
        <v>199</v>
      </c>
      <c r="C27" s="5" t="s">
        <v>224</v>
      </c>
      <c r="D27" s="82" t="s">
        <v>1140</v>
      </c>
      <c r="E27" s="6" t="s">
        <v>1182</v>
      </c>
    </row>
    <row r="28" customFormat="false" ht="23.85" hidden="false" customHeight="false" outlineLevel="0" collapsed="false">
      <c r="A28" s="102" t="s">
        <v>1183</v>
      </c>
      <c r="B28" s="103" t="s">
        <v>199</v>
      </c>
      <c r="C28" s="104" t="s">
        <v>225</v>
      </c>
      <c r="D28" s="82" t="s">
        <v>1140</v>
      </c>
      <c r="E28" s="103" t="s">
        <v>1184</v>
      </c>
    </row>
    <row r="29" customFormat="false" ht="23.85" hidden="false" customHeight="false" outlineLevel="0" collapsed="false">
      <c r="A29" s="101" t="s">
        <v>1185</v>
      </c>
      <c r="B29" s="6" t="s">
        <v>199</v>
      </c>
      <c r="C29" s="5" t="s">
        <v>226</v>
      </c>
      <c r="D29" s="6" t="s">
        <v>1135</v>
      </c>
      <c r="E29" s="6" t="s">
        <v>1186</v>
      </c>
    </row>
    <row r="30" customFormat="false" ht="23.85" hidden="false" customHeight="false" outlineLevel="0" collapsed="false">
      <c r="A30" s="102" t="s">
        <v>1187</v>
      </c>
      <c r="B30" s="103" t="s">
        <v>199</v>
      </c>
      <c r="C30" s="104" t="s">
        <v>227</v>
      </c>
      <c r="D30" s="103" t="s">
        <v>1135</v>
      </c>
      <c r="E30" s="103" t="s">
        <v>1188</v>
      </c>
    </row>
    <row r="31" customFormat="false" ht="23.85" hidden="false" customHeight="false" outlineLevel="0" collapsed="false">
      <c r="A31" s="101" t="s">
        <v>1189</v>
      </c>
      <c r="B31" s="6" t="s">
        <v>199</v>
      </c>
      <c r="C31" s="5" t="s">
        <v>228</v>
      </c>
      <c r="D31" s="6" t="s">
        <v>1135</v>
      </c>
      <c r="E31" s="6" t="s">
        <v>1190</v>
      </c>
    </row>
    <row r="32" customFormat="false" ht="23.85" hidden="false" customHeight="false" outlineLevel="0" collapsed="false">
      <c r="A32" s="102" t="s">
        <v>1191</v>
      </c>
      <c r="B32" s="103" t="s">
        <v>199</v>
      </c>
      <c r="C32" s="104" t="s">
        <v>229</v>
      </c>
      <c r="D32" s="103" t="s">
        <v>1135</v>
      </c>
      <c r="E32" s="103" t="s">
        <v>1192</v>
      </c>
    </row>
    <row r="33" customFormat="false" ht="23.85" hidden="false" customHeight="false" outlineLevel="0" collapsed="false">
      <c r="A33" s="101" t="s">
        <v>1193</v>
      </c>
      <c r="B33" s="6" t="s">
        <v>199</v>
      </c>
      <c r="C33" s="5" t="s">
        <v>230</v>
      </c>
      <c r="D33" s="6" t="s">
        <v>1135</v>
      </c>
      <c r="E33" s="6" t="s">
        <v>1194</v>
      </c>
    </row>
    <row r="34" customFormat="false" ht="23.85" hidden="false" customHeight="false" outlineLevel="0" collapsed="false">
      <c r="A34" s="102" t="s">
        <v>1195</v>
      </c>
      <c r="B34" s="103" t="s">
        <v>199</v>
      </c>
      <c r="C34" s="104" t="s">
        <v>231</v>
      </c>
      <c r="D34" s="103" t="s">
        <v>1135</v>
      </c>
      <c r="E34" s="103" t="s">
        <v>1196</v>
      </c>
    </row>
    <row r="35" customFormat="false" ht="23.85" hidden="false" customHeight="false" outlineLevel="0" collapsed="false">
      <c r="A35" s="101" t="s">
        <v>1197</v>
      </c>
      <c r="B35" s="6" t="s">
        <v>199</v>
      </c>
      <c r="C35" s="5" t="s">
        <v>232</v>
      </c>
      <c r="D35" s="6" t="s">
        <v>1135</v>
      </c>
      <c r="E35" s="6" t="s">
        <v>1198</v>
      </c>
    </row>
    <row r="36" customFormat="false" ht="23.85" hidden="false" customHeight="false" outlineLevel="0" collapsed="false">
      <c r="A36" s="102" t="s">
        <v>1199</v>
      </c>
      <c r="B36" s="103" t="s">
        <v>199</v>
      </c>
      <c r="C36" s="104" t="s">
        <v>233</v>
      </c>
      <c r="D36" s="103" t="s">
        <v>1135</v>
      </c>
      <c r="E36" s="103" t="s">
        <v>1200</v>
      </c>
    </row>
    <row r="37" customFormat="false" ht="23.85" hidden="false" customHeight="false" outlineLevel="0" collapsed="false">
      <c r="A37" s="101" t="s">
        <v>1201</v>
      </c>
      <c r="B37" s="6" t="s">
        <v>199</v>
      </c>
      <c r="C37" s="5" t="s">
        <v>234</v>
      </c>
      <c r="D37" s="6" t="s">
        <v>1135</v>
      </c>
      <c r="E37" s="6" t="s">
        <v>1202</v>
      </c>
    </row>
    <row r="38" customFormat="false" ht="23.85" hidden="false" customHeight="false" outlineLevel="0" collapsed="false">
      <c r="A38" s="102" t="s">
        <v>1203</v>
      </c>
      <c r="B38" s="103" t="s">
        <v>199</v>
      </c>
      <c r="C38" s="104" t="s">
        <v>235</v>
      </c>
      <c r="D38" s="103" t="s">
        <v>1135</v>
      </c>
      <c r="E38" s="103" t="s">
        <v>1204</v>
      </c>
    </row>
    <row r="39" customFormat="false" ht="23.85" hidden="false" customHeight="false" outlineLevel="0" collapsed="false">
      <c r="A39" s="101" t="s">
        <v>1205</v>
      </c>
      <c r="B39" s="6" t="s">
        <v>199</v>
      </c>
      <c r="C39" s="5" t="s">
        <v>236</v>
      </c>
      <c r="D39" s="6" t="s">
        <v>1135</v>
      </c>
      <c r="E39" s="6" t="s">
        <v>1206</v>
      </c>
    </row>
    <row r="40" customFormat="false" ht="23.85" hidden="false" customHeight="false" outlineLevel="0" collapsed="false">
      <c r="A40" s="102" t="s">
        <v>1207</v>
      </c>
      <c r="B40" s="103" t="s">
        <v>199</v>
      </c>
      <c r="C40" s="104" t="s">
        <v>237</v>
      </c>
      <c r="D40" s="103" t="s">
        <v>1135</v>
      </c>
      <c r="E40" s="103" t="s">
        <v>1208</v>
      </c>
    </row>
    <row r="41" customFormat="false" ht="23.85" hidden="false" customHeight="false" outlineLevel="0" collapsed="false">
      <c r="A41" s="101" t="s">
        <v>1209</v>
      </c>
      <c r="B41" s="6" t="s">
        <v>199</v>
      </c>
      <c r="C41" s="5" t="s">
        <v>238</v>
      </c>
      <c r="D41" s="6" t="s">
        <v>1135</v>
      </c>
      <c r="E41" s="6" t="s">
        <v>1210</v>
      </c>
    </row>
    <row r="42" customFormat="false" ht="23.85" hidden="false" customHeight="false" outlineLevel="0" collapsed="false">
      <c r="A42" s="102" t="s">
        <v>1211</v>
      </c>
      <c r="B42" s="103" t="s">
        <v>199</v>
      </c>
      <c r="C42" s="104" t="s">
        <v>239</v>
      </c>
      <c r="D42" s="103" t="s">
        <v>1135</v>
      </c>
      <c r="E42" s="103" t="s">
        <v>1212</v>
      </c>
    </row>
    <row r="43" customFormat="false" ht="23.85" hidden="false" customHeight="false" outlineLevel="0" collapsed="false">
      <c r="A43" s="101" t="s">
        <v>1213</v>
      </c>
      <c r="B43" s="6" t="s">
        <v>199</v>
      </c>
      <c r="C43" s="5" t="s">
        <v>240</v>
      </c>
      <c r="D43" s="6" t="s">
        <v>1135</v>
      </c>
      <c r="E43" s="6" t="s">
        <v>1214</v>
      </c>
    </row>
    <row r="44" customFormat="false" ht="23.85" hidden="false" customHeight="false" outlineLevel="0" collapsed="false">
      <c r="A44" s="102" t="s">
        <v>1215</v>
      </c>
      <c r="B44" s="103" t="s">
        <v>199</v>
      </c>
      <c r="C44" s="104" t="s">
        <v>241</v>
      </c>
      <c r="D44" s="103" t="s">
        <v>1135</v>
      </c>
      <c r="E44" s="103" t="s">
        <v>1216</v>
      </c>
    </row>
    <row r="45" customFormat="false" ht="23.85" hidden="false" customHeight="false" outlineLevel="0" collapsed="false">
      <c r="A45" s="101" t="s">
        <v>1217</v>
      </c>
      <c r="B45" s="6" t="s">
        <v>199</v>
      </c>
      <c r="C45" s="5" t="s">
        <v>242</v>
      </c>
      <c r="D45" s="6" t="s">
        <v>1135</v>
      </c>
      <c r="E45" s="6" t="s">
        <v>1218</v>
      </c>
    </row>
    <row r="46" customFormat="false" ht="23.85" hidden="false" customHeight="false" outlineLevel="0" collapsed="false">
      <c r="A46" s="102" t="s">
        <v>1219</v>
      </c>
      <c r="B46" s="103" t="s">
        <v>199</v>
      </c>
      <c r="C46" s="104" t="s">
        <v>243</v>
      </c>
      <c r="D46" s="103" t="s">
        <v>1135</v>
      </c>
      <c r="E46" s="103" t="s">
        <v>1220</v>
      </c>
    </row>
    <row r="47" customFormat="false" ht="23.85" hidden="false" customHeight="false" outlineLevel="0" collapsed="false">
      <c r="A47" s="101" t="s">
        <v>1221</v>
      </c>
      <c r="B47" s="6" t="s">
        <v>199</v>
      </c>
      <c r="C47" s="5" t="s">
        <v>244</v>
      </c>
      <c r="D47" s="6" t="s">
        <v>1135</v>
      </c>
      <c r="E47" s="6" t="s">
        <v>1222</v>
      </c>
    </row>
    <row r="48" customFormat="false" ht="23.85" hidden="false" customHeight="false" outlineLevel="0" collapsed="false">
      <c r="A48" s="102" t="s">
        <v>1223</v>
      </c>
      <c r="B48" s="103" t="s">
        <v>199</v>
      </c>
      <c r="C48" s="104" t="s">
        <v>245</v>
      </c>
      <c r="D48" s="103" t="s">
        <v>1135</v>
      </c>
      <c r="E48" s="103" t="s">
        <v>1224</v>
      </c>
    </row>
    <row r="49" customFormat="false" ht="15" hidden="false" customHeight="false" outlineLevel="0" collapsed="false">
      <c r="A49" s="101" t="s">
        <v>1225</v>
      </c>
      <c r="B49" s="6" t="s">
        <v>200</v>
      </c>
      <c r="C49" s="5" t="s">
        <v>246</v>
      </c>
      <c r="D49" s="82" t="s">
        <v>1140</v>
      </c>
      <c r="E49" s="6" t="s">
        <v>1226</v>
      </c>
    </row>
    <row r="50" customFormat="false" ht="15" hidden="false" customHeight="false" outlineLevel="0" collapsed="false">
      <c r="A50" s="102" t="s">
        <v>1227</v>
      </c>
      <c r="B50" s="103" t="s">
        <v>200</v>
      </c>
      <c r="C50" s="104" t="s">
        <v>247</v>
      </c>
      <c r="D50" s="82" t="s">
        <v>1140</v>
      </c>
      <c r="E50" s="103" t="s">
        <v>1228</v>
      </c>
    </row>
    <row r="51" customFormat="false" ht="15" hidden="false" customHeight="false" outlineLevel="0" collapsed="false">
      <c r="A51" s="101" t="s">
        <v>1229</v>
      </c>
      <c r="B51" s="6" t="s">
        <v>200</v>
      </c>
      <c r="C51" s="5" t="s">
        <v>248</v>
      </c>
      <c r="D51" s="81" t="s">
        <v>1143</v>
      </c>
      <c r="E51" s="6" t="s">
        <v>1230</v>
      </c>
    </row>
    <row r="52" customFormat="false" ht="15" hidden="false" customHeight="false" outlineLevel="0" collapsed="false">
      <c r="A52" s="102" t="s">
        <v>1231</v>
      </c>
      <c r="B52" s="103" t="s">
        <v>200</v>
      </c>
      <c r="C52" s="104" t="s">
        <v>249</v>
      </c>
      <c r="D52" s="81" t="s">
        <v>1143</v>
      </c>
      <c r="E52" s="103" t="s">
        <v>1232</v>
      </c>
    </row>
    <row r="53" customFormat="false" ht="15" hidden="false" customHeight="false" outlineLevel="0" collapsed="false">
      <c r="A53" s="101" t="s">
        <v>1233</v>
      </c>
      <c r="B53" s="6" t="s">
        <v>200</v>
      </c>
      <c r="C53" s="5" t="s">
        <v>250</v>
      </c>
      <c r="D53" s="81" t="s">
        <v>1143</v>
      </c>
      <c r="E53" s="6" t="s">
        <v>1234</v>
      </c>
    </row>
    <row r="54" customFormat="false" ht="15" hidden="false" customHeight="false" outlineLevel="0" collapsed="false">
      <c r="A54" s="102" t="s">
        <v>1235</v>
      </c>
      <c r="B54" s="103" t="s">
        <v>200</v>
      </c>
      <c r="C54" s="104" t="s">
        <v>251</v>
      </c>
      <c r="D54" s="81" t="s">
        <v>1143</v>
      </c>
      <c r="E54" s="103" t="s">
        <v>1236</v>
      </c>
    </row>
    <row r="55" customFormat="false" ht="15" hidden="false" customHeight="false" outlineLevel="0" collapsed="false">
      <c r="A55" s="101" t="s">
        <v>1237</v>
      </c>
      <c r="B55" s="6" t="s">
        <v>200</v>
      </c>
      <c r="C55" s="5" t="s">
        <v>252</v>
      </c>
      <c r="D55" s="81" t="s">
        <v>1143</v>
      </c>
      <c r="E55" s="6" t="s">
        <v>1238</v>
      </c>
    </row>
    <row r="56" customFormat="false" ht="15" hidden="false" customHeight="false" outlineLevel="0" collapsed="false">
      <c r="A56" s="102" t="s">
        <v>1239</v>
      </c>
      <c r="B56" s="103" t="s">
        <v>201</v>
      </c>
      <c r="C56" s="104" t="s">
        <v>253</v>
      </c>
      <c r="D56" s="82" t="s">
        <v>1140</v>
      </c>
      <c r="E56" s="103" t="s">
        <v>1240</v>
      </c>
    </row>
    <row r="57" customFormat="false" ht="15" hidden="false" customHeight="false" outlineLevel="0" collapsed="false">
      <c r="A57" s="101" t="s">
        <v>1241</v>
      </c>
      <c r="B57" s="6" t="s">
        <v>201</v>
      </c>
      <c r="C57" s="5" t="s">
        <v>254</v>
      </c>
      <c r="D57" s="82" t="s">
        <v>1140</v>
      </c>
      <c r="E57" s="6" t="s">
        <v>1242</v>
      </c>
    </row>
    <row r="58" customFormat="false" ht="15" hidden="false" customHeight="false" outlineLevel="0" collapsed="false">
      <c r="A58" s="102" t="s">
        <v>1243</v>
      </c>
      <c r="B58" s="103" t="s">
        <v>201</v>
      </c>
      <c r="C58" s="104" t="s">
        <v>255</v>
      </c>
      <c r="D58" s="82" t="s">
        <v>1140</v>
      </c>
      <c r="E58" s="103" t="s">
        <v>1244</v>
      </c>
    </row>
    <row r="59" customFormat="false" ht="15" hidden="false" customHeight="false" outlineLevel="0" collapsed="false">
      <c r="A59" s="101" t="s">
        <v>1245</v>
      </c>
      <c r="B59" s="6" t="s">
        <v>201</v>
      </c>
      <c r="C59" s="5" t="s">
        <v>256</v>
      </c>
      <c r="D59" s="81" t="s">
        <v>1143</v>
      </c>
      <c r="E59" s="6" t="s">
        <v>1246</v>
      </c>
    </row>
    <row r="60" customFormat="false" ht="15" hidden="false" customHeight="false" outlineLevel="0" collapsed="false">
      <c r="A60" s="102" t="s">
        <v>1247</v>
      </c>
      <c r="B60" s="103" t="s">
        <v>201</v>
      </c>
      <c r="C60" s="104" t="s">
        <v>257</v>
      </c>
      <c r="D60" s="82" t="s">
        <v>1140</v>
      </c>
      <c r="E60" s="103" t="s">
        <v>1248</v>
      </c>
    </row>
    <row r="61" customFormat="false" ht="15" hidden="false" customHeight="false" outlineLevel="0" collapsed="false">
      <c r="A61" s="101" t="s">
        <v>1249</v>
      </c>
      <c r="B61" s="6" t="s">
        <v>201</v>
      </c>
      <c r="C61" s="5" t="s">
        <v>258</v>
      </c>
      <c r="D61" s="82" t="s">
        <v>1140</v>
      </c>
      <c r="E61" s="6" t="s">
        <v>1250</v>
      </c>
    </row>
    <row r="62" customFormat="false" ht="15" hidden="false" customHeight="false" outlineLevel="0" collapsed="false">
      <c r="A62" s="102" t="s">
        <v>1251</v>
      </c>
      <c r="B62" s="103" t="s">
        <v>201</v>
      </c>
      <c r="C62" s="104" t="s">
        <v>259</v>
      </c>
      <c r="D62" s="81" t="s">
        <v>1143</v>
      </c>
      <c r="E62" s="103" t="s">
        <v>1252</v>
      </c>
    </row>
    <row r="63" customFormat="false" ht="15" hidden="false" customHeight="false" outlineLevel="0" collapsed="false">
      <c r="A63" s="101" t="s">
        <v>1253</v>
      </c>
      <c r="B63" s="6" t="s">
        <v>201</v>
      </c>
      <c r="C63" s="5" t="s">
        <v>260</v>
      </c>
      <c r="D63" s="82" t="s">
        <v>1140</v>
      </c>
      <c r="E63" s="6" t="s">
        <v>1254</v>
      </c>
    </row>
    <row r="64" customFormat="false" ht="15" hidden="false" customHeight="false" outlineLevel="0" collapsed="false">
      <c r="A64" s="102" t="s">
        <v>1255</v>
      </c>
      <c r="B64" s="103" t="s">
        <v>201</v>
      </c>
      <c r="C64" s="104" t="s">
        <v>261</v>
      </c>
      <c r="D64" s="82" t="s">
        <v>1140</v>
      </c>
      <c r="E64" s="103" t="s">
        <v>1256</v>
      </c>
    </row>
    <row r="65" customFormat="false" ht="15" hidden="false" customHeight="false" outlineLevel="0" collapsed="false">
      <c r="A65" s="101" t="s">
        <v>1257</v>
      </c>
      <c r="B65" s="6" t="s">
        <v>201</v>
      </c>
      <c r="C65" s="5" t="s">
        <v>262</v>
      </c>
      <c r="D65" s="81" t="s">
        <v>1143</v>
      </c>
      <c r="E65" s="6" t="s">
        <v>1258</v>
      </c>
    </row>
    <row r="66" customFormat="false" ht="23.85" hidden="false" customHeight="false" outlineLevel="0" collapsed="false">
      <c r="A66" s="102" t="s">
        <v>1259</v>
      </c>
      <c r="B66" s="103" t="s">
        <v>201</v>
      </c>
      <c r="C66" s="104" t="s">
        <v>263</v>
      </c>
      <c r="D66" s="81" t="s">
        <v>1143</v>
      </c>
      <c r="E66" s="103" t="s">
        <v>1260</v>
      </c>
    </row>
    <row r="67" customFormat="false" ht="15" hidden="false" customHeight="false" outlineLevel="0" collapsed="false">
      <c r="A67" s="101" t="s">
        <v>1261</v>
      </c>
      <c r="B67" s="6" t="s">
        <v>201</v>
      </c>
      <c r="C67" s="5" t="s">
        <v>264</v>
      </c>
      <c r="D67" s="82" t="s">
        <v>1140</v>
      </c>
      <c r="E67" s="6" t="s">
        <v>1262</v>
      </c>
    </row>
    <row r="68" customFormat="false" ht="15" hidden="false" customHeight="false" outlineLevel="0" collapsed="false">
      <c r="A68" s="102" t="s">
        <v>1263</v>
      </c>
      <c r="B68" s="103" t="s">
        <v>201</v>
      </c>
      <c r="C68" s="104" t="s">
        <v>265</v>
      </c>
      <c r="D68" s="81" t="s">
        <v>1143</v>
      </c>
      <c r="E68" s="103" t="s">
        <v>1264</v>
      </c>
    </row>
    <row r="69" customFormat="false" ht="15" hidden="false" customHeight="false" outlineLevel="0" collapsed="false">
      <c r="A69" s="101" t="s">
        <v>1265</v>
      </c>
      <c r="B69" s="6" t="s">
        <v>201</v>
      </c>
      <c r="C69" s="5" t="s">
        <v>266</v>
      </c>
      <c r="D69" s="82" t="s">
        <v>1140</v>
      </c>
      <c r="E69" s="6" t="s">
        <v>1266</v>
      </c>
    </row>
    <row r="71" customFormat="false" ht="15" hidden="false" customHeight="false" outlineLevel="0" collapsed="false">
      <c r="A71" s="105" t="s">
        <v>1267</v>
      </c>
      <c r="B71" s="99"/>
      <c r="C71" s="99"/>
      <c r="D71" s="99"/>
      <c r="E71" s="99"/>
      <c r="F71" s="99"/>
      <c r="G71" s="99"/>
      <c r="H71" s="99"/>
    </row>
    <row r="72" customFormat="false" ht="15" hidden="false" customHeight="false" outlineLevel="0" collapsed="false">
      <c r="C72" s="104" t="s">
        <v>202</v>
      </c>
      <c r="E72" s="82" t="s">
        <v>351</v>
      </c>
    </row>
    <row r="73" customFormat="false" ht="15" hidden="false" customHeight="false" outlineLevel="0" collapsed="false">
      <c r="C73" s="5" t="s">
        <v>208</v>
      </c>
      <c r="E73" s="82" t="s">
        <v>1268</v>
      </c>
    </row>
    <row r="74" customFormat="false" ht="15" hidden="false" customHeight="false" outlineLevel="0" collapsed="false">
      <c r="C74" s="104" t="s">
        <v>209</v>
      </c>
      <c r="E74" s="82" t="s">
        <v>1269</v>
      </c>
    </row>
    <row r="75" customFormat="false" ht="15" hidden="false" customHeight="false" outlineLevel="0" collapsed="false">
      <c r="C75" s="5" t="s">
        <v>210</v>
      </c>
      <c r="E75" s="82" t="s">
        <v>1270</v>
      </c>
    </row>
    <row r="76" customFormat="false" ht="23.85" hidden="false" customHeight="false" outlineLevel="0" collapsed="false">
      <c r="C76" s="104" t="s">
        <v>1271</v>
      </c>
      <c r="E76" s="82" t="s">
        <v>1272</v>
      </c>
    </row>
    <row r="77" customFormat="false" ht="15" hidden="false" customHeight="false" outlineLevel="0" collapsed="false">
      <c r="C77" s="5" t="s">
        <v>213</v>
      </c>
      <c r="E77" s="82" t="s">
        <v>1273</v>
      </c>
    </row>
    <row r="78" customFormat="false" ht="15" hidden="false" customHeight="false" outlineLevel="0" collapsed="false">
      <c r="C78" s="104" t="s">
        <v>216</v>
      </c>
      <c r="E78" s="82" t="s">
        <v>1274</v>
      </c>
    </row>
    <row r="79" customFormat="false" ht="15" hidden="false" customHeight="false" outlineLevel="0" collapsed="false">
      <c r="C79" s="5" t="s">
        <v>217</v>
      </c>
      <c r="E79" s="82" t="s">
        <v>1275</v>
      </c>
    </row>
    <row r="80" customFormat="false" ht="15" hidden="false" customHeight="false" outlineLevel="0" collapsed="false">
      <c r="C80" s="104" t="s">
        <v>1276</v>
      </c>
      <c r="E80" s="82" t="s">
        <v>1277</v>
      </c>
    </row>
    <row r="81" customFormat="false" ht="15" hidden="false" customHeight="false" outlineLevel="0" collapsed="false">
      <c r="C81" s="5" t="s">
        <v>224</v>
      </c>
      <c r="E81" s="82" t="s">
        <v>169</v>
      </c>
    </row>
    <row r="82" customFormat="false" ht="23.85" hidden="false" customHeight="false" outlineLevel="0" collapsed="false">
      <c r="C82" s="104" t="s">
        <v>1278</v>
      </c>
      <c r="E82" s="82" t="s">
        <v>1279</v>
      </c>
    </row>
    <row r="83" customFormat="false" ht="15" hidden="false" customHeight="false" outlineLevel="0" collapsed="false">
      <c r="C83" s="5" t="s">
        <v>1280</v>
      </c>
      <c r="E83" s="82" t="s">
        <v>1281</v>
      </c>
    </row>
    <row r="84" customFormat="false" ht="15" hidden="false" customHeight="false" outlineLevel="0" collapsed="false">
      <c r="C84" s="104" t="s">
        <v>1282</v>
      </c>
      <c r="E84" s="82" t="s">
        <v>1283</v>
      </c>
    </row>
    <row r="85" customFormat="false" ht="15" hidden="false" customHeight="false" outlineLevel="0" collapsed="false">
      <c r="C85" s="5" t="s">
        <v>255</v>
      </c>
      <c r="E85" s="82" t="s">
        <v>1284</v>
      </c>
    </row>
    <row r="86" customFormat="false" ht="15" hidden="false" customHeight="false" outlineLevel="0" collapsed="false">
      <c r="C86" s="104" t="s">
        <v>258</v>
      </c>
      <c r="E86" s="8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80"/>
    <col collapsed="false" customWidth="true" hidden="false" outlineLevel="0" max="4" min="4" style="0" width="26"/>
    <col collapsed="false" customWidth="true" hidden="false" outlineLevel="0" max="5" min="5" style="0" width="16"/>
  </cols>
  <sheetData>
    <row r="1" customFormat="false" ht="30" hidden="false" customHeight="true" outlineLevel="0" collapsed="false">
      <c r="A1" s="106" t="s">
        <v>1285</v>
      </c>
      <c r="B1" s="107"/>
      <c r="C1" s="107"/>
      <c r="D1" s="107"/>
      <c r="E1" s="107"/>
      <c r="F1" s="107"/>
      <c r="G1" s="107"/>
      <c r="H1" s="107"/>
    </row>
    <row r="2" customFormat="false" ht="15" hidden="false" customHeight="false" outlineLevel="0" collapsed="false">
      <c r="A2" s="3" t="s">
        <v>1286</v>
      </c>
    </row>
    <row r="3" customFormat="false" ht="15" hidden="false" customHeight="false" outlineLevel="0" collapsed="false">
      <c r="A3" s="108" t="s">
        <v>1287</v>
      </c>
      <c r="B3" s="108"/>
      <c r="C3" s="82"/>
    </row>
    <row r="5" customFormat="false" ht="15" hidden="false" customHeight="false" outlineLevel="0" collapsed="false">
      <c r="A5" s="75" t="s">
        <v>1288</v>
      </c>
      <c r="B5" s="75" t="s">
        <v>1130</v>
      </c>
      <c r="C5" s="75" t="s">
        <v>1289</v>
      </c>
      <c r="D5" s="75" t="s">
        <v>1290</v>
      </c>
      <c r="E5" s="75" t="s">
        <v>1291</v>
      </c>
    </row>
    <row r="6" customFormat="false" ht="15" hidden="false" customHeight="false" outlineLevel="0" collapsed="false">
      <c r="A6" s="109" t="s">
        <v>1292</v>
      </c>
      <c r="B6" s="110" t="s">
        <v>1293</v>
      </c>
      <c r="C6" s="111" t="s">
        <v>1294</v>
      </c>
      <c r="D6" s="111" t="s">
        <v>1295</v>
      </c>
      <c r="E6" s="86"/>
    </row>
    <row r="7" customFormat="false" ht="15" hidden="false" customHeight="false" outlineLevel="0" collapsed="false">
      <c r="A7" s="109" t="s">
        <v>1296</v>
      </c>
      <c r="B7" s="110" t="s">
        <v>1293</v>
      </c>
      <c r="C7" s="6" t="s">
        <v>1297</v>
      </c>
      <c r="D7" s="6" t="s">
        <v>1298</v>
      </c>
      <c r="E7" s="86"/>
    </row>
    <row r="8" customFormat="false" ht="15" hidden="false" customHeight="false" outlineLevel="0" collapsed="false">
      <c r="A8" s="109" t="s">
        <v>688</v>
      </c>
      <c r="B8" s="110" t="s">
        <v>1293</v>
      </c>
      <c r="C8" s="111" t="s">
        <v>1299</v>
      </c>
      <c r="D8" s="111" t="s">
        <v>685</v>
      </c>
      <c r="E8" s="86"/>
    </row>
    <row r="9" customFormat="false" ht="15" hidden="false" customHeight="false" outlineLevel="0" collapsed="false">
      <c r="A9" s="109" t="s">
        <v>729</v>
      </c>
      <c r="B9" s="110" t="s">
        <v>1293</v>
      </c>
      <c r="C9" s="6" t="s">
        <v>1300</v>
      </c>
      <c r="D9" s="6" t="s">
        <v>1301</v>
      </c>
      <c r="E9" s="86"/>
    </row>
    <row r="10" customFormat="false" ht="15" hidden="false" customHeight="false" outlineLevel="0" collapsed="false">
      <c r="A10" s="109" t="s">
        <v>338</v>
      </c>
      <c r="B10" s="110" t="s">
        <v>1293</v>
      </c>
      <c r="C10" s="111" t="s">
        <v>1302</v>
      </c>
      <c r="D10" s="111" t="s">
        <v>1303</v>
      </c>
      <c r="E10" s="86"/>
    </row>
    <row r="11" customFormat="false" ht="23.85" hidden="false" customHeight="false" outlineLevel="0" collapsed="false">
      <c r="A11" s="109" t="s">
        <v>1304</v>
      </c>
      <c r="B11" s="110" t="s">
        <v>1293</v>
      </c>
      <c r="C11" s="6" t="s">
        <v>1305</v>
      </c>
      <c r="D11" s="6" t="s">
        <v>1306</v>
      </c>
      <c r="E11" s="86"/>
    </row>
    <row r="12" customFormat="false" ht="15" hidden="false" customHeight="false" outlineLevel="0" collapsed="false">
      <c r="A12" s="112" t="s">
        <v>1307</v>
      </c>
      <c r="B12" s="83" t="s">
        <v>1308</v>
      </c>
      <c r="C12" s="111" t="s">
        <v>1309</v>
      </c>
      <c r="D12" s="111" t="s">
        <v>1310</v>
      </c>
      <c r="E12" s="86"/>
    </row>
    <row r="13" customFormat="false" ht="15" hidden="false" customHeight="false" outlineLevel="0" collapsed="false">
      <c r="A13" s="112" t="s">
        <v>1311</v>
      </c>
      <c r="B13" s="83" t="s">
        <v>1308</v>
      </c>
      <c r="C13" s="6" t="s">
        <v>1312</v>
      </c>
      <c r="D13" s="6" t="s">
        <v>1313</v>
      </c>
      <c r="E13" s="86"/>
    </row>
    <row r="14" customFormat="false" ht="15" hidden="false" customHeight="false" outlineLevel="0" collapsed="false">
      <c r="A14" s="112" t="s">
        <v>1314</v>
      </c>
      <c r="B14" s="83" t="s">
        <v>1308</v>
      </c>
      <c r="C14" s="111" t="s">
        <v>1315</v>
      </c>
      <c r="D14" s="111" t="s">
        <v>1316</v>
      </c>
      <c r="E14" s="86"/>
    </row>
    <row r="15" customFormat="false" ht="15" hidden="false" customHeight="false" outlineLevel="0" collapsed="false">
      <c r="A15" s="112" t="s">
        <v>1317</v>
      </c>
      <c r="B15" s="83" t="s">
        <v>1308</v>
      </c>
      <c r="C15" s="6" t="s">
        <v>1318</v>
      </c>
      <c r="D15" s="6" t="s">
        <v>464</v>
      </c>
      <c r="E15" s="86"/>
    </row>
    <row r="16" customFormat="false" ht="15" hidden="false" customHeight="false" outlineLevel="0" collapsed="false">
      <c r="A16" s="112" t="s">
        <v>1319</v>
      </c>
      <c r="B16" s="83" t="s">
        <v>1308</v>
      </c>
      <c r="C16" s="111" t="s">
        <v>1320</v>
      </c>
      <c r="D16" s="111" t="s">
        <v>1321</v>
      </c>
      <c r="E16" s="86"/>
    </row>
    <row r="17" customFormat="false" ht="15" hidden="false" customHeight="false" outlineLevel="0" collapsed="false">
      <c r="A17" s="112" t="s">
        <v>423</v>
      </c>
      <c r="B17" s="83" t="s">
        <v>1308</v>
      </c>
      <c r="C17" s="6" t="s">
        <v>1322</v>
      </c>
      <c r="D17" s="6" t="s">
        <v>1323</v>
      </c>
      <c r="E17" s="86"/>
    </row>
    <row r="18" customFormat="false" ht="23.85" hidden="false" customHeight="false" outlineLevel="0" collapsed="false">
      <c r="A18" s="113" t="s">
        <v>546</v>
      </c>
      <c r="B18" s="114" t="s">
        <v>1324</v>
      </c>
      <c r="C18" s="111" t="s">
        <v>1325</v>
      </c>
      <c r="D18" s="111" t="s">
        <v>1326</v>
      </c>
      <c r="E18" s="86"/>
    </row>
    <row r="19" customFormat="false" ht="23.85" hidden="false" customHeight="false" outlineLevel="0" collapsed="false">
      <c r="A19" s="113" t="s">
        <v>1327</v>
      </c>
      <c r="B19" s="114" t="s">
        <v>1324</v>
      </c>
      <c r="C19" s="6" t="s">
        <v>1328</v>
      </c>
      <c r="D19" s="6" t="s">
        <v>1329</v>
      </c>
      <c r="E19" s="86"/>
    </row>
    <row r="20" customFormat="false" ht="23.85" hidden="false" customHeight="false" outlineLevel="0" collapsed="false">
      <c r="A20" s="113" t="s">
        <v>1330</v>
      </c>
      <c r="B20" s="114" t="s">
        <v>1324</v>
      </c>
      <c r="C20" s="111" t="s">
        <v>1331</v>
      </c>
      <c r="D20" s="111" t="s">
        <v>1332</v>
      </c>
      <c r="E20" s="86"/>
    </row>
    <row r="21" customFormat="false" ht="23.85" hidden="false" customHeight="false" outlineLevel="0" collapsed="false">
      <c r="A21" s="113" t="s">
        <v>1333</v>
      </c>
      <c r="B21" s="114" t="s">
        <v>1324</v>
      </c>
      <c r="C21" s="6" t="s">
        <v>1334</v>
      </c>
      <c r="D21" s="6" t="s">
        <v>1335</v>
      </c>
      <c r="E21" s="86"/>
    </row>
    <row r="22" customFormat="false" ht="23.85" hidden="false" customHeight="false" outlineLevel="0" collapsed="false">
      <c r="A22" s="113" t="s">
        <v>1336</v>
      </c>
      <c r="B22" s="114" t="s">
        <v>1324</v>
      </c>
      <c r="C22" s="111" t="s">
        <v>1337</v>
      </c>
      <c r="D22" s="111" t="s">
        <v>1338</v>
      </c>
      <c r="E22" s="86"/>
    </row>
    <row r="23" customFormat="false" ht="15" hidden="false" customHeight="false" outlineLevel="0" collapsed="false">
      <c r="A23" s="115" t="s">
        <v>1339</v>
      </c>
      <c r="B23" s="116" t="s">
        <v>1340</v>
      </c>
      <c r="C23" s="6" t="s">
        <v>1341</v>
      </c>
      <c r="D23" s="6" t="s">
        <v>583</v>
      </c>
      <c r="E23" s="86"/>
    </row>
    <row r="24" customFormat="false" ht="15" hidden="false" customHeight="false" outlineLevel="0" collapsed="false">
      <c r="A24" s="115" t="s">
        <v>487</v>
      </c>
      <c r="B24" s="116" t="s">
        <v>1340</v>
      </c>
      <c r="C24" s="111" t="s">
        <v>1342</v>
      </c>
      <c r="D24" s="111" t="s">
        <v>484</v>
      </c>
      <c r="E24" s="86"/>
    </row>
    <row r="25" customFormat="false" ht="15" hidden="false" customHeight="false" outlineLevel="0" collapsed="false">
      <c r="A25" s="115" t="s">
        <v>790</v>
      </c>
      <c r="B25" s="116" t="s">
        <v>1340</v>
      </c>
      <c r="C25" s="6" t="s">
        <v>1343</v>
      </c>
      <c r="D25" s="6" t="s">
        <v>787</v>
      </c>
      <c r="E25" s="86"/>
    </row>
    <row r="26" customFormat="false" ht="15" hidden="false" customHeight="false" outlineLevel="0" collapsed="false">
      <c r="A26" s="115" t="s">
        <v>810</v>
      </c>
      <c r="B26" s="116" t="s">
        <v>1340</v>
      </c>
      <c r="C26" s="111" t="s">
        <v>1344</v>
      </c>
      <c r="D26" s="111" t="s">
        <v>1345</v>
      </c>
      <c r="E26" s="86"/>
    </row>
    <row r="27" customFormat="false" ht="15" hidden="false" customHeight="false" outlineLevel="0" collapsed="false">
      <c r="A27" s="115" t="s">
        <v>1346</v>
      </c>
      <c r="B27" s="116" t="s">
        <v>1340</v>
      </c>
      <c r="C27" s="6" t="s">
        <v>1347</v>
      </c>
      <c r="D27" s="6" t="s">
        <v>525</v>
      </c>
      <c r="E27" s="86"/>
    </row>
    <row r="28" customFormat="false" ht="15" hidden="false" customHeight="false" outlineLevel="0" collapsed="false">
      <c r="A28" s="115" t="s">
        <v>295</v>
      </c>
      <c r="B28" s="116" t="s">
        <v>1340</v>
      </c>
      <c r="C28" s="111" t="s">
        <v>1348</v>
      </c>
      <c r="D28" s="111" t="s">
        <v>1349</v>
      </c>
      <c r="E28" s="86"/>
    </row>
    <row r="29" customFormat="false" ht="23.85" hidden="false" customHeight="false" outlineLevel="0" collapsed="false">
      <c r="A29" s="115" t="s">
        <v>447</v>
      </c>
      <c r="B29" s="116" t="s">
        <v>1340</v>
      </c>
      <c r="C29" s="6" t="s">
        <v>1350</v>
      </c>
      <c r="D29" s="6" t="s">
        <v>1351</v>
      </c>
      <c r="E29" s="86"/>
    </row>
    <row r="30" customFormat="false" ht="23.85" hidden="false" customHeight="false" outlineLevel="0" collapsed="false">
      <c r="A30" s="117" t="s">
        <v>847</v>
      </c>
      <c r="B30" s="82" t="s">
        <v>1352</v>
      </c>
      <c r="C30" s="111" t="s">
        <v>1353</v>
      </c>
      <c r="D30" s="111" t="s">
        <v>1354</v>
      </c>
      <c r="E30" s="86"/>
    </row>
    <row r="31" customFormat="false" ht="23.85" hidden="false" customHeight="false" outlineLevel="0" collapsed="false">
      <c r="A31" s="117" t="s">
        <v>943</v>
      </c>
      <c r="B31" s="82" t="s">
        <v>1352</v>
      </c>
      <c r="C31" s="6" t="s">
        <v>1355</v>
      </c>
      <c r="D31" s="6" t="s">
        <v>1356</v>
      </c>
      <c r="E31" s="86"/>
    </row>
    <row r="32" customFormat="false" ht="23.85" hidden="false" customHeight="false" outlineLevel="0" collapsed="false">
      <c r="A32" s="117" t="s">
        <v>882</v>
      </c>
      <c r="B32" s="82" t="s">
        <v>1352</v>
      </c>
      <c r="C32" s="111" t="s">
        <v>1357</v>
      </c>
      <c r="D32" s="111" t="s">
        <v>879</v>
      </c>
      <c r="E32" s="86"/>
    </row>
    <row r="33" customFormat="false" ht="23.85" hidden="false" customHeight="false" outlineLevel="0" collapsed="false">
      <c r="A33" s="117" t="s">
        <v>899</v>
      </c>
      <c r="B33" s="82" t="s">
        <v>1352</v>
      </c>
      <c r="C33" s="6" t="s">
        <v>1358</v>
      </c>
      <c r="D33" s="6" t="s">
        <v>896</v>
      </c>
      <c r="E33" s="86"/>
    </row>
    <row r="34" customFormat="false" ht="23.85" hidden="false" customHeight="false" outlineLevel="0" collapsed="false">
      <c r="A34" s="117" t="s">
        <v>915</v>
      </c>
      <c r="B34" s="82" t="s">
        <v>1352</v>
      </c>
      <c r="C34" s="111" t="s">
        <v>1359</v>
      </c>
      <c r="D34" s="111" t="s">
        <v>1360</v>
      </c>
      <c r="E34" s="86"/>
    </row>
    <row r="35" customFormat="false" ht="23.85" hidden="false" customHeight="false" outlineLevel="0" collapsed="false">
      <c r="A35" s="117" t="s">
        <v>960</v>
      </c>
      <c r="B35" s="82" t="s">
        <v>1352</v>
      </c>
      <c r="C35" s="6" t="s">
        <v>1361</v>
      </c>
      <c r="D35" s="6" t="s">
        <v>1362</v>
      </c>
      <c r="E35" s="86"/>
    </row>
    <row r="36" customFormat="false" ht="23.85" hidden="false" customHeight="false" outlineLevel="0" collapsed="false">
      <c r="A36" s="117" t="s">
        <v>989</v>
      </c>
      <c r="B36" s="82" t="s">
        <v>1352</v>
      </c>
      <c r="C36" s="111" t="s">
        <v>1363</v>
      </c>
      <c r="D36" s="111" t="s">
        <v>986</v>
      </c>
      <c r="E36" s="86"/>
    </row>
    <row r="37" customFormat="false" ht="23.85" hidden="false" customHeight="false" outlineLevel="0" collapsed="false">
      <c r="A37" s="117" t="s">
        <v>1004</v>
      </c>
      <c r="B37" s="82" t="s">
        <v>1352</v>
      </c>
      <c r="C37" s="6" t="s">
        <v>1364</v>
      </c>
      <c r="D37" s="6" t="s">
        <v>1365</v>
      </c>
      <c r="E37" s="86"/>
    </row>
    <row r="38" customFormat="false" ht="23.85" hidden="false" customHeight="false" outlineLevel="0" collapsed="false">
      <c r="A38" s="117" t="s">
        <v>1034</v>
      </c>
      <c r="B38" s="82" t="s">
        <v>1352</v>
      </c>
      <c r="C38" s="111" t="s">
        <v>1366</v>
      </c>
      <c r="D38" s="111" t="s">
        <v>1031</v>
      </c>
      <c r="E38" s="86"/>
    </row>
    <row r="39" customFormat="false" ht="23.85" hidden="false" customHeight="false" outlineLevel="0" collapsed="false">
      <c r="A39" s="117" t="s">
        <v>1051</v>
      </c>
      <c r="B39" s="82" t="s">
        <v>1352</v>
      </c>
      <c r="C39" s="6" t="s">
        <v>1367</v>
      </c>
      <c r="D39" s="6" t="s">
        <v>1048</v>
      </c>
      <c r="E39" s="86"/>
    </row>
    <row r="40" customFormat="false" ht="23.85" hidden="false" customHeight="false" outlineLevel="0" collapsed="false">
      <c r="A40" s="117" t="s">
        <v>1065</v>
      </c>
      <c r="B40" s="82" t="s">
        <v>1352</v>
      </c>
      <c r="C40" s="111" t="s">
        <v>1368</v>
      </c>
      <c r="D40" s="111" t="s">
        <v>1062</v>
      </c>
      <c r="E40" s="86"/>
    </row>
    <row r="41" customFormat="false" ht="23.85" hidden="false" customHeight="false" outlineLevel="0" collapsed="false">
      <c r="A41" s="117" t="s">
        <v>1095</v>
      </c>
      <c r="B41" s="82" t="s">
        <v>1352</v>
      </c>
      <c r="C41" s="6" t="s">
        <v>1369</v>
      </c>
      <c r="D41" s="6" t="s">
        <v>1370</v>
      </c>
      <c r="E41" s="86"/>
    </row>
    <row r="43" customFormat="false" ht="15" hidden="false" customHeight="false" outlineLevel="0" collapsed="false">
      <c r="A43" s="108" t="s">
        <v>1371</v>
      </c>
      <c r="B43" s="108"/>
      <c r="C43" s="47" t="str">
        <f aca="false">IF(OR(E18="Yes",E20="Yes",E21="Yes",AND(E13="Yes",E19="Yes")),"Yes: run a full impact assessment under AI-CTRL-042 before go-live",IF(COUNTA(E6:E41)=0,"Answer the questions above","No (by the wiki's thresholds)"))</f>
        <v>Answer the questions above</v>
      </c>
    </row>
    <row r="44" customFormat="false" ht="23.85" hidden="false" customHeight="false" outlineLevel="0" collapsed="false">
      <c r="C44" s="111" t="s">
        <v>1372</v>
      </c>
    </row>
    <row r="45" customFormat="false" ht="15" hidden="false" customHeight="false" outlineLevel="0" collapsed="false">
      <c r="A45" s="108" t="s">
        <v>1373</v>
      </c>
      <c r="B45" s="108"/>
      <c r="C45" s="81" t="str">
        <f aca="false">COUNTA(E6:E41)&amp;" of 36"</f>
        <v>0 of 36</v>
      </c>
    </row>
    <row r="46" customFormat="false" ht="15" hidden="false" customHeight="false" outlineLevel="0" collapsed="false">
      <c r="A46" s="108" t="s">
        <v>1374</v>
      </c>
      <c r="B46" s="108"/>
      <c r="C46" s="81" t="str">
        <f aca="false">COUNTIF('AI Risk Register'!N5:N50,"Applies")&amp;" of 46 register risks"</f>
        <v>0 of 46 register risks</v>
      </c>
    </row>
  </sheetData>
  <mergeCells count="4">
    <mergeCell ref="A3:B3"/>
    <mergeCell ref="A43:B43"/>
    <mergeCell ref="A45:B45"/>
    <mergeCell ref="A46:B46"/>
  </mergeCells>
  <conditionalFormatting sqref="E6:E41">
    <cfRule type="cellIs" priority="2" operator="equal" aboveAverage="0" equalAverage="0" bottom="0" percent="0" rank="0" text="" dxfId="53">
      <formula>"Yes"</formula>
    </cfRule>
    <cfRule type="cellIs" priority="3" operator="equal" aboveAverage="0" equalAverage="0" bottom="0" percent="0" rank="0" text="" dxfId="47">
      <formula>"No"</formula>
    </cfRule>
  </conditionalFormatting>
  <dataValidations count="1">
    <dataValidation allowBlank="false" errorStyle="stop" operator="between" showDropDown="false" showErrorMessage="false" showInputMessage="false" sqref="E6:E41" type="list">
      <formula1>Lists!$J$2:$J$3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E8C"/>
    <pageSetUpPr fitToPage="fals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60"/>
    <col collapsed="false" customWidth="true" hidden="false" outlineLevel="0" max="3" min="3" style="0" width="50"/>
  </cols>
  <sheetData>
    <row r="1" customFormat="false" ht="30" hidden="false" customHeight="true" outlineLevel="0" collapsed="false">
      <c r="A1" s="118" t="s">
        <v>1375</v>
      </c>
      <c r="B1" s="119"/>
      <c r="C1" s="119"/>
      <c r="D1" s="119"/>
      <c r="E1" s="119"/>
      <c r="F1" s="119"/>
      <c r="G1" s="119"/>
      <c r="H1" s="119"/>
    </row>
    <row r="2" customFormat="false" ht="15" hidden="false" customHeight="false" outlineLevel="0" collapsed="false">
      <c r="A2" s="3" t="s">
        <v>1376</v>
      </c>
    </row>
    <row r="4" customFormat="false" ht="15" hidden="false" customHeight="false" outlineLevel="0" collapsed="false">
      <c r="A4" s="120" t="s">
        <v>1377</v>
      </c>
      <c r="B4" s="119"/>
      <c r="C4" s="119"/>
      <c r="D4" s="119"/>
      <c r="E4" s="119"/>
      <c r="F4" s="119"/>
      <c r="G4" s="119"/>
      <c r="H4" s="119"/>
    </row>
    <row r="5" customFormat="false" ht="15" hidden="false" customHeight="false" outlineLevel="0" collapsed="false">
      <c r="A5" s="6" t="s">
        <v>1378</v>
      </c>
      <c r="B5" s="6" t="s">
        <v>1379</v>
      </c>
    </row>
    <row r="6" customFormat="false" ht="23.85" hidden="false" customHeight="false" outlineLevel="0" collapsed="false">
      <c r="A6" s="121" t="s">
        <v>145</v>
      </c>
      <c r="B6" s="121" t="s">
        <v>1380</v>
      </c>
    </row>
    <row r="7" customFormat="false" ht="35.05" hidden="false" customHeight="false" outlineLevel="0" collapsed="false">
      <c r="A7" s="6" t="s">
        <v>1381</v>
      </c>
      <c r="B7" s="6" t="s">
        <v>1382</v>
      </c>
    </row>
    <row r="8" customFormat="false" ht="46.25" hidden="false" customHeight="false" outlineLevel="0" collapsed="false">
      <c r="A8" s="121" t="s">
        <v>1383</v>
      </c>
      <c r="B8" s="121" t="s">
        <v>1384</v>
      </c>
    </row>
    <row r="10" customFormat="false" ht="15" hidden="false" customHeight="false" outlineLevel="0" collapsed="false">
      <c r="A10" s="120" t="s">
        <v>1385</v>
      </c>
      <c r="B10" s="119"/>
      <c r="C10" s="119"/>
      <c r="D10" s="119"/>
      <c r="E10" s="119"/>
      <c r="F10" s="119"/>
      <c r="G10" s="119"/>
      <c r="H10" s="119"/>
    </row>
    <row r="11" customFormat="false" ht="15" hidden="false" customHeight="false" outlineLevel="0" collapsed="false">
      <c r="A11" s="77" t="s">
        <v>1386</v>
      </c>
      <c r="B11" s="77" t="s">
        <v>1387</v>
      </c>
    </row>
    <row r="12" customFormat="false" ht="23.85" hidden="false" customHeight="false" outlineLevel="0" collapsed="false">
      <c r="A12" s="121" t="s">
        <v>1388</v>
      </c>
      <c r="B12" s="121" t="s">
        <v>1389</v>
      </c>
    </row>
    <row r="13" customFormat="false" ht="23.85" hidden="false" customHeight="false" outlineLevel="0" collapsed="false">
      <c r="A13" s="6" t="s">
        <v>1390</v>
      </c>
      <c r="B13" s="6" t="s">
        <v>1391</v>
      </c>
    </row>
    <row r="14" customFormat="false" ht="23.85" hidden="false" customHeight="false" outlineLevel="0" collapsed="false">
      <c r="A14" s="121" t="s">
        <v>217</v>
      </c>
      <c r="B14" s="121" t="s">
        <v>1392</v>
      </c>
    </row>
    <row r="15" customFormat="false" ht="15" hidden="false" customHeight="false" outlineLevel="0" collapsed="false">
      <c r="A15" s="6" t="s">
        <v>1393</v>
      </c>
      <c r="B15" s="6" t="s">
        <v>1394</v>
      </c>
    </row>
    <row r="16" customFormat="false" ht="23.85" hidden="false" customHeight="false" outlineLevel="0" collapsed="false">
      <c r="A16" s="121" t="s">
        <v>1395</v>
      </c>
      <c r="B16" s="121" t="s">
        <v>1396</v>
      </c>
    </row>
    <row r="18" customFormat="false" ht="15" hidden="false" customHeight="false" outlineLevel="0" collapsed="false">
      <c r="A18" s="120" t="s">
        <v>1397</v>
      </c>
      <c r="B18" s="119"/>
      <c r="C18" s="119"/>
      <c r="D18" s="119"/>
      <c r="E18" s="119"/>
      <c r="F18" s="119"/>
      <c r="G18" s="119"/>
      <c r="H18" s="119"/>
    </row>
    <row r="19" customFormat="false" ht="15" hidden="false" customHeight="false" outlineLevel="0" collapsed="false">
      <c r="A19" s="77" t="s">
        <v>145</v>
      </c>
      <c r="B19" s="77" t="s">
        <v>1387</v>
      </c>
    </row>
    <row r="20" customFormat="false" ht="15" hidden="false" customHeight="false" outlineLevel="0" collapsed="false">
      <c r="A20" s="121" t="s">
        <v>156</v>
      </c>
      <c r="B20" s="121" t="s">
        <v>1398</v>
      </c>
    </row>
    <row r="21" customFormat="false" ht="23.85" hidden="false" customHeight="false" outlineLevel="0" collapsed="false">
      <c r="A21" s="6" t="s">
        <v>154</v>
      </c>
      <c r="B21" s="6" t="s">
        <v>1399</v>
      </c>
    </row>
    <row r="22" customFormat="false" ht="23.85" hidden="false" customHeight="false" outlineLevel="0" collapsed="false">
      <c r="A22" s="121" t="s">
        <v>152</v>
      </c>
      <c r="B22" s="121" t="s">
        <v>1400</v>
      </c>
    </row>
    <row r="23" customFormat="false" ht="23.85" hidden="false" customHeight="false" outlineLevel="0" collapsed="false">
      <c r="A23" s="6" t="s">
        <v>150</v>
      </c>
      <c r="B23" s="6" t="s">
        <v>1401</v>
      </c>
    </row>
    <row r="25" customFormat="false" ht="15" hidden="false" customHeight="false" outlineLevel="0" collapsed="false">
      <c r="A25" s="120" t="s">
        <v>1402</v>
      </c>
      <c r="B25" s="119"/>
      <c r="C25" s="119"/>
      <c r="D25" s="119"/>
      <c r="E25" s="119"/>
      <c r="F25" s="119"/>
      <c r="G25" s="119"/>
      <c r="H25" s="119"/>
    </row>
    <row r="26" customFormat="false" ht="35.05" hidden="false" customHeight="false" outlineLevel="0" collapsed="false">
      <c r="A26" s="121" t="s">
        <v>1403</v>
      </c>
      <c r="B26" s="121" t="s">
        <v>1404</v>
      </c>
    </row>
    <row r="27" customFormat="false" ht="23.85" hidden="false" customHeight="false" outlineLevel="0" collapsed="false">
      <c r="A27" s="6" t="s">
        <v>1405</v>
      </c>
      <c r="B27" s="6" t="s">
        <v>1406</v>
      </c>
    </row>
    <row r="28" customFormat="false" ht="23.85" hidden="false" customHeight="false" outlineLevel="0" collapsed="false">
      <c r="A28" s="121" t="s">
        <v>1407</v>
      </c>
      <c r="B28" s="121" t="s">
        <v>1408</v>
      </c>
    </row>
    <row r="29" customFormat="false" ht="23.85" hidden="false" customHeight="false" outlineLevel="0" collapsed="false">
      <c r="A29" s="6" t="s">
        <v>1409</v>
      </c>
      <c r="B29" s="6" t="s">
        <v>1410</v>
      </c>
    </row>
    <row r="30" customFormat="false" ht="23.85" hidden="false" customHeight="false" outlineLevel="0" collapsed="false">
      <c r="A30" s="121" t="s">
        <v>1411</v>
      </c>
      <c r="B30" s="121" t="s">
        <v>1412</v>
      </c>
    </row>
    <row r="31" customFormat="false" ht="46.25" hidden="false" customHeight="false" outlineLevel="0" collapsed="false">
      <c r="A31" s="6" t="s">
        <v>1413</v>
      </c>
      <c r="B31" s="6" t="s">
        <v>1414</v>
      </c>
    </row>
    <row r="32" customFormat="false" ht="23.85" hidden="false" customHeight="false" outlineLevel="0" collapsed="false">
      <c r="A32" s="121" t="s">
        <v>1415</v>
      </c>
      <c r="B32" s="121" t="s">
        <v>1416</v>
      </c>
    </row>
    <row r="34" customFormat="false" ht="15" hidden="false" customHeight="false" outlineLevel="0" collapsed="false">
      <c r="A34" s="120" t="s">
        <v>1417</v>
      </c>
      <c r="B34" s="119"/>
      <c r="C34" s="119"/>
      <c r="D34" s="119"/>
      <c r="E34" s="119"/>
      <c r="F34" s="119"/>
      <c r="G34" s="119"/>
      <c r="H34" s="119"/>
    </row>
    <row r="35" customFormat="false" ht="15" hidden="false" customHeight="false" outlineLevel="0" collapsed="false">
      <c r="A35" s="77" t="s">
        <v>1418</v>
      </c>
      <c r="B35" s="77" t="s">
        <v>1419</v>
      </c>
      <c r="C35" s="77" t="s">
        <v>1420</v>
      </c>
    </row>
    <row r="36" customFormat="false" ht="15" hidden="false" customHeight="false" outlineLevel="0" collapsed="false">
      <c r="A36" s="121" t="s">
        <v>169</v>
      </c>
      <c r="B36" s="121" t="s">
        <v>1421</v>
      </c>
      <c r="C36" s="121" t="s">
        <v>1422</v>
      </c>
    </row>
    <row r="37" customFormat="false" ht="15" hidden="false" customHeight="false" outlineLevel="0" collapsed="false">
      <c r="A37" s="6" t="s">
        <v>171</v>
      </c>
      <c r="B37" s="6" t="s">
        <v>1423</v>
      </c>
      <c r="C37" s="6" t="s">
        <v>1424</v>
      </c>
    </row>
    <row r="38" customFormat="false" ht="15" hidden="false" customHeight="false" outlineLevel="0" collapsed="false">
      <c r="A38" s="121" t="s">
        <v>172</v>
      </c>
      <c r="B38" s="121" t="s">
        <v>1425</v>
      </c>
      <c r="C38" s="121" t="s">
        <v>1426</v>
      </c>
    </row>
    <row r="39" customFormat="false" ht="15" hidden="false" customHeight="false" outlineLevel="0" collapsed="false">
      <c r="A39" s="6" t="s">
        <v>174</v>
      </c>
      <c r="B39" s="6" t="s">
        <v>1427</v>
      </c>
      <c r="C39" s="6" t="s">
        <v>1428</v>
      </c>
    </row>
    <row r="41" customFormat="false" ht="15" hidden="false" customHeight="false" outlineLevel="0" collapsed="false">
      <c r="A41" s="120" t="s">
        <v>1429</v>
      </c>
      <c r="B41" s="119"/>
      <c r="C41" s="119"/>
      <c r="D41" s="119"/>
      <c r="E41" s="119"/>
      <c r="F41" s="119"/>
      <c r="G41" s="119"/>
      <c r="H41" s="119"/>
    </row>
    <row r="42" customFormat="false" ht="23.85" hidden="false" customHeight="false" outlineLevel="0" collapsed="false">
      <c r="A42" s="121" t="s">
        <v>1430</v>
      </c>
      <c r="B42" s="121" t="s">
        <v>1431</v>
      </c>
    </row>
    <row r="44" customFormat="false" ht="15" hidden="false" customHeight="false" outlineLevel="0" collapsed="false">
      <c r="A44" s="120" t="s">
        <v>1432</v>
      </c>
      <c r="B44" s="119"/>
      <c r="C44" s="119"/>
      <c r="D44" s="119"/>
      <c r="E44" s="119"/>
      <c r="F44" s="119"/>
      <c r="G44" s="119"/>
      <c r="H44" s="119"/>
    </row>
    <row r="45" customFormat="false" ht="15" hidden="false" customHeight="false" outlineLevel="0" collapsed="false">
      <c r="A45" s="77" t="s">
        <v>1433</v>
      </c>
      <c r="B45" s="77" t="s">
        <v>1434</v>
      </c>
      <c r="C45" s="77" t="s">
        <v>1435</v>
      </c>
    </row>
    <row r="46" customFormat="false" ht="23.85" hidden="false" customHeight="false" outlineLevel="0" collapsed="false">
      <c r="A46" s="121" t="s">
        <v>1436</v>
      </c>
      <c r="B46" s="121" t="s">
        <v>1437</v>
      </c>
      <c r="C46" s="121" t="s">
        <v>1438</v>
      </c>
    </row>
    <row r="47" customFormat="false" ht="23.85" hidden="false" customHeight="false" outlineLevel="0" collapsed="false">
      <c r="A47" s="6" t="s">
        <v>1439</v>
      </c>
      <c r="B47" s="6" t="s">
        <v>1440</v>
      </c>
      <c r="C47" s="6" t="s">
        <v>1441</v>
      </c>
    </row>
    <row r="48" customFormat="false" ht="15" hidden="false" customHeight="false" outlineLevel="0" collapsed="false">
      <c r="A48" s="121" t="s">
        <v>1442</v>
      </c>
      <c r="B48" s="121" t="s">
        <v>1443</v>
      </c>
      <c r="C48" s="121" t="s">
        <v>1444</v>
      </c>
    </row>
    <row r="49" customFormat="false" ht="15" hidden="false" customHeight="false" outlineLevel="0" collapsed="false">
      <c r="A49" s="6" t="s">
        <v>1445</v>
      </c>
      <c r="B49" s="6" t="s">
        <v>1446</v>
      </c>
      <c r="C49" s="6" t="s">
        <v>1447</v>
      </c>
    </row>
    <row r="50" customFormat="false" ht="15" hidden="false" customHeight="false" outlineLevel="0" collapsed="false">
      <c r="A50" s="121" t="s">
        <v>1448</v>
      </c>
      <c r="B50" s="121" t="s">
        <v>1449</v>
      </c>
      <c r="C50" s="121" t="s">
        <v>1450</v>
      </c>
    </row>
    <row r="52" customFormat="false" ht="15" hidden="false" customHeight="false" outlineLevel="0" collapsed="false">
      <c r="A52" s="120" t="s">
        <v>1451</v>
      </c>
      <c r="B52" s="119"/>
      <c r="C52" s="119"/>
      <c r="D52" s="119"/>
      <c r="E52" s="119"/>
      <c r="F52" s="119"/>
      <c r="G52" s="119"/>
      <c r="H52" s="119"/>
    </row>
    <row r="53" customFormat="false" ht="15" hidden="false" customHeight="false" outlineLevel="0" collapsed="false">
      <c r="A53" s="6" t="s">
        <v>1452</v>
      </c>
      <c r="B53" s="6"/>
    </row>
    <row r="54" customFormat="false" ht="23.85" hidden="false" customHeight="false" outlineLevel="0" collapsed="false">
      <c r="A54" s="121" t="s">
        <v>1453</v>
      </c>
      <c r="B54" s="121"/>
    </row>
    <row r="55" customFormat="false" ht="15" hidden="false" customHeight="false" outlineLevel="0" collapsed="false">
      <c r="A55" s="6" t="s">
        <v>1454</v>
      </c>
      <c r="B55" s="6"/>
    </row>
    <row r="56" customFormat="false" ht="15" hidden="false" customHeight="false" outlineLevel="0" collapsed="false">
      <c r="A56" s="121" t="s">
        <v>1455</v>
      </c>
      <c r="B56" s="121"/>
    </row>
    <row r="57" customFormat="false" ht="23.85" hidden="false" customHeight="false" outlineLevel="0" collapsed="false">
      <c r="A57" s="6" t="s">
        <v>1456</v>
      </c>
      <c r="B57" s="6"/>
    </row>
    <row r="58" customFormat="false" ht="23.85" hidden="false" customHeight="false" outlineLevel="0" collapsed="false">
      <c r="A58" s="121" t="s">
        <v>1457</v>
      </c>
      <c r="B58" s="121"/>
    </row>
    <row r="59" customFormat="false" ht="57.45" hidden="false" customHeight="false" outlineLevel="0" collapsed="false">
      <c r="A59" s="6" t="s">
        <v>1458</v>
      </c>
      <c r="B59" s="6"/>
    </row>
    <row r="60" customFormat="false" ht="35.05" hidden="false" customHeight="false" outlineLevel="0" collapsed="false">
      <c r="A60" s="121" t="s">
        <v>1459</v>
      </c>
      <c r="B60" s="121"/>
    </row>
    <row r="61" customFormat="false" ht="23.85" hidden="false" customHeight="false" outlineLevel="0" collapsed="false">
      <c r="A61" s="6" t="s">
        <v>1460</v>
      </c>
      <c r="B61" s="6"/>
    </row>
    <row r="62" customFormat="false" ht="35.05" hidden="false" customHeight="false" outlineLevel="0" collapsed="false">
      <c r="A62" s="121" t="s">
        <v>1461</v>
      </c>
      <c r="B62" s="121"/>
    </row>
    <row r="64" customFormat="false" ht="15" hidden="false" customHeight="false" outlineLevel="0" collapsed="false">
      <c r="A64" s="120" t="s">
        <v>1462</v>
      </c>
      <c r="B64" s="119"/>
      <c r="C64" s="119"/>
      <c r="D64" s="119"/>
      <c r="E64" s="119"/>
      <c r="F64" s="119"/>
      <c r="G64" s="119"/>
      <c r="H64" s="119"/>
    </row>
    <row r="65" customFormat="false" ht="35.05" hidden="false" customHeight="false" outlineLevel="0" collapsed="false">
      <c r="A65" s="6" t="s">
        <v>1463</v>
      </c>
      <c r="B65" s="6" t="s">
        <v>1464</v>
      </c>
    </row>
    <row r="66" customFormat="false" ht="23.85" hidden="false" customHeight="false" outlineLevel="0" collapsed="false">
      <c r="A66" s="121" t="s">
        <v>1465</v>
      </c>
      <c r="B66" s="121" t="s">
        <v>1466</v>
      </c>
    </row>
    <row r="68" customFormat="false" ht="15" hidden="false" customHeight="false" outlineLevel="0" collapsed="false">
      <c r="A68" s="120" t="s">
        <v>1467</v>
      </c>
      <c r="B68" s="119"/>
      <c r="C68" s="119"/>
      <c r="D68" s="119"/>
      <c r="E68" s="119"/>
      <c r="F68" s="119"/>
      <c r="G68" s="119"/>
      <c r="H68" s="119"/>
    </row>
    <row r="69" customFormat="false" ht="15" hidden="false" customHeight="false" outlineLevel="0" collapsed="false">
      <c r="A69" s="77" t="s">
        <v>1468</v>
      </c>
      <c r="B69" s="77" t="s">
        <v>1469</v>
      </c>
    </row>
    <row r="70" customFormat="false" ht="15" hidden="false" customHeight="false" outlineLevel="0" collapsed="false">
      <c r="A70" s="121" t="s">
        <v>1470</v>
      </c>
      <c r="B70" s="121" t="s">
        <v>1471</v>
      </c>
    </row>
    <row r="71" customFormat="false" ht="23.85" hidden="false" customHeight="false" outlineLevel="0" collapsed="false">
      <c r="A71" s="6" t="s">
        <v>1472</v>
      </c>
      <c r="B71" s="6" t="s">
        <v>1473</v>
      </c>
    </row>
    <row r="72" customFormat="false" ht="15" hidden="false" customHeight="false" outlineLevel="0" collapsed="false">
      <c r="A72" s="121" t="s">
        <v>1474</v>
      </c>
      <c r="B72" s="121" t="s">
        <v>1475</v>
      </c>
    </row>
    <row r="73" customFormat="false" ht="23.85" hidden="false" customHeight="false" outlineLevel="0" collapsed="false">
      <c r="A73" s="6" t="s">
        <v>1476</v>
      </c>
      <c r="B73" s="6" t="s">
        <v>1477</v>
      </c>
    </row>
    <row r="74" customFormat="false" ht="15" hidden="false" customHeight="false" outlineLevel="0" collapsed="false">
      <c r="A74" s="121" t="s">
        <v>1478</v>
      </c>
      <c r="B74" s="121" t="s">
        <v>1479</v>
      </c>
    </row>
    <row r="75" customFormat="false" ht="15" hidden="false" customHeight="false" outlineLevel="0" collapsed="false">
      <c r="A75" s="6" t="s">
        <v>1480</v>
      </c>
      <c r="B75" s="6" t="s">
        <v>1481</v>
      </c>
    </row>
    <row r="76" customFormat="false" ht="23.85" hidden="false" customHeight="false" outlineLevel="0" collapsed="false">
      <c r="A76" s="121" t="s">
        <v>1482</v>
      </c>
      <c r="B76" s="121" t="s">
        <v>1483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70"/>
    <col collapsed="false" customWidth="true" hidden="false" outlineLevel="0" max="4" min="4" style="0" width="10"/>
    <col collapsed="false" customWidth="true" hidden="false" outlineLevel="0" max="6" min="5" style="0" width="18"/>
    <col collapsed="false" customWidth="true" hidden="false" outlineLevel="0" max="7" min="7" style="0" width="42"/>
    <col collapsed="false" customWidth="true" hidden="false" outlineLevel="0" max="8" min="8" style="0" width="18"/>
    <col collapsed="false" customWidth="true" hidden="false" outlineLevel="0" max="9" min="9" style="0" width="50"/>
  </cols>
  <sheetData>
    <row r="1" customFormat="false" ht="30" hidden="false" customHeight="true" outlineLevel="0" collapsed="false">
      <c r="A1" s="122" t="s">
        <v>1484</v>
      </c>
      <c r="B1" s="123"/>
      <c r="C1" s="123"/>
      <c r="D1" s="123"/>
      <c r="E1" s="123"/>
      <c r="F1" s="123"/>
      <c r="G1" s="123"/>
      <c r="H1" s="123"/>
      <c r="I1" s="123"/>
    </row>
    <row r="2" customFormat="false" ht="15" hidden="false" customHeight="false" outlineLevel="0" collapsed="false">
      <c r="A2" s="3" t="s">
        <v>1485</v>
      </c>
    </row>
    <row r="4" customFormat="false" ht="15" hidden="false" customHeight="false" outlineLevel="0" collapsed="false">
      <c r="A4" s="124" t="s">
        <v>1486</v>
      </c>
    </row>
    <row r="5" customFormat="false" ht="15" hidden="false" customHeight="false" outlineLevel="0" collapsed="false">
      <c r="A5" s="76" t="s">
        <v>1378</v>
      </c>
      <c r="B5" s="76" t="s">
        <v>1487</v>
      </c>
      <c r="C5" s="76" t="s">
        <v>1488</v>
      </c>
    </row>
    <row r="6" customFormat="false" ht="23.85" hidden="false" customHeight="false" outlineLevel="0" collapsed="false">
      <c r="A6" s="125" t="n">
        <v>1</v>
      </c>
      <c r="B6" s="126" t="s">
        <v>156</v>
      </c>
      <c r="C6" s="114" t="s">
        <v>1489</v>
      </c>
    </row>
    <row r="7" customFormat="false" ht="15" hidden="false" customHeight="false" outlineLevel="0" collapsed="false">
      <c r="A7" s="101" t="n">
        <v>2</v>
      </c>
      <c r="B7" s="127" t="s">
        <v>154</v>
      </c>
      <c r="C7" s="114" t="s">
        <v>1490</v>
      </c>
    </row>
    <row r="8" customFormat="false" ht="23.85" hidden="false" customHeight="false" outlineLevel="0" collapsed="false">
      <c r="A8" s="125" t="n">
        <v>3</v>
      </c>
      <c r="B8" s="62" t="s">
        <v>152</v>
      </c>
      <c r="C8" s="114" t="s">
        <v>1491</v>
      </c>
    </row>
    <row r="9" customFormat="false" ht="23.85" hidden="false" customHeight="false" outlineLevel="0" collapsed="false">
      <c r="A9" s="101" t="n">
        <v>4</v>
      </c>
      <c r="B9" s="128" t="s">
        <v>1492</v>
      </c>
      <c r="C9" s="114" t="s">
        <v>1493</v>
      </c>
    </row>
    <row r="11" customFormat="false" ht="15" hidden="false" customHeight="false" outlineLevel="0" collapsed="false">
      <c r="A11" s="124" t="s">
        <v>1494</v>
      </c>
    </row>
    <row r="12" customFormat="false" ht="15" hidden="false" customHeight="false" outlineLevel="0" collapsed="false">
      <c r="A12" s="76" t="s">
        <v>1378</v>
      </c>
      <c r="B12" s="76" t="s">
        <v>1487</v>
      </c>
      <c r="C12" s="76" t="s">
        <v>1495</v>
      </c>
    </row>
    <row r="13" customFormat="false" ht="15" hidden="false" customHeight="false" outlineLevel="0" collapsed="false">
      <c r="A13" s="101" t="n">
        <v>1</v>
      </c>
      <c r="B13" s="126" t="s">
        <v>156</v>
      </c>
      <c r="C13" s="6" t="s">
        <v>1398</v>
      </c>
    </row>
    <row r="14" customFormat="false" ht="23.85" hidden="false" customHeight="false" outlineLevel="0" collapsed="false">
      <c r="A14" s="125" t="n">
        <v>2</v>
      </c>
      <c r="B14" s="127" t="s">
        <v>154</v>
      </c>
      <c r="C14" s="129" t="s">
        <v>1399</v>
      </c>
    </row>
    <row r="15" customFormat="false" ht="15" hidden="false" customHeight="false" outlineLevel="0" collapsed="false">
      <c r="A15" s="101" t="n">
        <v>3</v>
      </c>
      <c r="B15" s="62" t="s">
        <v>152</v>
      </c>
      <c r="C15" s="6" t="s">
        <v>1400</v>
      </c>
    </row>
    <row r="16" customFormat="false" ht="23.85" hidden="false" customHeight="false" outlineLevel="0" collapsed="false">
      <c r="A16" s="125" t="n">
        <v>4</v>
      </c>
      <c r="B16" s="128" t="s">
        <v>150</v>
      </c>
      <c r="C16" s="129" t="s">
        <v>1401</v>
      </c>
    </row>
    <row r="18" customFormat="false" ht="15" hidden="false" customHeight="false" outlineLevel="0" collapsed="false">
      <c r="A18" s="124" t="s">
        <v>1496</v>
      </c>
    </row>
    <row r="19" customFormat="false" ht="23.85" hidden="false" customHeight="false" outlineLevel="0" collapsed="false">
      <c r="A19" s="76" t="s">
        <v>145</v>
      </c>
      <c r="B19" s="76" t="s">
        <v>1497</v>
      </c>
      <c r="C19" s="76" t="s">
        <v>1498</v>
      </c>
      <c r="D19" s="76" t="s">
        <v>1499</v>
      </c>
      <c r="E19" s="76" t="s">
        <v>1500</v>
      </c>
      <c r="F19" s="76" t="s">
        <v>1501</v>
      </c>
      <c r="G19" s="76" t="s">
        <v>1502</v>
      </c>
      <c r="H19" s="76" t="s">
        <v>1503</v>
      </c>
      <c r="I19" s="76" t="s">
        <v>1504</v>
      </c>
    </row>
    <row r="20" customFormat="false" ht="15" hidden="false" customHeight="false" outlineLevel="0" collapsed="false">
      <c r="A20" s="26" t="s">
        <v>156</v>
      </c>
      <c r="B20" s="130" t="n">
        <v>1</v>
      </c>
      <c r="C20" s="130" t="n">
        <v>2</v>
      </c>
      <c r="D20" s="125" t="n">
        <v>1</v>
      </c>
      <c r="E20" s="130" t="n">
        <v>365</v>
      </c>
      <c r="F20" s="130" t="n">
        <v>12</v>
      </c>
      <c r="G20" s="114" t="s">
        <v>1505</v>
      </c>
      <c r="H20" s="130" t="n">
        <v>12</v>
      </c>
      <c r="I20" s="114" t="s">
        <v>1506</v>
      </c>
    </row>
    <row r="21" customFormat="false" ht="23.85" hidden="false" customHeight="false" outlineLevel="0" collapsed="false">
      <c r="A21" s="24" t="s">
        <v>154</v>
      </c>
      <c r="B21" s="130" t="n">
        <v>3</v>
      </c>
      <c r="C21" s="130" t="n">
        <v>4</v>
      </c>
      <c r="D21" s="101" t="n">
        <v>2</v>
      </c>
      <c r="E21" s="130" t="n">
        <v>180</v>
      </c>
      <c r="F21" s="130" t="n">
        <v>12</v>
      </c>
      <c r="G21" s="114" t="s">
        <v>1507</v>
      </c>
      <c r="H21" s="130" t="n">
        <v>12</v>
      </c>
      <c r="I21" s="114" t="s">
        <v>1508</v>
      </c>
    </row>
    <row r="22" customFormat="false" ht="23.85" hidden="false" customHeight="false" outlineLevel="0" collapsed="false">
      <c r="A22" s="22" t="s">
        <v>152</v>
      </c>
      <c r="B22" s="130" t="n">
        <v>6</v>
      </c>
      <c r="C22" s="130" t="n">
        <v>9</v>
      </c>
      <c r="D22" s="125" t="n">
        <v>3</v>
      </c>
      <c r="E22" s="130" t="n">
        <v>90</v>
      </c>
      <c r="F22" s="130" t="n">
        <v>6</v>
      </c>
      <c r="G22" s="114" t="s">
        <v>1509</v>
      </c>
      <c r="H22" s="130" t="n">
        <v>6</v>
      </c>
      <c r="I22" s="114" t="s">
        <v>1510</v>
      </c>
    </row>
    <row r="23" customFormat="false" ht="35.05" hidden="false" customHeight="false" outlineLevel="0" collapsed="false">
      <c r="A23" s="18" t="s">
        <v>150</v>
      </c>
      <c r="B23" s="130" t="n">
        <v>12</v>
      </c>
      <c r="C23" s="130" t="n">
        <v>16</v>
      </c>
      <c r="D23" s="101" t="n">
        <v>4</v>
      </c>
      <c r="E23" s="130" t="n">
        <v>30</v>
      </c>
      <c r="F23" s="130" t="n">
        <v>3</v>
      </c>
      <c r="G23" s="114" t="s">
        <v>1511</v>
      </c>
      <c r="H23" s="130" t="n">
        <v>3</v>
      </c>
      <c r="I23" s="114" t="s">
        <v>1512</v>
      </c>
    </row>
    <row r="25" customFormat="false" ht="27.75" hidden="false" customHeight="true" outlineLevel="0" collapsed="false">
      <c r="A25" s="131" t="s">
        <v>1513</v>
      </c>
      <c r="B25" s="131"/>
      <c r="C25" s="131"/>
      <c r="D25" s="131"/>
      <c r="E25" s="131"/>
      <c r="F25" s="131"/>
      <c r="G25" s="131"/>
      <c r="H25" s="131"/>
      <c r="I25" s="131"/>
    </row>
    <row r="27" customFormat="false" ht="15" hidden="false" customHeight="false" outlineLevel="0" collapsed="false">
      <c r="A27" s="124" t="s">
        <v>1514</v>
      </c>
    </row>
    <row r="28" customFormat="false" ht="30" hidden="false" customHeight="true" outlineLevel="0" collapsed="false">
      <c r="A28" s="132" t="s">
        <v>1515</v>
      </c>
      <c r="B28" s="132"/>
      <c r="C28" s="114" t="s">
        <v>154</v>
      </c>
      <c r="D28" s="129"/>
      <c r="E28" s="129" t="s">
        <v>1516</v>
      </c>
      <c r="F28" s="129"/>
      <c r="G28" s="129"/>
      <c r="H28" s="129"/>
      <c r="I28" s="129"/>
    </row>
    <row r="29" customFormat="false" ht="30" hidden="false" customHeight="true" outlineLevel="0" collapsed="false">
      <c r="A29" s="5" t="s">
        <v>1517</v>
      </c>
      <c r="B29" s="5"/>
      <c r="C29" s="6" t="s">
        <v>152</v>
      </c>
      <c r="D29" s="6"/>
      <c r="E29" s="6" t="s">
        <v>1518</v>
      </c>
      <c r="F29" s="6"/>
      <c r="G29" s="6"/>
      <c r="H29" s="6"/>
      <c r="I29" s="6"/>
    </row>
    <row r="30" customFormat="false" ht="30" hidden="false" customHeight="true" outlineLevel="0" collapsed="false">
      <c r="A30" s="132" t="s">
        <v>1519</v>
      </c>
      <c r="B30" s="132"/>
      <c r="C30" s="114" t="n">
        <v>30</v>
      </c>
      <c r="D30" s="129"/>
      <c r="E30" s="129" t="s">
        <v>1520</v>
      </c>
      <c r="F30" s="129"/>
      <c r="G30" s="129"/>
      <c r="H30" s="129"/>
      <c r="I30" s="129"/>
    </row>
    <row r="32" customFormat="false" ht="15" hidden="false" customHeight="false" outlineLevel="0" collapsed="false">
      <c r="A32" s="124" t="s">
        <v>1521</v>
      </c>
    </row>
    <row r="33" customFormat="false" ht="15" hidden="false" customHeight="false" outlineLevel="0" collapsed="false">
      <c r="A33" s="76" t="s">
        <v>1487</v>
      </c>
      <c r="B33" s="76" t="s">
        <v>1522</v>
      </c>
    </row>
    <row r="34" customFormat="false" ht="15" hidden="false" customHeight="true" outlineLevel="0" collapsed="false">
      <c r="A34" s="18" t="s">
        <v>287</v>
      </c>
      <c r="B34" s="114" t="s">
        <v>1523</v>
      </c>
      <c r="C34" s="114"/>
      <c r="D34" s="114"/>
      <c r="E34" s="114"/>
      <c r="F34" s="114"/>
      <c r="G34" s="114"/>
    </row>
    <row r="35" customFormat="false" ht="15" hidden="false" customHeight="true" outlineLevel="0" collapsed="false">
      <c r="A35" s="22" t="s">
        <v>1275</v>
      </c>
      <c r="B35" s="114" t="s">
        <v>1524</v>
      </c>
      <c r="C35" s="114"/>
      <c r="D35" s="114"/>
      <c r="E35" s="114"/>
      <c r="F35" s="114"/>
      <c r="G35" s="114"/>
    </row>
    <row r="36" customFormat="false" ht="15" hidden="false" customHeight="true" outlineLevel="0" collapsed="false">
      <c r="A36" s="24" t="s">
        <v>1525</v>
      </c>
      <c r="B36" s="114" t="s">
        <v>1526</v>
      </c>
      <c r="C36" s="114"/>
      <c r="D36" s="114"/>
      <c r="E36" s="114"/>
      <c r="F36" s="114"/>
      <c r="G36" s="114"/>
    </row>
    <row r="37" customFormat="false" ht="15" hidden="false" customHeight="true" outlineLevel="0" collapsed="false">
      <c r="A37" s="26" t="s">
        <v>1527</v>
      </c>
      <c r="B37" s="114" t="s">
        <v>1528</v>
      </c>
      <c r="C37" s="114"/>
      <c r="D37" s="114"/>
      <c r="E37" s="114"/>
      <c r="F37" s="114"/>
      <c r="G37" s="114"/>
    </row>
  </sheetData>
  <mergeCells count="11">
    <mergeCell ref="A25:I25"/>
    <mergeCell ref="A28:B28"/>
    <mergeCell ref="E28:I28"/>
    <mergeCell ref="A29:B29"/>
    <mergeCell ref="E29:I29"/>
    <mergeCell ref="A30:B30"/>
    <mergeCell ref="E30:I30"/>
    <mergeCell ref="B34:G34"/>
    <mergeCell ref="B35:G35"/>
    <mergeCell ref="B36:G36"/>
    <mergeCell ref="B37:G37"/>
  </mergeCells>
  <dataValidations count="1">
    <dataValidation allowBlank="false" errorStyle="stop" operator="between" showDropDown="false" showErrorMessage="false" showInputMessage="false" sqref="C28:C29" type="list">
      <formula1>Lists!$K$2:$K$5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M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9"/>
    <col collapsed="false" customWidth="true" hidden="false" outlineLevel="0" max="4" min="4" style="0" width="70"/>
    <col collapsed="false" customWidth="true" hidden="false" outlineLevel="0" max="7" min="5" style="0" width="12"/>
    <col collapsed="false" customWidth="true" hidden="false" outlineLevel="0" max="8" min="8" style="0" width="10"/>
    <col collapsed="false" customWidth="true" hidden="false" outlineLevel="0" max="9" min="9" style="0" width="50"/>
    <col collapsed="false" customWidth="true" hidden="false" outlineLevel="0" max="11" min="10" style="0" width="40"/>
    <col collapsed="false" customWidth="true" hidden="false" outlineLevel="0" max="13" min="12" style="0" width="30"/>
  </cols>
  <sheetData>
    <row r="1" customFormat="false" ht="30" hidden="false" customHeight="true" outlineLevel="0" collapsed="false">
      <c r="A1" s="66" t="s">
        <v>1529</v>
      </c>
      <c r="B1" s="67"/>
      <c r="C1" s="67"/>
      <c r="D1" s="67"/>
      <c r="E1" s="67"/>
      <c r="F1" s="67"/>
      <c r="G1" s="67"/>
      <c r="H1" s="67"/>
      <c r="I1" s="67"/>
      <c r="J1" s="67"/>
      <c r="K1" s="67"/>
      <c r="L1" s="67"/>
      <c r="M1" s="67"/>
    </row>
    <row r="2" customFormat="false" ht="15" hidden="false" customHeight="false" outlineLevel="0" collapsed="false">
      <c r="A2" s="3" t="s">
        <v>1530</v>
      </c>
    </row>
    <row r="4" customFormat="false" ht="46.25" hidden="false" customHeight="false" outlineLevel="0" collapsed="false">
      <c r="A4" s="74" t="s">
        <v>202</v>
      </c>
      <c r="B4" s="74" t="s">
        <v>1531</v>
      </c>
      <c r="C4" s="74" t="s">
        <v>204</v>
      </c>
      <c r="D4" s="74" t="s">
        <v>1532</v>
      </c>
      <c r="E4" s="74" t="s">
        <v>1533</v>
      </c>
      <c r="F4" s="74" t="s">
        <v>1534</v>
      </c>
      <c r="G4" s="74" t="s">
        <v>1535</v>
      </c>
      <c r="H4" s="74" t="s">
        <v>1536</v>
      </c>
      <c r="I4" s="74" t="s">
        <v>1537</v>
      </c>
      <c r="J4" s="74" t="s">
        <v>1538</v>
      </c>
      <c r="K4" s="74" t="s">
        <v>1539</v>
      </c>
      <c r="L4" s="74" t="s">
        <v>1540</v>
      </c>
      <c r="M4" s="74" t="s">
        <v>116</v>
      </c>
    </row>
    <row r="5" customFormat="false" ht="90" hidden="false" customHeight="true" outlineLevel="0" collapsed="false">
      <c r="A5" s="6" t="s">
        <v>267</v>
      </c>
      <c r="B5" s="6" t="s">
        <v>268</v>
      </c>
      <c r="C5" s="133" t="s">
        <v>269</v>
      </c>
      <c r="D5" s="6" t="s">
        <v>271</v>
      </c>
      <c r="E5" s="6" t="s">
        <v>152</v>
      </c>
      <c r="F5" s="6" t="s">
        <v>150</v>
      </c>
      <c r="G5" s="6" t="s">
        <v>150</v>
      </c>
      <c r="H5" s="6" t="n">
        <v>1</v>
      </c>
      <c r="I5" s="6" t="s">
        <v>287</v>
      </c>
      <c r="J5" s="6" t="s">
        <v>287</v>
      </c>
      <c r="K5" s="6" t="s">
        <v>287</v>
      </c>
      <c r="L5" s="6" t="s">
        <v>274</v>
      </c>
      <c r="M5" s="6" t="s">
        <v>83</v>
      </c>
    </row>
    <row r="6" customFormat="false" ht="90" hidden="false" customHeight="true" outlineLevel="0" collapsed="false">
      <c r="A6" s="134" t="s">
        <v>291</v>
      </c>
      <c r="B6" s="134" t="s">
        <v>292</v>
      </c>
      <c r="C6" s="135" t="s">
        <v>293</v>
      </c>
      <c r="D6" s="134" t="s">
        <v>294</v>
      </c>
      <c r="E6" s="134" t="s">
        <v>152</v>
      </c>
      <c r="F6" s="134" t="s">
        <v>152</v>
      </c>
      <c r="G6" s="134" t="s">
        <v>152</v>
      </c>
      <c r="H6" s="134" t="n">
        <v>2</v>
      </c>
      <c r="I6" s="134" t="s">
        <v>1541</v>
      </c>
      <c r="J6" s="134" t="s">
        <v>287</v>
      </c>
      <c r="K6" s="134" t="s">
        <v>1542</v>
      </c>
      <c r="L6" s="134" t="s">
        <v>296</v>
      </c>
      <c r="M6" s="134" t="s">
        <v>83</v>
      </c>
    </row>
    <row r="7" customFormat="false" ht="90" hidden="false" customHeight="true" outlineLevel="0" collapsed="false">
      <c r="A7" s="6" t="s">
        <v>314</v>
      </c>
      <c r="B7" s="6" t="s">
        <v>315</v>
      </c>
      <c r="C7" s="133" t="s">
        <v>269</v>
      </c>
      <c r="D7" s="6" t="s">
        <v>316</v>
      </c>
      <c r="E7" s="6" t="s">
        <v>152</v>
      </c>
      <c r="F7" s="6" t="s">
        <v>150</v>
      </c>
      <c r="G7" s="6" t="s">
        <v>152</v>
      </c>
      <c r="H7" s="6" t="n">
        <v>3</v>
      </c>
      <c r="I7" s="6" t="s">
        <v>1543</v>
      </c>
      <c r="J7" s="6" t="s">
        <v>1544</v>
      </c>
      <c r="K7" s="6" t="s">
        <v>287</v>
      </c>
      <c r="L7" s="6" t="s">
        <v>318</v>
      </c>
      <c r="M7" s="6" t="s">
        <v>83</v>
      </c>
    </row>
    <row r="8" customFormat="false" ht="90" hidden="false" customHeight="true" outlineLevel="0" collapsed="false">
      <c r="A8" s="134" t="s">
        <v>335</v>
      </c>
      <c r="B8" s="134" t="s">
        <v>336</v>
      </c>
      <c r="C8" s="135" t="s">
        <v>269</v>
      </c>
      <c r="D8" s="134" t="s">
        <v>337</v>
      </c>
      <c r="E8" s="134" t="s">
        <v>1545</v>
      </c>
      <c r="F8" s="134" t="s">
        <v>152</v>
      </c>
      <c r="G8" s="134" t="s">
        <v>152</v>
      </c>
      <c r="H8" s="134" t="n">
        <v>4</v>
      </c>
      <c r="I8" s="134" t="s">
        <v>287</v>
      </c>
      <c r="J8" s="134" t="s">
        <v>287</v>
      </c>
      <c r="K8" s="134" t="s">
        <v>287</v>
      </c>
      <c r="L8" s="134" t="s">
        <v>339</v>
      </c>
      <c r="M8" s="134" t="s">
        <v>83</v>
      </c>
    </row>
    <row r="9" customFormat="false" ht="90" hidden="false" customHeight="true" outlineLevel="0" collapsed="false">
      <c r="A9" s="6" t="s">
        <v>351</v>
      </c>
      <c r="B9" s="6" t="s">
        <v>352</v>
      </c>
      <c r="C9" s="133" t="s">
        <v>353</v>
      </c>
      <c r="D9" s="6" t="s">
        <v>354</v>
      </c>
      <c r="E9" s="6" t="s">
        <v>154</v>
      </c>
      <c r="F9" s="6" t="s">
        <v>150</v>
      </c>
      <c r="G9" s="6" t="s">
        <v>152</v>
      </c>
      <c r="H9" s="6" t="n">
        <v>5</v>
      </c>
      <c r="I9" s="6" t="s">
        <v>1546</v>
      </c>
      <c r="J9" s="6" t="s">
        <v>1547</v>
      </c>
      <c r="K9" s="6" t="s">
        <v>1548</v>
      </c>
      <c r="L9" s="6" t="s">
        <v>356</v>
      </c>
      <c r="M9" s="6" t="s">
        <v>83</v>
      </c>
    </row>
    <row r="10" customFormat="false" ht="90" hidden="false" customHeight="true" outlineLevel="0" collapsed="false">
      <c r="A10" s="134" t="s">
        <v>375</v>
      </c>
      <c r="B10" s="134" t="s">
        <v>376</v>
      </c>
      <c r="C10" s="135" t="s">
        <v>353</v>
      </c>
      <c r="D10" s="134" t="s">
        <v>377</v>
      </c>
      <c r="E10" s="134" t="s">
        <v>154</v>
      </c>
      <c r="F10" s="134" t="s">
        <v>152</v>
      </c>
      <c r="G10" s="134" t="s">
        <v>152</v>
      </c>
      <c r="H10" s="134" t="n">
        <v>6</v>
      </c>
      <c r="I10" s="134" t="s">
        <v>1549</v>
      </c>
      <c r="J10" s="134" t="s">
        <v>1544</v>
      </c>
      <c r="K10" s="134" t="s">
        <v>1550</v>
      </c>
      <c r="L10" s="134" t="s">
        <v>379</v>
      </c>
      <c r="M10" s="134" t="s">
        <v>83</v>
      </c>
    </row>
    <row r="11" customFormat="false" ht="90" hidden="false" customHeight="true" outlineLevel="0" collapsed="false">
      <c r="A11" s="6" t="s">
        <v>396</v>
      </c>
      <c r="B11" s="6" t="s">
        <v>397</v>
      </c>
      <c r="C11" s="133" t="s">
        <v>398</v>
      </c>
      <c r="D11" s="6" t="s">
        <v>399</v>
      </c>
      <c r="E11" s="6" t="s">
        <v>154</v>
      </c>
      <c r="F11" s="6" t="s">
        <v>150</v>
      </c>
      <c r="G11" s="6" t="s">
        <v>150</v>
      </c>
      <c r="H11" s="6" t="n">
        <v>7</v>
      </c>
      <c r="I11" s="6" t="s">
        <v>1551</v>
      </c>
      <c r="J11" s="6" t="s">
        <v>1547</v>
      </c>
      <c r="K11" s="6" t="s">
        <v>1552</v>
      </c>
      <c r="L11" s="6" t="s">
        <v>401</v>
      </c>
      <c r="M11" s="6" t="s">
        <v>83</v>
      </c>
    </row>
    <row r="12" customFormat="false" ht="90" hidden="false" customHeight="true" outlineLevel="0" collapsed="false">
      <c r="A12" s="134" t="s">
        <v>419</v>
      </c>
      <c r="B12" s="134" t="s">
        <v>420</v>
      </c>
      <c r="C12" s="135" t="s">
        <v>421</v>
      </c>
      <c r="D12" s="134" t="s">
        <v>422</v>
      </c>
      <c r="E12" s="134" t="s">
        <v>154</v>
      </c>
      <c r="F12" s="134" t="s">
        <v>152</v>
      </c>
      <c r="G12" s="134" t="s">
        <v>152</v>
      </c>
      <c r="H12" s="134" t="n">
        <v>8</v>
      </c>
      <c r="I12" s="134" t="s">
        <v>1553</v>
      </c>
      <c r="J12" s="134" t="s">
        <v>1554</v>
      </c>
      <c r="K12" s="134" t="s">
        <v>1555</v>
      </c>
      <c r="L12" s="134" t="s">
        <v>424</v>
      </c>
      <c r="M12" s="134" t="s">
        <v>83</v>
      </c>
    </row>
    <row r="13" customFormat="false" ht="90" hidden="false" customHeight="true" outlineLevel="0" collapsed="false">
      <c r="A13" s="6" t="s">
        <v>443</v>
      </c>
      <c r="B13" s="6" t="s">
        <v>444</v>
      </c>
      <c r="C13" s="133" t="s">
        <v>445</v>
      </c>
      <c r="D13" s="6" t="s">
        <v>446</v>
      </c>
      <c r="E13" s="6" t="s">
        <v>152</v>
      </c>
      <c r="F13" s="6" t="s">
        <v>152</v>
      </c>
      <c r="G13" s="6" t="s">
        <v>152</v>
      </c>
      <c r="H13" s="6" t="n">
        <v>9</v>
      </c>
      <c r="I13" s="6" t="s">
        <v>1556</v>
      </c>
      <c r="J13" s="6" t="s">
        <v>287</v>
      </c>
      <c r="K13" s="6" t="s">
        <v>1557</v>
      </c>
      <c r="L13" s="6" t="s">
        <v>448</v>
      </c>
      <c r="M13" s="6" t="s">
        <v>83</v>
      </c>
    </row>
    <row r="14" customFormat="false" ht="90" hidden="false" customHeight="true" outlineLevel="0" collapsed="false">
      <c r="A14" s="134" t="s">
        <v>464</v>
      </c>
      <c r="B14" s="134" t="s">
        <v>465</v>
      </c>
      <c r="C14" s="135" t="s">
        <v>466</v>
      </c>
      <c r="D14" s="134" t="s">
        <v>467</v>
      </c>
      <c r="E14" s="134" t="s">
        <v>154</v>
      </c>
      <c r="F14" s="134" t="s">
        <v>150</v>
      </c>
      <c r="G14" s="134" t="s">
        <v>152</v>
      </c>
      <c r="H14" s="134" t="n">
        <v>10</v>
      </c>
      <c r="I14" s="134" t="s">
        <v>1558</v>
      </c>
      <c r="J14" s="134" t="s">
        <v>1544</v>
      </c>
      <c r="K14" s="134" t="s">
        <v>287</v>
      </c>
      <c r="L14" s="134" t="s">
        <v>469</v>
      </c>
      <c r="M14" s="134" t="s">
        <v>83</v>
      </c>
    </row>
    <row r="15" customFormat="false" ht="90" hidden="false" customHeight="true" outlineLevel="0" collapsed="false">
      <c r="A15" s="6" t="s">
        <v>484</v>
      </c>
      <c r="B15" s="6" t="s">
        <v>485</v>
      </c>
      <c r="C15" s="133" t="s">
        <v>445</v>
      </c>
      <c r="D15" s="6" t="s">
        <v>486</v>
      </c>
      <c r="E15" s="6" t="s">
        <v>154</v>
      </c>
      <c r="F15" s="6" t="s">
        <v>152</v>
      </c>
      <c r="G15" s="6" t="s">
        <v>152</v>
      </c>
      <c r="H15" s="6" t="n">
        <v>11</v>
      </c>
      <c r="I15" s="6" t="s">
        <v>1559</v>
      </c>
      <c r="J15" s="6" t="s">
        <v>287</v>
      </c>
      <c r="K15" s="6" t="s">
        <v>287</v>
      </c>
      <c r="L15" s="6" t="s">
        <v>488</v>
      </c>
      <c r="M15" s="6" t="s">
        <v>83</v>
      </c>
    </row>
    <row r="16" customFormat="false" ht="90" hidden="false" customHeight="true" outlineLevel="0" collapsed="false">
      <c r="A16" s="134" t="s">
        <v>504</v>
      </c>
      <c r="B16" s="134" t="s">
        <v>505</v>
      </c>
      <c r="C16" s="135" t="s">
        <v>506</v>
      </c>
      <c r="D16" s="134" t="s">
        <v>507</v>
      </c>
      <c r="E16" s="134" t="s">
        <v>154</v>
      </c>
      <c r="F16" s="134" t="s">
        <v>152</v>
      </c>
      <c r="G16" s="134" t="s">
        <v>152</v>
      </c>
      <c r="H16" s="134" t="n">
        <v>12</v>
      </c>
      <c r="I16" s="134" t="s">
        <v>1560</v>
      </c>
      <c r="J16" s="134" t="s">
        <v>1561</v>
      </c>
      <c r="K16" s="134" t="s">
        <v>287</v>
      </c>
      <c r="L16" s="134" t="s">
        <v>509</v>
      </c>
      <c r="M16" s="134" t="s">
        <v>83</v>
      </c>
    </row>
    <row r="17" customFormat="false" ht="90" hidden="false" customHeight="true" outlineLevel="0" collapsed="false">
      <c r="A17" s="6" t="s">
        <v>525</v>
      </c>
      <c r="B17" s="6" t="s">
        <v>526</v>
      </c>
      <c r="C17" s="133" t="s">
        <v>445</v>
      </c>
      <c r="D17" s="6" t="s">
        <v>527</v>
      </c>
      <c r="E17" s="6" t="s">
        <v>154</v>
      </c>
      <c r="F17" s="6" t="s">
        <v>152</v>
      </c>
      <c r="G17" s="6" t="s">
        <v>154</v>
      </c>
      <c r="H17" s="6" t="n">
        <v>13</v>
      </c>
      <c r="I17" s="6" t="s">
        <v>1562</v>
      </c>
      <c r="J17" s="6" t="s">
        <v>287</v>
      </c>
      <c r="K17" s="6" t="s">
        <v>287</v>
      </c>
      <c r="L17" s="6" t="s">
        <v>529</v>
      </c>
      <c r="M17" s="6" t="s">
        <v>83</v>
      </c>
    </row>
    <row r="18" customFormat="false" ht="90" hidden="false" customHeight="true" outlineLevel="0" collapsed="false">
      <c r="A18" s="134" t="s">
        <v>543</v>
      </c>
      <c r="B18" s="134" t="s">
        <v>544</v>
      </c>
      <c r="C18" s="135" t="s">
        <v>506</v>
      </c>
      <c r="D18" s="134" t="s">
        <v>545</v>
      </c>
      <c r="E18" s="134" t="s">
        <v>154</v>
      </c>
      <c r="F18" s="134" t="s">
        <v>152</v>
      </c>
      <c r="G18" s="134" t="s">
        <v>152</v>
      </c>
      <c r="H18" s="134" t="n">
        <v>14</v>
      </c>
      <c r="I18" s="134" t="s">
        <v>1563</v>
      </c>
      <c r="J18" s="134" t="s">
        <v>1564</v>
      </c>
      <c r="K18" s="134" t="s">
        <v>287</v>
      </c>
      <c r="L18" s="134" t="s">
        <v>547</v>
      </c>
      <c r="M18" s="134" t="s">
        <v>83</v>
      </c>
    </row>
    <row r="19" customFormat="false" ht="90" hidden="false" customHeight="true" outlineLevel="0" collapsed="false">
      <c r="A19" s="6" t="s">
        <v>563</v>
      </c>
      <c r="B19" s="6" t="s">
        <v>564</v>
      </c>
      <c r="C19" s="133" t="s">
        <v>565</v>
      </c>
      <c r="D19" s="6" t="s">
        <v>566</v>
      </c>
      <c r="E19" s="6" t="s">
        <v>154</v>
      </c>
      <c r="F19" s="6" t="s">
        <v>152</v>
      </c>
      <c r="G19" s="6" t="s">
        <v>152</v>
      </c>
      <c r="H19" s="6" t="n">
        <v>15</v>
      </c>
      <c r="I19" s="6" t="s">
        <v>1565</v>
      </c>
      <c r="J19" s="6" t="s">
        <v>287</v>
      </c>
      <c r="K19" s="6" t="s">
        <v>287</v>
      </c>
      <c r="L19" s="6" t="s">
        <v>568</v>
      </c>
      <c r="M19" s="6" t="s">
        <v>83</v>
      </c>
    </row>
    <row r="20" customFormat="false" ht="90" hidden="false" customHeight="true" outlineLevel="0" collapsed="false">
      <c r="A20" s="134" t="s">
        <v>583</v>
      </c>
      <c r="B20" s="134" t="s">
        <v>584</v>
      </c>
      <c r="C20" s="135" t="s">
        <v>445</v>
      </c>
      <c r="D20" s="134" t="s">
        <v>585</v>
      </c>
      <c r="E20" s="134" t="s">
        <v>152</v>
      </c>
      <c r="F20" s="134" t="s">
        <v>154</v>
      </c>
      <c r="G20" s="134" t="s">
        <v>152</v>
      </c>
      <c r="H20" s="134" t="n">
        <v>16</v>
      </c>
      <c r="I20" s="134" t="s">
        <v>1566</v>
      </c>
      <c r="J20" s="134" t="s">
        <v>287</v>
      </c>
      <c r="K20" s="134" t="s">
        <v>287</v>
      </c>
      <c r="L20" s="134" t="s">
        <v>587</v>
      </c>
      <c r="M20" s="134" t="s">
        <v>83</v>
      </c>
    </row>
    <row r="21" customFormat="false" ht="90" hidden="false" customHeight="true" outlineLevel="0" collapsed="false">
      <c r="A21" s="6" t="s">
        <v>603</v>
      </c>
      <c r="B21" s="6" t="s">
        <v>604</v>
      </c>
      <c r="C21" s="133" t="s">
        <v>565</v>
      </c>
      <c r="D21" s="6" t="s">
        <v>605</v>
      </c>
      <c r="E21" s="6" t="s">
        <v>154</v>
      </c>
      <c r="F21" s="6" t="s">
        <v>152</v>
      </c>
      <c r="G21" s="6" t="s">
        <v>152</v>
      </c>
      <c r="H21" s="6" t="n">
        <v>17</v>
      </c>
      <c r="I21" s="6" t="s">
        <v>1567</v>
      </c>
      <c r="J21" s="6" t="s">
        <v>287</v>
      </c>
      <c r="K21" s="6" t="s">
        <v>287</v>
      </c>
      <c r="L21" s="6" t="s">
        <v>607</v>
      </c>
      <c r="M21" s="6" t="s">
        <v>83</v>
      </c>
    </row>
    <row r="22" customFormat="false" ht="90" hidden="false" customHeight="true" outlineLevel="0" collapsed="false">
      <c r="A22" s="134" t="s">
        <v>623</v>
      </c>
      <c r="B22" s="134" t="s">
        <v>624</v>
      </c>
      <c r="C22" s="135" t="s">
        <v>293</v>
      </c>
      <c r="D22" s="134" t="s">
        <v>625</v>
      </c>
      <c r="E22" s="134" t="s">
        <v>154</v>
      </c>
      <c r="F22" s="134" t="s">
        <v>152</v>
      </c>
      <c r="G22" s="134" t="s">
        <v>152</v>
      </c>
      <c r="H22" s="134" t="n">
        <v>18</v>
      </c>
      <c r="I22" s="134" t="s">
        <v>1568</v>
      </c>
      <c r="J22" s="134" t="s">
        <v>287</v>
      </c>
      <c r="K22" s="134" t="s">
        <v>287</v>
      </c>
      <c r="L22" s="134" t="s">
        <v>627</v>
      </c>
      <c r="M22" s="134" t="s">
        <v>83</v>
      </c>
    </row>
    <row r="23" customFormat="false" ht="90" hidden="false" customHeight="true" outlineLevel="0" collapsed="false">
      <c r="A23" s="6" t="s">
        <v>643</v>
      </c>
      <c r="B23" s="6" t="s">
        <v>644</v>
      </c>
      <c r="C23" s="133" t="s">
        <v>506</v>
      </c>
      <c r="D23" s="6" t="s">
        <v>645</v>
      </c>
      <c r="E23" s="6" t="s">
        <v>154</v>
      </c>
      <c r="F23" s="6" t="s">
        <v>152</v>
      </c>
      <c r="G23" s="6" t="s">
        <v>152</v>
      </c>
      <c r="H23" s="6" t="n">
        <v>19</v>
      </c>
      <c r="I23" s="6" t="s">
        <v>1569</v>
      </c>
      <c r="J23" s="6" t="s">
        <v>1570</v>
      </c>
      <c r="K23" s="6" t="s">
        <v>287</v>
      </c>
      <c r="L23" s="6" t="s">
        <v>647</v>
      </c>
      <c r="M23" s="6" t="s">
        <v>83</v>
      </c>
    </row>
    <row r="24" customFormat="false" ht="90" hidden="false" customHeight="true" outlineLevel="0" collapsed="false">
      <c r="A24" s="134" t="s">
        <v>664</v>
      </c>
      <c r="B24" s="134" t="s">
        <v>665</v>
      </c>
      <c r="C24" s="135" t="s">
        <v>666</v>
      </c>
      <c r="D24" s="134" t="s">
        <v>667</v>
      </c>
      <c r="E24" s="134" t="s">
        <v>154</v>
      </c>
      <c r="F24" s="134" t="s">
        <v>152</v>
      </c>
      <c r="G24" s="134" t="s">
        <v>154</v>
      </c>
      <c r="H24" s="134" t="n">
        <v>20</v>
      </c>
      <c r="I24" s="134" t="s">
        <v>1571</v>
      </c>
      <c r="J24" s="134" t="s">
        <v>1572</v>
      </c>
      <c r="K24" s="134" t="s">
        <v>287</v>
      </c>
      <c r="L24" s="134" t="s">
        <v>669</v>
      </c>
      <c r="M24" s="134" t="s">
        <v>83</v>
      </c>
    </row>
    <row r="25" customFormat="false" ht="90" hidden="false" customHeight="true" outlineLevel="0" collapsed="false">
      <c r="A25" s="6" t="s">
        <v>685</v>
      </c>
      <c r="B25" s="6" t="s">
        <v>686</v>
      </c>
      <c r="C25" s="133" t="s">
        <v>398</v>
      </c>
      <c r="D25" s="6" t="s">
        <v>687</v>
      </c>
      <c r="E25" s="6" t="s">
        <v>154</v>
      </c>
      <c r="F25" s="6" t="s">
        <v>152</v>
      </c>
      <c r="G25" s="6" t="s">
        <v>152</v>
      </c>
      <c r="H25" s="6" t="n">
        <v>21</v>
      </c>
      <c r="I25" s="6" t="s">
        <v>1573</v>
      </c>
      <c r="J25" s="6" t="s">
        <v>287</v>
      </c>
      <c r="K25" s="6" t="s">
        <v>1550</v>
      </c>
      <c r="L25" s="6" t="s">
        <v>689</v>
      </c>
      <c r="M25" s="6" t="s">
        <v>83</v>
      </c>
    </row>
    <row r="26" customFormat="false" ht="90" hidden="false" customHeight="true" outlineLevel="0" collapsed="false">
      <c r="A26" s="134" t="s">
        <v>705</v>
      </c>
      <c r="B26" s="134" t="s">
        <v>706</v>
      </c>
      <c r="C26" s="135" t="s">
        <v>398</v>
      </c>
      <c r="D26" s="134" t="s">
        <v>707</v>
      </c>
      <c r="E26" s="134" t="s">
        <v>154</v>
      </c>
      <c r="F26" s="134" t="s">
        <v>150</v>
      </c>
      <c r="G26" s="134" t="s">
        <v>152</v>
      </c>
      <c r="H26" s="134" t="n">
        <v>22</v>
      </c>
      <c r="I26" s="134" t="s">
        <v>1574</v>
      </c>
      <c r="J26" s="134" t="s">
        <v>287</v>
      </c>
      <c r="K26" s="134" t="s">
        <v>1575</v>
      </c>
      <c r="L26" s="134" t="s">
        <v>709</v>
      </c>
      <c r="M26" s="134" t="s">
        <v>83</v>
      </c>
    </row>
    <row r="27" customFormat="false" ht="90" hidden="false" customHeight="true" outlineLevel="0" collapsed="false">
      <c r="A27" s="6" t="s">
        <v>726</v>
      </c>
      <c r="B27" s="6" t="s">
        <v>727</v>
      </c>
      <c r="C27" s="133" t="s">
        <v>398</v>
      </c>
      <c r="D27" s="6" t="s">
        <v>728</v>
      </c>
      <c r="E27" s="6" t="s">
        <v>154</v>
      </c>
      <c r="F27" s="6" t="s">
        <v>150</v>
      </c>
      <c r="G27" s="6" t="s">
        <v>152</v>
      </c>
      <c r="H27" s="6" t="n">
        <v>23</v>
      </c>
      <c r="I27" s="6" t="s">
        <v>1576</v>
      </c>
      <c r="J27" s="6" t="s">
        <v>1577</v>
      </c>
      <c r="K27" s="6" t="s">
        <v>1578</v>
      </c>
      <c r="L27" s="6" t="s">
        <v>730</v>
      </c>
      <c r="M27" s="6" t="s">
        <v>83</v>
      </c>
    </row>
    <row r="28" customFormat="false" ht="90" hidden="false" customHeight="true" outlineLevel="0" collapsed="false">
      <c r="A28" s="134" t="s">
        <v>748</v>
      </c>
      <c r="B28" s="134" t="s">
        <v>749</v>
      </c>
      <c r="C28" s="135" t="s">
        <v>398</v>
      </c>
      <c r="D28" s="134" t="s">
        <v>750</v>
      </c>
      <c r="E28" s="134" t="s">
        <v>154</v>
      </c>
      <c r="F28" s="134" t="s">
        <v>150</v>
      </c>
      <c r="G28" s="134" t="s">
        <v>152</v>
      </c>
      <c r="H28" s="134" t="n">
        <v>24</v>
      </c>
      <c r="I28" s="134" t="s">
        <v>1579</v>
      </c>
      <c r="J28" s="134" t="s">
        <v>1547</v>
      </c>
      <c r="K28" s="134" t="s">
        <v>1580</v>
      </c>
      <c r="L28" s="134" t="s">
        <v>752</v>
      </c>
      <c r="M28" s="134" t="s">
        <v>83</v>
      </c>
    </row>
    <row r="29" customFormat="false" ht="90" hidden="false" customHeight="true" outlineLevel="0" collapsed="false">
      <c r="A29" s="6" t="s">
        <v>769</v>
      </c>
      <c r="B29" s="6" t="s">
        <v>770</v>
      </c>
      <c r="C29" s="133" t="s">
        <v>398</v>
      </c>
      <c r="D29" s="6" t="s">
        <v>771</v>
      </c>
      <c r="E29" s="6" t="s">
        <v>154</v>
      </c>
      <c r="F29" s="6" t="s">
        <v>152</v>
      </c>
      <c r="G29" s="6" t="s">
        <v>152</v>
      </c>
      <c r="H29" s="6" t="n">
        <v>25</v>
      </c>
      <c r="I29" s="6" t="s">
        <v>1581</v>
      </c>
      <c r="J29" s="6" t="s">
        <v>287</v>
      </c>
      <c r="K29" s="6" t="s">
        <v>287</v>
      </c>
      <c r="L29" s="6" t="s">
        <v>772</v>
      </c>
      <c r="M29" s="6" t="s">
        <v>83</v>
      </c>
    </row>
    <row r="30" customFormat="false" ht="90" hidden="false" customHeight="true" outlineLevel="0" collapsed="false">
      <c r="A30" s="134" t="s">
        <v>787</v>
      </c>
      <c r="B30" s="134" t="s">
        <v>788</v>
      </c>
      <c r="C30" s="135" t="s">
        <v>353</v>
      </c>
      <c r="D30" s="134" t="s">
        <v>789</v>
      </c>
      <c r="E30" s="134" t="s">
        <v>154</v>
      </c>
      <c r="F30" s="134" t="s">
        <v>154</v>
      </c>
      <c r="G30" s="134" t="s">
        <v>154</v>
      </c>
      <c r="H30" s="134" t="n">
        <v>26</v>
      </c>
      <c r="I30" s="134" t="s">
        <v>1582</v>
      </c>
      <c r="J30" s="134" t="s">
        <v>287</v>
      </c>
      <c r="K30" s="134" t="s">
        <v>287</v>
      </c>
      <c r="L30" s="134" t="s">
        <v>791</v>
      </c>
      <c r="M30" s="134" t="s">
        <v>83</v>
      </c>
    </row>
    <row r="31" customFormat="false" ht="90" hidden="false" customHeight="true" outlineLevel="0" collapsed="false">
      <c r="A31" s="6" t="s">
        <v>807</v>
      </c>
      <c r="B31" s="6" t="s">
        <v>808</v>
      </c>
      <c r="C31" s="133" t="s">
        <v>466</v>
      </c>
      <c r="D31" s="6" t="s">
        <v>809</v>
      </c>
      <c r="E31" s="6" t="s">
        <v>154</v>
      </c>
      <c r="F31" s="6" t="s">
        <v>152</v>
      </c>
      <c r="G31" s="6" t="s">
        <v>152</v>
      </c>
      <c r="H31" s="6" t="n">
        <v>27</v>
      </c>
      <c r="I31" s="6" t="s">
        <v>1583</v>
      </c>
      <c r="J31" s="6" t="s">
        <v>1584</v>
      </c>
      <c r="K31" s="6" t="s">
        <v>287</v>
      </c>
      <c r="L31" s="6" t="s">
        <v>811</v>
      </c>
      <c r="M31" s="6" t="s">
        <v>83</v>
      </c>
    </row>
    <row r="32" customFormat="false" ht="90" hidden="false" customHeight="true" outlineLevel="0" collapsed="false">
      <c r="A32" s="134" t="s">
        <v>824</v>
      </c>
      <c r="B32" s="134" t="s">
        <v>825</v>
      </c>
      <c r="C32" s="135" t="s">
        <v>466</v>
      </c>
      <c r="D32" s="134" t="s">
        <v>826</v>
      </c>
      <c r="E32" s="134" t="s">
        <v>154</v>
      </c>
      <c r="F32" s="134" t="s">
        <v>150</v>
      </c>
      <c r="G32" s="134" t="s">
        <v>152</v>
      </c>
      <c r="H32" s="134" t="n">
        <v>28</v>
      </c>
      <c r="I32" s="134" t="s">
        <v>1585</v>
      </c>
      <c r="J32" s="134" t="s">
        <v>287</v>
      </c>
      <c r="K32" s="134" t="s">
        <v>287</v>
      </c>
      <c r="L32" s="134" t="s">
        <v>828</v>
      </c>
      <c r="M32" s="134" t="s">
        <v>83</v>
      </c>
    </row>
    <row r="33" customFormat="false" ht="90" hidden="false" customHeight="true" outlineLevel="0" collapsed="false">
      <c r="A33" s="6" t="s">
        <v>843</v>
      </c>
      <c r="B33" s="6" t="s">
        <v>844</v>
      </c>
      <c r="C33" s="133" t="s">
        <v>845</v>
      </c>
      <c r="D33" s="6" t="s">
        <v>846</v>
      </c>
      <c r="E33" s="6" t="s">
        <v>154</v>
      </c>
      <c r="F33" s="6" t="s">
        <v>152</v>
      </c>
      <c r="G33" s="6" t="s">
        <v>154</v>
      </c>
      <c r="H33" s="6" t="n">
        <v>29</v>
      </c>
      <c r="I33" s="6" t="s">
        <v>1586</v>
      </c>
      <c r="J33" s="6" t="s">
        <v>287</v>
      </c>
      <c r="K33" s="6" t="s">
        <v>287</v>
      </c>
      <c r="L33" s="6" t="s">
        <v>848</v>
      </c>
      <c r="M33" s="6" t="s">
        <v>83</v>
      </c>
    </row>
    <row r="34" customFormat="false" ht="90" hidden="false" customHeight="true" outlineLevel="0" collapsed="false">
      <c r="A34" s="134" t="s">
        <v>860</v>
      </c>
      <c r="B34" s="134" t="s">
        <v>861</v>
      </c>
      <c r="C34" s="135" t="s">
        <v>862</v>
      </c>
      <c r="D34" s="134" t="s">
        <v>863</v>
      </c>
      <c r="E34" s="134" t="s">
        <v>154</v>
      </c>
      <c r="F34" s="134" t="s">
        <v>152</v>
      </c>
      <c r="G34" s="134" t="s">
        <v>154</v>
      </c>
      <c r="H34" s="134" t="n">
        <v>30</v>
      </c>
      <c r="I34" s="134" t="s">
        <v>1587</v>
      </c>
      <c r="J34" s="134" t="s">
        <v>287</v>
      </c>
      <c r="K34" s="134" t="s">
        <v>287</v>
      </c>
      <c r="L34" s="134" t="s">
        <v>865</v>
      </c>
      <c r="M34" s="134" t="s">
        <v>83</v>
      </c>
    </row>
    <row r="35" customFormat="false" ht="90" hidden="false" customHeight="true" outlineLevel="0" collapsed="false">
      <c r="A35" s="6" t="s">
        <v>879</v>
      </c>
      <c r="B35" s="6" t="s">
        <v>880</v>
      </c>
      <c r="C35" s="133" t="s">
        <v>421</v>
      </c>
      <c r="D35" s="6" t="s">
        <v>881</v>
      </c>
      <c r="E35" s="6" t="s">
        <v>154</v>
      </c>
      <c r="F35" s="6" t="s">
        <v>152</v>
      </c>
      <c r="G35" s="6" t="s">
        <v>152</v>
      </c>
      <c r="H35" s="6" t="n">
        <v>31</v>
      </c>
      <c r="I35" s="6" t="s">
        <v>1588</v>
      </c>
      <c r="J35" s="6" t="s">
        <v>287</v>
      </c>
      <c r="K35" s="6" t="s">
        <v>287</v>
      </c>
      <c r="L35" s="6" t="s">
        <v>883</v>
      </c>
      <c r="M35" s="6" t="s">
        <v>83</v>
      </c>
    </row>
    <row r="36" customFormat="false" ht="90" hidden="false" customHeight="true" outlineLevel="0" collapsed="false">
      <c r="A36" s="134" t="s">
        <v>896</v>
      </c>
      <c r="B36" s="134" t="s">
        <v>897</v>
      </c>
      <c r="C36" s="135" t="s">
        <v>421</v>
      </c>
      <c r="D36" s="134" t="s">
        <v>898</v>
      </c>
      <c r="E36" s="134" t="s">
        <v>154</v>
      </c>
      <c r="F36" s="134" t="s">
        <v>152</v>
      </c>
      <c r="G36" s="134" t="s">
        <v>154</v>
      </c>
      <c r="H36" s="134" t="n">
        <v>32</v>
      </c>
      <c r="I36" s="134" t="s">
        <v>1589</v>
      </c>
      <c r="J36" s="134" t="s">
        <v>1564</v>
      </c>
      <c r="K36" s="134" t="s">
        <v>287</v>
      </c>
      <c r="L36" s="134" t="s">
        <v>900</v>
      </c>
      <c r="M36" s="134" t="s">
        <v>83</v>
      </c>
    </row>
    <row r="37" customFormat="false" ht="90" hidden="false" customHeight="true" outlineLevel="0" collapsed="false">
      <c r="A37" s="6" t="s">
        <v>912</v>
      </c>
      <c r="B37" s="6" t="s">
        <v>913</v>
      </c>
      <c r="C37" s="133" t="s">
        <v>666</v>
      </c>
      <c r="D37" s="6" t="s">
        <v>914</v>
      </c>
      <c r="E37" s="6" t="s">
        <v>154</v>
      </c>
      <c r="F37" s="6" t="s">
        <v>152</v>
      </c>
      <c r="G37" s="6" t="s">
        <v>154</v>
      </c>
      <c r="H37" s="6" t="n">
        <v>33</v>
      </c>
      <c r="I37" s="6" t="s">
        <v>1590</v>
      </c>
      <c r="J37" s="6" t="s">
        <v>287</v>
      </c>
      <c r="K37" s="6" t="s">
        <v>287</v>
      </c>
      <c r="L37" s="6" t="s">
        <v>916</v>
      </c>
      <c r="M37" s="6" t="s">
        <v>83</v>
      </c>
    </row>
    <row r="38" customFormat="false" ht="90" hidden="false" customHeight="true" outlineLevel="0" collapsed="false">
      <c r="A38" s="134" t="s">
        <v>927</v>
      </c>
      <c r="B38" s="134" t="s">
        <v>928</v>
      </c>
      <c r="C38" s="135" t="s">
        <v>666</v>
      </c>
      <c r="D38" s="134" t="s">
        <v>929</v>
      </c>
      <c r="E38" s="134" t="s">
        <v>154</v>
      </c>
      <c r="F38" s="134" t="s">
        <v>154</v>
      </c>
      <c r="G38" s="134" t="s">
        <v>154</v>
      </c>
      <c r="H38" s="134" t="n">
        <v>34</v>
      </c>
      <c r="I38" s="134" t="s">
        <v>1591</v>
      </c>
      <c r="J38" s="134" t="s">
        <v>287</v>
      </c>
      <c r="K38" s="134" t="s">
        <v>287</v>
      </c>
      <c r="L38" s="134" t="s">
        <v>930</v>
      </c>
      <c r="M38" s="134" t="s">
        <v>83</v>
      </c>
    </row>
    <row r="39" customFormat="false" ht="90" hidden="false" customHeight="true" outlineLevel="0" collapsed="false">
      <c r="A39" s="6" t="s">
        <v>940</v>
      </c>
      <c r="B39" s="6" t="s">
        <v>941</v>
      </c>
      <c r="C39" s="133" t="s">
        <v>862</v>
      </c>
      <c r="D39" s="6" t="s">
        <v>942</v>
      </c>
      <c r="E39" s="6" t="s">
        <v>152</v>
      </c>
      <c r="F39" s="6" t="s">
        <v>154</v>
      </c>
      <c r="G39" s="6" t="s">
        <v>154</v>
      </c>
      <c r="H39" s="6" t="n">
        <v>35</v>
      </c>
      <c r="I39" s="6" t="s">
        <v>1592</v>
      </c>
      <c r="J39" s="6" t="s">
        <v>1593</v>
      </c>
      <c r="K39" s="6" t="s">
        <v>287</v>
      </c>
      <c r="L39" s="6" t="s">
        <v>944</v>
      </c>
      <c r="M39" s="6" t="s">
        <v>83</v>
      </c>
    </row>
    <row r="40" customFormat="false" ht="90" hidden="false" customHeight="true" outlineLevel="0" collapsed="false">
      <c r="A40" s="134" t="s">
        <v>957</v>
      </c>
      <c r="B40" s="134" t="s">
        <v>958</v>
      </c>
      <c r="C40" s="135" t="s">
        <v>466</v>
      </c>
      <c r="D40" s="134" t="s">
        <v>959</v>
      </c>
      <c r="E40" s="134" t="s">
        <v>154</v>
      </c>
      <c r="F40" s="134" t="s">
        <v>152</v>
      </c>
      <c r="G40" s="134" t="s">
        <v>154</v>
      </c>
      <c r="H40" s="134" t="n">
        <v>36</v>
      </c>
      <c r="I40" s="134" t="s">
        <v>1594</v>
      </c>
      <c r="J40" s="134" t="s">
        <v>287</v>
      </c>
      <c r="K40" s="134" t="s">
        <v>287</v>
      </c>
      <c r="L40" s="134" t="s">
        <v>961</v>
      </c>
      <c r="M40" s="134" t="s">
        <v>83</v>
      </c>
    </row>
    <row r="41" customFormat="false" ht="90" hidden="false" customHeight="true" outlineLevel="0" collapsed="false">
      <c r="A41" s="6" t="s">
        <v>971</v>
      </c>
      <c r="B41" s="6" t="s">
        <v>972</v>
      </c>
      <c r="C41" s="133" t="s">
        <v>466</v>
      </c>
      <c r="D41" s="6" t="s">
        <v>973</v>
      </c>
      <c r="E41" s="6" t="s">
        <v>154</v>
      </c>
      <c r="F41" s="6" t="s">
        <v>152</v>
      </c>
      <c r="G41" s="6" t="s">
        <v>152</v>
      </c>
      <c r="H41" s="6" t="n">
        <v>37</v>
      </c>
      <c r="I41" s="6" t="s">
        <v>1595</v>
      </c>
      <c r="J41" s="6" t="s">
        <v>287</v>
      </c>
      <c r="K41" s="6" t="s">
        <v>287</v>
      </c>
      <c r="L41" s="6" t="s">
        <v>974</v>
      </c>
      <c r="M41" s="6" t="s">
        <v>83</v>
      </c>
    </row>
    <row r="42" customFormat="false" ht="90" hidden="false" customHeight="true" outlineLevel="0" collapsed="false">
      <c r="A42" s="134" t="s">
        <v>986</v>
      </c>
      <c r="B42" s="134" t="s">
        <v>987</v>
      </c>
      <c r="C42" s="135" t="s">
        <v>269</v>
      </c>
      <c r="D42" s="134" t="s">
        <v>988</v>
      </c>
      <c r="E42" s="134" t="s">
        <v>154</v>
      </c>
      <c r="F42" s="134" t="s">
        <v>152</v>
      </c>
      <c r="G42" s="134" t="s">
        <v>152</v>
      </c>
      <c r="H42" s="134" t="n">
        <v>38</v>
      </c>
      <c r="I42" s="134" t="s">
        <v>1596</v>
      </c>
      <c r="J42" s="134" t="s">
        <v>287</v>
      </c>
      <c r="K42" s="134" t="s">
        <v>287</v>
      </c>
      <c r="L42" s="134" t="s">
        <v>990</v>
      </c>
      <c r="M42" s="134" t="s">
        <v>83</v>
      </c>
    </row>
    <row r="43" customFormat="false" ht="90" hidden="false" customHeight="true" outlineLevel="0" collapsed="false">
      <c r="A43" s="6" t="s">
        <v>1001</v>
      </c>
      <c r="B43" s="6" t="s">
        <v>1002</v>
      </c>
      <c r="C43" s="133" t="s">
        <v>565</v>
      </c>
      <c r="D43" s="6" t="s">
        <v>1003</v>
      </c>
      <c r="E43" s="6" t="s">
        <v>154</v>
      </c>
      <c r="F43" s="6" t="s">
        <v>152</v>
      </c>
      <c r="G43" s="6" t="s">
        <v>152</v>
      </c>
      <c r="H43" s="6" t="n">
        <v>39</v>
      </c>
      <c r="I43" s="6" t="s">
        <v>1597</v>
      </c>
      <c r="J43" s="6" t="s">
        <v>287</v>
      </c>
      <c r="K43" s="6" t="s">
        <v>287</v>
      </c>
      <c r="L43" s="6" t="s">
        <v>1005</v>
      </c>
      <c r="M43" s="6" t="s">
        <v>83</v>
      </c>
    </row>
    <row r="44" customFormat="false" ht="90" hidden="false" customHeight="true" outlineLevel="0" collapsed="false">
      <c r="A44" s="134" t="s">
        <v>1016</v>
      </c>
      <c r="B44" s="134" t="s">
        <v>1017</v>
      </c>
      <c r="C44" s="135" t="s">
        <v>293</v>
      </c>
      <c r="D44" s="134" t="s">
        <v>1018</v>
      </c>
      <c r="E44" s="134" t="s">
        <v>154</v>
      </c>
      <c r="F44" s="134" t="s">
        <v>152</v>
      </c>
      <c r="G44" s="134" t="s">
        <v>152</v>
      </c>
      <c r="H44" s="134" t="n">
        <v>40</v>
      </c>
      <c r="I44" s="134" t="s">
        <v>1598</v>
      </c>
      <c r="J44" s="134" t="s">
        <v>287</v>
      </c>
      <c r="K44" s="134" t="s">
        <v>287</v>
      </c>
      <c r="L44" s="134" t="s">
        <v>1019</v>
      </c>
      <c r="M44" s="134" t="s">
        <v>83</v>
      </c>
    </row>
    <row r="45" customFormat="false" ht="90" hidden="false" customHeight="true" outlineLevel="0" collapsed="false">
      <c r="A45" s="6" t="s">
        <v>1031</v>
      </c>
      <c r="B45" s="6" t="s">
        <v>1032</v>
      </c>
      <c r="C45" s="133" t="s">
        <v>666</v>
      </c>
      <c r="D45" s="6" t="s">
        <v>1033</v>
      </c>
      <c r="E45" s="6" t="s">
        <v>154</v>
      </c>
      <c r="F45" s="6" t="s">
        <v>152</v>
      </c>
      <c r="G45" s="6" t="s">
        <v>154</v>
      </c>
      <c r="H45" s="6" t="n">
        <v>41</v>
      </c>
      <c r="I45" s="6" t="s">
        <v>1599</v>
      </c>
      <c r="J45" s="6" t="s">
        <v>287</v>
      </c>
      <c r="K45" s="6" t="s">
        <v>287</v>
      </c>
      <c r="L45" s="6" t="s">
        <v>1035</v>
      </c>
      <c r="M45" s="6" t="s">
        <v>83</v>
      </c>
    </row>
    <row r="46" customFormat="false" ht="90" hidden="false" customHeight="true" outlineLevel="0" collapsed="false">
      <c r="A46" s="134" t="s">
        <v>1048</v>
      </c>
      <c r="B46" s="134" t="s">
        <v>1049</v>
      </c>
      <c r="C46" s="135" t="s">
        <v>506</v>
      </c>
      <c r="D46" s="134" t="s">
        <v>1050</v>
      </c>
      <c r="E46" s="134" t="s">
        <v>154</v>
      </c>
      <c r="F46" s="134" t="s">
        <v>152</v>
      </c>
      <c r="G46" s="134" t="s">
        <v>154</v>
      </c>
      <c r="H46" s="134" t="n">
        <v>42</v>
      </c>
      <c r="I46" s="134" t="s">
        <v>1600</v>
      </c>
      <c r="J46" s="134" t="s">
        <v>1570</v>
      </c>
      <c r="K46" s="134" t="s">
        <v>287</v>
      </c>
      <c r="L46" s="134" t="s">
        <v>1052</v>
      </c>
      <c r="M46" s="134" t="s">
        <v>83</v>
      </c>
    </row>
    <row r="47" customFormat="false" ht="90" hidden="false" customHeight="true" outlineLevel="0" collapsed="false">
      <c r="A47" s="6" t="s">
        <v>1062</v>
      </c>
      <c r="B47" s="6" t="s">
        <v>1063</v>
      </c>
      <c r="C47" s="133" t="s">
        <v>353</v>
      </c>
      <c r="D47" s="6" t="s">
        <v>1064</v>
      </c>
      <c r="E47" s="6" t="s">
        <v>154</v>
      </c>
      <c r="F47" s="6" t="s">
        <v>152</v>
      </c>
      <c r="G47" s="6" t="s">
        <v>152</v>
      </c>
      <c r="H47" s="6" t="n">
        <v>43</v>
      </c>
      <c r="I47" s="6" t="s">
        <v>1601</v>
      </c>
      <c r="J47" s="6" t="s">
        <v>287</v>
      </c>
      <c r="K47" s="6" t="s">
        <v>287</v>
      </c>
      <c r="L47" s="6" t="s">
        <v>1066</v>
      </c>
      <c r="M47" s="6" t="s">
        <v>83</v>
      </c>
    </row>
    <row r="48" customFormat="false" ht="90" hidden="false" customHeight="true" outlineLevel="0" collapsed="false">
      <c r="A48" s="134" t="s">
        <v>1078</v>
      </c>
      <c r="B48" s="134" t="s">
        <v>1079</v>
      </c>
      <c r="C48" s="135" t="s">
        <v>421</v>
      </c>
      <c r="D48" s="134" t="s">
        <v>1080</v>
      </c>
      <c r="E48" s="134" t="s">
        <v>154</v>
      </c>
      <c r="F48" s="134" t="s">
        <v>152</v>
      </c>
      <c r="G48" s="134" t="s">
        <v>154</v>
      </c>
      <c r="H48" s="134" t="n">
        <v>44</v>
      </c>
      <c r="I48" s="134" t="s">
        <v>1602</v>
      </c>
      <c r="J48" s="134" t="s">
        <v>287</v>
      </c>
      <c r="K48" s="134" t="s">
        <v>287</v>
      </c>
      <c r="L48" s="134" t="s">
        <v>1081</v>
      </c>
      <c r="M48" s="134" t="s">
        <v>83</v>
      </c>
    </row>
    <row r="49" customFormat="false" ht="90" hidden="false" customHeight="true" outlineLevel="0" collapsed="false">
      <c r="A49" s="6" t="s">
        <v>1092</v>
      </c>
      <c r="B49" s="6" t="s">
        <v>1093</v>
      </c>
      <c r="C49" s="133" t="s">
        <v>445</v>
      </c>
      <c r="D49" s="6" t="s">
        <v>1094</v>
      </c>
      <c r="E49" s="6" t="s">
        <v>154</v>
      </c>
      <c r="F49" s="6" t="s">
        <v>152</v>
      </c>
      <c r="G49" s="6" t="s">
        <v>152</v>
      </c>
      <c r="H49" s="6" t="n">
        <v>45</v>
      </c>
      <c r="I49" s="6" t="s">
        <v>1603</v>
      </c>
      <c r="J49" s="6" t="s">
        <v>287</v>
      </c>
      <c r="K49" s="6" t="s">
        <v>1557</v>
      </c>
      <c r="L49" s="6" t="s">
        <v>1096</v>
      </c>
      <c r="M49" s="6" t="s">
        <v>83</v>
      </c>
    </row>
    <row r="50" customFormat="false" ht="90" hidden="false" customHeight="true" outlineLevel="0" collapsed="false">
      <c r="A50" s="134" t="s">
        <v>1110</v>
      </c>
      <c r="B50" s="134" t="s">
        <v>1111</v>
      </c>
      <c r="C50" s="135" t="s">
        <v>353</v>
      </c>
      <c r="D50" s="134" t="s">
        <v>1112</v>
      </c>
      <c r="E50" s="134" t="s">
        <v>154</v>
      </c>
      <c r="F50" s="134" t="s">
        <v>152</v>
      </c>
      <c r="G50" s="134" t="s">
        <v>152</v>
      </c>
      <c r="H50" s="134" t="n">
        <v>46</v>
      </c>
      <c r="I50" s="134" t="s">
        <v>1604</v>
      </c>
      <c r="J50" s="134" t="s">
        <v>287</v>
      </c>
      <c r="K50" s="134" t="s">
        <v>1605</v>
      </c>
      <c r="L50" s="134" t="s">
        <v>1113</v>
      </c>
      <c r="M50" s="134" t="s">
        <v>83</v>
      </c>
    </row>
  </sheetData>
  <autoFilter ref="A4:M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V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22"/>
    <col collapsed="false" customWidth="true" hidden="false" outlineLevel="0" max="4" min="4" style="0" width="10"/>
    <col collapsed="false" customWidth="true" hidden="false" outlineLevel="0" max="5" min="5" style="0" width="18"/>
    <col collapsed="false" customWidth="true" hidden="false" outlineLevel="0" max="6" min="6" style="0" width="40"/>
    <col collapsed="false" customWidth="true" hidden="false" outlineLevel="0" max="7" min="7" style="0" width="60"/>
    <col collapsed="false" customWidth="true" hidden="false" outlineLevel="0" max="8" min="8" style="0" width="36"/>
    <col collapsed="false" customWidth="true" hidden="false" outlineLevel="0" max="9" min="9" style="0" width="50"/>
    <col collapsed="false" customWidth="true" hidden="false" outlineLevel="0" max="10" min="10" style="0" width="18"/>
    <col collapsed="false" customWidth="true" hidden="false" outlineLevel="0" max="11" min="11" style="0" width="14"/>
    <col collapsed="false" customWidth="true" hidden="false" outlineLevel="0" max="12" min="12" style="0" width="22"/>
    <col collapsed="false" customWidth="true" hidden="false" outlineLevel="0" max="13" min="13" style="0" width="36"/>
    <col collapsed="false" customWidth="true" hidden="false" outlineLevel="0" max="15" min="14" style="0" width="40"/>
    <col collapsed="false" customWidth="true" hidden="false" outlineLevel="0" max="16" min="16" style="0" width="20"/>
    <col collapsed="false" customWidth="true" hidden="false" outlineLevel="0" max="18" min="17" style="0" width="34"/>
    <col collapsed="false" customWidth="true" hidden="false" outlineLevel="0" max="19" min="19" style="0" width="26"/>
    <col collapsed="false" customWidth="true" hidden="false" outlineLevel="0" max="20" min="20" style="0" width="22"/>
    <col collapsed="false" customWidth="true" hidden="false" outlineLevel="0" max="21" min="21" style="0" width="26"/>
    <col collapsed="false" customWidth="true" hidden="false" outlineLevel="0" max="22" min="22" style="0" width="9"/>
  </cols>
  <sheetData>
    <row r="1" customFormat="false" ht="30" hidden="false" customHeight="true" outlineLevel="0" collapsed="false">
      <c r="A1" s="136" t="s">
        <v>1606</v>
      </c>
      <c r="B1" s="137"/>
      <c r="C1" s="137"/>
      <c r="D1" s="137"/>
      <c r="E1" s="137"/>
      <c r="F1" s="137"/>
      <c r="G1" s="137"/>
      <c r="H1" s="137"/>
      <c r="I1" s="137"/>
      <c r="J1" s="137"/>
      <c r="K1" s="137"/>
      <c r="L1" s="137"/>
      <c r="M1" s="137"/>
      <c r="N1" s="137"/>
      <c r="O1" s="137"/>
      <c r="P1" s="137"/>
      <c r="Q1" s="137"/>
      <c r="R1" s="137"/>
      <c r="S1" s="137"/>
      <c r="T1" s="137"/>
      <c r="U1" s="137"/>
      <c r="V1" s="137"/>
    </row>
    <row r="2" customFormat="false" ht="15" hidden="false" customHeight="false" outlineLevel="0" collapsed="false">
      <c r="A2" s="3" t="s">
        <v>1607</v>
      </c>
    </row>
    <row r="4" customFormat="false" ht="23.85" hidden="false" customHeight="false" outlineLevel="0" collapsed="false">
      <c r="A4" s="138" t="s">
        <v>1608</v>
      </c>
      <c r="B4" s="138" t="s">
        <v>1609</v>
      </c>
      <c r="C4" s="138" t="s">
        <v>1610</v>
      </c>
      <c r="D4" s="138" t="s">
        <v>1611</v>
      </c>
      <c r="E4" s="138" t="s">
        <v>1612</v>
      </c>
      <c r="F4" s="138" t="s">
        <v>1613</v>
      </c>
      <c r="G4" s="138" t="s">
        <v>1614</v>
      </c>
      <c r="H4" s="138" t="s">
        <v>229</v>
      </c>
      <c r="I4" s="138" t="s">
        <v>1615</v>
      </c>
      <c r="J4" s="138" t="s">
        <v>1616</v>
      </c>
      <c r="K4" s="138" t="s">
        <v>1617</v>
      </c>
      <c r="L4" s="138" t="s">
        <v>1618</v>
      </c>
      <c r="M4" s="138" t="s">
        <v>1619</v>
      </c>
      <c r="N4" s="138" t="s">
        <v>234</v>
      </c>
      <c r="O4" s="138" t="s">
        <v>1620</v>
      </c>
      <c r="P4" s="138" t="s">
        <v>232</v>
      </c>
      <c r="Q4" s="138" t="s">
        <v>1621</v>
      </c>
      <c r="R4" s="138" t="s">
        <v>1622</v>
      </c>
      <c r="S4" s="138" t="s">
        <v>236</v>
      </c>
      <c r="T4" s="138" t="s">
        <v>237</v>
      </c>
      <c r="U4" s="138" t="s">
        <v>238</v>
      </c>
      <c r="V4" s="138" t="s">
        <v>1623</v>
      </c>
    </row>
    <row r="5" customFormat="false" ht="120" hidden="false" customHeight="true" outlineLevel="0" collapsed="false">
      <c r="A5" s="6" t="s">
        <v>1624</v>
      </c>
      <c r="B5" s="6" t="s">
        <v>1625</v>
      </c>
      <c r="C5" s="6" t="s">
        <v>1626</v>
      </c>
      <c r="D5" s="6" t="s">
        <v>1627</v>
      </c>
      <c r="E5" s="6" t="s">
        <v>1628</v>
      </c>
      <c r="F5" s="6" t="s">
        <v>1629</v>
      </c>
      <c r="G5" s="6" t="s">
        <v>1630</v>
      </c>
      <c r="H5" s="6" t="s">
        <v>1631</v>
      </c>
      <c r="I5" s="6" t="s">
        <v>1632</v>
      </c>
      <c r="J5" s="6" t="s">
        <v>1633</v>
      </c>
      <c r="K5" s="6" t="s">
        <v>1634</v>
      </c>
      <c r="L5" s="6" t="s">
        <v>291</v>
      </c>
      <c r="M5" s="6" t="s">
        <v>1635</v>
      </c>
      <c r="N5" s="6" t="s">
        <v>1636</v>
      </c>
      <c r="O5" s="6" t="s">
        <v>1637</v>
      </c>
      <c r="P5" s="6" t="s">
        <v>1638</v>
      </c>
      <c r="Q5" s="6" t="s">
        <v>1639</v>
      </c>
      <c r="R5" s="6" t="s">
        <v>1640</v>
      </c>
      <c r="S5" s="6" t="s">
        <v>1641</v>
      </c>
      <c r="T5" s="6" t="s">
        <v>1642</v>
      </c>
      <c r="U5" s="6" t="s">
        <v>1643</v>
      </c>
      <c r="V5" s="6" t="n">
        <v>33</v>
      </c>
    </row>
    <row r="6" customFormat="false" ht="120" hidden="false" customHeight="true" outlineLevel="0" collapsed="false">
      <c r="A6" s="139" t="s">
        <v>1644</v>
      </c>
      <c r="B6" s="139" t="s">
        <v>1645</v>
      </c>
      <c r="C6" s="139" t="s">
        <v>1626</v>
      </c>
      <c r="D6" s="139" t="s">
        <v>1627</v>
      </c>
      <c r="E6" s="139" t="s">
        <v>1646</v>
      </c>
      <c r="F6" s="139" t="s">
        <v>1647</v>
      </c>
      <c r="G6" s="139" t="s">
        <v>1648</v>
      </c>
      <c r="H6" s="139" t="s">
        <v>1649</v>
      </c>
      <c r="I6" s="139" t="s">
        <v>1650</v>
      </c>
      <c r="J6" s="139" t="s">
        <v>1651</v>
      </c>
      <c r="K6" s="139" t="s">
        <v>1634</v>
      </c>
      <c r="L6" s="139" t="s">
        <v>1652</v>
      </c>
      <c r="M6" s="139" t="s">
        <v>1653</v>
      </c>
      <c r="N6" s="139" t="s">
        <v>1654</v>
      </c>
      <c r="O6" s="139" t="s">
        <v>1655</v>
      </c>
      <c r="P6" s="139" t="s">
        <v>1656</v>
      </c>
      <c r="Q6" s="139" t="s">
        <v>1657</v>
      </c>
      <c r="R6" s="139" t="s">
        <v>1658</v>
      </c>
      <c r="S6" s="139" t="s">
        <v>1659</v>
      </c>
      <c r="T6" s="139" t="s">
        <v>1660</v>
      </c>
      <c r="U6" s="139" t="s">
        <v>1661</v>
      </c>
      <c r="V6" s="139" t="n">
        <v>16</v>
      </c>
    </row>
    <row r="7" customFormat="false" ht="120" hidden="false" customHeight="true" outlineLevel="0" collapsed="false">
      <c r="A7" s="6" t="s">
        <v>1662</v>
      </c>
      <c r="B7" s="6" t="s">
        <v>1663</v>
      </c>
      <c r="C7" s="6" t="s">
        <v>1626</v>
      </c>
      <c r="D7" s="6" t="s">
        <v>1664</v>
      </c>
      <c r="E7" s="6" t="s">
        <v>1665</v>
      </c>
      <c r="F7" s="6" t="s">
        <v>1666</v>
      </c>
      <c r="G7" s="6" t="s">
        <v>1667</v>
      </c>
      <c r="H7" s="6" t="s">
        <v>1668</v>
      </c>
      <c r="I7" s="6" t="s">
        <v>1669</v>
      </c>
      <c r="J7" s="6" t="s">
        <v>1670</v>
      </c>
      <c r="K7" s="6" t="s">
        <v>1634</v>
      </c>
      <c r="L7" s="6" t="s">
        <v>1652</v>
      </c>
      <c r="M7" s="6" t="s">
        <v>1653</v>
      </c>
      <c r="N7" s="6" t="s">
        <v>1654</v>
      </c>
      <c r="O7" s="6" t="s">
        <v>1655</v>
      </c>
      <c r="P7" s="6" t="s">
        <v>1656</v>
      </c>
      <c r="Q7" s="6" t="s">
        <v>1657</v>
      </c>
      <c r="R7" s="6" t="s">
        <v>1671</v>
      </c>
      <c r="S7" s="6" t="s">
        <v>1672</v>
      </c>
      <c r="T7" s="6" t="s">
        <v>1673</v>
      </c>
      <c r="U7" s="6" t="s">
        <v>1661</v>
      </c>
      <c r="V7" s="6" t="n">
        <v>6</v>
      </c>
    </row>
    <row r="8" customFormat="false" ht="120" hidden="false" customHeight="true" outlineLevel="0" collapsed="false">
      <c r="A8" s="139" t="s">
        <v>339</v>
      </c>
      <c r="B8" s="139" t="s">
        <v>1674</v>
      </c>
      <c r="C8" s="139" t="s">
        <v>1626</v>
      </c>
      <c r="D8" s="139" t="s">
        <v>1664</v>
      </c>
      <c r="E8" s="139" t="s">
        <v>1675</v>
      </c>
      <c r="F8" s="139" t="s">
        <v>1676</v>
      </c>
      <c r="G8" s="139" t="s">
        <v>1677</v>
      </c>
      <c r="H8" s="139" t="s">
        <v>1678</v>
      </c>
      <c r="I8" s="139" t="s">
        <v>1679</v>
      </c>
      <c r="J8" s="139" t="s">
        <v>1680</v>
      </c>
      <c r="K8" s="139" t="s">
        <v>1634</v>
      </c>
      <c r="L8" s="139" t="s">
        <v>1681</v>
      </c>
      <c r="M8" s="139" t="s">
        <v>1682</v>
      </c>
      <c r="N8" s="139" t="s">
        <v>1683</v>
      </c>
      <c r="O8" s="139" t="s">
        <v>1684</v>
      </c>
      <c r="P8" s="139" t="s">
        <v>1685</v>
      </c>
      <c r="Q8" s="139" t="s">
        <v>1686</v>
      </c>
      <c r="R8" s="139" t="s">
        <v>1687</v>
      </c>
      <c r="S8" s="139" t="s">
        <v>1688</v>
      </c>
      <c r="T8" s="139" t="s">
        <v>1689</v>
      </c>
      <c r="U8" s="139" t="s">
        <v>1690</v>
      </c>
      <c r="V8" s="139" t="n">
        <v>18</v>
      </c>
    </row>
    <row r="9" customFormat="false" ht="120" hidden="false" customHeight="true" outlineLevel="0" collapsed="false">
      <c r="A9" s="6" t="s">
        <v>1691</v>
      </c>
      <c r="B9" s="6" t="s">
        <v>1692</v>
      </c>
      <c r="C9" s="6" t="s">
        <v>1693</v>
      </c>
      <c r="D9" s="6" t="s">
        <v>1627</v>
      </c>
      <c r="E9" s="6" t="s">
        <v>1694</v>
      </c>
      <c r="F9" s="6" t="s">
        <v>1695</v>
      </c>
      <c r="G9" s="6" t="s">
        <v>1696</v>
      </c>
      <c r="H9" s="6" t="s">
        <v>1697</v>
      </c>
      <c r="I9" s="6" t="s">
        <v>1698</v>
      </c>
      <c r="J9" s="6" t="s">
        <v>1699</v>
      </c>
      <c r="K9" s="6" t="s">
        <v>1700</v>
      </c>
      <c r="L9" s="6" t="s">
        <v>1306</v>
      </c>
      <c r="M9" s="6" t="s">
        <v>1701</v>
      </c>
      <c r="N9" s="6" t="s">
        <v>1702</v>
      </c>
      <c r="O9" s="6" t="s">
        <v>1703</v>
      </c>
      <c r="P9" s="6" t="s">
        <v>1704</v>
      </c>
      <c r="Q9" s="6" t="s">
        <v>1705</v>
      </c>
      <c r="R9" s="6" t="s">
        <v>1706</v>
      </c>
      <c r="S9" s="6" t="s">
        <v>1707</v>
      </c>
      <c r="T9" s="6" t="s">
        <v>1708</v>
      </c>
      <c r="U9" s="6" t="s">
        <v>1709</v>
      </c>
      <c r="V9" s="6" t="n">
        <v>52</v>
      </c>
    </row>
    <row r="10" customFormat="false" ht="120" hidden="false" customHeight="true" outlineLevel="0" collapsed="false">
      <c r="A10" s="139" t="s">
        <v>1710</v>
      </c>
      <c r="B10" s="139" t="s">
        <v>1711</v>
      </c>
      <c r="C10" s="139" t="s">
        <v>1712</v>
      </c>
      <c r="D10" s="139" t="s">
        <v>1627</v>
      </c>
      <c r="E10" s="139" t="s">
        <v>1713</v>
      </c>
      <c r="F10" s="139" t="s">
        <v>1714</v>
      </c>
      <c r="G10" s="139" t="s">
        <v>1715</v>
      </c>
      <c r="H10" s="139" t="s">
        <v>1716</v>
      </c>
      <c r="I10" s="139" t="s">
        <v>1717</v>
      </c>
      <c r="J10" s="139" t="s">
        <v>1718</v>
      </c>
      <c r="K10" s="139" t="s">
        <v>1634</v>
      </c>
      <c r="L10" s="139" t="s">
        <v>1719</v>
      </c>
      <c r="M10" s="139" t="s">
        <v>1720</v>
      </c>
      <c r="N10" s="139" t="s">
        <v>1721</v>
      </c>
      <c r="O10" s="139" t="s">
        <v>1722</v>
      </c>
      <c r="P10" s="139" t="s">
        <v>1723</v>
      </c>
      <c r="Q10" s="139" t="s">
        <v>1724</v>
      </c>
      <c r="R10" s="139" t="s">
        <v>1725</v>
      </c>
      <c r="S10" s="139" t="s">
        <v>1726</v>
      </c>
      <c r="T10" s="139" t="s">
        <v>1727</v>
      </c>
      <c r="U10" s="139" t="s">
        <v>1728</v>
      </c>
      <c r="V10" s="139" t="n">
        <v>15</v>
      </c>
    </row>
    <row r="11" customFormat="false" ht="120" hidden="false" customHeight="true" outlineLevel="0" collapsed="false">
      <c r="A11" s="6" t="s">
        <v>1729</v>
      </c>
      <c r="B11" s="6" t="s">
        <v>1730</v>
      </c>
      <c r="C11" s="6" t="s">
        <v>1731</v>
      </c>
      <c r="D11" s="6" t="s">
        <v>1664</v>
      </c>
      <c r="E11" s="6" t="s">
        <v>1732</v>
      </c>
      <c r="F11" s="6" t="s">
        <v>1733</v>
      </c>
      <c r="G11" s="6" t="s">
        <v>1734</v>
      </c>
      <c r="H11" s="6" t="s">
        <v>1735</v>
      </c>
      <c r="I11" s="6" t="s">
        <v>1736</v>
      </c>
      <c r="J11" s="6" t="s">
        <v>1737</v>
      </c>
      <c r="K11" s="6" t="s">
        <v>1738</v>
      </c>
      <c r="L11" s="6" t="s">
        <v>464</v>
      </c>
      <c r="M11" s="6" t="s">
        <v>1739</v>
      </c>
      <c r="N11" s="6" t="s">
        <v>1740</v>
      </c>
      <c r="O11" s="6" t="s">
        <v>1741</v>
      </c>
      <c r="P11" s="6" t="s">
        <v>1742</v>
      </c>
      <c r="Q11" s="6" t="s">
        <v>1743</v>
      </c>
      <c r="R11" s="6" t="s">
        <v>1744</v>
      </c>
      <c r="S11" s="6" t="s">
        <v>1745</v>
      </c>
      <c r="T11" s="6" t="s">
        <v>1746</v>
      </c>
      <c r="U11" s="6" t="s">
        <v>1747</v>
      </c>
      <c r="V11" s="6" t="n">
        <v>15</v>
      </c>
    </row>
    <row r="12" customFormat="false" ht="120" hidden="false" customHeight="true" outlineLevel="0" collapsed="false">
      <c r="A12" s="139" t="s">
        <v>569</v>
      </c>
      <c r="B12" s="139" t="s">
        <v>1748</v>
      </c>
      <c r="C12" s="139" t="s">
        <v>1749</v>
      </c>
      <c r="D12" s="139" t="s">
        <v>1627</v>
      </c>
      <c r="E12" s="139" t="s">
        <v>1628</v>
      </c>
      <c r="F12" s="139" t="s">
        <v>1750</v>
      </c>
      <c r="G12" s="139" t="s">
        <v>1751</v>
      </c>
      <c r="H12" s="139" t="s">
        <v>1752</v>
      </c>
      <c r="I12" s="139" t="s">
        <v>1753</v>
      </c>
      <c r="J12" s="139" t="s">
        <v>1633</v>
      </c>
      <c r="K12" s="139" t="s">
        <v>1754</v>
      </c>
      <c r="L12" s="139" t="s">
        <v>1755</v>
      </c>
      <c r="M12" s="139" t="s">
        <v>1756</v>
      </c>
      <c r="N12" s="139" t="s">
        <v>1757</v>
      </c>
      <c r="O12" s="139" t="s">
        <v>1758</v>
      </c>
      <c r="P12" s="139" t="s">
        <v>1759</v>
      </c>
      <c r="Q12" s="139" t="s">
        <v>1760</v>
      </c>
      <c r="R12" s="139" t="s">
        <v>1761</v>
      </c>
      <c r="S12" s="139" t="s">
        <v>1762</v>
      </c>
      <c r="T12" s="139" t="s">
        <v>1763</v>
      </c>
      <c r="U12" s="139" t="s">
        <v>1764</v>
      </c>
      <c r="V12" s="139" t="n">
        <v>23</v>
      </c>
    </row>
    <row r="13" customFormat="false" ht="120" hidden="false" customHeight="true" outlineLevel="0" collapsed="false">
      <c r="A13" s="6" t="s">
        <v>1765</v>
      </c>
      <c r="B13" s="6" t="s">
        <v>1766</v>
      </c>
      <c r="C13" s="6" t="s">
        <v>1749</v>
      </c>
      <c r="D13" s="6" t="s">
        <v>1664</v>
      </c>
      <c r="E13" s="6" t="s">
        <v>1628</v>
      </c>
      <c r="F13" s="6" t="s">
        <v>1767</v>
      </c>
      <c r="G13" s="6" t="s">
        <v>1768</v>
      </c>
      <c r="H13" s="6" t="s">
        <v>1769</v>
      </c>
      <c r="I13" s="6" t="s">
        <v>1770</v>
      </c>
      <c r="J13" s="6" t="s">
        <v>1771</v>
      </c>
      <c r="K13" s="6" t="s">
        <v>1754</v>
      </c>
      <c r="L13" s="6" t="s">
        <v>443</v>
      </c>
      <c r="M13" s="6" t="s">
        <v>1772</v>
      </c>
      <c r="N13" s="6" t="s">
        <v>1773</v>
      </c>
      <c r="O13" s="6" t="s">
        <v>1758</v>
      </c>
      <c r="P13" s="6" t="s">
        <v>1774</v>
      </c>
      <c r="Q13" s="6" t="s">
        <v>1775</v>
      </c>
      <c r="R13" s="6" t="s">
        <v>1776</v>
      </c>
      <c r="S13" s="6" t="s">
        <v>1777</v>
      </c>
      <c r="T13" s="6" t="s">
        <v>1778</v>
      </c>
      <c r="U13" s="6" t="s">
        <v>1779</v>
      </c>
      <c r="V13" s="6" t="n">
        <v>22</v>
      </c>
    </row>
    <row r="14" customFormat="false" ht="120" hidden="false" customHeight="true" outlineLevel="0" collapsed="false">
      <c r="A14" s="139" t="s">
        <v>1780</v>
      </c>
      <c r="B14" s="139" t="s">
        <v>1781</v>
      </c>
      <c r="C14" s="139" t="s">
        <v>1626</v>
      </c>
      <c r="D14" s="139" t="s">
        <v>1664</v>
      </c>
      <c r="E14" s="139" t="s">
        <v>1646</v>
      </c>
      <c r="F14" s="139" t="s">
        <v>1782</v>
      </c>
      <c r="G14" s="139" t="s">
        <v>1783</v>
      </c>
      <c r="H14" s="139" t="s">
        <v>1784</v>
      </c>
      <c r="I14" s="139" t="s">
        <v>1785</v>
      </c>
      <c r="J14" s="139" t="s">
        <v>1651</v>
      </c>
      <c r="K14" s="139" t="s">
        <v>1634</v>
      </c>
      <c r="L14" s="139" t="s">
        <v>1786</v>
      </c>
      <c r="M14" s="139" t="s">
        <v>1653</v>
      </c>
      <c r="N14" s="139" t="s">
        <v>1654</v>
      </c>
      <c r="O14" s="139" t="s">
        <v>1655</v>
      </c>
      <c r="P14" s="139" t="s">
        <v>1787</v>
      </c>
      <c r="Q14" s="139" t="s">
        <v>1788</v>
      </c>
      <c r="R14" s="139" t="s">
        <v>1789</v>
      </c>
      <c r="S14" s="139" t="s">
        <v>1790</v>
      </c>
      <c r="T14" s="139" t="s">
        <v>1673</v>
      </c>
      <c r="U14" s="139" t="s">
        <v>1791</v>
      </c>
      <c r="V14" s="139" t="n">
        <v>28</v>
      </c>
    </row>
    <row r="15" customFormat="false" ht="120" hidden="false" customHeight="true" outlineLevel="0" collapsed="false">
      <c r="A15" s="6" t="s">
        <v>849</v>
      </c>
      <c r="B15" s="6" t="s">
        <v>1792</v>
      </c>
      <c r="C15" s="6" t="s">
        <v>1731</v>
      </c>
      <c r="D15" s="6" t="s">
        <v>1627</v>
      </c>
      <c r="E15" s="6" t="s">
        <v>1732</v>
      </c>
      <c r="F15" s="6" t="s">
        <v>1793</v>
      </c>
      <c r="G15" s="6" t="s">
        <v>1794</v>
      </c>
      <c r="H15" s="6" t="s">
        <v>1795</v>
      </c>
      <c r="I15" s="6" t="s">
        <v>1796</v>
      </c>
      <c r="J15" s="6" t="s">
        <v>1797</v>
      </c>
      <c r="K15" s="6" t="s">
        <v>1634</v>
      </c>
      <c r="L15" s="6" t="s">
        <v>1798</v>
      </c>
      <c r="M15" s="6" t="s">
        <v>1799</v>
      </c>
      <c r="N15" s="6" t="s">
        <v>1800</v>
      </c>
      <c r="O15" s="6" t="s">
        <v>1801</v>
      </c>
      <c r="P15" s="6" t="s">
        <v>1802</v>
      </c>
      <c r="Q15" s="6" t="s">
        <v>1803</v>
      </c>
      <c r="R15" s="6" t="s">
        <v>1804</v>
      </c>
      <c r="S15" s="6" t="s">
        <v>1805</v>
      </c>
      <c r="T15" s="6" t="s">
        <v>1806</v>
      </c>
      <c r="U15" s="6" t="s">
        <v>1807</v>
      </c>
      <c r="V15" s="6" t="n">
        <v>19</v>
      </c>
    </row>
    <row r="16" customFormat="false" ht="120" hidden="false" customHeight="true" outlineLevel="0" collapsed="false">
      <c r="A16" s="139" t="s">
        <v>931</v>
      </c>
      <c r="B16" s="139" t="s">
        <v>1808</v>
      </c>
      <c r="C16" s="139" t="s">
        <v>1731</v>
      </c>
      <c r="D16" s="139" t="s">
        <v>1627</v>
      </c>
      <c r="E16" s="139" t="s">
        <v>1628</v>
      </c>
      <c r="F16" s="139" t="s">
        <v>1809</v>
      </c>
      <c r="G16" s="139" t="s">
        <v>1810</v>
      </c>
      <c r="H16" s="139" t="s">
        <v>1811</v>
      </c>
      <c r="I16" s="139" t="s">
        <v>1812</v>
      </c>
      <c r="J16" s="139" t="s">
        <v>1813</v>
      </c>
      <c r="K16" s="139" t="s">
        <v>1814</v>
      </c>
      <c r="L16" s="139" t="s">
        <v>1815</v>
      </c>
      <c r="M16" s="139" t="s">
        <v>1816</v>
      </c>
      <c r="N16" s="139" t="s">
        <v>1817</v>
      </c>
      <c r="O16" s="139" t="s">
        <v>1818</v>
      </c>
      <c r="P16" s="139" t="s">
        <v>1819</v>
      </c>
      <c r="Q16" s="139" t="s">
        <v>1820</v>
      </c>
      <c r="R16" s="139" t="s">
        <v>1821</v>
      </c>
      <c r="S16" s="139" t="s">
        <v>1822</v>
      </c>
      <c r="T16" s="139" t="s">
        <v>1823</v>
      </c>
      <c r="U16" s="139" t="s">
        <v>1824</v>
      </c>
      <c r="V16" s="139" t="n">
        <v>8</v>
      </c>
    </row>
    <row r="17" customFormat="false" ht="120" hidden="false" customHeight="true" outlineLevel="0" collapsed="false">
      <c r="A17" s="6" t="s">
        <v>1825</v>
      </c>
      <c r="B17" s="6" t="s">
        <v>1826</v>
      </c>
      <c r="C17" s="6" t="s">
        <v>1731</v>
      </c>
      <c r="D17" s="6" t="s">
        <v>1627</v>
      </c>
      <c r="E17" s="6" t="s">
        <v>1827</v>
      </c>
      <c r="F17" s="6" t="s">
        <v>1828</v>
      </c>
      <c r="G17" s="6" t="s">
        <v>1829</v>
      </c>
      <c r="H17" s="6" t="s">
        <v>1830</v>
      </c>
      <c r="I17" s="6" t="s">
        <v>1831</v>
      </c>
      <c r="J17" s="6" t="s">
        <v>1832</v>
      </c>
      <c r="K17" s="6" t="s">
        <v>1833</v>
      </c>
      <c r="L17" s="6" t="s">
        <v>1834</v>
      </c>
      <c r="M17" s="6" t="s">
        <v>1653</v>
      </c>
      <c r="N17" s="6" t="s">
        <v>1654</v>
      </c>
      <c r="O17" s="6" t="s">
        <v>1835</v>
      </c>
      <c r="P17" s="6" t="s">
        <v>1836</v>
      </c>
      <c r="Q17" s="6" t="s">
        <v>1837</v>
      </c>
      <c r="R17" s="6" t="s">
        <v>1838</v>
      </c>
      <c r="S17" s="6" t="s">
        <v>1839</v>
      </c>
      <c r="T17" s="6" t="s">
        <v>1660</v>
      </c>
      <c r="U17" s="6" t="s">
        <v>1840</v>
      </c>
      <c r="V17" s="6" t="n">
        <v>41</v>
      </c>
    </row>
    <row r="18" customFormat="false" ht="120" hidden="false" customHeight="true" outlineLevel="0" collapsed="false">
      <c r="A18" s="139" t="s">
        <v>884</v>
      </c>
      <c r="B18" s="139" t="s">
        <v>1841</v>
      </c>
      <c r="C18" s="139" t="s">
        <v>1731</v>
      </c>
      <c r="D18" s="139" t="s">
        <v>1627</v>
      </c>
      <c r="E18" s="139" t="s">
        <v>1842</v>
      </c>
      <c r="F18" s="139" t="s">
        <v>1843</v>
      </c>
      <c r="G18" s="139" t="s">
        <v>1844</v>
      </c>
      <c r="H18" s="139" t="s">
        <v>1845</v>
      </c>
      <c r="I18" s="139" t="s">
        <v>1846</v>
      </c>
      <c r="J18" s="139" t="s">
        <v>1847</v>
      </c>
      <c r="K18" s="139" t="s">
        <v>1738</v>
      </c>
      <c r="L18" s="139" t="s">
        <v>1848</v>
      </c>
      <c r="M18" s="139" t="s">
        <v>1635</v>
      </c>
      <c r="N18" s="139" t="s">
        <v>1849</v>
      </c>
      <c r="O18" s="139" t="s">
        <v>1850</v>
      </c>
      <c r="P18" s="139" t="s">
        <v>1851</v>
      </c>
      <c r="Q18" s="139" t="s">
        <v>1852</v>
      </c>
      <c r="R18" s="139" t="s">
        <v>1853</v>
      </c>
      <c r="S18" s="139" t="s">
        <v>1854</v>
      </c>
      <c r="T18" s="139" t="s">
        <v>1855</v>
      </c>
      <c r="U18" s="139" t="s">
        <v>1856</v>
      </c>
      <c r="V18" s="139" t="n">
        <v>25</v>
      </c>
    </row>
    <row r="19" customFormat="false" ht="120" hidden="false" customHeight="true" outlineLevel="0" collapsed="false">
      <c r="A19" s="6" t="s">
        <v>1857</v>
      </c>
      <c r="B19" s="6" t="s">
        <v>1858</v>
      </c>
      <c r="C19" s="6" t="s">
        <v>1859</v>
      </c>
      <c r="D19" s="6" t="s">
        <v>1627</v>
      </c>
      <c r="E19" s="6" t="s">
        <v>1860</v>
      </c>
      <c r="F19" s="6" t="s">
        <v>1861</v>
      </c>
      <c r="G19" s="6" t="s">
        <v>1862</v>
      </c>
      <c r="H19" s="6" t="s">
        <v>1863</v>
      </c>
      <c r="I19" s="6" t="s">
        <v>1864</v>
      </c>
      <c r="J19" s="6" t="s">
        <v>1865</v>
      </c>
      <c r="K19" s="6" t="s">
        <v>1754</v>
      </c>
      <c r="L19" s="6" t="s">
        <v>1866</v>
      </c>
      <c r="M19" s="6" t="s">
        <v>1867</v>
      </c>
      <c r="N19" s="6" t="s">
        <v>1868</v>
      </c>
      <c r="O19" s="6" t="s">
        <v>1869</v>
      </c>
      <c r="P19" s="6" t="s">
        <v>1870</v>
      </c>
      <c r="Q19" s="6" t="s">
        <v>1871</v>
      </c>
      <c r="R19" s="6" t="s">
        <v>1872</v>
      </c>
      <c r="S19" s="6" t="s">
        <v>1873</v>
      </c>
      <c r="T19" s="6" t="s">
        <v>1874</v>
      </c>
      <c r="U19" s="6" t="s">
        <v>1875</v>
      </c>
      <c r="V19" s="6" t="n">
        <v>44</v>
      </c>
    </row>
    <row r="20" customFormat="false" ht="120" hidden="false" customHeight="true" outlineLevel="0" collapsed="false">
      <c r="A20" s="139" t="s">
        <v>1876</v>
      </c>
      <c r="B20" s="139" t="s">
        <v>1877</v>
      </c>
      <c r="C20" s="139" t="s">
        <v>1859</v>
      </c>
      <c r="D20" s="139" t="s">
        <v>1627</v>
      </c>
      <c r="E20" s="139" t="s">
        <v>1860</v>
      </c>
      <c r="F20" s="139" t="s">
        <v>1878</v>
      </c>
      <c r="G20" s="139" t="s">
        <v>1879</v>
      </c>
      <c r="H20" s="139" t="s">
        <v>1880</v>
      </c>
      <c r="I20" s="139" t="s">
        <v>1881</v>
      </c>
      <c r="J20" s="139" t="s">
        <v>1865</v>
      </c>
      <c r="K20" s="139" t="s">
        <v>1634</v>
      </c>
      <c r="L20" s="139" t="s">
        <v>1882</v>
      </c>
      <c r="M20" s="139" t="s">
        <v>1883</v>
      </c>
      <c r="N20" s="139" t="s">
        <v>1884</v>
      </c>
      <c r="O20" s="139" t="s">
        <v>1885</v>
      </c>
      <c r="P20" s="139" t="s">
        <v>1704</v>
      </c>
      <c r="Q20" s="139" t="s">
        <v>1886</v>
      </c>
      <c r="R20" s="139" t="s">
        <v>1887</v>
      </c>
      <c r="S20" s="139" t="s">
        <v>1873</v>
      </c>
      <c r="T20" s="139" t="s">
        <v>1874</v>
      </c>
      <c r="U20" s="139" t="s">
        <v>1888</v>
      </c>
      <c r="V20" s="139" t="n">
        <v>51</v>
      </c>
    </row>
    <row r="21" customFormat="false" ht="120" hidden="false" customHeight="true" outlineLevel="0" collapsed="false">
      <c r="A21" s="6" t="s">
        <v>608</v>
      </c>
      <c r="B21" s="6" t="s">
        <v>1889</v>
      </c>
      <c r="C21" s="6" t="s">
        <v>1890</v>
      </c>
      <c r="D21" s="6" t="s">
        <v>1627</v>
      </c>
      <c r="E21" s="6" t="s">
        <v>1860</v>
      </c>
      <c r="F21" s="6" t="s">
        <v>1891</v>
      </c>
      <c r="G21" s="6" t="s">
        <v>1892</v>
      </c>
      <c r="H21" s="6" t="s">
        <v>1893</v>
      </c>
      <c r="I21" s="6" t="s">
        <v>1894</v>
      </c>
      <c r="J21" s="6" t="s">
        <v>1895</v>
      </c>
      <c r="K21" s="6" t="s">
        <v>1754</v>
      </c>
      <c r="L21" s="6" t="s">
        <v>1896</v>
      </c>
      <c r="M21" s="6" t="s">
        <v>1653</v>
      </c>
      <c r="N21" s="6" t="s">
        <v>1897</v>
      </c>
      <c r="O21" s="6" t="s">
        <v>1898</v>
      </c>
      <c r="P21" s="6" t="s">
        <v>1899</v>
      </c>
      <c r="Q21" s="6" t="s">
        <v>1900</v>
      </c>
      <c r="R21" s="6" t="s">
        <v>1901</v>
      </c>
      <c r="S21" s="6" t="s">
        <v>1902</v>
      </c>
      <c r="T21" s="6" t="s">
        <v>1660</v>
      </c>
      <c r="U21" s="6" t="s">
        <v>1903</v>
      </c>
      <c r="V21" s="6" t="n">
        <v>34</v>
      </c>
    </row>
    <row r="22" customFormat="false" ht="120" hidden="false" customHeight="true" outlineLevel="0" collapsed="false">
      <c r="A22" s="139" t="s">
        <v>1904</v>
      </c>
      <c r="B22" s="139" t="s">
        <v>1905</v>
      </c>
      <c r="C22" s="139" t="s">
        <v>1890</v>
      </c>
      <c r="D22" s="139" t="s">
        <v>1627</v>
      </c>
      <c r="E22" s="139" t="s">
        <v>1906</v>
      </c>
      <c r="F22" s="139" t="s">
        <v>1907</v>
      </c>
      <c r="G22" s="139" t="s">
        <v>1908</v>
      </c>
      <c r="H22" s="139" t="s">
        <v>1909</v>
      </c>
      <c r="I22" s="139" t="s">
        <v>1910</v>
      </c>
      <c r="J22" s="139" t="s">
        <v>1911</v>
      </c>
      <c r="K22" s="139" t="s">
        <v>1634</v>
      </c>
      <c r="L22" s="139" t="s">
        <v>375</v>
      </c>
      <c r="M22" s="139" t="s">
        <v>1912</v>
      </c>
      <c r="N22" s="139" t="s">
        <v>1913</v>
      </c>
      <c r="O22" s="139" t="s">
        <v>1914</v>
      </c>
      <c r="P22" s="139" t="s">
        <v>1899</v>
      </c>
      <c r="Q22" s="139" t="s">
        <v>1915</v>
      </c>
      <c r="R22" s="139" t="s">
        <v>1916</v>
      </c>
      <c r="S22" s="139" t="s">
        <v>1917</v>
      </c>
      <c r="T22" s="139" t="s">
        <v>1918</v>
      </c>
      <c r="U22" s="139" t="s">
        <v>1888</v>
      </c>
      <c r="V22" s="139" t="n">
        <v>10</v>
      </c>
    </row>
    <row r="23" customFormat="false" ht="120" hidden="false" customHeight="true" outlineLevel="0" collapsed="false">
      <c r="A23" s="6" t="s">
        <v>1919</v>
      </c>
      <c r="B23" s="6" t="s">
        <v>1920</v>
      </c>
      <c r="C23" s="6" t="s">
        <v>1890</v>
      </c>
      <c r="D23" s="6" t="s">
        <v>1664</v>
      </c>
      <c r="E23" s="6" t="s">
        <v>1906</v>
      </c>
      <c r="F23" s="6" t="s">
        <v>1921</v>
      </c>
      <c r="G23" s="6" t="s">
        <v>1922</v>
      </c>
      <c r="H23" s="6" t="s">
        <v>1923</v>
      </c>
      <c r="I23" s="6" t="s">
        <v>1924</v>
      </c>
      <c r="J23" s="6" t="s">
        <v>1911</v>
      </c>
      <c r="K23" s="6" t="s">
        <v>1634</v>
      </c>
      <c r="L23" s="6" t="s">
        <v>1925</v>
      </c>
      <c r="M23" s="6" t="s">
        <v>1926</v>
      </c>
      <c r="N23" s="6" t="s">
        <v>1927</v>
      </c>
      <c r="O23" s="6" t="s">
        <v>1928</v>
      </c>
      <c r="P23" s="6" t="s">
        <v>1929</v>
      </c>
      <c r="Q23" s="6" t="s">
        <v>1930</v>
      </c>
      <c r="R23" s="6" t="s">
        <v>1931</v>
      </c>
      <c r="S23" s="6" t="s">
        <v>1672</v>
      </c>
      <c r="T23" s="6" t="s">
        <v>1932</v>
      </c>
      <c r="U23" s="6" t="s">
        <v>1933</v>
      </c>
      <c r="V23" s="6" t="n">
        <v>15</v>
      </c>
    </row>
    <row r="24" customFormat="false" ht="120" hidden="false" customHeight="true" outlineLevel="0" collapsed="false">
      <c r="A24" s="139" t="s">
        <v>1934</v>
      </c>
      <c r="B24" s="139" t="s">
        <v>1935</v>
      </c>
      <c r="C24" s="139" t="s">
        <v>1693</v>
      </c>
      <c r="D24" s="139" t="s">
        <v>1627</v>
      </c>
      <c r="E24" s="139" t="s">
        <v>1936</v>
      </c>
      <c r="F24" s="139" t="s">
        <v>1937</v>
      </c>
      <c r="G24" s="139" t="s">
        <v>1938</v>
      </c>
      <c r="H24" s="139" t="s">
        <v>1939</v>
      </c>
      <c r="I24" s="139" t="s">
        <v>1940</v>
      </c>
      <c r="J24" s="139" t="s">
        <v>1699</v>
      </c>
      <c r="K24" s="139" t="s">
        <v>1700</v>
      </c>
      <c r="L24" s="139" t="s">
        <v>1941</v>
      </c>
      <c r="M24" s="139" t="s">
        <v>1942</v>
      </c>
      <c r="N24" s="139" t="s">
        <v>1943</v>
      </c>
      <c r="O24" s="139" t="s">
        <v>1944</v>
      </c>
      <c r="P24" s="139" t="s">
        <v>1945</v>
      </c>
      <c r="Q24" s="139" t="s">
        <v>1705</v>
      </c>
      <c r="R24" s="139" t="s">
        <v>1946</v>
      </c>
      <c r="S24" s="139" t="s">
        <v>1947</v>
      </c>
      <c r="T24" s="139" t="s">
        <v>1948</v>
      </c>
      <c r="U24" s="139" t="s">
        <v>1949</v>
      </c>
      <c r="V24" s="139" t="n">
        <v>13</v>
      </c>
    </row>
    <row r="25" customFormat="false" ht="120" hidden="false" customHeight="true" outlineLevel="0" collapsed="false">
      <c r="A25" s="6" t="s">
        <v>1950</v>
      </c>
      <c r="B25" s="6" t="s">
        <v>1951</v>
      </c>
      <c r="C25" s="6" t="s">
        <v>1693</v>
      </c>
      <c r="D25" s="6" t="s">
        <v>1664</v>
      </c>
      <c r="E25" s="6" t="s">
        <v>1952</v>
      </c>
      <c r="F25" s="6" t="s">
        <v>1953</v>
      </c>
      <c r="G25" s="6" t="s">
        <v>1954</v>
      </c>
      <c r="H25" s="6" t="s">
        <v>1955</v>
      </c>
      <c r="I25" s="6" t="s">
        <v>1956</v>
      </c>
      <c r="J25" s="6" t="s">
        <v>1651</v>
      </c>
      <c r="K25" s="6" t="s">
        <v>1754</v>
      </c>
      <c r="L25" s="6" t="s">
        <v>1957</v>
      </c>
      <c r="M25" s="6" t="s">
        <v>1958</v>
      </c>
      <c r="N25" s="6" t="s">
        <v>1959</v>
      </c>
      <c r="O25" s="6" t="s">
        <v>1960</v>
      </c>
      <c r="P25" s="6" t="s">
        <v>1945</v>
      </c>
      <c r="Q25" s="6" t="s">
        <v>1961</v>
      </c>
      <c r="R25" s="6" t="s">
        <v>1962</v>
      </c>
      <c r="S25" s="6" t="s">
        <v>1659</v>
      </c>
      <c r="T25" s="6" t="s">
        <v>1963</v>
      </c>
      <c r="U25" s="6" t="s">
        <v>1964</v>
      </c>
      <c r="V25" s="6" t="n">
        <v>28</v>
      </c>
    </row>
    <row r="26" customFormat="false" ht="120" hidden="false" customHeight="true" outlineLevel="0" collapsed="false">
      <c r="A26" s="139" t="s">
        <v>1965</v>
      </c>
      <c r="B26" s="139" t="s">
        <v>1966</v>
      </c>
      <c r="C26" s="139" t="s">
        <v>1712</v>
      </c>
      <c r="D26" s="139" t="s">
        <v>1627</v>
      </c>
      <c r="E26" s="139" t="s">
        <v>1967</v>
      </c>
      <c r="F26" s="139" t="s">
        <v>1968</v>
      </c>
      <c r="G26" s="139" t="s">
        <v>1969</v>
      </c>
      <c r="H26" s="139" t="s">
        <v>1970</v>
      </c>
      <c r="I26" s="139" t="s">
        <v>1971</v>
      </c>
      <c r="J26" s="139" t="s">
        <v>1972</v>
      </c>
      <c r="K26" s="139" t="s">
        <v>1754</v>
      </c>
      <c r="L26" s="139" t="s">
        <v>1973</v>
      </c>
      <c r="M26" s="139" t="s">
        <v>1974</v>
      </c>
      <c r="N26" s="139" t="s">
        <v>1975</v>
      </c>
      <c r="O26" s="139" t="s">
        <v>1976</v>
      </c>
      <c r="P26" s="139" t="s">
        <v>1704</v>
      </c>
      <c r="Q26" s="139" t="s">
        <v>1977</v>
      </c>
      <c r="R26" s="139" t="s">
        <v>1978</v>
      </c>
      <c r="S26" s="139" t="s">
        <v>1873</v>
      </c>
      <c r="T26" s="139" t="s">
        <v>1979</v>
      </c>
      <c r="U26" s="139" t="s">
        <v>1888</v>
      </c>
      <c r="V26" s="139" t="n">
        <v>18</v>
      </c>
    </row>
    <row r="27" customFormat="false" ht="120" hidden="false" customHeight="true" outlineLevel="0" collapsed="false">
      <c r="A27" s="6" t="s">
        <v>1980</v>
      </c>
      <c r="B27" s="6" t="s">
        <v>1981</v>
      </c>
      <c r="C27" s="6" t="s">
        <v>1712</v>
      </c>
      <c r="D27" s="6" t="s">
        <v>1627</v>
      </c>
      <c r="E27" s="6" t="s">
        <v>1713</v>
      </c>
      <c r="F27" s="6" t="s">
        <v>1982</v>
      </c>
      <c r="G27" s="6" t="s">
        <v>1983</v>
      </c>
      <c r="H27" s="6" t="s">
        <v>1984</v>
      </c>
      <c r="I27" s="6" t="s">
        <v>1985</v>
      </c>
      <c r="J27" s="6" t="s">
        <v>1911</v>
      </c>
      <c r="K27" s="6" t="s">
        <v>1754</v>
      </c>
      <c r="L27" s="6" t="s">
        <v>1986</v>
      </c>
      <c r="M27" s="6" t="s">
        <v>1987</v>
      </c>
      <c r="N27" s="6" t="s">
        <v>1988</v>
      </c>
      <c r="O27" s="6" t="s">
        <v>1989</v>
      </c>
      <c r="P27" s="6" t="s">
        <v>1990</v>
      </c>
      <c r="Q27" s="6" t="s">
        <v>1991</v>
      </c>
      <c r="R27" s="6" t="s">
        <v>1992</v>
      </c>
      <c r="S27" s="6" t="s">
        <v>1873</v>
      </c>
      <c r="T27" s="6" t="s">
        <v>1993</v>
      </c>
      <c r="U27" s="6" t="s">
        <v>1994</v>
      </c>
      <c r="V27" s="6" t="n">
        <v>7</v>
      </c>
    </row>
    <row r="28" customFormat="false" ht="120" hidden="false" customHeight="true" outlineLevel="0" collapsed="false">
      <c r="A28" s="139" t="s">
        <v>731</v>
      </c>
      <c r="B28" s="139" t="s">
        <v>1995</v>
      </c>
      <c r="C28" s="139" t="s">
        <v>1712</v>
      </c>
      <c r="D28" s="139" t="s">
        <v>1627</v>
      </c>
      <c r="E28" s="139" t="s">
        <v>1996</v>
      </c>
      <c r="F28" s="139" t="s">
        <v>1997</v>
      </c>
      <c r="G28" s="139" t="s">
        <v>1998</v>
      </c>
      <c r="H28" s="139" t="s">
        <v>1999</v>
      </c>
      <c r="I28" s="139" t="s">
        <v>2000</v>
      </c>
      <c r="J28" s="139" t="s">
        <v>1718</v>
      </c>
      <c r="K28" s="139" t="s">
        <v>1634</v>
      </c>
      <c r="L28" s="139" t="s">
        <v>2001</v>
      </c>
      <c r="M28" s="139" t="s">
        <v>2002</v>
      </c>
      <c r="N28" s="139" t="s">
        <v>2003</v>
      </c>
      <c r="O28" s="139" t="s">
        <v>2004</v>
      </c>
      <c r="P28" s="139" t="s">
        <v>2005</v>
      </c>
      <c r="Q28" s="139" t="s">
        <v>2006</v>
      </c>
      <c r="R28" s="139" t="s">
        <v>2007</v>
      </c>
      <c r="S28" s="139" t="s">
        <v>2008</v>
      </c>
      <c r="T28" s="139" t="s">
        <v>2009</v>
      </c>
      <c r="U28" s="139" t="s">
        <v>2010</v>
      </c>
      <c r="V28" s="139" t="n">
        <v>16</v>
      </c>
    </row>
    <row r="29" customFormat="false" ht="120" hidden="false" customHeight="true" outlineLevel="0" collapsed="false">
      <c r="A29" s="6" t="s">
        <v>2011</v>
      </c>
      <c r="B29" s="6" t="s">
        <v>2012</v>
      </c>
      <c r="C29" s="6" t="s">
        <v>1712</v>
      </c>
      <c r="D29" s="6" t="s">
        <v>1627</v>
      </c>
      <c r="E29" s="6" t="s">
        <v>2013</v>
      </c>
      <c r="F29" s="6" t="s">
        <v>2014</v>
      </c>
      <c r="G29" s="6" t="s">
        <v>2015</v>
      </c>
      <c r="H29" s="6" t="s">
        <v>2016</v>
      </c>
      <c r="I29" s="6" t="s">
        <v>2017</v>
      </c>
      <c r="J29" s="6" t="s">
        <v>2018</v>
      </c>
      <c r="K29" s="6" t="s">
        <v>1754</v>
      </c>
      <c r="L29" s="6" t="s">
        <v>2019</v>
      </c>
      <c r="M29" s="6" t="s">
        <v>2020</v>
      </c>
      <c r="N29" s="6" t="s">
        <v>2021</v>
      </c>
      <c r="O29" s="6" t="s">
        <v>2022</v>
      </c>
      <c r="P29" s="6" t="s">
        <v>2023</v>
      </c>
      <c r="Q29" s="6" t="s">
        <v>2024</v>
      </c>
      <c r="R29" s="6" t="s">
        <v>2025</v>
      </c>
      <c r="S29" s="6" t="s">
        <v>2026</v>
      </c>
      <c r="T29" s="6" t="s">
        <v>2027</v>
      </c>
      <c r="U29" s="6" t="s">
        <v>2028</v>
      </c>
      <c r="V29" s="6" t="n">
        <v>12</v>
      </c>
    </row>
    <row r="30" customFormat="false" ht="120" hidden="false" customHeight="true" outlineLevel="0" collapsed="false">
      <c r="A30" s="139" t="s">
        <v>2029</v>
      </c>
      <c r="B30" s="139" t="s">
        <v>2030</v>
      </c>
      <c r="C30" s="139" t="s">
        <v>1712</v>
      </c>
      <c r="D30" s="139" t="s">
        <v>1664</v>
      </c>
      <c r="E30" s="139" t="s">
        <v>1967</v>
      </c>
      <c r="F30" s="139" t="s">
        <v>2031</v>
      </c>
      <c r="G30" s="139" t="s">
        <v>2032</v>
      </c>
      <c r="H30" s="139" t="s">
        <v>2033</v>
      </c>
      <c r="I30" s="139" t="s">
        <v>2034</v>
      </c>
      <c r="J30" s="139" t="s">
        <v>1911</v>
      </c>
      <c r="K30" s="139" t="s">
        <v>1754</v>
      </c>
      <c r="L30" s="139" t="s">
        <v>2035</v>
      </c>
      <c r="M30" s="139" t="s">
        <v>2036</v>
      </c>
      <c r="N30" s="139" t="s">
        <v>2037</v>
      </c>
      <c r="O30" s="139" t="s">
        <v>2038</v>
      </c>
      <c r="P30" s="139" t="s">
        <v>1945</v>
      </c>
      <c r="Q30" s="139" t="s">
        <v>2024</v>
      </c>
      <c r="R30" s="139" t="s">
        <v>2039</v>
      </c>
      <c r="S30" s="139" t="s">
        <v>1672</v>
      </c>
      <c r="T30" s="139" t="s">
        <v>1660</v>
      </c>
      <c r="U30" s="139" t="s">
        <v>2040</v>
      </c>
      <c r="V30" s="139" t="n">
        <v>9</v>
      </c>
    </row>
    <row r="31" customFormat="false" ht="120" hidden="false" customHeight="true" outlineLevel="0" collapsed="false">
      <c r="A31" s="6" t="s">
        <v>2041</v>
      </c>
      <c r="B31" s="6" t="s">
        <v>2042</v>
      </c>
      <c r="C31" s="6" t="s">
        <v>1712</v>
      </c>
      <c r="D31" s="6" t="s">
        <v>1627</v>
      </c>
      <c r="E31" s="6" t="s">
        <v>1713</v>
      </c>
      <c r="F31" s="6" t="s">
        <v>2043</v>
      </c>
      <c r="G31" s="6" t="s">
        <v>2044</v>
      </c>
      <c r="H31" s="6" t="s">
        <v>2045</v>
      </c>
      <c r="I31" s="6" t="s">
        <v>2046</v>
      </c>
      <c r="J31" s="6" t="s">
        <v>2047</v>
      </c>
      <c r="K31" s="6" t="s">
        <v>1754</v>
      </c>
      <c r="L31" s="6" t="s">
        <v>2048</v>
      </c>
      <c r="M31" s="6" t="s">
        <v>2049</v>
      </c>
      <c r="N31" s="6" t="s">
        <v>2050</v>
      </c>
      <c r="O31" s="6" t="s">
        <v>2051</v>
      </c>
      <c r="P31" s="6" t="s">
        <v>1704</v>
      </c>
      <c r="Q31" s="6" t="s">
        <v>2052</v>
      </c>
      <c r="R31" s="6" t="s">
        <v>2053</v>
      </c>
      <c r="S31" s="6" t="s">
        <v>2054</v>
      </c>
      <c r="T31" s="6" t="s">
        <v>2055</v>
      </c>
      <c r="U31" s="6" t="s">
        <v>2056</v>
      </c>
      <c r="V31" s="6" t="n">
        <v>11</v>
      </c>
    </row>
    <row r="32" customFormat="false" ht="120" hidden="false" customHeight="true" outlineLevel="0" collapsed="false">
      <c r="A32" s="139" t="s">
        <v>2057</v>
      </c>
      <c r="B32" s="139" t="s">
        <v>2058</v>
      </c>
      <c r="C32" s="139" t="s">
        <v>2059</v>
      </c>
      <c r="D32" s="139" t="s">
        <v>1664</v>
      </c>
      <c r="E32" s="139" t="s">
        <v>1694</v>
      </c>
      <c r="F32" s="139" t="s">
        <v>2060</v>
      </c>
      <c r="G32" s="139" t="s">
        <v>2061</v>
      </c>
      <c r="H32" s="139" t="s">
        <v>2062</v>
      </c>
      <c r="I32" s="139" t="s">
        <v>2063</v>
      </c>
      <c r="J32" s="139" t="s">
        <v>2064</v>
      </c>
      <c r="K32" s="139" t="s">
        <v>1754</v>
      </c>
      <c r="L32" s="139" t="s">
        <v>419</v>
      </c>
      <c r="M32" s="139" t="s">
        <v>2065</v>
      </c>
      <c r="N32" s="139" t="s">
        <v>2066</v>
      </c>
      <c r="O32" s="139" t="s">
        <v>2067</v>
      </c>
      <c r="P32" s="139" t="s">
        <v>2068</v>
      </c>
      <c r="Q32" s="139" t="s">
        <v>1705</v>
      </c>
      <c r="R32" s="139" t="s">
        <v>2069</v>
      </c>
      <c r="S32" s="139" t="s">
        <v>1917</v>
      </c>
      <c r="T32" s="139" t="s">
        <v>1918</v>
      </c>
      <c r="U32" s="139" t="s">
        <v>2070</v>
      </c>
      <c r="V32" s="139" t="n">
        <v>19</v>
      </c>
    </row>
    <row r="33" customFormat="false" ht="120" hidden="false" customHeight="true" outlineLevel="0" collapsed="false">
      <c r="A33" s="6" t="s">
        <v>2071</v>
      </c>
      <c r="B33" s="6" t="s">
        <v>2072</v>
      </c>
      <c r="C33" s="6" t="s">
        <v>2059</v>
      </c>
      <c r="D33" s="6" t="s">
        <v>1664</v>
      </c>
      <c r="E33" s="6" t="s">
        <v>2073</v>
      </c>
      <c r="F33" s="6" t="s">
        <v>2074</v>
      </c>
      <c r="G33" s="6" t="s">
        <v>2075</v>
      </c>
      <c r="H33" s="6" t="s">
        <v>2076</v>
      </c>
      <c r="I33" s="6" t="s">
        <v>2077</v>
      </c>
      <c r="J33" s="6" t="s">
        <v>2078</v>
      </c>
      <c r="K33" s="6" t="s">
        <v>2079</v>
      </c>
      <c r="L33" s="6" t="s">
        <v>419</v>
      </c>
      <c r="M33" s="6" t="s">
        <v>2080</v>
      </c>
      <c r="N33" s="6" t="s">
        <v>2081</v>
      </c>
      <c r="O33" s="6" t="s">
        <v>2082</v>
      </c>
      <c r="P33" s="6" t="s">
        <v>2083</v>
      </c>
      <c r="Q33" s="6" t="s">
        <v>2084</v>
      </c>
      <c r="R33" s="6" t="s">
        <v>2085</v>
      </c>
      <c r="S33" s="6" t="s">
        <v>2086</v>
      </c>
      <c r="T33" s="6" t="s">
        <v>1660</v>
      </c>
      <c r="U33" s="6" t="s">
        <v>2087</v>
      </c>
      <c r="V33" s="6" t="n">
        <v>18</v>
      </c>
    </row>
    <row r="34" customFormat="false" ht="120" hidden="false" customHeight="true" outlineLevel="0" collapsed="false">
      <c r="A34" s="139" t="s">
        <v>2088</v>
      </c>
      <c r="B34" s="139" t="s">
        <v>2089</v>
      </c>
      <c r="C34" s="139" t="s">
        <v>2059</v>
      </c>
      <c r="D34" s="139" t="s">
        <v>1664</v>
      </c>
      <c r="E34" s="139" t="s">
        <v>2073</v>
      </c>
      <c r="F34" s="139" t="s">
        <v>2090</v>
      </c>
      <c r="G34" s="139" t="s">
        <v>2091</v>
      </c>
      <c r="H34" s="139" t="s">
        <v>2092</v>
      </c>
      <c r="I34" s="139" t="s">
        <v>2093</v>
      </c>
      <c r="J34" s="139" t="s">
        <v>2094</v>
      </c>
      <c r="K34" s="139" t="s">
        <v>1754</v>
      </c>
      <c r="L34" s="139" t="s">
        <v>419</v>
      </c>
      <c r="M34" s="139" t="s">
        <v>2095</v>
      </c>
      <c r="N34" s="139" t="s">
        <v>2096</v>
      </c>
      <c r="O34" s="139" t="s">
        <v>2097</v>
      </c>
      <c r="P34" s="139" t="s">
        <v>2098</v>
      </c>
      <c r="Q34" s="139" t="s">
        <v>2099</v>
      </c>
      <c r="R34" s="139" t="s">
        <v>2100</v>
      </c>
      <c r="S34" s="139" t="s">
        <v>2101</v>
      </c>
      <c r="T34" s="139" t="s">
        <v>2102</v>
      </c>
      <c r="U34" s="139" t="s">
        <v>2103</v>
      </c>
      <c r="V34" s="139" t="n">
        <v>16</v>
      </c>
    </row>
    <row r="35" customFormat="false" ht="120" hidden="false" customHeight="true" outlineLevel="0" collapsed="false">
      <c r="A35" s="6" t="s">
        <v>2104</v>
      </c>
      <c r="B35" s="6" t="s">
        <v>2105</v>
      </c>
      <c r="C35" s="6" t="s">
        <v>2106</v>
      </c>
      <c r="D35" s="6" t="s">
        <v>1664</v>
      </c>
      <c r="E35" s="6" t="s">
        <v>2107</v>
      </c>
      <c r="F35" s="6" t="s">
        <v>2108</v>
      </c>
      <c r="G35" s="6" t="s">
        <v>2109</v>
      </c>
      <c r="H35" s="6" t="s">
        <v>2110</v>
      </c>
      <c r="I35" s="6" t="s">
        <v>2111</v>
      </c>
      <c r="J35" s="6" t="s">
        <v>1680</v>
      </c>
      <c r="K35" s="6" t="s">
        <v>1634</v>
      </c>
      <c r="L35" s="6" t="s">
        <v>2112</v>
      </c>
      <c r="M35" s="6" t="s">
        <v>1635</v>
      </c>
      <c r="N35" s="6" t="s">
        <v>2113</v>
      </c>
      <c r="O35" s="6" t="s">
        <v>2114</v>
      </c>
      <c r="P35" s="6" t="s">
        <v>2115</v>
      </c>
      <c r="Q35" s="6" t="s">
        <v>2116</v>
      </c>
      <c r="R35" s="6" t="s">
        <v>2117</v>
      </c>
      <c r="S35" s="6" t="s">
        <v>2118</v>
      </c>
      <c r="T35" s="6" t="s">
        <v>2119</v>
      </c>
      <c r="U35" s="6" t="s">
        <v>2120</v>
      </c>
      <c r="V35" s="6" t="n">
        <v>24</v>
      </c>
    </row>
    <row r="36" customFormat="false" ht="120" hidden="false" customHeight="true" outlineLevel="0" collapsed="false">
      <c r="A36" s="139" t="s">
        <v>2121</v>
      </c>
      <c r="B36" s="139" t="s">
        <v>2122</v>
      </c>
      <c r="C36" s="139" t="s">
        <v>2106</v>
      </c>
      <c r="D36" s="139" t="s">
        <v>1664</v>
      </c>
      <c r="E36" s="139" t="s">
        <v>2073</v>
      </c>
      <c r="F36" s="139" t="s">
        <v>2123</v>
      </c>
      <c r="G36" s="139" t="s">
        <v>2124</v>
      </c>
      <c r="H36" s="139" t="s">
        <v>2125</v>
      </c>
      <c r="I36" s="139" t="s">
        <v>2126</v>
      </c>
      <c r="J36" s="139" t="s">
        <v>2047</v>
      </c>
      <c r="K36" s="139" t="s">
        <v>1754</v>
      </c>
      <c r="L36" s="139" t="s">
        <v>2127</v>
      </c>
      <c r="M36" s="139" t="s">
        <v>1635</v>
      </c>
      <c r="N36" s="139" t="s">
        <v>2128</v>
      </c>
      <c r="O36" s="139" t="s">
        <v>2129</v>
      </c>
      <c r="P36" s="139" t="s">
        <v>2098</v>
      </c>
      <c r="Q36" s="139" t="s">
        <v>2130</v>
      </c>
      <c r="R36" s="139" t="s">
        <v>2131</v>
      </c>
      <c r="S36" s="139" t="s">
        <v>2132</v>
      </c>
      <c r="T36" s="139" t="s">
        <v>2133</v>
      </c>
      <c r="U36" s="139" t="s">
        <v>2134</v>
      </c>
      <c r="V36" s="139" t="n">
        <v>27</v>
      </c>
    </row>
    <row r="37" customFormat="false" ht="120" hidden="false" customHeight="true" outlineLevel="0" collapsed="false">
      <c r="A37" s="6" t="s">
        <v>548</v>
      </c>
      <c r="B37" s="6" t="s">
        <v>2135</v>
      </c>
      <c r="C37" s="6" t="s">
        <v>2136</v>
      </c>
      <c r="D37" s="6" t="s">
        <v>1627</v>
      </c>
      <c r="E37" s="6" t="s">
        <v>2137</v>
      </c>
      <c r="F37" s="6" t="s">
        <v>2138</v>
      </c>
      <c r="G37" s="6" t="s">
        <v>2139</v>
      </c>
      <c r="H37" s="6" t="s">
        <v>2140</v>
      </c>
      <c r="I37" s="6" t="s">
        <v>2141</v>
      </c>
      <c r="J37" s="6" t="s">
        <v>1972</v>
      </c>
      <c r="K37" s="6" t="s">
        <v>2142</v>
      </c>
      <c r="L37" s="6" t="s">
        <v>2143</v>
      </c>
      <c r="M37" s="6" t="s">
        <v>2144</v>
      </c>
      <c r="N37" s="6" t="s">
        <v>2145</v>
      </c>
      <c r="O37" s="6" t="s">
        <v>2146</v>
      </c>
      <c r="P37" s="6" t="s">
        <v>2147</v>
      </c>
      <c r="Q37" s="6" t="s">
        <v>2148</v>
      </c>
      <c r="R37" s="6" t="s">
        <v>2149</v>
      </c>
      <c r="S37" s="6" t="s">
        <v>2150</v>
      </c>
      <c r="T37" s="6" t="s">
        <v>1948</v>
      </c>
      <c r="U37" s="6" t="s">
        <v>2151</v>
      </c>
      <c r="V37" s="6" t="n">
        <v>7</v>
      </c>
    </row>
    <row r="38" customFormat="false" ht="120" hidden="false" customHeight="true" outlineLevel="0" collapsed="false">
      <c r="A38" s="139" t="s">
        <v>2152</v>
      </c>
      <c r="B38" s="139" t="s">
        <v>2153</v>
      </c>
      <c r="C38" s="139" t="s">
        <v>2136</v>
      </c>
      <c r="D38" s="139" t="s">
        <v>1664</v>
      </c>
      <c r="E38" s="139" t="s">
        <v>1906</v>
      </c>
      <c r="F38" s="139" t="s">
        <v>2154</v>
      </c>
      <c r="G38" s="139" t="s">
        <v>2155</v>
      </c>
      <c r="H38" s="139" t="s">
        <v>2156</v>
      </c>
      <c r="I38" s="139" t="s">
        <v>2157</v>
      </c>
      <c r="J38" s="139" t="s">
        <v>2158</v>
      </c>
      <c r="K38" s="139" t="s">
        <v>2159</v>
      </c>
      <c r="L38" s="139" t="s">
        <v>2160</v>
      </c>
      <c r="M38" s="139" t="s">
        <v>2161</v>
      </c>
      <c r="N38" s="139" t="s">
        <v>2162</v>
      </c>
      <c r="O38" s="139" t="s">
        <v>2163</v>
      </c>
      <c r="P38" s="139" t="s">
        <v>2164</v>
      </c>
      <c r="Q38" s="139" t="s">
        <v>1961</v>
      </c>
      <c r="R38" s="139" t="s">
        <v>2165</v>
      </c>
      <c r="S38" s="139" t="s">
        <v>2166</v>
      </c>
      <c r="T38" s="139" t="s">
        <v>2167</v>
      </c>
      <c r="U38" s="139" t="s">
        <v>2168</v>
      </c>
      <c r="V38" s="139" t="n">
        <v>36</v>
      </c>
    </row>
    <row r="39" customFormat="false" ht="120" hidden="false" customHeight="true" outlineLevel="0" collapsed="false">
      <c r="A39" s="6" t="s">
        <v>670</v>
      </c>
      <c r="B39" s="6" t="s">
        <v>2169</v>
      </c>
      <c r="C39" s="6" t="s">
        <v>1749</v>
      </c>
      <c r="D39" s="6" t="s">
        <v>1627</v>
      </c>
      <c r="E39" s="6" t="s">
        <v>1732</v>
      </c>
      <c r="F39" s="6" t="s">
        <v>2170</v>
      </c>
      <c r="G39" s="6" t="s">
        <v>2171</v>
      </c>
      <c r="H39" s="6" t="s">
        <v>2172</v>
      </c>
      <c r="I39" s="6" t="s">
        <v>2173</v>
      </c>
      <c r="J39" s="6" t="s">
        <v>2174</v>
      </c>
      <c r="K39" s="6" t="s">
        <v>2175</v>
      </c>
      <c r="L39" s="6" t="s">
        <v>2176</v>
      </c>
      <c r="M39" s="6" t="s">
        <v>2177</v>
      </c>
      <c r="N39" s="6" t="s">
        <v>2178</v>
      </c>
      <c r="O39" s="6" t="s">
        <v>1758</v>
      </c>
      <c r="P39" s="6" t="s">
        <v>2179</v>
      </c>
      <c r="Q39" s="6" t="s">
        <v>2180</v>
      </c>
      <c r="R39" s="6" t="s">
        <v>2181</v>
      </c>
      <c r="S39" s="6" t="s">
        <v>2182</v>
      </c>
      <c r="T39" s="6" t="s">
        <v>2183</v>
      </c>
      <c r="U39" s="6" t="s">
        <v>2184</v>
      </c>
      <c r="V39" s="6" t="n">
        <v>40</v>
      </c>
    </row>
    <row r="40" customFormat="false" ht="120" hidden="false" customHeight="true" outlineLevel="0" collapsed="false">
      <c r="A40" s="139" t="s">
        <v>944</v>
      </c>
      <c r="B40" s="139" t="s">
        <v>2185</v>
      </c>
      <c r="C40" s="139" t="s">
        <v>2186</v>
      </c>
      <c r="D40" s="139" t="s">
        <v>1627</v>
      </c>
      <c r="E40" s="139" t="s">
        <v>1860</v>
      </c>
      <c r="F40" s="139" t="s">
        <v>2187</v>
      </c>
      <c r="G40" s="139" t="s">
        <v>2188</v>
      </c>
      <c r="H40" s="139" t="s">
        <v>2189</v>
      </c>
      <c r="I40" s="139" t="s">
        <v>2190</v>
      </c>
      <c r="J40" s="139" t="s">
        <v>2191</v>
      </c>
      <c r="K40" s="139" t="s">
        <v>1634</v>
      </c>
      <c r="L40" s="139" t="s">
        <v>484</v>
      </c>
      <c r="M40" s="139" t="s">
        <v>2192</v>
      </c>
      <c r="N40" s="139" t="s">
        <v>2193</v>
      </c>
      <c r="O40" s="139" t="s">
        <v>2194</v>
      </c>
      <c r="P40" s="139" t="s">
        <v>2195</v>
      </c>
      <c r="Q40" s="139" t="s">
        <v>2130</v>
      </c>
      <c r="R40" s="139" t="s">
        <v>2196</v>
      </c>
      <c r="S40" s="139" t="s">
        <v>2197</v>
      </c>
      <c r="T40" s="139" t="s">
        <v>2198</v>
      </c>
      <c r="U40" s="139" t="s">
        <v>2199</v>
      </c>
      <c r="V40" s="139" t="n">
        <v>30</v>
      </c>
    </row>
    <row r="41" customFormat="false" ht="120" hidden="false" customHeight="true" outlineLevel="0" collapsed="false">
      <c r="A41" s="6" t="s">
        <v>2200</v>
      </c>
      <c r="B41" s="6" t="s">
        <v>2201</v>
      </c>
      <c r="C41" s="6" t="s">
        <v>1731</v>
      </c>
      <c r="D41" s="6" t="s">
        <v>1664</v>
      </c>
      <c r="E41" s="6" t="s">
        <v>1732</v>
      </c>
      <c r="F41" s="6" t="s">
        <v>2202</v>
      </c>
      <c r="G41" s="6" t="s">
        <v>2203</v>
      </c>
      <c r="H41" s="6" t="s">
        <v>2204</v>
      </c>
      <c r="I41" s="6" t="s">
        <v>2205</v>
      </c>
      <c r="J41" s="6" t="s">
        <v>2206</v>
      </c>
      <c r="K41" s="6" t="s">
        <v>1634</v>
      </c>
      <c r="L41" s="6" t="s">
        <v>2207</v>
      </c>
      <c r="M41" s="6" t="s">
        <v>2208</v>
      </c>
      <c r="N41" s="6" t="s">
        <v>2209</v>
      </c>
      <c r="O41" s="6" t="s">
        <v>2210</v>
      </c>
      <c r="P41" s="6" t="s">
        <v>2211</v>
      </c>
      <c r="Q41" s="6" t="s">
        <v>2212</v>
      </c>
      <c r="R41" s="6" t="s">
        <v>2213</v>
      </c>
      <c r="S41" s="6" t="s">
        <v>2214</v>
      </c>
      <c r="T41" s="6" t="s">
        <v>2215</v>
      </c>
      <c r="U41" s="6" t="s">
        <v>2216</v>
      </c>
      <c r="V41" s="6" t="n">
        <v>10</v>
      </c>
    </row>
    <row r="42" customFormat="false" ht="120" hidden="false" customHeight="true" outlineLevel="0" collapsed="false">
      <c r="A42" s="139" t="s">
        <v>2217</v>
      </c>
      <c r="B42" s="139" t="s">
        <v>2218</v>
      </c>
      <c r="C42" s="139" t="s">
        <v>2136</v>
      </c>
      <c r="D42" s="139" t="s">
        <v>1664</v>
      </c>
      <c r="E42" s="139" t="s">
        <v>1732</v>
      </c>
      <c r="F42" s="139" t="s">
        <v>2219</v>
      </c>
      <c r="G42" s="139" t="s">
        <v>2220</v>
      </c>
      <c r="H42" s="139" t="s">
        <v>2221</v>
      </c>
      <c r="I42" s="139" t="s">
        <v>2222</v>
      </c>
      <c r="J42" s="139" t="s">
        <v>2223</v>
      </c>
      <c r="K42" s="139" t="s">
        <v>1634</v>
      </c>
      <c r="L42" s="139" t="s">
        <v>2224</v>
      </c>
      <c r="M42" s="139" t="s">
        <v>2225</v>
      </c>
      <c r="N42" s="139" t="s">
        <v>2226</v>
      </c>
      <c r="O42" s="139" t="s">
        <v>2227</v>
      </c>
      <c r="P42" s="139" t="s">
        <v>2228</v>
      </c>
      <c r="Q42" s="139" t="s">
        <v>2229</v>
      </c>
      <c r="R42" s="139" t="s">
        <v>2230</v>
      </c>
      <c r="S42" s="139" t="s">
        <v>2231</v>
      </c>
      <c r="T42" s="139" t="s">
        <v>2232</v>
      </c>
      <c r="U42" s="139" t="s">
        <v>2233</v>
      </c>
      <c r="V42" s="139" t="n">
        <v>17</v>
      </c>
    </row>
    <row r="43" customFormat="false" ht="120" hidden="false" customHeight="true" outlineLevel="0" collapsed="false">
      <c r="A43" s="6" t="s">
        <v>2234</v>
      </c>
      <c r="B43" s="6" t="s">
        <v>2235</v>
      </c>
      <c r="C43" s="6" t="s">
        <v>1693</v>
      </c>
      <c r="D43" s="6" t="s">
        <v>1664</v>
      </c>
      <c r="E43" s="6" t="s">
        <v>2236</v>
      </c>
      <c r="F43" s="6" t="s">
        <v>2237</v>
      </c>
      <c r="G43" s="6" t="s">
        <v>2238</v>
      </c>
      <c r="H43" s="6" t="s">
        <v>2239</v>
      </c>
      <c r="I43" s="6" t="s">
        <v>2240</v>
      </c>
      <c r="J43" s="6" t="s">
        <v>2241</v>
      </c>
      <c r="K43" s="6" t="s">
        <v>1700</v>
      </c>
      <c r="L43" s="6" t="s">
        <v>2242</v>
      </c>
      <c r="M43" s="6" t="s">
        <v>2243</v>
      </c>
      <c r="N43" s="6" t="s">
        <v>2244</v>
      </c>
      <c r="O43" s="6" t="s">
        <v>2245</v>
      </c>
      <c r="P43" s="6" t="s">
        <v>2246</v>
      </c>
      <c r="Q43" s="6" t="s">
        <v>2247</v>
      </c>
      <c r="R43" s="6" t="s">
        <v>2248</v>
      </c>
      <c r="S43" s="6" t="s">
        <v>2249</v>
      </c>
      <c r="T43" s="6" t="s">
        <v>2250</v>
      </c>
      <c r="U43" s="6" t="s">
        <v>2251</v>
      </c>
      <c r="V43" s="6" t="n">
        <v>9</v>
      </c>
    </row>
    <row r="44" customFormat="false" ht="120" hidden="false" customHeight="true" outlineLevel="0" collapsed="false">
      <c r="A44" s="139" t="s">
        <v>529</v>
      </c>
      <c r="B44" s="139" t="s">
        <v>2252</v>
      </c>
      <c r="C44" s="139" t="s">
        <v>2106</v>
      </c>
      <c r="D44" s="139" t="s">
        <v>1664</v>
      </c>
      <c r="E44" s="139" t="s">
        <v>2253</v>
      </c>
      <c r="F44" s="139" t="s">
        <v>2254</v>
      </c>
      <c r="G44" s="139" t="s">
        <v>2255</v>
      </c>
      <c r="H44" s="139" t="s">
        <v>2256</v>
      </c>
      <c r="I44" s="139" t="s">
        <v>2257</v>
      </c>
      <c r="J44" s="139" t="s">
        <v>2258</v>
      </c>
      <c r="K44" s="139" t="s">
        <v>1754</v>
      </c>
      <c r="L44" s="139" t="s">
        <v>2259</v>
      </c>
      <c r="M44" s="139" t="s">
        <v>2260</v>
      </c>
      <c r="N44" s="139" t="s">
        <v>2261</v>
      </c>
      <c r="O44" s="139" t="s">
        <v>2262</v>
      </c>
      <c r="P44" s="139" t="s">
        <v>2263</v>
      </c>
      <c r="Q44" s="139" t="s">
        <v>2264</v>
      </c>
      <c r="R44" s="139" t="s">
        <v>2265</v>
      </c>
      <c r="S44" s="139" t="s">
        <v>2266</v>
      </c>
      <c r="T44" s="139" t="s">
        <v>2267</v>
      </c>
      <c r="U44" s="139" t="s">
        <v>2268</v>
      </c>
      <c r="V44" s="139" t="n">
        <v>14</v>
      </c>
    </row>
    <row r="45" customFormat="false" ht="120" hidden="false" customHeight="true" outlineLevel="0" collapsed="false">
      <c r="A45" s="6" t="s">
        <v>2269</v>
      </c>
      <c r="B45" s="6" t="s">
        <v>2270</v>
      </c>
      <c r="C45" s="6" t="s">
        <v>2136</v>
      </c>
      <c r="D45" s="6" t="s">
        <v>1664</v>
      </c>
      <c r="E45" s="6" t="s">
        <v>2137</v>
      </c>
      <c r="F45" s="6" t="s">
        <v>2271</v>
      </c>
      <c r="G45" s="6" t="s">
        <v>2272</v>
      </c>
      <c r="H45" s="6" t="s">
        <v>2273</v>
      </c>
      <c r="I45" s="6" t="s">
        <v>2274</v>
      </c>
      <c r="J45" s="6" t="s">
        <v>2275</v>
      </c>
      <c r="K45" s="6" t="s">
        <v>2276</v>
      </c>
      <c r="L45" s="6" t="s">
        <v>2277</v>
      </c>
      <c r="M45" s="6" t="s">
        <v>2278</v>
      </c>
      <c r="N45" s="6" t="s">
        <v>2279</v>
      </c>
      <c r="O45" s="6" t="s">
        <v>2280</v>
      </c>
      <c r="P45" s="6" t="s">
        <v>2281</v>
      </c>
      <c r="Q45" s="6" t="s">
        <v>2282</v>
      </c>
      <c r="R45" s="6" t="s">
        <v>2283</v>
      </c>
      <c r="S45" s="6" t="s">
        <v>2284</v>
      </c>
      <c r="T45" s="6" t="s">
        <v>2285</v>
      </c>
      <c r="U45" s="6" t="s">
        <v>2286</v>
      </c>
      <c r="V45" s="6" t="n">
        <v>3</v>
      </c>
    </row>
    <row r="46" customFormat="false" ht="120" hidden="false" customHeight="true" outlineLevel="0" collapsed="false">
      <c r="A46" s="139" t="s">
        <v>2287</v>
      </c>
      <c r="B46" s="139" t="s">
        <v>2288</v>
      </c>
      <c r="C46" s="139" t="s">
        <v>1731</v>
      </c>
      <c r="D46" s="139" t="s">
        <v>1664</v>
      </c>
      <c r="E46" s="139" t="s">
        <v>2253</v>
      </c>
      <c r="F46" s="139" t="s">
        <v>2289</v>
      </c>
      <c r="G46" s="139" t="s">
        <v>2290</v>
      </c>
      <c r="H46" s="139" t="s">
        <v>2291</v>
      </c>
      <c r="I46" s="139" t="s">
        <v>2292</v>
      </c>
      <c r="J46" s="139" t="s">
        <v>2293</v>
      </c>
      <c r="K46" s="139" t="s">
        <v>2294</v>
      </c>
      <c r="L46" s="139" t="s">
        <v>2295</v>
      </c>
      <c r="M46" s="139" t="s">
        <v>2296</v>
      </c>
      <c r="N46" s="139" t="s">
        <v>2297</v>
      </c>
      <c r="O46" s="139" t="s">
        <v>2298</v>
      </c>
      <c r="P46" s="139" t="s">
        <v>2299</v>
      </c>
      <c r="Q46" s="139" t="s">
        <v>2300</v>
      </c>
      <c r="R46" s="139" t="s">
        <v>2301</v>
      </c>
      <c r="S46" s="139" t="s">
        <v>2302</v>
      </c>
      <c r="T46" s="139" t="s">
        <v>2303</v>
      </c>
      <c r="U46" s="139" t="s">
        <v>2304</v>
      </c>
      <c r="V46" s="139" t="n">
        <v>1</v>
      </c>
    </row>
    <row r="47" customFormat="false" ht="120" hidden="false" customHeight="true" outlineLevel="0" collapsed="false">
      <c r="A47" s="6" t="s">
        <v>2305</v>
      </c>
      <c r="B47" s="6" t="s">
        <v>2306</v>
      </c>
      <c r="C47" s="6" t="s">
        <v>1731</v>
      </c>
      <c r="D47" s="6" t="s">
        <v>1664</v>
      </c>
      <c r="E47" s="6" t="s">
        <v>1732</v>
      </c>
      <c r="F47" s="6" t="s">
        <v>2307</v>
      </c>
      <c r="G47" s="6" t="s">
        <v>2308</v>
      </c>
      <c r="H47" s="6" t="s">
        <v>2309</v>
      </c>
      <c r="I47" s="6" t="s">
        <v>2310</v>
      </c>
      <c r="J47" s="6" t="s">
        <v>2311</v>
      </c>
      <c r="K47" s="6" t="s">
        <v>1634</v>
      </c>
      <c r="L47" s="6" t="s">
        <v>2312</v>
      </c>
      <c r="M47" s="6" t="s">
        <v>2313</v>
      </c>
      <c r="N47" s="6" t="s">
        <v>2314</v>
      </c>
      <c r="O47" s="6" t="s">
        <v>2315</v>
      </c>
      <c r="P47" s="6" t="s">
        <v>2316</v>
      </c>
      <c r="Q47" s="6" t="s">
        <v>2317</v>
      </c>
      <c r="R47" s="6" t="s">
        <v>2318</v>
      </c>
      <c r="S47" s="6" t="s">
        <v>2319</v>
      </c>
      <c r="T47" s="6" t="s">
        <v>2183</v>
      </c>
      <c r="U47" s="6" t="s">
        <v>2320</v>
      </c>
      <c r="V47" s="6" t="n">
        <v>1</v>
      </c>
    </row>
    <row r="48" customFormat="false" ht="120" hidden="false" customHeight="true" outlineLevel="0" collapsed="false">
      <c r="A48" s="139" t="s">
        <v>2321</v>
      </c>
      <c r="B48" s="139" t="s">
        <v>2322</v>
      </c>
      <c r="C48" s="139" t="s">
        <v>1731</v>
      </c>
      <c r="D48" s="139" t="s">
        <v>1664</v>
      </c>
      <c r="E48" s="139" t="s">
        <v>1628</v>
      </c>
      <c r="F48" s="139" t="s">
        <v>2323</v>
      </c>
      <c r="G48" s="139" t="s">
        <v>2324</v>
      </c>
      <c r="H48" s="139" t="s">
        <v>2325</v>
      </c>
      <c r="I48" s="139" t="s">
        <v>2326</v>
      </c>
      <c r="J48" s="139" t="s">
        <v>2327</v>
      </c>
      <c r="K48" s="139" t="s">
        <v>2328</v>
      </c>
      <c r="L48" s="139" t="s">
        <v>2329</v>
      </c>
      <c r="M48" s="139" t="s">
        <v>2330</v>
      </c>
      <c r="N48" s="139" t="s">
        <v>2331</v>
      </c>
      <c r="O48" s="139" t="s">
        <v>2332</v>
      </c>
      <c r="P48" s="139" t="s">
        <v>2333</v>
      </c>
      <c r="Q48" s="139" t="s">
        <v>2334</v>
      </c>
      <c r="R48" s="139" t="s">
        <v>2335</v>
      </c>
      <c r="S48" s="139" t="s">
        <v>2336</v>
      </c>
      <c r="T48" s="139" t="s">
        <v>2337</v>
      </c>
      <c r="U48" s="139" t="s">
        <v>2338</v>
      </c>
      <c r="V48" s="139" t="n">
        <v>1</v>
      </c>
    </row>
    <row r="49" customFormat="false" ht="120" hidden="false" customHeight="true" outlineLevel="0" collapsed="false">
      <c r="A49" s="6" t="s">
        <v>2339</v>
      </c>
      <c r="B49" s="6" t="s">
        <v>2340</v>
      </c>
      <c r="C49" s="6" t="s">
        <v>1731</v>
      </c>
      <c r="D49" s="6" t="s">
        <v>1664</v>
      </c>
      <c r="E49" s="6" t="s">
        <v>2137</v>
      </c>
      <c r="F49" s="6" t="s">
        <v>2341</v>
      </c>
      <c r="G49" s="6" t="s">
        <v>2342</v>
      </c>
      <c r="H49" s="6" t="s">
        <v>2343</v>
      </c>
      <c r="I49" s="6" t="s">
        <v>2344</v>
      </c>
      <c r="J49" s="6" t="s">
        <v>2345</v>
      </c>
      <c r="K49" s="6" t="s">
        <v>2346</v>
      </c>
      <c r="L49" s="6" t="s">
        <v>2347</v>
      </c>
      <c r="M49" s="6" t="s">
        <v>1987</v>
      </c>
      <c r="N49" s="6" t="s">
        <v>2348</v>
      </c>
      <c r="O49" s="6" t="s">
        <v>1989</v>
      </c>
      <c r="P49" s="6" t="s">
        <v>1990</v>
      </c>
      <c r="Q49" s="6" t="s">
        <v>1991</v>
      </c>
      <c r="R49" s="6" t="s">
        <v>2349</v>
      </c>
      <c r="S49" s="6" t="s">
        <v>2350</v>
      </c>
      <c r="T49" s="6" t="s">
        <v>2351</v>
      </c>
      <c r="U49" s="6" t="s">
        <v>2352</v>
      </c>
      <c r="V49" s="6" t="n">
        <v>3</v>
      </c>
    </row>
    <row r="50" customFormat="false" ht="120" hidden="false" customHeight="true" outlineLevel="0" collapsed="false">
      <c r="A50" s="139" t="s">
        <v>2353</v>
      </c>
      <c r="B50" s="139" t="s">
        <v>2354</v>
      </c>
      <c r="C50" s="139" t="s">
        <v>1731</v>
      </c>
      <c r="D50" s="139" t="s">
        <v>1664</v>
      </c>
      <c r="E50" s="139" t="s">
        <v>2355</v>
      </c>
      <c r="F50" s="139" t="s">
        <v>2356</v>
      </c>
      <c r="G50" s="139" t="s">
        <v>2357</v>
      </c>
      <c r="H50" s="139" t="s">
        <v>2358</v>
      </c>
      <c r="I50" s="139" t="s">
        <v>2359</v>
      </c>
      <c r="J50" s="139" t="s">
        <v>2311</v>
      </c>
      <c r="K50" s="139" t="s">
        <v>2360</v>
      </c>
      <c r="L50" s="139" t="s">
        <v>807</v>
      </c>
      <c r="M50" s="139" t="s">
        <v>2361</v>
      </c>
      <c r="N50" s="139" t="s">
        <v>2362</v>
      </c>
      <c r="O50" s="139" t="s">
        <v>2363</v>
      </c>
      <c r="P50" s="139" t="s">
        <v>2364</v>
      </c>
      <c r="Q50" s="139" t="s">
        <v>2365</v>
      </c>
      <c r="R50" s="139" t="s">
        <v>2366</v>
      </c>
      <c r="S50" s="139" t="s">
        <v>2367</v>
      </c>
      <c r="T50" s="139" t="s">
        <v>2368</v>
      </c>
      <c r="U50" s="139" t="s">
        <v>2369</v>
      </c>
      <c r="V50" s="139" t="n">
        <v>4</v>
      </c>
    </row>
  </sheetData>
  <autoFilter ref="A4:V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8C"/>
    <pageSetUpPr fitToPage="false"/>
  </sheetPr>
  <dimension ref="A1:AY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51" min="3" style="0" width="18"/>
  </cols>
  <sheetData>
    <row r="1" customFormat="false" ht="30" hidden="false" customHeight="true" outlineLevel="0" collapsed="false">
      <c r="A1" s="140" t="s">
        <v>2370</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1"/>
      <c r="AB1" s="141"/>
      <c r="AC1" s="141"/>
      <c r="AD1" s="141"/>
      <c r="AE1" s="141"/>
      <c r="AF1" s="141"/>
      <c r="AG1" s="141"/>
      <c r="AH1" s="141"/>
      <c r="AI1" s="141"/>
      <c r="AJ1" s="141"/>
      <c r="AK1" s="141"/>
      <c r="AL1" s="141"/>
      <c r="AM1" s="141"/>
      <c r="AN1" s="141"/>
      <c r="AO1" s="141"/>
      <c r="AP1" s="141"/>
      <c r="AQ1" s="141"/>
      <c r="AR1" s="141"/>
      <c r="AS1" s="141"/>
      <c r="AT1" s="141"/>
      <c r="AU1" s="141"/>
      <c r="AV1" s="141"/>
      <c r="AW1" s="141"/>
      <c r="AX1" s="141"/>
      <c r="AY1" s="141"/>
    </row>
    <row r="2" customFormat="false" ht="15" hidden="false" customHeight="false" outlineLevel="0" collapsed="false">
      <c r="A2" s="3" t="s">
        <v>2371</v>
      </c>
    </row>
    <row r="3" customFormat="false" ht="22.35" hidden="false" customHeight="false" outlineLevel="0" collapsed="false">
      <c r="A3" s="47" t="s">
        <v>2372</v>
      </c>
      <c r="B3" s="81"/>
      <c r="C3" s="142" t="s">
        <v>2373</v>
      </c>
      <c r="D3" s="142" t="s">
        <v>2373</v>
      </c>
      <c r="E3" s="142" t="s">
        <v>2373</v>
      </c>
      <c r="F3" s="142" t="s">
        <v>2373</v>
      </c>
      <c r="G3" s="142" t="s">
        <v>2373</v>
      </c>
      <c r="H3" s="142" t="s">
        <v>2373</v>
      </c>
      <c r="I3" s="143" t="s">
        <v>2374</v>
      </c>
      <c r="J3" s="143" t="s">
        <v>2374</v>
      </c>
      <c r="K3" s="143" t="s">
        <v>2374</v>
      </c>
      <c r="L3" s="143" t="s">
        <v>2374</v>
      </c>
      <c r="M3" s="143" t="s">
        <v>2374</v>
      </c>
      <c r="N3" s="143" t="s">
        <v>2374</v>
      </c>
      <c r="O3" s="144" t="s">
        <v>2375</v>
      </c>
      <c r="P3" s="144" t="s">
        <v>2375</v>
      </c>
      <c r="Q3" s="144" t="s">
        <v>2375</v>
      </c>
      <c r="R3" s="144" t="s">
        <v>2375</v>
      </c>
      <c r="S3" s="144" t="s">
        <v>2375</v>
      </c>
      <c r="T3" s="144" t="s">
        <v>2375</v>
      </c>
      <c r="U3" s="144" t="s">
        <v>2375</v>
      </c>
      <c r="V3" s="144" t="s">
        <v>2375</v>
      </c>
      <c r="W3" s="144" t="s">
        <v>2375</v>
      </c>
      <c r="X3" s="144" t="s">
        <v>2375</v>
      </c>
      <c r="Y3" s="144" t="s">
        <v>2375</v>
      </c>
      <c r="Z3" s="144" t="s">
        <v>2375</v>
      </c>
      <c r="AA3" s="144" t="s">
        <v>2375</v>
      </c>
      <c r="AB3" s="145" t="s">
        <v>2376</v>
      </c>
      <c r="AC3" s="145" t="s">
        <v>2376</v>
      </c>
      <c r="AD3" s="145" t="s">
        <v>2376</v>
      </c>
      <c r="AE3" s="145" t="s">
        <v>2376</v>
      </c>
      <c r="AF3" s="146" t="s">
        <v>2377</v>
      </c>
      <c r="AG3" s="146" t="s">
        <v>2377</v>
      </c>
      <c r="AH3" s="146" t="s">
        <v>2377</v>
      </c>
      <c r="AI3" s="146" t="s">
        <v>2377</v>
      </c>
      <c r="AJ3" s="147" t="s">
        <v>2378</v>
      </c>
      <c r="AK3" s="147" t="s">
        <v>2378</v>
      </c>
      <c r="AL3" s="148" t="s">
        <v>2379</v>
      </c>
      <c r="AM3" s="148" t="s">
        <v>2379</v>
      </c>
      <c r="AN3" s="148" t="s">
        <v>2379</v>
      </c>
      <c r="AO3" s="148" t="s">
        <v>2379</v>
      </c>
      <c r="AP3" s="148" t="s">
        <v>2379</v>
      </c>
      <c r="AQ3" s="148" t="s">
        <v>2379</v>
      </c>
      <c r="AR3" s="148" t="s">
        <v>2379</v>
      </c>
      <c r="AS3" s="148" t="s">
        <v>2379</v>
      </c>
      <c r="AT3" s="148" t="s">
        <v>2379</v>
      </c>
      <c r="AU3" s="148" t="s">
        <v>2379</v>
      </c>
      <c r="AV3" s="148" t="s">
        <v>2379</v>
      </c>
      <c r="AW3" s="148" t="s">
        <v>2379</v>
      </c>
      <c r="AX3" s="148" t="s">
        <v>2379</v>
      </c>
      <c r="AY3" s="148" t="s">
        <v>2379</v>
      </c>
    </row>
    <row r="4" customFormat="false" ht="15" hidden="false" customHeight="false" outlineLevel="0" collapsed="false">
      <c r="A4" s="47" t="s">
        <v>2380</v>
      </c>
      <c r="B4" s="81"/>
      <c r="C4" s="21" t="s">
        <v>2381</v>
      </c>
      <c r="D4" s="21" t="s">
        <v>2382</v>
      </c>
      <c r="E4" s="21" t="s">
        <v>2381</v>
      </c>
      <c r="F4" s="21" t="s">
        <v>2382</v>
      </c>
      <c r="G4" s="21" t="s">
        <v>2381</v>
      </c>
      <c r="H4" s="21" t="s">
        <v>2382</v>
      </c>
      <c r="I4" s="21" t="s">
        <v>2382</v>
      </c>
      <c r="J4" s="21" t="s">
        <v>2382</v>
      </c>
      <c r="K4" s="21" t="s">
        <v>2381</v>
      </c>
      <c r="L4" s="21" t="s">
        <v>2382</v>
      </c>
      <c r="M4" s="21" t="s">
        <v>2382</v>
      </c>
      <c r="N4" s="21" t="s">
        <v>2382</v>
      </c>
      <c r="O4" s="21" t="s">
        <v>2382</v>
      </c>
      <c r="P4" s="21" t="s">
        <v>2382</v>
      </c>
      <c r="Q4" s="21" t="s">
        <v>2382</v>
      </c>
      <c r="R4" s="21" t="s">
        <v>2382</v>
      </c>
      <c r="S4" s="21" t="s">
        <v>2382</v>
      </c>
      <c r="T4" s="21" t="s">
        <v>2382</v>
      </c>
      <c r="U4" s="21" t="s">
        <v>2382</v>
      </c>
      <c r="V4" s="21" t="s">
        <v>2382</v>
      </c>
      <c r="W4" s="21" t="s">
        <v>2382</v>
      </c>
      <c r="X4" s="21" t="s">
        <v>2382</v>
      </c>
      <c r="Y4" s="21" t="s">
        <v>2382</v>
      </c>
      <c r="Z4" s="21" t="s">
        <v>2382</v>
      </c>
      <c r="AA4" s="21" t="s">
        <v>2382</v>
      </c>
      <c r="AB4" s="21" t="s">
        <v>2382</v>
      </c>
      <c r="AC4" s="21" t="s">
        <v>2382</v>
      </c>
      <c r="AD4" s="21" t="s">
        <v>2382</v>
      </c>
      <c r="AE4" s="21" t="s">
        <v>2382</v>
      </c>
      <c r="AF4" s="21" t="s">
        <v>2382</v>
      </c>
      <c r="AG4" s="21" t="s">
        <v>2382</v>
      </c>
      <c r="AH4" s="21" t="s">
        <v>2382</v>
      </c>
      <c r="AI4" s="21" t="s">
        <v>2382</v>
      </c>
      <c r="AJ4" s="21" t="s">
        <v>2382</v>
      </c>
      <c r="AK4" s="21" t="s">
        <v>2382</v>
      </c>
      <c r="AL4" s="21" t="s">
        <v>2382</v>
      </c>
      <c r="AM4" s="21" t="s">
        <v>2382</v>
      </c>
      <c r="AN4" s="21" t="s">
        <v>2382</v>
      </c>
      <c r="AO4" s="21" t="s">
        <v>2382</v>
      </c>
      <c r="AP4" s="21" t="s">
        <v>2382</v>
      </c>
      <c r="AQ4" s="21" t="s">
        <v>2382</v>
      </c>
      <c r="AR4" s="21" t="s">
        <v>2382</v>
      </c>
      <c r="AS4" s="21" t="s">
        <v>2382</v>
      </c>
      <c r="AT4" s="21" t="s">
        <v>2382</v>
      </c>
      <c r="AU4" s="21" t="s">
        <v>2382</v>
      </c>
      <c r="AV4" s="21" t="s">
        <v>2382</v>
      </c>
      <c r="AW4" s="21" t="s">
        <v>2382</v>
      </c>
      <c r="AX4" s="21" t="s">
        <v>2382</v>
      </c>
      <c r="AY4" s="21" t="s">
        <v>2382</v>
      </c>
    </row>
    <row r="5" customFormat="false" ht="35.05" hidden="false" customHeight="false" outlineLevel="0" collapsed="false">
      <c r="A5" s="149" t="s">
        <v>202</v>
      </c>
      <c r="B5" s="149" t="s">
        <v>203</v>
      </c>
      <c r="C5" s="74" t="s">
        <v>2383</v>
      </c>
      <c r="D5" s="74" t="s">
        <v>2384</v>
      </c>
      <c r="E5" s="74" t="s">
        <v>240</v>
      </c>
      <c r="F5" s="74" t="s">
        <v>2385</v>
      </c>
      <c r="G5" s="74" t="s">
        <v>2386</v>
      </c>
      <c r="H5" s="74" t="s">
        <v>2387</v>
      </c>
      <c r="I5" s="150" t="s">
        <v>2388</v>
      </c>
      <c r="J5" s="150" t="s">
        <v>2389</v>
      </c>
      <c r="K5" s="150" t="s">
        <v>241</v>
      </c>
      <c r="L5" s="150" t="s">
        <v>2390</v>
      </c>
      <c r="M5" s="150" t="s">
        <v>2391</v>
      </c>
      <c r="N5" s="150" t="s">
        <v>2392</v>
      </c>
      <c r="O5" s="151" t="s">
        <v>230</v>
      </c>
      <c r="P5" s="151" t="s">
        <v>2393</v>
      </c>
      <c r="Q5" s="151" t="s">
        <v>231</v>
      </c>
      <c r="R5" s="151" t="s">
        <v>2394</v>
      </c>
      <c r="S5" s="151" t="s">
        <v>2395</v>
      </c>
      <c r="T5" s="151" t="s">
        <v>2396</v>
      </c>
      <c r="U5" s="151" t="s">
        <v>2397</v>
      </c>
      <c r="V5" s="151" t="s">
        <v>2398</v>
      </c>
      <c r="W5" s="151" t="s">
        <v>2399</v>
      </c>
      <c r="X5" s="151" t="s">
        <v>2400</v>
      </c>
      <c r="Y5" s="151" t="s">
        <v>2401</v>
      </c>
      <c r="Z5" s="151" t="s">
        <v>2402</v>
      </c>
      <c r="AA5" s="151" t="s">
        <v>2403</v>
      </c>
      <c r="AB5" s="138" t="s">
        <v>236</v>
      </c>
      <c r="AC5" s="138" t="s">
        <v>237</v>
      </c>
      <c r="AD5" s="138" t="s">
        <v>238</v>
      </c>
      <c r="AE5" s="138" t="s">
        <v>2404</v>
      </c>
      <c r="AF5" s="75" t="s">
        <v>2405</v>
      </c>
      <c r="AG5" s="75" t="s">
        <v>2406</v>
      </c>
      <c r="AH5" s="75" t="s">
        <v>2407</v>
      </c>
      <c r="AI5" s="75" t="s">
        <v>2408</v>
      </c>
      <c r="AJ5" s="152" t="s">
        <v>2409</v>
      </c>
      <c r="AK5" s="152" t="s">
        <v>2410</v>
      </c>
      <c r="AL5" s="76" t="s">
        <v>2411</v>
      </c>
      <c r="AM5" s="76" t="s">
        <v>2412</v>
      </c>
      <c r="AN5" s="76" t="s">
        <v>2413</v>
      </c>
      <c r="AO5" s="76" t="s">
        <v>2414</v>
      </c>
      <c r="AP5" s="76" t="s">
        <v>2415</v>
      </c>
      <c r="AQ5" s="76" t="s">
        <v>2416</v>
      </c>
      <c r="AR5" s="76" t="s">
        <v>2417</v>
      </c>
      <c r="AS5" s="76" t="s">
        <v>2418</v>
      </c>
      <c r="AT5" s="76" t="s">
        <v>2419</v>
      </c>
      <c r="AU5" s="76" t="s">
        <v>2420</v>
      </c>
      <c r="AV5" s="76" t="s">
        <v>2421</v>
      </c>
      <c r="AW5" s="76" t="s">
        <v>2422</v>
      </c>
      <c r="AX5" s="76" t="s">
        <v>2423</v>
      </c>
      <c r="AY5" s="76" t="s">
        <v>2424</v>
      </c>
    </row>
    <row r="6" customFormat="false" ht="60" hidden="false" customHeight="true" outlineLevel="0" collapsed="false">
      <c r="A6" s="5" t="s">
        <v>267</v>
      </c>
      <c r="B6" s="5" t="s">
        <v>268</v>
      </c>
      <c r="C6" s="6" t="s">
        <v>283</v>
      </c>
      <c r="D6" s="6" t="s">
        <v>2425</v>
      </c>
      <c r="E6" s="101" t="s">
        <v>2426</v>
      </c>
      <c r="F6" s="6" t="s">
        <v>2427</v>
      </c>
      <c r="G6" s="101" t="s">
        <v>2426</v>
      </c>
      <c r="H6" s="101" t="s">
        <v>2426</v>
      </c>
      <c r="I6" s="6" t="s">
        <v>281</v>
      </c>
      <c r="J6" s="101" t="s">
        <v>2426</v>
      </c>
      <c r="K6" s="101" t="s">
        <v>2426</v>
      </c>
      <c r="L6" s="6" t="s">
        <v>282</v>
      </c>
      <c r="M6" s="6" t="s">
        <v>2428</v>
      </c>
      <c r="N6" s="6" t="s">
        <v>2429</v>
      </c>
      <c r="O6" s="6" t="s">
        <v>278</v>
      </c>
      <c r="P6" s="101" t="s">
        <v>2426</v>
      </c>
      <c r="Q6" s="6" t="s">
        <v>279</v>
      </c>
      <c r="R6" s="101" t="s">
        <v>2426</v>
      </c>
      <c r="S6" s="101" t="s">
        <v>2426</v>
      </c>
      <c r="T6" s="101" t="s">
        <v>2426</v>
      </c>
      <c r="U6" s="101" t="s">
        <v>2426</v>
      </c>
      <c r="V6" s="6" t="s">
        <v>2430</v>
      </c>
      <c r="W6" s="6" t="s">
        <v>2431</v>
      </c>
      <c r="X6" s="6" t="s">
        <v>2432</v>
      </c>
      <c r="Y6" s="6" t="s">
        <v>2433</v>
      </c>
      <c r="Z6" s="101" t="s">
        <v>2426</v>
      </c>
      <c r="AA6" s="6" t="s">
        <v>2434</v>
      </c>
      <c r="AB6" s="6" t="s">
        <v>2435</v>
      </c>
      <c r="AC6" s="6" t="s">
        <v>285</v>
      </c>
      <c r="AD6" s="6" t="s">
        <v>2436</v>
      </c>
      <c r="AE6" s="101" t="s">
        <v>2426</v>
      </c>
      <c r="AF6" s="101" t="s">
        <v>2426</v>
      </c>
      <c r="AG6" s="6" t="s">
        <v>2437</v>
      </c>
      <c r="AH6" s="6" t="s">
        <v>2438</v>
      </c>
      <c r="AI6" s="6" t="s">
        <v>2439</v>
      </c>
      <c r="AJ6" s="6" t="s">
        <v>2440</v>
      </c>
      <c r="AK6" s="101" t="s">
        <v>2426</v>
      </c>
      <c r="AL6" s="6" t="s">
        <v>2441</v>
      </c>
      <c r="AM6" s="6" t="s">
        <v>2442</v>
      </c>
      <c r="AN6" s="6" t="s">
        <v>943</v>
      </c>
      <c r="AO6" s="6" t="s">
        <v>2443</v>
      </c>
      <c r="AP6" s="6" t="s">
        <v>2444</v>
      </c>
      <c r="AQ6" s="101" t="s">
        <v>2426</v>
      </c>
      <c r="AR6" s="6" t="s">
        <v>2445</v>
      </c>
      <c r="AS6" s="101" t="s">
        <v>2426</v>
      </c>
      <c r="AT6" s="101" t="s">
        <v>2426</v>
      </c>
      <c r="AU6" s="6" t="s">
        <v>2446</v>
      </c>
      <c r="AV6" s="101" t="s">
        <v>2426</v>
      </c>
      <c r="AW6" s="6" t="s">
        <v>2447</v>
      </c>
      <c r="AX6" s="101" t="s">
        <v>2426</v>
      </c>
      <c r="AY6" s="6" t="s">
        <v>2448</v>
      </c>
    </row>
    <row r="7" customFormat="false" ht="60" hidden="false" customHeight="true" outlineLevel="0" collapsed="false">
      <c r="A7" s="5" t="s">
        <v>291</v>
      </c>
      <c r="B7" s="5" t="s">
        <v>292</v>
      </c>
      <c r="C7" s="101" t="s">
        <v>2426</v>
      </c>
      <c r="D7" s="101" t="s">
        <v>2426</v>
      </c>
      <c r="E7" s="6" t="s">
        <v>309</v>
      </c>
      <c r="F7" s="6" t="s">
        <v>2449</v>
      </c>
      <c r="G7" s="101" t="s">
        <v>2426</v>
      </c>
      <c r="H7" s="6" t="s">
        <v>2450</v>
      </c>
      <c r="I7" s="6" t="s">
        <v>303</v>
      </c>
      <c r="J7" s="101" t="s">
        <v>2426</v>
      </c>
      <c r="K7" s="6" t="s">
        <v>310</v>
      </c>
      <c r="L7" s="6" t="s">
        <v>304</v>
      </c>
      <c r="M7" s="6" t="s">
        <v>2451</v>
      </c>
      <c r="N7" s="101" t="s">
        <v>2426</v>
      </c>
      <c r="O7" s="6" t="s">
        <v>2452</v>
      </c>
      <c r="P7" s="6" t="s">
        <v>2453</v>
      </c>
      <c r="Q7" s="6" t="s">
        <v>2454</v>
      </c>
      <c r="R7" s="6" t="s">
        <v>2455</v>
      </c>
      <c r="S7" s="6" t="s">
        <v>2456</v>
      </c>
      <c r="T7" s="6" t="s">
        <v>2457</v>
      </c>
      <c r="U7" s="6" t="s">
        <v>2458</v>
      </c>
      <c r="V7" s="6" t="s">
        <v>2459</v>
      </c>
      <c r="W7" s="101" t="s">
        <v>2426</v>
      </c>
      <c r="X7" s="6" t="s">
        <v>2460</v>
      </c>
      <c r="Y7" s="101" t="s">
        <v>2426</v>
      </c>
      <c r="Z7" s="101" t="s">
        <v>2426</v>
      </c>
      <c r="AA7" s="101" t="s">
        <v>2426</v>
      </c>
      <c r="AB7" s="6" t="s">
        <v>2461</v>
      </c>
      <c r="AC7" s="6" t="s">
        <v>307</v>
      </c>
      <c r="AD7" s="6" t="s">
        <v>308</v>
      </c>
      <c r="AE7" s="6" t="s">
        <v>2462</v>
      </c>
      <c r="AF7" s="6" t="s">
        <v>2463</v>
      </c>
      <c r="AG7" s="6" t="s">
        <v>2464</v>
      </c>
      <c r="AH7" s="6" t="s">
        <v>2465</v>
      </c>
      <c r="AI7" s="101" t="s">
        <v>2426</v>
      </c>
      <c r="AJ7" s="6" t="s">
        <v>2466</v>
      </c>
      <c r="AK7" s="6" t="s">
        <v>2467</v>
      </c>
      <c r="AL7" s="101" t="s">
        <v>2426</v>
      </c>
      <c r="AM7" s="6" t="s">
        <v>2468</v>
      </c>
      <c r="AN7" s="6" t="s">
        <v>2469</v>
      </c>
      <c r="AO7" s="6" t="s">
        <v>2470</v>
      </c>
      <c r="AP7" s="6" t="s">
        <v>2471</v>
      </c>
      <c r="AQ7" s="6" t="s">
        <v>2472</v>
      </c>
      <c r="AR7" s="6" t="s">
        <v>2473</v>
      </c>
      <c r="AS7" s="6" t="s">
        <v>2474</v>
      </c>
      <c r="AT7" s="6" t="s">
        <v>2475</v>
      </c>
      <c r="AU7" s="6" t="s">
        <v>2476</v>
      </c>
      <c r="AV7" s="6" t="s">
        <v>2477</v>
      </c>
      <c r="AW7" s="6" t="s">
        <v>2478</v>
      </c>
      <c r="AX7" s="6" t="s">
        <v>2479</v>
      </c>
      <c r="AY7" s="6" t="s">
        <v>2480</v>
      </c>
    </row>
    <row r="8" customFormat="false" ht="60" hidden="false" customHeight="true" outlineLevel="0" collapsed="false">
      <c r="A8" s="5" t="s">
        <v>314</v>
      </c>
      <c r="B8" s="5" t="s">
        <v>315</v>
      </c>
      <c r="C8" s="6" t="s">
        <v>283</v>
      </c>
      <c r="D8" s="6" t="s">
        <v>2481</v>
      </c>
      <c r="E8" s="6" t="s">
        <v>331</v>
      </c>
      <c r="F8" s="6" t="s">
        <v>2482</v>
      </c>
      <c r="G8" s="6" t="s">
        <v>330</v>
      </c>
      <c r="H8" s="6" t="s">
        <v>2483</v>
      </c>
      <c r="I8" s="6" t="s">
        <v>325</v>
      </c>
      <c r="J8" s="101" t="s">
        <v>2426</v>
      </c>
      <c r="K8" s="101" t="s">
        <v>2426</v>
      </c>
      <c r="L8" s="6" t="s">
        <v>326</v>
      </c>
      <c r="M8" s="6" t="s">
        <v>2484</v>
      </c>
      <c r="N8" s="6" t="s">
        <v>2485</v>
      </c>
      <c r="O8" s="6" t="s">
        <v>322</v>
      </c>
      <c r="P8" s="101" t="s">
        <v>2426</v>
      </c>
      <c r="Q8" s="6" t="s">
        <v>323</v>
      </c>
      <c r="R8" s="101" t="s">
        <v>2426</v>
      </c>
      <c r="S8" s="6" t="s">
        <v>2456</v>
      </c>
      <c r="T8" s="101" t="s">
        <v>2426</v>
      </c>
      <c r="U8" s="101" t="s">
        <v>2426</v>
      </c>
      <c r="V8" s="6" t="s">
        <v>2486</v>
      </c>
      <c r="W8" s="6" t="s">
        <v>2431</v>
      </c>
      <c r="X8" s="6" t="s">
        <v>2432</v>
      </c>
      <c r="Y8" s="6" t="s">
        <v>2433</v>
      </c>
      <c r="Z8" s="101" t="s">
        <v>2426</v>
      </c>
      <c r="AA8" s="6" t="s">
        <v>2434</v>
      </c>
      <c r="AB8" s="6" t="s">
        <v>2487</v>
      </c>
      <c r="AC8" s="6" t="s">
        <v>328</v>
      </c>
      <c r="AD8" s="6" t="s">
        <v>2488</v>
      </c>
      <c r="AE8" s="6" t="s">
        <v>2489</v>
      </c>
      <c r="AF8" s="6" t="s">
        <v>2490</v>
      </c>
      <c r="AG8" s="6" t="s">
        <v>2491</v>
      </c>
      <c r="AH8" s="6" t="s">
        <v>2492</v>
      </c>
      <c r="AI8" s="6" t="s">
        <v>2439</v>
      </c>
      <c r="AJ8" s="6" t="s">
        <v>2493</v>
      </c>
      <c r="AK8" s="6" t="s">
        <v>2494</v>
      </c>
      <c r="AL8" s="6" t="s">
        <v>2495</v>
      </c>
      <c r="AM8" s="6" t="s">
        <v>2496</v>
      </c>
      <c r="AN8" s="6" t="s">
        <v>2497</v>
      </c>
      <c r="AO8" s="6" t="s">
        <v>2498</v>
      </c>
      <c r="AP8" s="6" t="s">
        <v>2499</v>
      </c>
      <c r="AQ8" s="6" t="s">
        <v>2500</v>
      </c>
      <c r="AR8" s="6" t="s">
        <v>2501</v>
      </c>
      <c r="AS8" s="6" t="s">
        <v>2502</v>
      </c>
      <c r="AT8" s="6" t="s">
        <v>2503</v>
      </c>
      <c r="AU8" s="6" t="s">
        <v>2504</v>
      </c>
      <c r="AV8" s="6" t="s">
        <v>2505</v>
      </c>
      <c r="AW8" s="6" t="s">
        <v>2506</v>
      </c>
      <c r="AX8" s="6" t="s">
        <v>2507</v>
      </c>
      <c r="AY8" s="6" t="s">
        <v>2508</v>
      </c>
    </row>
    <row r="9" customFormat="false" ht="60" hidden="false" customHeight="true" outlineLevel="0" collapsed="false">
      <c r="A9" s="5" t="s">
        <v>335</v>
      </c>
      <c r="B9" s="5" t="s">
        <v>336</v>
      </c>
      <c r="C9" s="6" t="s">
        <v>283</v>
      </c>
      <c r="D9" s="101" t="s">
        <v>2426</v>
      </c>
      <c r="E9" s="101" t="s">
        <v>2426</v>
      </c>
      <c r="F9" s="6" t="s">
        <v>1685</v>
      </c>
      <c r="G9" s="101" t="s">
        <v>2426</v>
      </c>
      <c r="H9" s="101" t="s">
        <v>2426</v>
      </c>
      <c r="I9" s="6" t="s">
        <v>303</v>
      </c>
      <c r="J9" s="101" t="s">
        <v>2426</v>
      </c>
      <c r="K9" s="101" t="s">
        <v>2426</v>
      </c>
      <c r="L9" s="6" t="s">
        <v>346</v>
      </c>
      <c r="M9" s="101" t="s">
        <v>2426</v>
      </c>
      <c r="N9" s="101" t="s">
        <v>2426</v>
      </c>
      <c r="O9" s="6" t="s">
        <v>343</v>
      </c>
      <c r="P9" s="101" t="s">
        <v>2426</v>
      </c>
      <c r="Q9" s="6" t="s">
        <v>344</v>
      </c>
      <c r="R9" s="101" t="s">
        <v>2426</v>
      </c>
      <c r="S9" s="101" t="s">
        <v>2426</v>
      </c>
      <c r="T9" s="101" t="s">
        <v>2426</v>
      </c>
      <c r="U9" s="101" t="s">
        <v>2426</v>
      </c>
      <c r="V9" s="101" t="s">
        <v>2426</v>
      </c>
      <c r="W9" s="101" t="s">
        <v>2426</v>
      </c>
      <c r="X9" s="101" t="s">
        <v>2426</v>
      </c>
      <c r="Y9" s="101" t="s">
        <v>2426</v>
      </c>
      <c r="Z9" s="101" t="s">
        <v>2426</v>
      </c>
      <c r="AA9" s="101" t="s">
        <v>2426</v>
      </c>
      <c r="AB9" s="6" t="s">
        <v>347</v>
      </c>
      <c r="AC9" s="6" t="s">
        <v>348</v>
      </c>
      <c r="AD9" s="6" t="s">
        <v>349</v>
      </c>
      <c r="AE9" s="6" t="s">
        <v>2509</v>
      </c>
      <c r="AF9" s="101" t="s">
        <v>2426</v>
      </c>
      <c r="AG9" s="101" t="s">
        <v>2426</v>
      </c>
      <c r="AH9" s="101" t="s">
        <v>2426</v>
      </c>
      <c r="AI9" s="101" t="s">
        <v>2426</v>
      </c>
      <c r="AJ9" s="101" t="s">
        <v>2426</v>
      </c>
      <c r="AK9" s="101" t="s">
        <v>2426</v>
      </c>
      <c r="AL9" s="101" t="s">
        <v>2426</v>
      </c>
      <c r="AM9" s="101" t="s">
        <v>2426</v>
      </c>
      <c r="AN9" s="101" t="s">
        <v>2426</v>
      </c>
      <c r="AO9" s="101" t="s">
        <v>2426</v>
      </c>
      <c r="AP9" s="101" t="s">
        <v>2426</v>
      </c>
      <c r="AQ9" s="101" t="s">
        <v>2426</v>
      </c>
      <c r="AR9" s="101" t="s">
        <v>2426</v>
      </c>
      <c r="AS9" s="101" t="s">
        <v>2426</v>
      </c>
      <c r="AT9" s="101" t="s">
        <v>2426</v>
      </c>
      <c r="AU9" s="101" t="s">
        <v>2426</v>
      </c>
      <c r="AV9" s="101" t="s">
        <v>2426</v>
      </c>
      <c r="AW9" s="101" t="s">
        <v>2426</v>
      </c>
      <c r="AX9" s="101" t="s">
        <v>2426</v>
      </c>
      <c r="AY9" s="101" t="s">
        <v>2426</v>
      </c>
    </row>
    <row r="10" customFormat="false" ht="60" hidden="false" customHeight="true" outlineLevel="0" collapsed="false">
      <c r="A10" s="5" t="s">
        <v>351</v>
      </c>
      <c r="B10" s="5" t="s">
        <v>352</v>
      </c>
      <c r="C10" s="6" t="s">
        <v>365</v>
      </c>
      <c r="D10" s="6" t="s">
        <v>2510</v>
      </c>
      <c r="E10" s="6" t="s">
        <v>370</v>
      </c>
      <c r="F10" s="6" t="s">
        <v>2511</v>
      </c>
      <c r="G10" s="6" t="s">
        <v>369</v>
      </c>
      <c r="H10" s="6" t="s">
        <v>2512</v>
      </c>
      <c r="I10" s="6" t="s">
        <v>594</v>
      </c>
      <c r="J10" s="6" t="s">
        <v>2513</v>
      </c>
      <c r="K10" s="6" t="s">
        <v>371</v>
      </c>
      <c r="L10" s="6" t="s">
        <v>364</v>
      </c>
      <c r="M10" s="6" t="s">
        <v>2514</v>
      </c>
      <c r="N10" s="6" t="s">
        <v>2515</v>
      </c>
      <c r="O10" s="6" t="s">
        <v>360</v>
      </c>
      <c r="P10" s="101" t="s">
        <v>2426</v>
      </c>
      <c r="Q10" s="6" t="s">
        <v>361</v>
      </c>
      <c r="R10" s="101" t="s">
        <v>2426</v>
      </c>
      <c r="S10" s="101" t="s">
        <v>2426</v>
      </c>
      <c r="T10" s="101" t="s">
        <v>2426</v>
      </c>
      <c r="U10" s="101" t="s">
        <v>2426</v>
      </c>
      <c r="V10" s="101" t="s">
        <v>2426</v>
      </c>
      <c r="W10" s="6" t="s">
        <v>2516</v>
      </c>
      <c r="X10" s="6" t="s">
        <v>2517</v>
      </c>
      <c r="Y10" s="6" t="s">
        <v>2518</v>
      </c>
      <c r="Z10" s="6" t="s">
        <v>2519</v>
      </c>
      <c r="AA10" s="6" t="s">
        <v>2520</v>
      </c>
      <c r="AB10" s="6" t="s">
        <v>2521</v>
      </c>
      <c r="AC10" s="6" t="s">
        <v>367</v>
      </c>
      <c r="AD10" s="6" t="s">
        <v>368</v>
      </c>
      <c r="AE10" s="6" t="s">
        <v>2522</v>
      </c>
      <c r="AF10" s="6" t="s">
        <v>2523</v>
      </c>
      <c r="AG10" s="6" t="s">
        <v>2524</v>
      </c>
      <c r="AH10" s="6" t="s">
        <v>2525</v>
      </c>
      <c r="AI10" s="6" t="s">
        <v>2526</v>
      </c>
      <c r="AJ10" s="6" t="s">
        <v>2527</v>
      </c>
      <c r="AK10" s="6" t="s">
        <v>2528</v>
      </c>
      <c r="AL10" s="101" t="s">
        <v>2426</v>
      </c>
      <c r="AM10" s="6" t="s">
        <v>2529</v>
      </c>
      <c r="AN10" s="6" t="s">
        <v>2530</v>
      </c>
      <c r="AO10" s="6" t="s">
        <v>2531</v>
      </c>
      <c r="AP10" s="6" t="s">
        <v>2532</v>
      </c>
      <c r="AQ10" s="6" t="s">
        <v>2533</v>
      </c>
      <c r="AR10" s="101" t="s">
        <v>2426</v>
      </c>
      <c r="AS10" s="101" t="s">
        <v>2426</v>
      </c>
      <c r="AT10" s="6" t="s">
        <v>2534</v>
      </c>
      <c r="AU10" s="6" t="s">
        <v>2535</v>
      </c>
      <c r="AV10" s="101" t="s">
        <v>2426</v>
      </c>
      <c r="AW10" s="6" t="s">
        <v>2536</v>
      </c>
      <c r="AX10" s="6" t="s">
        <v>2537</v>
      </c>
      <c r="AY10" s="6" t="s">
        <v>2538</v>
      </c>
    </row>
    <row r="11" customFormat="false" ht="60" hidden="false" customHeight="true" outlineLevel="0" collapsed="false">
      <c r="A11" s="5" t="s">
        <v>375</v>
      </c>
      <c r="B11" s="5" t="s">
        <v>376</v>
      </c>
      <c r="C11" s="6" t="s">
        <v>387</v>
      </c>
      <c r="D11" s="6" t="s">
        <v>2539</v>
      </c>
      <c r="E11" s="6" t="s">
        <v>391</v>
      </c>
      <c r="F11" s="6" t="s">
        <v>2540</v>
      </c>
      <c r="G11" s="6" t="s">
        <v>330</v>
      </c>
      <c r="H11" s="6" t="s">
        <v>2541</v>
      </c>
      <c r="I11" s="6" t="s">
        <v>2542</v>
      </c>
      <c r="J11" s="6" t="s">
        <v>2543</v>
      </c>
      <c r="K11" s="6" t="s">
        <v>392</v>
      </c>
      <c r="L11" s="6" t="s">
        <v>386</v>
      </c>
      <c r="M11" s="6" t="s">
        <v>2544</v>
      </c>
      <c r="N11" s="6" t="s">
        <v>2545</v>
      </c>
      <c r="O11" s="6" t="s">
        <v>382</v>
      </c>
      <c r="P11" s="101" t="s">
        <v>2426</v>
      </c>
      <c r="Q11" s="6" t="s">
        <v>383</v>
      </c>
      <c r="R11" s="101" t="s">
        <v>2426</v>
      </c>
      <c r="S11" s="101" t="s">
        <v>2426</v>
      </c>
      <c r="T11" s="101" t="s">
        <v>2426</v>
      </c>
      <c r="U11" s="101" t="s">
        <v>2426</v>
      </c>
      <c r="V11" s="6" t="s">
        <v>2430</v>
      </c>
      <c r="W11" s="6" t="s">
        <v>2431</v>
      </c>
      <c r="X11" s="6" t="s">
        <v>2432</v>
      </c>
      <c r="Y11" s="6" t="s">
        <v>2546</v>
      </c>
      <c r="Z11" s="101" t="s">
        <v>2426</v>
      </c>
      <c r="AA11" s="6" t="s">
        <v>2434</v>
      </c>
      <c r="AB11" s="6" t="s">
        <v>2547</v>
      </c>
      <c r="AC11" s="6" t="s">
        <v>389</v>
      </c>
      <c r="AD11" s="6" t="s">
        <v>2548</v>
      </c>
      <c r="AE11" s="6" t="s">
        <v>2549</v>
      </c>
      <c r="AF11" s="6" t="s">
        <v>2523</v>
      </c>
      <c r="AG11" s="6" t="s">
        <v>2550</v>
      </c>
      <c r="AH11" s="6" t="s">
        <v>2551</v>
      </c>
      <c r="AI11" s="6" t="s">
        <v>2439</v>
      </c>
      <c r="AJ11" s="6" t="s">
        <v>2440</v>
      </c>
      <c r="AK11" s="101" t="s">
        <v>2426</v>
      </c>
      <c r="AL11" s="6" t="s">
        <v>2441</v>
      </c>
      <c r="AM11" s="6" t="s">
        <v>2552</v>
      </c>
      <c r="AN11" s="6" t="s">
        <v>2553</v>
      </c>
      <c r="AO11" s="6" t="s">
        <v>2554</v>
      </c>
      <c r="AP11" s="6" t="s">
        <v>2555</v>
      </c>
      <c r="AQ11" s="6" t="s">
        <v>2533</v>
      </c>
      <c r="AR11" s="6" t="s">
        <v>2445</v>
      </c>
      <c r="AS11" s="101" t="s">
        <v>2426</v>
      </c>
      <c r="AT11" s="6" t="s">
        <v>2534</v>
      </c>
      <c r="AU11" s="6" t="s">
        <v>2556</v>
      </c>
      <c r="AV11" s="101" t="s">
        <v>2426</v>
      </c>
      <c r="AW11" s="6" t="s">
        <v>2557</v>
      </c>
      <c r="AX11" s="6" t="s">
        <v>2537</v>
      </c>
      <c r="AY11" s="6" t="s">
        <v>2558</v>
      </c>
    </row>
    <row r="12" customFormat="false" ht="60" hidden="false" customHeight="true" outlineLevel="0" collapsed="false">
      <c r="A12" s="5" t="s">
        <v>396</v>
      </c>
      <c r="B12" s="5" t="s">
        <v>397</v>
      </c>
      <c r="C12" s="6" t="s">
        <v>410</v>
      </c>
      <c r="D12" s="6" t="s">
        <v>2559</v>
      </c>
      <c r="E12" s="6" t="s">
        <v>414</v>
      </c>
      <c r="F12" s="6" t="s">
        <v>2560</v>
      </c>
      <c r="G12" s="6" t="s">
        <v>369</v>
      </c>
      <c r="H12" s="6" t="s">
        <v>2561</v>
      </c>
      <c r="I12" s="6" t="s">
        <v>594</v>
      </c>
      <c r="J12" s="6" t="s">
        <v>2562</v>
      </c>
      <c r="K12" s="6" t="s">
        <v>415</v>
      </c>
      <c r="L12" s="6" t="s">
        <v>409</v>
      </c>
      <c r="M12" s="6" t="s">
        <v>2563</v>
      </c>
      <c r="N12" s="6" t="s">
        <v>2564</v>
      </c>
      <c r="O12" s="6" t="s">
        <v>405</v>
      </c>
      <c r="P12" s="101" t="s">
        <v>2426</v>
      </c>
      <c r="Q12" s="6" t="s">
        <v>406</v>
      </c>
      <c r="R12" s="101" t="s">
        <v>2426</v>
      </c>
      <c r="S12" s="101" t="s">
        <v>2426</v>
      </c>
      <c r="T12" s="101" t="s">
        <v>2426</v>
      </c>
      <c r="U12" s="101" t="s">
        <v>2426</v>
      </c>
      <c r="V12" s="6" t="s">
        <v>2565</v>
      </c>
      <c r="W12" s="6" t="s">
        <v>2566</v>
      </c>
      <c r="X12" s="6" t="s">
        <v>2567</v>
      </c>
      <c r="Y12" s="6" t="s">
        <v>2568</v>
      </c>
      <c r="Z12" s="6" t="s">
        <v>2519</v>
      </c>
      <c r="AA12" s="101" t="s">
        <v>2426</v>
      </c>
      <c r="AB12" s="6" t="s">
        <v>2569</v>
      </c>
      <c r="AC12" s="6" t="s">
        <v>412</v>
      </c>
      <c r="AD12" s="6" t="s">
        <v>413</v>
      </c>
      <c r="AE12" s="6" t="s">
        <v>2570</v>
      </c>
      <c r="AF12" s="6" t="s">
        <v>2571</v>
      </c>
      <c r="AG12" s="6" t="s">
        <v>2572</v>
      </c>
      <c r="AH12" s="6" t="s">
        <v>2573</v>
      </c>
      <c r="AI12" s="6" t="s">
        <v>2526</v>
      </c>
      <c r="AJ12" s="6" t="s">
        <v>2574</v>
      </c>
      <c r="AK12" s="6" t="s">
        <v>2528</v>
      </c>
      <c r="AL12" s="6" t="s">
        <v>2575</v>
      </c>
      <c r="AM12" s="6" t="s">
        <v>2576</v>
      </c>
      <c r="AN12" s="6" t="s">
        <v>2577</v>
      </c>
      <c r="AO12" s="6" t="s">
        <v>2578</v>
      </c>
      <c r="AP12" s="6" t="s">
        <v>2579</v>
      </c>
      <c r="AQ12" s="6" t="s">
        <v>2580</v>
      </c>
      <c r="AR12" s="101" t="s">
        <v>2426</v>
      </c>
      <c r="AS12" s="6" t="s">
        <v>2581</v>
      </c>
      <c r="AT12" s="6" t="s">
        <v>2582</v>
      </c>
      <c r="AU12" s="6" t="s">
        <v>2583</v>
      </c>
      <c r="AV12" s="101" t="s">
        <v>2426</v>
      </c>
      <c r="AW12" s="6" t="s">
        <v>2584</v>
      </c>
      <c r="AX12" s="6" t="s">
        <v>2585</v>
      </c>
      <c r="AY12" s="6" t="s">
        <v>2586</v>
      </c>
    </row>
    <row r="13" customFormat="false" ht="60" hidden="false" customHeight="true" outlineLevel="0" collapsed="false">
      <c r="A13" s="5" t="s">
        <v>419</v>
      </c>
      <c r="B13" s="5" t="s">
        <v>420</v>
      </c>
      <c r="C13" s="6" t="s">
        <v>433</v>
      </c>
      <c r="D13" s="6" t="s">
        <v>2587</v>
      </c>
      <c r="E13" s="6" t="s">
        <v>438</v>
      </c>
      <c r="F13" s="6" t="s">
        <v>2588</v>
      </c>
      <c r="G13" s="6" t="s">
        <v>437</v>
      </c>
      <c r="H13" s="6" t="s">
        <v>2589</v>
      </c>
      <c r="I13" s="6" t="s">
        <v>2590</v>
      </c>
      <c r="J13" s="6" t="s">
        <v>2591</v>
      </c>
      <c r="K13" s="6" t="s">
        <v>439</v>
      </c>
      <c r="L13" s="6" t="s">
        <v>432</v>
      </c>
      <c r="M13" s="6" t="s">
        <v>2592</v>
      </c>
      <c r="N13" s="6" t="s">
        <v>2593</v>
      </c>
      <c r="O13" s="6" t="s">
        <v>428</v>
      </c>
      <c r="P13" s="101" t="s">
        <v>2426</v>
      </c>
      <c r="Q13" s="6" t="s">
        <v>429</v>
      </c>
      <c r="R13" s="101" t="s">
        <v>2426</v>
      </c>
      <c r="S13" s="101" t="s">
        <v>2426</v>
      </c>
      <c r="T13" s="6" t="s">
        <v>2594</v>
      </c>
      <c r="U13" s="6" t="s">
        <v>2595</v>
      </c>
      <c r="V13" s="6" t="s">
        <v>2430</v>
      </c>
      <c r="W13" s="6" t="s">
        <v>2516</v>
      </c>
      <c r="X13" s="6" t="s">
        <v>2596</v>
      </c>
      <c r="Y13" s="6" t="s">
        <v>2597</v>
      </c>
      <c r="Z13" s="101" t="s">
        <v>2426</v>
      </c>
      <c r="AA13" s="6" t="s">
        <v>2598</v>
      </c>
      <c r="AB13" s="6" t="s">
        <v>2599</v>
      </c>
      <c r="AC13" s="6" t="s">
        <v>435</v>
      </c>
      <c r="AD13" s="6" t="s">
        <v>2600</v>
      </c>
      <c r="AE13" s="6" t="s">
        <v>2601</v>
      </c>
      <c r="AF13" s="6" t="s">
        <v>2523</v>
      </c>
      <c r="AG13" s="6" t="s">
        <v>2550</v>
      </c>
      <c r="AH13" s="101" t="s">
        <v>2426</v>
      </c>
      <c r="AI13" s="6" t="s">
        <v>2526</v>
      </c>
      <c r="AJ13" s="101" t="s">
        <v>2426</v>
      </c>
      <c r="AK13" s="6" t="s">
        <v>2602</v>
      </c>
      <c r="AL13" s="6" t="s">
        <v>2603</v>
      </c>
      <c r="AM13" s="6" t="s">
        <v>2604</v>
      </c>
      <c r="AN13" s="6" t="s">
        <v>2605</v>
      </c>
      <c r="AO13" s="6" t="s">
        <v>2606</v>
      </c>
      <c r="AP13" s="6" t="s">
        <v>2607</v>
      </c>
      <c r="AQ13" s="6" t="s">
        <v>2533</v>
      </c>
      <c r="AR13" s="6" t="s">
        <v>2608</v>
      </c>
      <c r="AS13" s="101" t="s">
        <v>2426</v>
      </c>
      <c r="AT13" s="101" t="s">
        <v>2426</v>
      </c>
      <c r="AU13" s="6" t="s">
        <v>2609</v>
      </c>
      <c r="AV13" s="6" t="s">
        <v>2610</v>
      </c>
      <c r="AW13" s="6" t="s">
        <v>2611</v>
      </c>
      <c r="AX13" s="101" t="s">
        <v>2426</v>
      </c>
      <c r="AY13" s="6" t="s">
        <v>2612</v>
      </c>
    </row>
    <row r="14" customFormat="false" ht="60" hidden="false" customHeight="true" outlineLevel="0" collapsed="false">
      <c r="A14" s="5" t="s">
        <v>443</v>
      </c>
      <c r="B14" s="5" t="s">
        <v>444</v>
      </c>
      <c r="C14" s="101" t="s">
        <v>2426</v>
      </c>
      <c r="D14" s="6" t="s">
        <v>2613</v>
      </c>
      <c r="E14" s="6" t="s">
        <v>459</v>
      </c>
      <c r="F14" s="6" t="s">
        <v>2614</v>
      </c>
      <c r="G14" s="101" t="s">
        <v>2426</v>
      </c>
      <c r="H14" s="6" t="s">
        <v>2615</v>
      </c>
      <c r="I14" s="101" t="s">
        <v>2426</v>
      </c>
      <c r="J14" s="101" t="s">
        <v>2426</v>
      </c>
      <c r="K14" s="6" t="s">
        <v>460</v>
      </c>
      <c r="L14" s="101" t="s">
        <v>2426</v>
      </c>
      <c r="M14" s="6" t="s">
        <v>2616</v>
      </c>
      <c r="N14" s="101" t="s">
        <v>2426</v>
      </c>
      <c r="O14" s="6" t="s">
        <v>2617</v>
      </c>
      <c r="P14" s="6" t="s">
        <v>2618</v>
      </c>
      <c r="Q14" s="6" t="s">
        <v>2619</v>
      </c>
      <c r="R14" s="6" t="s">
        <v>2620</v>
      </c>
      <c r="S14" s="101" t="s">
        <v>2426</v>
      </c>
      <c r="T14" s="101" t="s">
        <v>2426</v>
      </c>
      <c r="U14" s="6" t="s">
        <v>2621</v>
      </c>
      <c r="V14" s="6" t="s">
        <v>2622</v>
      </c>
      <c r="W14" s="101" t="s">
        <v>2426</v>
      </c>
      <c r="X14" s="6" t="s">
        <v>2623</v>
      </c>
      <c r="Y14" s="101" t="s">
        <v>2426</v>
      </c>
      <c r="Z14" s="101" t="s">
        <v>2426</v>
      </c>
      <c r="AA14" s="101" t="s">
        <v>2426</v>
      </c>
      <c r="AB14" s="6" t="s">
        <v>2624</v>
      </c>
      <c r="AC14" s="6" t="s">
        <v>457</v>
      </c>
      <c r="AD14" s="6" t="s">
        <v>458</v>
      </c>
      <c r="AE14" s="6" t="s">
        <v>2625</v>
      </c>
      <c r="AF14" s="6" t="s">
        <v>2626</v>
      </c>
      <c r="AG14" s="6" t="s">
        <v>2627</v>
      </c>
      <c r="AH14" s="6" t="s">
        <v>2628</v>
      </c>
      <c r="AI14" s="6" t="s">
        <v>2629</v>
      </c>
      <c r="AJ14" s="6" t="s">
        <v>2630</v>
      </c>
      <c r="AK14" s="6" t="s">
        <v>2631</v>
      </c>
      <c r="AL14" s="6" t="s">
        <v>2632</v>
      </c>
      <c r="AM14" s="6" t="s">
        <v>2633</v>
      </c>
      <c r="AN14" s="6" t="s">
        <v>2634</v>
      </c>
      <c r="AO14" s="6" t="s">
        <v>2635</v>
      </c>
      <c r="AP14" s="6" t="s">
        <v>2636</v>
      </c>
      <c r="AQ14" s="6" t="s">
        <v>2637</v>
      </c>
      <c r="AR14" s="6" t="s">
        <v>2445</v>
      </c>
      <c r="AS14" s="6" t="s">
        <v>2638</v>
      </c>
      <c r="AT14" s="6" t="s">
        <v>2534</v>
      </c>
      <c r="AU14" s="6" t="s">
        <v>2639</v>
      </c>
      <c r="AV14" s="6" t="s">
        <v>2640</v>
      </c>
      <c r="AW14" s="6" t="s">
        <v>2641</v>
      </c>
      <c r="AX14" s="6" t="s">
        <v>2642</v>
      </c>
      <c r="AY14" s="6" t="s">
        <v>2643</v>
      </c>
    </row>
    <row r="15" customFormat="false" ht="60" hidden="false" customHeight="true" outlineLevel="0" collapsed="false">
      <c r="A15" s="5" t="s">
        <v>464</v>
      </c>
      <c r="B15" s="5" t="s">
        <v>465</v>
      </c>
      <c r="C15" s="6" t="s">
        <v>283</v>
      </c>
      <c r="D15" s="6" t="s">
        <v>2644</v>
      </c>
      <c r="E15" s="6" t="s">
        <v>480</v>
      </c>
      <c r="F15" s="6" t="s">
        <v>2645</v>
      </c>
      <c r="G15" s="6" t="s">
        <v>330</v>
      </c>
      <c r="H15" s="6" t="s">
        <v>2646</v>
      </c>
      <c r="I15" s="6" t="s">
        <v>303</v>
      </c>
      <c r="J15" s="101" t="s">
        <v>2426</v>
      </c>
      <c r="K15" s="101" t="s">
        <v>2426</v>
      </c>
      <c r="L15" s="6" t="s">
        <v>476</v>
      </c>
      <c r="M15" s="6" t="s">
        <v>2647</v>
      </c>
      <c r="N15" s="101" t="s">
        <v>2426</v>
      </c>
      <c r="O15" s="6" t="s">
        <v>2648</v>
      </c>
      <c r="P15" s="6" t="s">
        <v>2649</v>
      </c>
      <c r="Q15" s="6" t="s">
        <v>474</v>
      </c>
      <c r="R15" s="101" t="s">
        <v>2426</v>
      </c>
      <c r="S15" s="101" t="s">
        <v>2426</v>
      </c>
      <c r="T15" s="6" t="s">
        <v>2650</v>
      </c>
      <c r="U15" s="6" t="s">
        <v>2595</v>
      </c>
      <c r="V15" s="6" t="s">
        <v>2486</v>
      </c>
      <c r="W15" s="6" t="s">
        <v>2651</v>
      </c>
      <c r="X15" s="6" t="s">
        <v>2652</v>
      </c>
      <c r="Y15" s="101" t="s">
        <v>2426</v>
      </c>
      <c r="Z15" s="101" t="s">
        <v>2426</v>
      </c>
      <c r="AA15" s="6" t="s">
        <v>2653</v>
      </c>
      <c r="AB15" s="6" t="s">
        <v>2654</v>
      </c>
      <c r="AC15" s="6" t="s">
        <v>478</v>
      </c>
      <c r="AD15" s="6" t="s">
        <v>2655</v>
      </c>
      <c r="AE15" s="6" t="s">
        <v>2656</v>
      </c>
      <c r="AF15" s="6" t="s">
        <v>2657</v>
      </c>
      <c r="AG15" s="6" t="s">
        <v>2437</v>
      </c>
      <c r="AH15" s="6" t="s">
        <v>2658</v>
      </c>
      <c r="AI15" s="6" t="s">
        <v>2659</v>
      </c>
      <c r="AJ15" s="6" t="s">
        <v>2660</v>
      </c>
      <c r="AK15" s="6" t="s">
        <v>2661</v>
      </c>
      <c r="AL15" s="6" t="s">
        <v>2662</v>
      </c>
      <c r="AM15" s="6" t="s">
        <v>2663</v>
      </c>
      <c r="AN15" s="6" t="s">
        <v>2664</v>
      </c>
      <c r="AO15" s="6" t="s">
        <v>2665</v>
      </c>
      <c r="AP15" s="6" t="s">
        <v>2666</v>
      </c>
      <c r="AQ15" s="6" t="s">
        <v>2667</v>
      </c>
      <c r="AR15" s="6" t="s">
        <v>2668</v>
      </c>
      <c r="AS15" s="6" t="s">
        <v>2669</v>
      </c>
      <c r="AT15" s="6" t="s">
        <v>2670</v>
      </c>
      <c r="AU15" s="6" t="s">
        <v>2671</v>
      </c>
      <c r="AV15" s="6" t="s">
        <v>2672</v>
      </c>
      <c r="AW15" s="6" t="s">
        <v>2673</v>
      </c>
      <c r="AX15" s="6" t="s">
        <v>2642</v>
      </c>
      <c r="AY15" s="6" t="s">
        <v>2674</v>
      </c>
    </row>
    <row r="16" customFormat="false" ht="60" hidden="false" customHeight="true" outlineLevel="0" collapsed="false">
      <c r="A16" s="5" t="s">
        <v>484</v>
      </c>
      <c r="B16" s="5" t="s">
        <v>485</v>
      </c>
      <c r="C16" s="101" t="s">
        <v>2426</v>
      </c>
      <c r="D16" s="6" t="s">
        <v>2675</v>
      </c>
      <c r="E16" s="6" t="s">
        <v>500</v>
      </c>
      <c r="F16" s="6" t="s">
        <v>2676</v>
      </c>
      <c r="G16" s="101" t="s">
        <v>2426</v>
      </c>
      <c r="H16" s="6" t="s">
        <v>2677</v>
      </c>
      <c r="I16" s="6" t="s">
        <v>2678</v>
      </c>
      <c r="J16" s="6" t="s">
        <v>2679</v>
      </c>
      <c r="K16" s="101" t="s">
        <v>2426</v>
      </c>
      <c r="L16" s="6" t="s">
        <v>495</v>
      </c>
      <c r="M16" s="6" t="s">
        <v>2680</v>
      </c>
      <c r="N16" s="6" t="s">
        <v>2681</v>
      </c>
      <c r="O16" s="6" t="s">
        <v>491</v>
      </c>
      <c r="P16" s="101" t="s">
        <v>2426</v>
      </c>
      <c r="Q16" s="6" t="s">
        <v>492</v>
      </c>
      <c r="R16" s="101" t="s">
        <v>2426</v>
      </c>
      <c r="S16" s="101" t="s">
        <v>2426</v>
      </c>
      <c r="T16" s="101" t="s">
        <v>2426</v>
      </c>
      <c r="U16" s="101" t="s">
        <v>2426</v>
      </c>
      <c r="V16" s="101" t="s">
        <v>2426</v>
      </c>
      <c r="W16" s="6" t="s">
        <v>2682</v>
      </c>
      <c r="X16" s="101" t="s">
        <v>2426</v>
      </c>
      <c r="Y16" s="101" t="s">
        <v>2426</v>
      </c>
      <c r="Z16" s="101" t="s">
        <v>2426</v>
      </c>
      <c r="AA16" s="101" t="s">
        <v>2426</v>
      </c>
      <c r="AB16" s="6" t="s">
        <v>2683</v>
      </c>
      <c r="AC16" s="6" t="s">
        <v>498</v>
      </c>
      <c r="AD16" s="6" t="s">
        <v>2684</v>
      </c>
      <c r="AE16" s="101" t="s">
        <v>2426</v>
      </c>
      <c r="AF16" s="6" t="s">
        <v>2523</v>
      </c>
      <c r="AG16" s="6" t="s">
        <v>2685</v>
      </c>
      <c r="AH16" s="101" t="s">
        <v>2426</v>
      </c>
      <c r="AI16" s="101" t="s">
        <v>2426</v>
      </c>
      <c r="AJ16" s="101" t="s">
        <v>2426</v>
      </c>
      <c r="AK16" s="6" t="s">
        <v>2686</v>
      </c>
      <c r="AL16" s="101" t="s">
        <v>2426</v>
      </c>
      <c r="AM16" s="6" t="s">
        <v>2687</v>
      </c>
      <c r="AN16" s="101" t="s">
        <v>2426</v>
      </c>
      <c r="AO16" s="101" t="s">
        <v>2426</v>
      </c>
      <c r="AP16" s="101" t="s">
        <v>2426</v>
      </c>
      <c r="AQ16" s="101" t="s">
        <v>2426</v>
      </c>
      <c r="AR16" s="101" t="s">
        <v>2426</v>
      </c>
      <c r="AS16" s="101" t="s">
        <v>2426</v>
      </c>
      <c r="AT16" s="101" t="s">
        <v>2426</v>
      </c>
      <c r="AU16" s="6" t="s">
        <v>2688</v>
      </c>
      <c r="AV16" s="101" t="s">
        <v>2426</v>
      </c>
      <c r="AW16" s="6" t="s">
        <v>2689</v>
      </c>
      <c r="AX16" s="101" t="s">
        <v>2426</v>
      </c>
      <c r="AY16" s="6" t="s">
        <v>2690</v>
      </c>
    </row>
    <row r="17" customFormat="false" ht="60" hidden="false" customHeight="true" outlineLevel="0" collapsed="false">
      <c r="A17" s="5" t="s">
        <v>504</v>
      </c>
      <c r="B17" s="5" t="s">
        <v>505</v>
      </c>
      <c r="C17" s="6" t="s">
        <v>517</v>
      </c>
      <c r="D17" s="6" t="s">
        <v>2691</v>
      </c>
      <c r="E17" s="6" t="s">
        <v>521</v>
      </c>
      <c r="F17" s="6" t="s">
        <v>514</v>
      </c>
      <c r="G17" s="6" t="s">
        <v>520</v>
      </c>
      <c r="H17" s="6" t="s">
        <v>2692</v>
      </c>
      <c r="I17" s="6" t="s">
        <v>2693</v>
      </c>
      <c r="J17" s="6" t="s">
        <v>2694</v>
      </c>
      <c r="K17" s="101" t="s">
        <v>2426</v>
      </c>
      <c r="L17" s="6" t="s">
        <v>516</v>
      </c>
      <c r="M17" s="6" t="s">
        <v>2695</v>
      </c>
      <c r="N17" s="6" t="s">
        <v>2696</v>
      </c>
      <c r="O17" s="6" t="s">
        <v>512</v>
      </c>
      <c r="P17" s="101" t="s">
        <v>2426</v>
      </c>
      <c r="Q17" s="6" t="s">
        <v>513</v>
      </c>
      <c r="R17" s="101" t="s">
        <v>2426</v>
      </c>
      <c r="S17" s="101" t="s">
        <v>2426</v>
      </c>
      <c r="T17" s="6" t="s">
        <v>2650</v>
      </c>
      <c r="U17" s="101" t="s">
        <v>2426</v>
      </c>
      <c r="V17" s="6" t="s">
        <v>2565</v>
      </c>
      <c r="W17" s="6" t="s">
        <v>2697</v>
      </c>
      <c r="X17" s="101" t="s">
        <v>2426</v>
      </c>
      <c r="Y17" s="101" t="s">
        <v>2426</v>
      </c>
      <c r="Z17" s="6" t="s">
        <v>2519</v>
      </c>
      <c r="AA17" s="101" t="s">
        <v>2426</v>
      </c>
      <c r="AB17" s="6" t="s">
        <v>518</v>
      </c>
      <c r="AC17" s="101" t="s">
        <v>2426</v>
      </c>
      <c r="AD17" s="6" t="s">
        <v>519</v>
      </c>
      <c r="AE17" s="101" t="s">
        <v>2426</v>
      </c>
      <c r="AF17" s="6" t="s">
        <v>2657</v>
      </c>
      <c r="AG17" s="6" t="s">
        <v>2698</v>
      </c>
      <c r="AH17" s="6" t="s">
        <v>2699</v>
      </c>
      <c r="AI17" s="6" t="s">
        <v>2700</v>
      </c>
      <c r="AJ17" s="6" t="s">
        <v>2701</v>
      </c>
      <c r="AK17" s="6" t="s">
        <v>2702</v>
      </c>
      <c r="AL17" s="6" t="s">
        <v>2703</v>
      </c>
      <c r="AM17" s="6" t="s">
        <v>2704</v>
      </c>
      <c r="AN17" s="6" t="s">
        <v>2705</v>
      </c>
      <c r="AO17" s="6" t="s">
        <v>2706</v>
      </c>
      <c r="AP17" s="6" t="s">
        <v>2707</v>
      </c>
      <c r="AQ17" s="6" t="s">
        <v>2708</v>
      </c>
      <c r="AR17" s="6" t="s">
        <v>2709</v>
      </c>
      <c r="AS17" s="6" t="s">
        <v>2710</v>
      </c>
      <c r="AT17" s="6" t="s">
        <v>2711</v>
      </c>
      <c r="AU17" s="6" t="s">
        <v>2712</v>
      </c>
      <c r="AV17" s="6" t="s">
        <v>2713</v>
      </c>
      <c r="AW17" s="6" t="s">
        <v>2714</v>
      </c>
      <c r="AX17" s="6" t="s">
        <v>2715</v>
      </c>
      <c r="AY17" s="6" t="s">
        <v>2716</v>
      </c>
    </row>
    <row r="18" customFormat="false" ht="60" hidden="false" customHeight="true" outlineLevel="0" collapsed="false">
      <c r="A18" s="5" t="s">
        <v>525</v>
      </c>
      <c r="B18" s="5" t="s">
        <v>526</v>
      </c>
      <c r="C18" s="6" t="s">
        <v>535</v>
      </c>
      <c r="D18" s="6" t="s">
        <v>2717</v>
      </c>
      <c r="E18" s="6" t="s">
        <v>539</v>
      </c>
      <c r="F18" s="6" t="s">
        <v>2718</v>
      </c>
      <c r="G18" s="101" t="s">
        <v>2426</v>
      </c>
      <c r="H18" s="101" t="s">
        <v>2426</v>
      </c>
      <c r="I18" s="101" t="s">
        <v>2426</v>
      </c>
      <c r="J18" s="101" t="s">
        <v>2426</v>
      </c>
      <c r="K18" s="101" t="s">
        <v>2426</v>
      </c>
      <c r="L18" s="6" t="s">
        <v>534</v>
      </c>
      <c r="M18" s="6" t="s">
        <v>2719</v>
      </c>
      <c r="N18" s="6" t="s">
        <v>2720</v>
      </c>
      <c r="O18" s="6" t="s">
        <v>491</v>
      </c>
      <c r="P18" s="101" t="s">
        <v>2426</v>
      </c>
      <c r="Q18" s="6" t="s">
        <v>532</v>
      </c>
      <c r="R18" s="101" t="s">
        <v>2426</v>
      </c>
      <c r="S18" s="101" t="s">
        <v>2426</v>
      </c>
      <c r="T18" s="101" t="s">
        <v>2426</v>
      </c>
      <c r="U18" s="101" t="s">
        <v>2426</v>
      </c>
      <c r="V18" s="101" t="s">
        <v>2426</v>
      </c>
      <c r="W18" s="101" t="s">
        <v>2426</v>
      </c>
      <c r="X18" s="6" t="s">
        <v>2623</v>
      </c>
      <c r="Y18" s="101" t="s">
        <v>2426</v>
      </c>
      <c r="Z18" s="6" t="s">
        <v>2519</v>
      </c>
      <c r="AA18" s="101" t="s">
        <v>2426</v>
      </c>
      <c r="AB18" s="6" t="s">
        <v>536</v>
      </c>
      <c r="AC18" s="6" t="s">
        <v>537</v>
      </c>
      <c r="AD18" s="6" t="s">
        <v>2721</v>
      </c>
      <c r="AE18" s="101" t="s">
        <v>2426</v>
      </c>
      <c r="AF18" s="6" t="s">
        <v>2523</v>
      </c>
      <c r="AG18" s="6" t="s">
        <v>2524</v>
      </c>
      <c r="AH18" s="6" t="s">
        <v>2525</v>
      </c>
      <c r="AI18" s="101" t="s">
        <v>2426</v>
      </c>
      <c r="AJ18" s="6" t="s">
        <v>2527</v>
      </c>
      <c r="AK18" s="101" t="s">
        <v>2426</v>
      </c>
      <c r="AL18" s="101" t="s">
        <v>2426</v>
      </c>
      <c r="AM18" s="101" t="s">
        <v>2426</v>
      </c>
      <c r="AN18" s="101" t="s">
        <v>2426</v>
      </c>
      <c r="AO18" s="101" t="s">
        <v>2426</v>
      </c>
      <c r="AP18" s="101" t="s">
        <v>2426</v>
      </c>
      <c r="AQ18" s="101" t="s">
        <v>2426</v>
      </c>
      <c r="AR18" s="101" t="s">
        <v>2426</v>
      </c>
      <c r="AS18" s="101" t="s">
        <v>2426</v>
      </c>
      <c r="AT18" s="101" t="s">
        <v>2426</v>
      </c>
      <c r="AU18" s="101" t="s">
        <v>2426</v>
      </c>
      <c r="AV18" s="101" t="s">
        <v>2426</v>
      </c>
      <c r="AW18" s="6" t="s">
        <v>2722</v>
      </c>
      <c r="AX18" s="101" t="s">
        <v>2426</v>
      </c>
      <c r="AY18" s="6" t="s">
        <v>2643</v>
      </c>
    </row>
    <row r="19" customFormat="false" ht="60" hidden="false" customHeight="true" outlineLevel="0" collapsed="false">
      <c r="A19" s="5" t="s">
        <v>543</v>
      </c>
      <c r="B19" s="5" t="s">
        <v>544</v>
      </c>
      <c r="C19" s="6" t="s">
        <v>554</v>
      </c>
      <c r="D19" s="6" t="s">
        <v>2723</v>
      </c>
      <c r="E19" s="6" t="s">
        <v>559</v>
      </c>
      <c r="F19" s="6" t="s">
        <v>2724</v>
      </c>
      <c r="G19" s="6" t="s">
        <v>558</v>
      </c>
      <c r="H19" s="6" t="s">
        <v>2725</v>
      </c>
      <c r="I19" s="6" t="s">
        <v>2693</v>
      </c>
      <c r="J19" s="6" t="s">
        <v>2694</v>
      </c>
      <c r="K19" s="101" t="s">
        <v>2426</v>
      </c>
      <c r="L19" s="6" t="s">
        <v>516</v>
      </c>
      <c r="M19" s="6" t="s">
        <v>2695</v>
      </c>
      <c r="N19" s="6" t="s">
        <v>2696</v>
      </c>
      <c r="O19" s="6" t="s">
        <v>551</v>
      </c>
      <c r="P19" s="101" t="s">
        <v>2426</v>
      </c>
      <c r="Q19" s="6" t="s">
        <v>552</v>
      </c>
      <c r="R19" s="101" t="s">
        <v>2426</v>
      </c>
      <c r="S19" s="101" t="s">
        <v>2426</v>
      </c>
      <c r="T19" s="6" t="s">
        <v>2726</v>
      </c>
      <c r="U19" s="101" t="s">
        <v>2426</v>
      </c>
      <c r="V19" s="6" t="s">
        <v>2565</v>
      </c>
      <c r="W19" s="6" t="s">
        <v>2727</v>
      </c>
      <c r="X19" s="6" t="s">
        <v>2728</v>
      </c>
      <c r="Y19" s="101" t="s">
        <v>2426</v>
      </c>
      <c r="Z19" s="6" t="s">
        <v>2519</v>
      </c>
      <c r="AA19" s="101" t="s">
        <v>2426</v>
      </c>
      <c r="AB19" s="6" t="s">
        <v>555</v>
      </c>
      <c r="AC19" s="6" t="s">
        <v>556</v>
      </c>
      <c r="AD19" s="6" t="s">
        <v>557</v>
      </c>
      <c r="AE19" s="6" t="s">
        <v>2729</v>
      </c>
      <c r="AF19" s="6" t="s">
        <v>2657</v>
      </c>
      <c r="AG19" s="6" t="s">
        <v>2698</v>
      </c>
      <c r="AH19" s="6" t="s">
        <v>2730</v>
      </c>
      <c r="AI19" s="6" t="s">
        <v>2731</v>
      </c>
      <c r="AJ19" s="6" t="s">
        <v>2732</v>
      </c>
      <c r="AK19" s="6" t="s">
        <v>2733</v>
      </c>
      <c r="AL19" s="6" t="s">
        <v>2575</v>
      </c>
      <c r="AM19" s="6" t="s">
        <v>2704</v>
      </c>
      <c r="AN19" s="6" t="s">
        <v>2705</v>
      </c>
      <c r="AO19" s="6" t="s">
        <v>2706</v>
      </c>
      <c r="AP19" s="6" t="s">
        <v>2707</v>
      </c>
      <c r="AQ19" s="6" t="s">
        <v>2708</v>
      </c>
      <c r="AR19" s="6" t="s">
        <v>2709</v>
      </c>
      <c r="AS19" s="6" t="s">
        <v>2710</v>
      </c>
      <c r="AT19" s="6" t="s">
        <v>2711</v>
      </c>
      <c r="AU19" s="6" t="s">
        <v>2712</v>
      </c>
      <c r="AV19" s="6" t="s">
        <v>2713</v>
      </c>
      <c r="AW19" s="6" t="s">
        <v>2734</v>
      </c>
      <c r="AX19" s="6" t="s">
        <v>2715</v>
      </c>
      <c r="AY19" s="6" t="s">
        <v>2735</v>
      </c>
    </row>
    <row r="20" customFormat="false" ht="60" hidden="false" customHeight="true" outlineLevel="0" collapsed="false">
      <c r="A20" s="5" t="s">
        <v>563</v>
      </c>
      <c r="B20" s="5" t="s">
        <v>564</v>
      </c>
      <c r="C20" s="6" t="s">
        <v>575</v>
      </c>
      <c r="D20" s="6" t="s">
        <v>2613</v>
      </c>
      <c r="E20" s="6" t="s">
        <v>579</v>
      </c>
      <c r="F20" s="6" t="s">
        <v>2736</v>
      </c>
      <c r="G20" s="101" t="s">
        <v>2426</v>
      </c>
      <c r="H20" s="6" t="s">
        <v>2737</v>
      </c>
      <c r="I20" s="101" t="s">
        <v>2426</v>
      </c>
      <c r="J20" s="101" t="s">
        <v>2426</v>
      </c>
      <c r="K20" s="101" t="s">
        <v>2426</v>
      </c>
      <c r="L20" s="101" t="s">
        <v>2426</v>
      </c>
      <c r="M20" s="6" t="s">
        <v>2616</v>
      </c>
      <c r="N20" s="101" t="s">
        <v>2426</v>
      </c>
      <c r="O20" s="6" t="s">
        <v>2738</v>
      </c>
      <c r="P20" s="6" t="s">
        <v>2739</v>
      </c>
      <c r="Q20" s="6" t="s">
        <v>2740</v>
      </c>
      <c r="R20" s="6" t="s">
        <v>2620</v>
      </c>
      <c r="S20" s="101" t="s">
        <v>2426</v>
      </c>
      <c r="T20" s="6" t="s">
        <v>2726</v>
      </c>
      <c r="U20" s="6" t="s">
        <v>2621</v>
      </c>
      <c r="V20" s="101" t="s">
        <v>2426</v>
      </c>
      <c r="W20" s="6" t="s">
        <v>2741</v>
      </c>
      <c r="X20" s="101" t="s">
        <v>2426</v>
      </c>
      <c r="Y20" s="101" t="s">
        <v>2426</v>
      </c>
      <c r="Z20" s="6" t="s">
        <v>2519</v>
      </c>
      <c r="AA20" s="101" t="s">
        <v>2426</v>
      </c>
      <c r="AB20" s="6" t="s">
        <v>2742</v>
      </c>
      <c r="AC20" s="6" t="s">
        <v>577</v>
      </c>
      <c r="AD20" s="6" t="s">
        <v>578</v>
      </c>
      <c r="AE20" s="6" t="s">
        <v>2743</v>
      </c>
      <c r="AF20" s="6" t="s">
        <v>2490</v>
      </c>
      <c r="AG20" s="6" t="s">
        <v>2744</v>
      </c>
      <c r="AH20" s="6" t="s">
        <v>2745</v>
      </c>
      <c r="AI20" s="6" t="s">
        <v>2746</v>
      </c>
      <c r="AJ20" s="6" t="s">
        <v>2747</v>
      </c>
      <c r="AK20" s="101" t="s">
        <v>2426</v>
      </c>
      <c r="AL20" s="6" t="s">
        <v>2575</v>
      </c>
      <c r="AM20" s="6" t="s">
        <v>2748</v>
      </c>
      <c r="AN20" s="6" t="s">
        <v>2749</v>
      </c>
      <c r="AO20" s="6" t="s">
        <v>2750</v>
      </c>
      <c r="AP20" s="6" t="s">
        <v>2751</v>
      </c>
      <c r="AQ20" s="6" t="s">
        <v>2708</v>
      </c>
      <c r="AR20" s="6" t="s">
        <v>2752</v>
      </c>
      <c r="AS20" s="6" t="s">
        <v>2753</v>
      </c>
      <c r="AT20" s="6" t="s">
        <v>2754</v>
      </c>
      <c r="AU20" s="6" t="s">
        <v>2755</v>
      </c>
      <c r="AV20" s="6" t="s">
        <v>2713</v>
      </c>
      <c r="AW20" s="6" t="s">
        <v>2756</v>
      </c>
      <c r="AX20" s="6" t="s">
        <v>2585</v>
      </c>
      <c r="AY20" s="6" t="s">
        <v>2757</v>
      </c>
    </row>
    <row r="21" customFormat="false" ht="60" hidden="false" customHeight="true" outlineLevel="0" collapsed="false">
      <c r="A21" s="5" t="s">
        <v>583</v>
      </c>
      <c r="B21" s="5" t="s">
        <v>584</v>
      </c>
      <c r="C21" s="6" t="s">
        <v>596</v>
      </c>
      <c r="D21" s="6" t="s">
        <v>2758</v>
      </c>
      <c r="E21" s="6" t="s">
        <v>600</v>
      </c>
      <c r="F21" s="6" t="s">
        <v>2759</v>
      </c>
      <c r="G21" s="101" t="s">
        <v>2426</v>
      </c>
      <c r="H21" s="6" t="s">
        <v>2760</v>
      </c>
      <c r="I21" s="6" t="s">
        <v>594</v>
      </c>
      <c r="J21" s="101" t="s">
        <v>2426</v>
      </c>
      <c r="K21" s="101" t="s">
        <v>2426</v>
      </c>
      <c r="L21" s="6" t="s">
        <v>595</v>
      </c>
      <c r="M21" s="6" t="s">
        <v>2761</v>
      </c>
      <c r="N21" s="6" t="s">
        <v>2762</v>
      </c>
      <c r="O21" s="6" t="s">
        <v>591</v>
      </c>
      <c r="P21" s="101" t="s">
        <v>2426</v>
      </c>
      <c r="Q21" s="6" t="s">
        <v>592</v>
      </c>
      <c r="R21" s="101" t="s">
        <v>2426</v>
      </c>
      <c r="S21" s="101" t="s">
        <v>2426</v>
      </c>
      <c r="T21" s="101" t="s">
        <v>2426</v>
      </c>
      <c r="U21" s="6" t="s">
        <v>2595</v>
      </c>
      <c r="V21" s="101" t="s">
        <v>2426</v>
      </c>
      <c r="W21" s="6" t="s">
        <v>2516</v>
      </c>
      <c r="X21" s="6" t="s">
        <v>2763</v>
      </c>
      <c r="Y21" s="6" t="s">
        <v>2568</v>
      </c>
      <c r="Z21" s="6" t="s">
        <v>2519</v>
      </c>
      <c r="AA21" s="6" t="s">
        <v>2653</v>
      </c>
      <c r="AB21" s="6" t="s">
        <v>2764</v>
      </c>
      <c r="AC21" s="6" t="s">
        <v>598</v>
      </c>
      <c r="AD21" s="6" t="s">
        <v>2765</v>
      </c>
      <c r="AE21" s="6" t="s">
        <v>2766</v>
      </c>
      <c r="AF21" s="6" t="s">
        <v>2523</v>
      </c>
      <c r="AG21" s="6" t="s">
        <v>2524</v>
      </c>
      <c r="AH21" s="6" t="s">
        <v>2525</v>
      </c>
      <c r="AI21" s="6" t="s">
        <v>2526</v>
      </c>
      <c r="AJ21" s="6" t="s">
        <v>2527</v>
      </c>
      <c r="AK21" s="6" t="s">
        <v>2528</v>
      </c>
      <c r="AL21" s="6" t="s">
        <v>2603</v>
      </c>
      <c r="AM21" s="6" t="s">
        <v>2767</v>
      </c>
      <c r="AN21" s="6" t="s">
        <v>2768</v>
      </c>
      <c r="AO21" s="101" t="s">
        <v>2426</v>
      </c>
      <c r="AP21" s="6" t="s">
        <v>2769</v>
      </c>
      <c r="AQ21" s="6" t="s">
        <v>2533</v>
      </c>
      <c r="AR21" s="6" t="s">
        <v>2608</v>
      </c>
      <c r="AS21" s="101" t="s">
        <v>2426</v>
      </c>
      <c r="AT21" s="101" t="s">
        <v>2426</v>
      </c>
      <c r="AU21" s="6" t="s">
        <v>2609</v>
      </c>
      <c r="AV21" s="6" t="s">
        <v>2770</v>
      </c>
      <c r="AW21" s="6" t="s">
        <v>2771</v>
      </c>
      <c r="AX21" s="101" t="s">
        <v>2426</v>
      </c>
      <c r="AY21" s="6" t="s">
        <v>2612</v>
      </c>
    </row>
    <row r="22" customFormat="false" ht="60" hidden="false" customHeight="true" outlineLevel="0" collapsed="false">
      <c r="A22" s="5" t="s">
        <v>603</v>
      </c>
      <c r="B22" s="5" t="s">
        <v>604</v>
      </c>
      <c r="C22" s="6" t="s">
        <v>615</v>
      </c>
      <c r="D22" s="6" t="s">
        <v>2772</v>
      </c>
      <c r="E22" s="6" t="s">
        <v>619</v>
      </c>
      <c r="F22" s="6" t="s">
        <v>613</v>
      </c>
      <c r="G22" s="101" t="s">
        <v>2426</v>
      </c>
      <c r="H22" s="6" t="s">
        <v>2512</v>
      </c>
      <c r="I22" s="6" t="s">
        <v>594</v>
      </c>
      <c r="J22" s="101" t="s">
        <v>2426</v>
      </c>
      <c r="K22" s="101" t="s">
        <v>2426</v>
      </c>
      <c r="L22" s="6" t="s">
        <v>614</v>
      </c>
      <c r="M22" s="6" t="s">
        <v>2773</v>
      </c>
      <c r="N22" s="6" t="s">
        <v>2774</v>
      </c>
      <c r="O22" s="6" t="s">
        <v>611</v>
      </c>
      <c r="P22" s="101" t="s">
        <v>2426</v>
      </c>
      <c r="Q22" s="6" t="s">
        <v>612</v>
      </c>
      <c r="R22" s="101" t="s">
        <v>2426</v>
      </c>
      <c r="S22" s="101" t="s">
        <v>2426</v>
      </c>
      <c r="T22" s="101" t="s">
        <v>2426</v>
      </c>
      <c r="U22" s="101" t="s">
        <v>2426</v>
      </c>
      <c r="V22" s="6" t="s">
        <v>2430</v>
      </c>
      <c r="W22" s="6" t="s">
        <v>2775</v>
      </c>
      <c r="X22" s="6" t="s">
        <v>2776</v>
      </c>
      <c r="Y22" s="6" t="s">
        <v>2777</v>
      </c>
      <c r="Z22" s="6" t="s">
        <v>2519</v>
      </c>
      <c r="AA22" s="6" t="s">
        <v>2778</v>
      </c>
      <c r="AB22" s="6" t="s">
        <v>2779</v>
      </c>
      <c r="AC22" s="6" t="s">
        <v>617</v>
      </c>
      <c r="AD22" s="6" t="s">
        <v>2780</v>
      </c>
      <c r="AE22" s="6" t="s">
        <v>2781</v>
      </c>
      <c r="AF22" s="6" t="s">
        <v>2523</v>
      </c>
      <c r="AG22" s="6" t="s">
        <v>2550</v>
      </c>
      <c r="AH22" s="6" t="s">
        <v>2551</v>
      </c>
      <c r="AI22" s="6" t="s">
        <v>2439</v>
      </c>
      <c r="AJ22" s="6" t="s">
        <v>2782</v>
      </c>
      <c r="AK22" s="6" t="s">
        <v>2528</v>
      </c>
      <c r="AL22" s="6" t="s">
        <v>2441</v>
      </c>
      <c r="AM22" s="6" t="s">
        <v>2783</v>
      </c>
      <c r="AN22" s="6" t="s">
        <v>2784</v>
      </c>
      <c r="AO22" s="6" t="s">
        <v>2443</v>
      </c>
      <c r="AP22" s="6" t="s">
        <v>2444</v>
      </c>
      <c r="AQ22" s="101" t="s">
        <v>2426</v>
      </c>
      <c r="AR22" s="6" t="s">
        <v>2445</v>
      </c>
      <c r="AS22" s="101" t="s">
        <v>2426</v>
      </c>
      <c r="AT22" s="101" t="s">
        <v>2426</v>
      </c>
      <c r="AU22" s="6" t="s">
        <v>2446</v>
      </c>
      <c r="AV22" s="101" t="s">
        <v>2426</v>
      </c>
      <c r="AW22" s="6" t="s">
        <v>2785</v>
      </c>
      <c r="AX22" s="101" t="s">
        <v>2426</v>
      </c>
      <c r="AY22" s="6" t="s">
        <v>2786</v>
      </c>
    </row>
    <row r="23" customFormat="false" ht="60" hidden="false" customHeight="true" outlineLevel="0" collapsed="false">
      <c r="A23" s="5" t="s">
        <v>623</v>
      </c>
      <c r="B23" s="5" t="s">
        <v>624</v>
      </c>
      <c r="C23" s="6" t="s">
        <v>2787</v>
      </c>
      <c r="D23" s="6" t="s">
        <v>2788</v>
      </c>
      <c r="E23" s="6" t="s">
        <v>639</v>
      </c>
      <c r="F23" s="6" t="s">
        <v>2789</v>
      </c>
      <c r="G23" s="101" t="s">
        <v>2426</v>
      </c>
      <c r="H23" s="6" t="s">
        <v>2790</v>
      </c>
      <c r="I23" s="6" t="s">
        <v>2791</v>
      </c>
      <c r="J23" s="6" t="s">
        <v>2694</v>
      </c>
      <c r="K23" s="101" t="s">
        <v>2426</v>
      </c>
      <c r="L23" s="101" t="s">
        <v>2426</v>
      </c>
      <c r="M23" s="6" t="s">
        <v>2792</v>
      </c>
      <c r="N23" s="6" t="s">
        <v>2696</v>
      </c>
      <c r="O23" s="6" t="s">
        <v>2793</v>
      </c>
      <c r="P23" s="6" t="s">
        <v>2455</v>
      </c>
      <c r="Q23" s="6" t="s">
        <v>2794</v>
      </c>
      <c r="R23" s="6" t="s">
        <v>2455</v>
      </c>
      <c r="S23" s="6" t="s">
        <v>2456</v>
      </c>
      <c r="T23" s="6" t="s">
        <v>2457</v>
      </c>
      <c r="U23" s="6" t="s">
        <v>2458</v>
      </c>
      <c r="V23" s="6" t="s">
        <v>2795</v>
      </c>
      <c r="W23" s="6" t="s">
        <v>2682</v>
      </c>
      <c r="X23" s="6" t="s">
        <v>2460</v>
      </c>
      <c r="Y23" s="101" t="s">
        <v>2426</v>
      </c>
      <c r="Z23" s="6" t="s">
        <v>2519</v>
      </c>
      <c r="AA23" s="101" t="s">
        <v>2426</v>
      </c>
      <c r="AB23" s="6" t="s">
        <v>2796</v>
      </c>
      <c r="AC23" s="6" t="s">
        <v>637</v>
      </c>
      <c r="AD23" s="6" t="s">
        <v>638</v>
      </c>
      <c r="AE23" s="6" t="s">
        <v>2462</v>
      </c>
      <c r="AF23" s="6" t="s">
        <v>2797</v>
      </c>
      <c r="AG23" s="6" t="s">
        <v>2798</v>
      </c>
      <c r="AH23" s="6" t="s">
        <v>2799</v>
      </c>
      <c r="AI23" s="101" t="s">
        <v>2426</v>
      </c>
      <c r="AJ23" s="6" t="s">
        <v>2800</v>
      </c>
      <c r="AK23" s="6" t="s">
        <v>2467</v>
      </c>
      <c r="AL23" s="6" t="s">
        <v>2575</v>
      </c>
      <c r="AM23" s="6" t="s">
        <v>2468</v>
      </c>
      <c r="AN23" s="6" t="s">
        <v>2469</v>
      </c>
      <c r="AO23" s="6" t="s">
        <v>2470</v>
      </c>
      <c r="AP23" s="6" t="s">
        <v>2471</v>
      </c>
      <c r="AQ23" s="6" t="s">
        <v>2472</v>
      </c>
      <c r="AR23" s="6" t="s">
        <v>2473</v>
      </c>
      <c r="AS23" s="6" t="s">
        <v>2474</v>
      </c>
      <c r="AT23" s="6" t="s">
        <v>2475</v>
      </c>
      <c r="AU23" s="6" t="s">
        <v>2476</v>
      </c>
      <c r="AV23" s="6" t="s">
        <v>2477</v>
      </c>
      <c r="AW23" s="6" t="s">
        <v>2801</v>
      </c>
      <c r="AX23" s="6" t="s">
        <v>2479</v>
      </c>
      <c r="AY23" s="6" t="s">
        <v>2802</v>
      </c>
    </row>
    <row r="24" customFormat="false" ht="60" hidden="false" customHeight="true" outlineLevel="0" collapsed="false">
      <c r="A24" s="5" t="s">
        <v>643</v>
      </c>
      <c r="B24" s="5" t="s">
        <v>644</v>
      </c>
      <c r="C24" s="6" t="s">
        <v>655</v>
      </c>
      <c r="D24" s="6" t="s">
        <v>2788</v>
      </c>
      <c r="E24" s="6" t="s">
        <v>660</v>
      </c>
      <c r="F24" s="6" t="s">
        <v>653</v>
      </c>
      <c r="G24" s="6" t="s">
        <v>659</v>
      </c>
      <c r="H24" s="6" t="s">
        <v>2803</v>
      </c>
      <c r="I24" s="6" t="s">
        <v>2791</v>
      </c>
      <c r="J24" s="6" t="s">
        <v>2694</v>
      </c>
      <c r="K24" s="101" t="s">
        <v>2426</v>
      </c>
      <c r="L24" s="6" t="s">
        <v>654</v>
      </c>
      <c r="M24" s="6" t="s">
        <v>2792</v>
      </c>
      <c r="N24" s="6" t="s">
        <v>2804</v>
      </c>
      <c r="O24" s="6" t="s">
        <v>2805</v>
      </c>
      <c r="P24" s="6" t="s">
        <v>2806</v>
      </c>
      <c r="Q24" s="6" t="s">
        <v>652</v>
      </c>
      <c r="R24" s="101" t="s">
        <v>2426</v>
      </c>
      <c r="S24" s="6" t="s">
        <v>2456</v>
      </c>
      <c r="T24" s="101" t="s">
        <v>2426</v>
      </c>
      <c r="U24" s="101" t="s">
        <v>2426</v>
      </c>
      <c r="V24" s="6" t="s">
        <v>2807</v>
      </c>
      <c r="W24" s="6" t="s">
        <v>2682</v>
      </c>
      <c r="X24" s="101" t="s">
        <v>2426</v>
      </c>
      <c r="Y24" s="101" t="s">
        <v>2426</v>
      </c>
      <c r="Z24" s="6" t="s">
        <v>2519</v>
      </c>
      <c r="AA24" s="101" t="s">
        <v>2426</v>
      </c>
      <c r="AB24" s="6" t="s">
        <v>2808</v>
      </c>
      <c r="AC24" s="6" t="s">
        <v>657</v>
      </c>
      <c r="AD24" s="6" t="s">
        <v>658</v>
      </c>
      <c r="AE24" s="6" t="s">
        <v>2489</v>
      </c>
      <c r="AF24" s="6" t="s">
        <v>2809</v>
      </c>
      <c r="AG24" s="6" t="s">
        <v>2798</v>
      </c>
      <c r="AH24" s="6" t="s">
        <v>2810</v>
      </c>
      <c r="AI24" s="101" t="s">
        <v>2426</v>
      </c>
      <c r="AJ24" s="6" t="s">
        <v>2811</v>
      </c>
      <c r="AK24" s="6" t="s">
        <v>2812</v>
      </c>
      <c r="AL24" s="6" t="s">
        <v>2575</v>
      </c>
      <c r="AM24" s="6" t="s">
        <v>2813</v>
      </c>
      <c r="AN24" s="6" t="s">
        <v>2814</v>
      </c>
      <c r="AO24" s="6" t="s">
        <v>2815</v>
      </c>
      <c r="AP24" s="6" t="s">
        <v>2816</v>
      </c>
      <c r="AQ24" s="6" t="s">
        <v>2472</v>
      </c>
      <c r="AR24" s="6" t="s">
        <v>2817</v>
      </c>
      <c r="AS24" s="6" t="s">
        <v>2818</v>
      </c>
      <c r="AT24" s="6" t="s">
        <v>2819</v>
      </c>
      <c r="AU24" s="6" t="s">
        <v>2820</v>
      </c>
      <c r="AV24" s="6" t="s">
        <v>2821</v>
      </c>
      <c r="AW24" s="6" t="s">
        <v>2822</v>
      </c>
      <c r="AX24" s="6" t="s">
        <v>2823</v>
      </c>
      <c r="AY24" s="6" t="s">
        <v>2824</v>
      </c>
    </row>
    <row r="25" customFormat="false" ht="60" hidden="false" customHeight="true" outlineLevel="0" collapsed="false">
      <c r="A25" s="5" t="s">
        <v>664</v>
      </c>
      <c r="B25" s="5" t="s">
        <v>665</v>
      </c>
      <c r="C25" s="6" t="s">
        <v>676</v>
      </c>
      <c r="D25" s="6" t="s">
        <v>2825</v>
      </c>
      <c r="E25" s="6" t="s">
        <v>681</v>
      </c>
      <c r="F25" s="6" t="s">
        <v>2826</v>
      </c>
      <c r="G25" s="6" t="s">
        <v>680</v>
      </c>
      <c r="H25" s="6" t="s">
        <v>2827</v>
      </c>
      <c r="I25" s="6" t="s">
        <v>594</v>
      </c>
      <c r="J25" s="101" t="s">
        <v>2426</v>
      </c>
      <c r="K25" s="101" t="s">
        <v>2426</v>
      </c>
      <c r="L25" s="6" t="s">
        <v>516</v>
      </c>
      <c r="M25" s="6" t="s">
        <v>2828</v>
      </c>
      <c r="N25" s="6" t="s">
        <v>2829</v>
      </c>
      <c r="O25" s="6" t="s">
        <v>673</v>
      </c>
      <c r="P25" s="101" t="s">
        <v>2426</v>
      </c>
      <c r="Q25" s="6" t="s">
        <v>674</v>
      </c>
      <c r="R25" s="101" t="s">
        <v>2426</v>
      </c>
      <c r="S25" s="101" t="s">
        <v>2426</v>
      </c>
      <c r="T25" s="101" t="s">
        <v>2426</v>
      </c>
      <c r="U25" s="101" t="s">
        <v>2426</v>
      </c>
      <c r="V25" s="101" t="s">
        <v>2426</v>
      </c>
      <c r="W25" s="6" t="s">
        <v>2830</v>
      </c>
      <c r="X25" s="6" t="s">
        <v>2567</v>
      </c>
      <c r="Y25" s="6" t="s">
        <v>2568</v>
      </c>
      <c r="Z25" s="6" t="s">
        <v>2519</v>
      </c>
      <c r="AA25" s="101" t="s">
        <v>2426</v>
      </c>
      <c r="AB25" s="6" t="s">
        <v>2831</v>
      </c>
      <c r="AC25" s="6" t="s">
        <v>678</v>
      </c>
      <c r="AD25" s="6" t="s">
        <v>679</v>
      </c>
      <c r="AE25" s="6" t="s">
        <v>2832</v>
      </c>
      <c r="AF25" s="6" t="s">
        <v>2833</v>
      </c>
      <c r="AG25" s="6" t="s">
        <v>2834</v>
      </c>
      <c r="AH25" s="6" t="s">
        <v>2835</v>
      </c>
      <c r="AI25" s="6" t="s">
        <v>2629</v>
      </c>
      <c r="AJ25" s="6" t="s">
        <v>2836</v>
      </c>
      <c r="AK25" s="6" t="s">
        <v>2837</v>
      </c>
      <c r="AL25" s="6" t="s">
        <v>2632</v>
      </c>
      <c r="AM25" s="6" t="s">
        <v>2838</v>
      </c>
      <c r="AN25" s="6" t="s">
        <v>2839</v>
      </c>
      <c r="AO25" s="6" t="s">
        <v>2840</v>
      </c>
      <c r="AP25" s="6" t="s">
        <v>2841</v>
      </c>
      <c r="AQ25" s="6" t="s">
        <v>2842</v>
      </c>
      <c r="AR25" s="6" t="s">
        <v>2843</v>
      </c>
      <c r="AS25" s="6" t="s">
        <v>2844</v>
      </c>
      <c r="AT25" s="6" t="s">
        <v>2845</v>
      </c>
      <c r="AU25" s="6" t="s">
        <v>2846</v>
      </c>
      <c r="AV25" s="6" t="s">
        <v>2847</v>
      </c>
      <c r="AW25" s="6" t="s">
        <v>2848</v>
      </c>
      <c r="AX25" s="6" t="s">
        <v>2849</v>
      </c>
      <c r="AY25" s="6" t="s">
        <v>2850</v>
      </c>
    </row>
    <row r="26" customFormat="false" ht="60" hidden="false" customHeight="true" outlineLevel="0" collapsed="false">
      <c r="A26" s="5" t="s">
        <v>685</v>
      </c>
      <c r="B26" s="5" t="s">
        <v>686</v>
      </c>
      <c r="C26" s="6" t="s">
        <v>698</v>
      </c>
      <c r="D26" s="6" t="s">
        <v>2851</v>
      </c>
      <c r="E26" s="6" t="s">
        <v>702</v>
      </c>
      <c r="F26" s="6" t="s">
        <v>2852</v>
      </c>
      <c r="G26" s="101" t="s">
        <v>2426</v>
      </c>
      <c r="H26" s="6" t="s">
        <v>2677</v>
      </c>
      <c r="I26" s="6" t="s">
        <v>2853</v>
      </c>
      <c r="J26" s="6" t="s">
        <v>2854</v>
      </c>
      <c r="K26" s="6" t="s">
        <v>392</v>
      </c>
      <c r="L26" s="6" t="s">
        <v>697</v>
      </c>
      <c r="M26" s="6" t="s">
        <v>2855</v>
      </c>
      <c r="N26" s="6" t="s">
        <v>2856</v>
      </c>
      <c r="O26" s="6" t="s">
        <v>693</v>
      </c>
      <c r="P26" s="101" t="s">
        <v>2426</v>
      </c>
      <c r="Q26" s="6" t="s">
        <v>694</v>
      </c>
      <c r="R26" s="101" t="s">
        <v>2426</v>
      </c>
      <c r="S26" s="101" t="s">
        <v>2426</v>
      </c>
      <c r="T26" s="101" t="s">
        <v>2426</v>
      </c>
      <c r="U26" s="101" t="s">
        <v>2426</v>
      </c>
      <c r="V26" s="101" t="s">
        <v>2426</v>
      </c>
      <c r="W26" s="6" t="s">
        <v>2682</v>
      </c>
      <c r="X26" s="101" t="s">
        <v>2426</v>
      </c>
      <c r="Y26" s="101" t="s">
        <v>2426</v>
      </c>
      <c r="Z26" s="101" t="s">
        <v>2426</v>
      </c>
      <c r="AA26" s="101" t="s">
        <v>2426</v>
      </c>
      <c r="AB26" s="6" t="s">
        <v>2857</v>
      </c>
      <c r="AC26" s="6" t="s">
        <v>700</v>
      </c>
      <c r="AD26" s="6" t="s">
        <v>701</v>
      </c>
      <c r="AE26" s="6" t="s">
        <v>2858</v>
      </c>
      <c r="AF26" s="6" t="s">
        <v>2523</v>
      </c>
      <c r="AG26" s="6" t="s">
        <v>2685</v>
      </c>
      <c r="AH26" s="101" t="s">
        <v>2426</v>
      </c>
      <c r="AI26" s="101" t="s">
        <v>2426</v>
      </c>
      <c r="AJ26" s="101" t="s">
        <v>2426</v>
      </c>
      <c r="AK26" s="101" t="s">
        <v>2426</v>
      </c>
      <c r="AL26" s="101" t="s">
        <v>2426</v>
      </c>
      <c r="AM26" s="6" t="s">
        <v>2687</v>
      </c>
      <c r="AN26" s="101" t="s">
        <v>2426</v>
      </c>
      <c r="AO26" s="101" t="s">
        <v>2426</v>
      </c>
      <c r="AP26" s="101" t="s">
        <v>2426</v>
      </c>
      <c r="AQ26" s="101" t="s">
        <v>2426</v>
      </c>
      <c r="AR26" s="101" t="s">
        <v>2426</v>
      </c>
      <c r="AS26" s="101" t="s">
        <v>2426</v>
      </c>
      <c r="AT26" s="101" t="s">
        <v>2426</v>
      </c>
      <c r="AU26" s="6" t="s">
        <v>2688</v>
      </c>
      <c r="AV26" s="101" t="s">
        <v>2426</v>
      </c>
      <c r="AW26" s="6" t="s">
        <v>2689</v>
      </c>
      <c r="AX26" s="101" t="s">
        <v>2426</v>
      </c>
      <c r="AY26" s="6" t="s">
        <v>2690</v>
      </c>
    </row>
    <row r="27" customFormat="false" ht="60" hidden="false" customHeight="true" outlineLevel="0" collapsed="false">
      <c r="A27" s="5" t="s">
        <v>705</v>
      </c>
      <c r="B27" s="5" t="s">
        <v>706</v>
      </c>
      <c r="C27" s="6" t="s">
        <v>718</v>
      </c>
      <c r="D27" s="6" t="s">
        <v>2859</v>
      </c>
      <c r="E27" s="6" t="s">
        <v>722</v>
      </c>
      <c r="F27" s="6" t="s">
        <v>2860</v>
      </c>
      <c r="G27" s="101" t="s">
        <v>2426</v>
      </c>
      <c r="H27" s="6" t="s">
        <v>2541</v>
      </c>
      <c r="I27" s="6" t="s">
        <v>2861</v>
      </c>
      <c r="J27" s="6" t="s">
        <v>2862</v>
      </c>
      <c r="K27" s="6" t="s">
        <v>723</v>
      </c>
      <c r="L27" s="6" t="s">
        <v>717</v>
      </c>
      <c r="M27" s="6" t="s">
        <v>2863</v>
      </c>
      <c r="N27" s="6" t="s">
        <v>2864</v>
      </c>
      <c r="O27" s="6" t="s">
        <v>713</v>
      </c>
      <c r="P27" s="101" t="s">
        <v>2426</v>
      </c>
      <c r="Q27" s="6" t="s">
        <v>714</v>
      </c>
      <c r="R27" s="101" t="s">
        <v>2426</v>
      </c>
      <c r="S27" s="101" t="s">
        <v>2426</v>
      </c>
      <c r="T27" s="101" t="s">
        <v>2426</v>
      </c>
      <c r="U27" s="101" t="s">
        <v>2426</v>
      </c>
      <c r="V27" s="101" t="s">
        <v>2426</v>
      </c>
      <c r="W27" s="101" t="s">
        <v>2426</v>
      </c>
      <c r="X27" s="101" t="s">
        <v>2426</v>
      </c>
      <c r="Y27" s="101" t="s">
        <v>2426</v>
      </c>
      <c r="Z27" s="101" t="s">
        <v>2426</v>
      </c>
      <c r="AA27" s="101" t="s">
        <v>2426</v>
      </c>
      <c r="AB27" s="6" t="s">
        <v>2865</v>
      </c>
      <c r="AC27" s="6" t="s">
        <v>720</v>
      </c>
      <c r="AD27" s="6" t="s">
        <v>721</v>
      </c>
      <c r="AE27" s="6" t="s">
        <v>2866</v>
      </c>
      <c r="AF27" s="101" t="s">
        <v>2426</v>
      </c>
      <c r="AG27" s="101" t="s">
        <v>2426</v>
      </c>
      <c r="AH27" s="101" t="s">
        <v>2426</v>
      </c>
      <c r="AI27" s="101" t="s">
        <v>2426</v>
      </c>
      <c r="AJ27" s="101" t="s">
        <v>2426</v>
      </c>
      <c r="AK27" s="101" t="s">
        <v>2426</v>
      </c>
      <c r="AL27" s="101" t="s">
        <v>2426</v>
      </c>
      <c r="AM27" s="101" t="s">
        <v>2426</v>
      </c>
      <c r="AN27" s="101" t="s">
        <v>2426</v>
      </c>
      <c r="AO27" s="101" t="s">
        <v>2426</v>
      </c>
      <c r="AP27" s="101" t="s">
        <v>2426</v>
      </c>
      <c r="AQ27" s="101" t="s">
        <v>2426</v>
      </c>
      <c r="AR27" s="101" t="s">
        <v>2426</v>
      </c>
      <c r="AS27" s="101" t="s">
        <v>2426</v>
      </c>
      <c r="AT27" s="101" t="s">
        <v>2426</v>
      </c>
      <c r="AU27" s="101" t="s">
        <v>2426</v>
      </c>
      <c r="AV27" s="101" t="s">
        <v>2426</v>
      </c>
      <c r="AW27" s="6" t="s">
        <v>2867</v>
      </c>
      <c r="AX27" s="101" t="s">
        <v>2426</v>
      </c>
      <c r="AY27" s="101" t="s">
        <v>2426</v>
      </c>
    </row>
    <row r="28" customFormat="false" ht="60" hidden="false" customHeight="true" outlineLevel="0" collapsed="false">
      <c r="A28" s="5" t="s">
        <v>726</v>
      </c>
      <c r="B28" s="5" t="s">
        <v>727</v>
      </c>
      <c r="C28" s="6" t="s">
        <v>2868</v>
      </c>
      <c r="D28" s="6" t="s">
        <v>2869</v>
      </c>
      <c r="E28" s="6" t="s">
        <v>744</v>
      </c>
      <c r="F28" s="6" t="s">
        <v>2870</v>
      </c>
      <c r="G28" s="6" t="s">
        <v>743</v>
      </c>
      <c r="H28" s="6" t="s">
        <v>2871</v>
      </c>
      <c r="I28" s="6" t="s">
        <v>890</v>
      </c>
      <c r="J28" s="6" t="s">
        <v>2872</v>
      </c>
      <c r="K28" s="6" t="s">
        <v>745</v>
      </c>
      <c r="L28" s="6" t="s">
        <v>738</v>
      </c>
      <c r="M28" s="6" t="s">
        <v>2873</v>
      </c>
      <c r="N28" s="6" t="s">
        <v>2874</v>
      </c>
      <c r="O28" s="6" t="s">
        <v>734</v>
      </c>
      <c r="P28" s="101" t="s">
        <v>2426</v>
      </c>
      <c r="Q28" s="6" t="s">
        <v>735</v>
      </c>
      <c r="R28" s="101" t="s">
        <v>2426</v>
      </c>
      <c r="S28" s="101" t="s">
        <v>2426</v>
      </c>
      <c r="T28" s="101" t="s">
        <v>2426</v>
      </c>
      <c r="U28" s="101" t="s">
        <v>2426</v>
      </c>
      <c r="V28" s="101" t="s">
        <v>2426</v>
      </c>
      <c r="W28" s="101" t="s">
        <v>2426</v>
      </c>
      <c r="X28" s="6" t="s">
        <v>2875</v>
      </c>
      <c r="Y28" s="101" t="s">
        <v>2426</v>
      </c>
      <c r="Z28" s="101" t="s">
        <v>2426</v>
      </c>
      <c r="AA28" s="6" t="s">
        <v>2653</v>
      </c>
      <c r="AB28" s="6" t="s">
        <v>740</v>
      </c>
      <c r="AC28" s="6" t="s">
        <v>741</v>
      </c>
      <c r="AD28" s="6" t="s">
        <v>742</v>
      </c>
      <c r="AE28" s="6" t="s">
        <v>2876</v>
      </c>
      <c r="AF28" s="101" t="s">
        <v>2426</v>
      </c>
      <c r="AG28" s="101" t="s">
        <v>2426</v>
      </c>
      <c r="AH28" s="101" t="s">
        <v>2426</v>
      </c>
      <c r="AI28" s="101" t="s">
        <v>2426</v>
      </c>
      <c r="AJ28" s="101" t="s">
        <v>2426</v>
      </c>
      <c r="AK28" s="101" t="s">
        <v>2426</v>
      </c>
      <c r="AL28" s="101" t="s">
        <v>2426</v>
      </c>
      <c r="AM28" s="101" t="s">
        <v>2426</v>
      </c>
      <c r="AN28" s="101" t="s">
        <v>2426</v>
      </c>
      <c r="AO28" s="101" t="s">
        <v>2426</v>
      </c>
      <c r="AP28" s="101" t="s">
        <v>2426</v>
      </c>
      <c r="AQ28" s="101" t="s">
        <v>2426</v>
      </c>
      <c r="AR28" s="101" t="s">
        <v>2426</v>
      </c>
      <c r="AS28" s="101" t="s">
        <v>2426</v>
      </c>
      <c r="AT28" s="101" t="s">
        <v>2426</v>
      </c>
      <c r="AU28" s="101" t="s">
        <v>2426</v>
      </c>
      <c r="AV28" s="101" t="s">
        <v>2426</v>
      </c>
      <c r="AW28" s="6" t="s">
        <v>2877</v>
      </c>
      <c r="AX28" s="101" t="s">
        <v>2426</v>
      </c>
      <c r="AY28" s="6" t="s">
        <v>2878</v>
      </c>
    </row>
    <row r="29" customFormat="false" ht="60" hidden="false" customHeight="true" outlineLevel="0" collapsed="false">
      <c r="A29" s="5" t="s">
        <v>748</v>
      </c>
      <c r="B29" s="5" t="s">
        <v>749</v>
      </c>
      <c r="C29" s="6" t="s">
        <v>760</v>
      </c>
      <c r="D29" s="6" t="s">
        <v>2879</v>
      </c>
      <c r="E29" s="6" t="s">
        <v>764</v>
      </c>
      <c r="F29" s="6" t="s">
        <v>2880</v>
      </c>
      <c r="G29" s="6" t="s">
        <v>369</v>
      </c>
      <c r="H29" s="101" t="s">
        <v>2426</v>
      </c>
      <c r="I29" s="6" t="s">
        <v>2881</v>
      </c>
      <c r="J29" s="6" t="s">
        <v>2882</v>
      </c>
      <c r="K29" s="6" t="s">
        <v>765</v>
      </c>
      <c r="L29" s="6" t="s">
        <v>759</v>
      </c>
      <c r="M29" s="6" t="s">
        <v>2883</v>
      </c>
      <c r="N29" s="6" t="s">
        <v>2884</v>
      </c>
      <c r="O29" s="6" t="s">
        <v>755</v>
      </c>
      <c r="P29" s="101" t="s">
        <v>2426</v>
      </c>
      <c r="Q29" s="6" t="s">
        <v>756</v>
      </c>
      <c r="R29" s="101" t="s">
        <v>2426</v>
      </c>
      <c r="S29" s="101" t="s">
        <v>2426</v>
      </c>
      <c r="T29" s="101" t="s">
        <v>2426</v>
      </c>
      <c r="U29" s="101" t="s">
        <v>2426</v>
      </c>
      <c r="V29" s="101" t="s">
        <v>2426</v>
      </c>
      <c r="W29" s="101" t="s">
        <v>2426</v>
      </c>
      <c r="X29" s="101" t="s">
        <v>2426</v>
      </c>
      <c r="Y29" s="6" t="s">
        <v>2885</v>
      </c>
      <c r="Z29" s="101" t="s">
        <v>2426</v>
      </c>
      <c r="AA29" s="101" t="s">
        <v>2426</v>
      </c>
      <c r="AB29" s="6" t="s">
        <v>2886</v>
      </c>
      <c r="AC29" s="6" t="s">
        <v>762</v>
      </c>
      <c r="AD29" s="6" t="s">
        <v>763</v>
      </c>
      <c r="AE29" s="6" t="s">
        <v>2887</v>
      </c>
      <c r="AF29" s="6" t="s">
        <v>2523</v>
      </c>
      <c r="AG29" s="6" t="s">
        <v>2524</v>
      </c>
      <c r="AH29" s="6" t="s">
        <v>2525</v>
      </c>
      <c r="AI29" s="101" t="s">
        <v>2426</v>
      </c>
      <c r="AJ29" s="101" t="s">
        <v>2426</v>
      </c>
      <c r="AK29" s="101" t="s">
        <v>2426</v>
      </c>
      <c r="AL29" s="101" t="s">
        <v>2426</v>
      </c>
      <c r="AM29" s="6" t="s">
        <v>2888</v>
      </c>
      <c r="AN29" s="6" t="s">
        <v>2889</v>
      </c>
      <c r="AO29" s="6" t="s">
        <v>2531</v>
      </c>
      <c r="AP29" s="6" t="s">
        <v>2532</v>
      </c>
      <c r="AQ29" s="6" t="s">
        <v>2533</v>
      </c>
      <c r="AR29" s="101" t="s">
        <v>2426</v>
      </c>
      <c r="AS29" s="101" t="s">
        <v>2426</v>
      </c>
      <c r="AT29" s="6" t="s">
        <v>2534</v>
      </c>
      <c r="AU29" s="6" t="s">
        <v>2535</v>
      </c>
      <c r="AV29" s="101" t="s">
        <v>2426</v>
      </c>
      <c r="AW29" s="6" t="s">
        <v>2890</v>
      </c>
      <c r="AX29" s="6" t="s">
        <v>2537</v>
      </c>
      <c r="AY29" s="6" t="s">
        <v>2891</v>
      </c>
    </row>
    <row r="30" customFormat="false" ht="60" hidden="false" customHeight="true" outlineLevel="0" collapsed="false">
      <c r="A30" s="5" t="s">
        <v>769</v>
      </c>
      <c r="B30" s="5" t="s">
        <v>770</v>
      </c>
      <c r="C30" s="6" t="s">
        <v>780</v>
      </c>
      <c r="D30" s="6" t="s">
        <v>2892</v>
      </c>
      <c r="E30" s="6" t="s">
        <v>784</v>
      </c>
      <c r="F30" s="6" t="s">
        <v>2893</v>
      </c>
      <c r="G30" s="101" t="s">
        <v>2426</v>
      </c>
      <c r="H30" s="6" t="s">
        <v>2894</v>
      </c>
      <c r="I30" s="6" t="s">
        <v>2791</v>
      </c>
      <c r="J30" s="6" t="s">
        <v>2895</v>
      </c>
      <c r="K30" s="101" t="s">
        <v>2426</v>
      </c>
      <c r="L30" s="6" t="s">
        <v>779</v>
      </c>
      <c r="M30" s="6" t="s">
        <v>2896</v>
      </c>
      <c r="N30" s="6" t="s">
        <v>2864</v>
      </c>
      <c r="O30" s="6" t="s">
        <v>775</v>
      </c>
      <c r="P30" s="101" t="s">
        <v>2426</v>
      </c>
      <c r="Q30" s="6" t="s">
        <v>776</v>
      </c>
      <c r="R30" s="101" t="s">
        <v>2426</v>
      </c>
      <c r="S30" s="101" t="s">
        <v>2426</v>
      </c>
      <c r="T30" s="101" t="s">
        <v>2426</v>
      </c>
      <c r="U30" s="101" t="s">
        <v>2426</v>
      </c>
      <c r="V30" s="101" t="s">
        <v>2426</v>
      </c>
      <c r="W30" s="6" t="s">
        <v>2682</v>
      </c>
      <c r="X30" s="101" t="s">
        <v>2426</v>
      </c>
      <c r="Y30" s="101" t="s">
        <v>2426</v>
      </c>
      <c r="Z30" s="101" t="s">
        <v>2426</v>
      </c>
      <c r="AA30" s="101" t="s">
        <v>2426</v>
      </c>
      <c r="AB30" s="6" t="s">
        <v>2897</v>
      </c>
      <c r="AC30" s="6" t="s">
        <v>782</v>
      </c>
      <c r="AD30" s="6" t="s">
        <v>783</v>
      </c>
      <c r="AE30" s="6" t="s">
        <v>2858</v>
      </c>
      <c r="AF30" s="6" t="s">
        <v>2523</v>
      </c>
      <c r="AG30" s="6" t="s">
        <v>2685</v>
      </c>
      <c r="AH30" s="101" t="s">
        <v>2426</v>
      </c>
      <c r="AI30" s="101" t="s">
        <v>2426</v>
      </c>
      <c r="AJ30" s="101" t="s">
        <v>2426</v>
      </c>
      <c r="AK30" s="101" t="s">
        <v>2426</v>
      </c>
      <c r="AL30" s="101" t="s">
        <v>2426</v>
      </c>
      <c r="AM30" s="6" t="s">
        <v>2687</v>
      </c>
      <c r="AN30" s="101" t="s">
        <v>2426</v>
      </c>
      <c r="AO30" s="101" t="s">
        <v>2426</v>
      </c>
      <c r="AP30" s="101" t="s">
        <v>2426</v>
      </c>
      <c r="AQ30" s="101" t="s">
        <v>2426</v>
      </c>
      <c r="AR30" s="101" t="s">
        <v>2426</v>
      </c>
      <c r="AS30" s="101" t="s">
        <v>2426</v>
      </c>
      <c r="AT30" s="101" t="s">
        <v>2426</v>
      </c>
      <c r="AU30" s="6" t="s">
        <v>2688</v>
      </c>
      <c r="AV30" s="101" t="s">
        <v>2426</v>
      </c>
      <c r="AW30" s="6" t="s">
        <v>2898</v>
      </c>
      <c r="AX30" s="101" t="s">
        <v>2426</v>
      </c>
      <c r="AY30" s="6" t="s">
        <v>2690</v>
      </c>
    </row>
    <row r="31" customFormat="false" ht="60" hidden="false" customHeight="true" outlineLevel="0" collapsed="false">
      <c r="A31" s="5" t="s">
        <v>787</v>
      </c>
      <c r="B31" s="5" t="s">
        <v>788</v>
      </c>
      <c r="C31" s="101" t="s">
        <v>2426</v>
      </c>
      <c r="D31" s="6" t="s">
        <v>2899</v>
      </c>
      <c r="E31" s="6" t="s">
        <v>803</v>
      </c>
      <c r="F31" s="6" t="s">
        <v>2900</v>
      </c>
      <c r="G31" s="101" t="s">
        <v>2426</v>
      </c>
      <c r="H31" s="6" t="s">
        <v>2901</v>
      </c>
      <c r="I31" s="6" t="s">
        <v>797</v>
      </c>
      <c r="J31" s="101" t="s">
        <v>2426</v>
      </c>
      <c r="K31" s="101" t="s">
        <v>2426</v>
      </c>
      <c r="L31" s="6" t="s">
        <v>798</v>
      </c>
      <c r="M31" s="6" t="s">
        <v>2902</v>
      </c>
      <c r="N31" s="6" t="s">
        <v>2903</v>
      </c>
      <c r="O31" s="6" t="s">
        <v>794</v>
      </c>
      <c r="P31" s="101" t="s">
        <v>2426</v>
      </c>
      <c r="Q31" s="6" t="s">
        <v>795</v>
      </c>
      <c r="R31" s="101" t="s">
        <v>2426</v>
      </c>
      <c r="S31" s="101" t="s">
        <v>2426</v>
      </c>
      <c r="T31" s="101" t="s">
        <v>2426</v>
      </c>
      <c r="U31" s="101" t="s">
        <v>2426</v>
      </c>
      <c r="V31" s="101" t="s">
        <v>2426</v>
      </c>
      <c r="W31" s="101" t="s">
        <v>2426</v>
      </c>
      <c r="X31" s="101" t="s">
        <v>2426</v>
      </c>
      <c r="Y31" s="101" t="s">
        <v>2426</v>
      </c>
      <c r="Z31" s="101" t="s">
        <v>2426</v>
      </c>
      <c r="AA31" s="101" t="s">
        <v>2426</v>
      </c>
      <c r="AB31" s="6" t="s">
        <v>2904</v>
      </c>
      <c r="AC31" s="6" t="s">
        <v>801</v>
      </c>
      <c r="AD31" s="6" t="s">
        <v>802</v>
      </c>
      <c r="AE31" s="6" t="s">
        <v>2905</v>
      </c>
      <c r="AF31" s="6" t="s">
        <v>2626</v>
      </c>
      <c r="AG31" s="6" t="s">
        <v>2627</v>
      </c>
      <c r="AH31" s="101" t="s">
        <v>2426</v>
      </c>
      <c r="AI31" s="6" t="s">
        <v>2629</v>
      </c>
      <c r="AJ31" s="6" t="s">
        <v>2906</v>
      </c>
      <c r="AK31" s="101" t="s">
        <v>2426</v>
      </c>
      <c r="AL31" s="101" t="s">
        <v>2426</v>
      </c>
      <c r="AM31" s="6" t="s">
        <v>2907</v>
      </c>
      <c r="AN31" s="6" t="s">
        <v>2749</v>
      </c>
      <c r="AO31" s="6" t="s">
        <v>2531</v>
      </c>
      <c r="AP31" s="101" t="s">
        <v>2426</v>
      </c>
      <c r="AQ31" s="101" t="s">
        <v>2426</v>
      </c>
      <c r="AR31" s="101" t="s">
        <v>2426</v>
      </c>
      <c r="AS31" s="101" t="s">
        <v>2426</v>
      </c>
      <c r="AT31" s="101" t="s">
        <v>2426</v>
      </c>
      <c r="AU31" s="101" t="s">
        <v>2426</v>
      </c>
      <c r="AV31" s="101" t="s">
        <v>2426</v>
      </c>
      <c r="AW31" s="6" t="s">
        <v>2908</v>
      </c>
      <c r="AX31" s="101" t="s">
        <v>2426</v>
      </c>
      <c r="AY31" s="6" t="s">
        <v>2909</v>
      </c>
    </row>
    <row r="32" customFormat="false" ht="60" hidden="false" customHeight="true" outlineLevel="0" collapsed="false">
      <c r="A32" s="5" t="s">
        <v>807</v>
      </c>
      <c r="B32" s="5" t="s">
        <v>808</v>
      </c>
      <c r="C32" s="6" t="s">
        <v>818</v>
      </c>
      <c r="D32" s="6" t="s">
        <v>2910</v>
      </c>
      <c r="E32" s="6" t="s">
        <v>822</v>
      </c>
      <c r="F32" s="6" t="s">
        <v>2911</v>
      </c>
      <c r="G32" s="6" t="s">
        <v>821</v>
      </c>
      <c r="H32" s="6" t="s">
        <v>2483</v>
      </c>
      <c r="I32" s="6" t="s">
        <v>281</v>
      </c>
      <c r="J32" s="101" t="s">
        <v>2426</v>
      </c>
      <c r="K32" s="101" t="s">
        <v>2426</v>
      </c>
      <c r="L32" s="6" t="s">
        <v>304</v>
      </c>
      <c r="M32" s="6" t="s">
        <v>2451</v>
      </c>
      <c r="N32" s="6" t="s">
        <v>2912</v>
      </c>
      <c r="O32" s="6" t="s">
        <v>815</v>
      </c>
      <c r="P32" s="101" t="s">
        <v>2426</v>
      </c>
      <c r="Q32" s="6" t="s">
        <v>816</v>
      </c>
      <c r="R32" s="101" t="s">
        <v>2426</v>
      </c>
      <c r="S32" s="6" t="s">
        <v>2456</v>
      </c>
      <c r="T32" s="101" t="s">
        <v>2426</v>
      </c>
      <c r="U32" s="101" t="s">
        <v>2426</v>
      </c>
      <c r="V32" s="6" t="s">
        <v>2486</v>
      </c>
      <c r="W32" s="6" t="s">
        <v>2431</v>
      </c>
      <c r="X32" s="101" t="s">
        <v>2426</v>
      </c>
      <c r="Y32" s="101" t="s">
        <v>2426</v>
      </c>
      <c r="Z32" s="101" t="s">
        <v>2426</v>
      </c>
      <c r="AA32" s="101" t="s">
        <v>2426</v>
      </c>
      <c r="AB32" s="6" t="s">
        <v>2913</v>
      </c>
      <c r="AC32" s="6" t="s">
        <v>285</v>
      </c>
      <c r="AD32" s="6" t="s">
        <v>2914</v>
      </c>
      <c r="AE32" s="6" t="s">
        <v>2489</v>
      </c>
      <c r="AF32" s="6" t="s">
        <v>2490</v>
      </c>
      <c r="AG32" s="6" t="s">
        <v>2491</v>
      </c>
      <c r="AH32" s="6" t="s">
        <v>2492</v>
      </c>
      <c r="AI32" s="6" t="s">
        <v>2439</v>
      </c>
      <c r="AJ32" s="6" t="s">
        <v>2493</v>
      </c>
      <c r="AK32" s="6" t="s">
        <v>2494</v>
      </c>
      <c r="AL32" s="6" t="s">
        <v>2915</v>
      </c>
      <c r="AM32" s="6" t="s">
        <v>2496</v>
      </c>
      <c r="AN32" s="6" t="s">
        <v>2497</v>
      </c>
      <c r="AO32" s="6" t="s">
        <v>2498</v>
      </c>
      <c r="AP32" s="6" t="s">
        <v>2499</v>
      </c>
      <c r="AQ32" s="6" t="s">
        <v>2500</v>
      </c>
      <c r="AR32" s="6" t="s">
        <v>2501</v>
      </c>
      <c r="AS32" s="6" t="s">
        <v>2502</v>
      </c>
      <c r="AT32" s="6" t="s">
        <v>2503</v>
      </c>
      <c r="AU32" s="6" t="s">
        <v>2504</v>
      </c>
      <c r="AV32" s="6" t="s">
        <v>2505</v>
      </c>
      <c r="AW32" s="6" t="s">
        <v>2506</v>
      </c>
      <c r="AX32" s="6" t="s">
        <v>2507</v>
      </c>
      <c r="AY32" s="6" t="s">
        <v>2508</v>
      </c>
    </row>
    <row r="33" customFormat="false" ht="60" hidden="false" customHeight="true" outlineLevel="0" collapsed="false">
      <c r="A33" s="5" t="s">
        <v>824</v>
      </c>
      <c r="B33" s="5" t="s">
        <v>825</v>
      </c>
      <c r="C33" s="6" t="s">
        <v>655</v>
      </c>
      <c r="D33" s="6" t="s">
        <v>2916</v>
      </c>
      <c r="E33" s="6" t="s">
        <v>839</v>
      </c>
      <c r="F33" s="6" t="s">
        <v>2917</v>
      </c>
      <c r="G33" s="101" t="s">
        <v>2426</v>
      </c>
      <c r="H33" s="6" t="s">
        <v>2918</v>
      </c>
      <c r="I33" s="6" t="s">
        <v>2919</v>
      </c>
      <c r="J33" s="6" t="s">
        <v>2694</v>
      </c>
      <c r="K33" s="101" t="s">
        <v>2426</v>
      </c>
      <c r="L33" s="6" t="s">
        <v>304</v>
      </c>
      <c r="M33" s="6" t="s">
        <v>2792</v>
      </c>
      <c r="N33" s="6" t="s">
        <v>2696</v>
      </c>
      <c r="O33" s="6" t="s">
        <v>2920</v>
      </c>
      <c r="P33" s="6" t="s">
        <v>2921</v>
      </c>
      <c r="Q33" s="6" t="s">
        <v>2922</v>
      </c>
      <c r="R33" s="6" t="s">
        <v>2923</v>
      </c>
      <c r="S33" s="6" t="s">
        <v>2456</v>
      </c>
      <c r="T33" s="6" t="s">
        <v>2650</v>
      </c>
      <c r="U33" s="6" t="s">
        <v>2621</v>
      </c>
      <c r="V33" s="6" t="s">
        <v>2924</v>
      </c>
      <c r="W33" s="6" t="s">
        <v>2925</v>
      </c>
      <c r="X33" s="6" t="s">
        <v>2875</v>
      </c>
      <c r="Y33" s="101" t="s">
        <v>2426</v>
      </c>
      <c r="Z33" s="6" t="s">
        <v>2519</v>
      </c>
      <c r="AA33" s="101" t="s">
        <v>2426</v>
      </c>
      <c r="AB33" s="6" t="s">
        <v>2926</v>
      </c>
      <c r="AC33" s="6" t="s">
        <v>837</v>
      </c>
      <c r="AD33" s="6" t="s">
        <v>838</v>
      </c>
      <c r="AE33" s="6" t="s">
        <v>2462</v>
      </c>
      <c r="AF33" s="6" t="s">
        <v>2490</v>
      </c>
      <c r="AG33" s="6" t="s">
        <v>2927</v>
      </c>
      <c r="AH33" s="6" t="s">
        <v>2928</v>
      </c>
      <c r="AI33" s="6" t="s">
        <v>2659</v>
      </c>
      <c r="AJ33" s="6" t="s">
        <v>2929</v>
      </c>
      <c r="AK33" s="6" t="s">
        <v>2930</v>
      </c>
      <c r="AL33" s="6" t="s">
        <v>2931</v>
      </c>
      <c r="AM33" s="6" t="s">
        <v>2932</v>
      </c>
      <c r="AN33" s="6" t="s">
        <v>2933</v>
      </c>
      <c r="AO33" s="6" t="s">
        <v>2934</v>
      </c>
      <c r="AP33" s="6" t="s">
        <v>2935</v>
      </c>
      <c r="AQ33" s="6" t="s">
        <v>2500</v>
      </c>
      <c r="AR33" s="6" t="s">
        <v>2936</v>
      </c>
      <c r="AS33" s="6" t="s">
        <v>2937</v>
      </c>
      <c r="AT33" s="6" t="s">
        <v>2503</v>
      </c>
      <c r="AU33" s="6" t="s">
        <v>2938</v>
      </c>
      <c r="AV33" s="6" t="s">
        <v>2939</v>
      </c>
      <c r="AW33" s="6" t="s">
        <v>2940</v>
      </c>
      <c r="AX33" s="6" t="s">
        <v>2941</v>
      </c>
      <c r="AY33" s="6" t="s">
        <v>2942</v>
      </c>
    </row>
    <row r="34" customFormat="false" ht="60" hidden="false" customHeight="true" outlineLevel="0" collapsed="false">
      <c r="A34" s="5" t="s">
        <v>843</v>
      </c>
      <c r="B34" s="5" t="s">
        <v>844</v>
      </c>
      <c r="C34" s="101" t="s">
        <v>2426</v>
      </c>
      <c r="D34" s="101" t="s">
        <v>2426</v>
      </c>
      <c r="E34" s="6" t="s">
        <v>858</v>
      </c>
      <c r="F34" s="101" t="s">
        <v>2426</v>
      </c>
      <c r="G34" s="101" t="s">
        <v>2426</v>
      </c>
      <c r="H34" s="101" t="s">
        <v>2426</v>
      </c>
      <c r="I34" s="101" t="s">
        <v>2426</v>
      </c>
      <c r="J34" s="101" t="s">
        <v>2426</v>
      </c>
      <c r="K34" s="101" t="s">
        <v>2426</v>
      </c>
      <c r="L34" s="101" t="s">
        <v>2426</v>
      </c>
      <c r="M34" s="101" t="s">
        <v>2426</v>
      </c>
      <c r="N34" s="101" t="s">
        <v>2426</v>
      </c>
      <c r="O34" s="101" t="s">
        <v>2426</v>
      </c>
      <c r="P34" s="101" t="s">
        <v>2426</v>
      </c>
      <c r="Q34" s="101" t="s">
        <v>2426</v>
      </c>
      <c r="R34" s="101" t="s">
        <v>2426</v>
      </c>
      <c r="S34" s="101" t="s">
        <v>2426</v>
      </c>
      <c r="T34" s="101" t="s">
        <v>2426</v>
      </c>
      <c r="U34" s="101" t="s">
        <v>2426</v>
      </c>
      <c r="V34" s="101" t="s">
        <v>2426</v>
      </c>
      <c r="W34" s="101" t="s">
        <v>2426</v>
      </c>
      <c r="X34" s="101" t="s">
        <v>2426</v>
      </c>
      <c r="Y34" s="101" t="s">
        <v>2426</v>
      </c>
      <c r="Z34" s="101" t="s">
        <v>2426</v>
      </c>
      <c r="AA34" s="101" t="s">
        <v>2426</v>
      </c>
      <c r="AB34" s="101" t="s">
        <v>2426</v>
      </c>
      <c r="AC34" s="101" t="s">
        <v>2426</v>
      </c>
      <c r="AD34" s="101" t="s">
        <v>2426</v>
      </c>
      <c r="AE34" s="101" t="s">
        <v>2426</v>
      </c>
      <c r="AF34" s="101" t="s">
        <v>2426</v>
      </c>
      <c r="AG34" s="101" t="s">
        <v>2426</v>
      </c>
      <c r="AH34" s="101" t="s">
        <v>2426</v>
      </c>
      <c r="AI34" s="101" t="s">
        <v>2426</v>
      </c>
      <c r="AJ34" s="101" t="s">
        <v>2426</v>
      </c>
      <c r="AK34" s="101" t="s">
        <v>2426</v>
      </c>
      <c r="AL34" s="101" t="s">
        <v>2426</v>
      </c>
      <c r="AM34" s="101" t="s">
        <v>2426</v>
      </c>
      <c r="AN34" s="101" t="s">
        <v>2426</v>
      </c>
      <c r="AO34" s="101" t="s">
        <v>2426</v>
      </c>
      <c r="AP34" s="101" t="s">
        <v>2426</v>
      </c>
      <c r="AQ34" s="101" t="s">
        <v>2426</v>
      </c>
      <c r="AR34" s="101" t="s">
        <v>2426</v>
      </c>
      <c r="AS34" s="101" t="s">
        <v>2426</v>
      </c>
      <c r="AT34" s="101" t="s">
        <v>2426</v>
      </c>
      <c r="AU34" s="101" t="s">
        <v>2426</v>
      </c>
      <c r="AV34" s="101" t="s">
        <v>2426</v>
      </c>
      <c r="AW34" s="101" t="s">
        <v>2426</v>
      </c>
      <c r="AX34" s="101" t="s">
        <v>2426</v>
      </c>
      <c r="AY34" s="101" t="s">
        <v>2426</v>
      </c>
    </row>
    <row r="35" customFormat="false" ht="60" hidden="false" customHeight="true" outlineLevel="0" collapsed="false">
      <c r="A35" s="5" t="s">
        <v>860</v>
      </c>
      <c r="B35" s="5" t="s">
        <v>861</v>
      </c>
      <c r="C35" s="101" t="s">
        <v>2426</v>
      </c>
      <c r="D35" s="101" t="s">
        <v>2426</v>
      </c>
      <c r="E35" s="6" t="s">
        <v>877</v>
      </c>
      <c r="F35" s="101" t="s">
        <v>2426</v>
      </c>
      <c r="G35" s="101" t="s">
        <v>2426</v>
      </c>
      <c r="H35" s="101" t="s">
        <v>2426</v>
      </c>
      <c r="I35" s="101" t="s">
        <v>2426</v>
      </c>
      <c r="J35" s="101" t="s">
        <v>2426</v>
      </c>
      <c r="K35" s="101" t="s">
        <v>2426</v>
      </c>
      <c r="L35" s="101" t="s">
        <v>2426</v>
      </c>
      <c r="M35" s="101" t="s">
        <v>2426</v>
      </c>
      <c r="N35" s="101" t="s">
        <v>2426</v>
      </c>
      <c r="O35" s="101" t="s">
        <v>2426</v>
      </c>
      <c r="P35" s="101" t="s">
        <v>2426</v>
      </c>
      <c r="Q35" s="101" t="s">
        <v>2426</v>
      </c>
      <c r="R35" s="101" t="s">
        <v>2426</v>
      </c>
      <c r="S35" s="101" t="s">
        <v>2426</v>
      </c>
      <c r="T35" s="101" t="s">
        <v>2426</v>
      </c>
      <c r="U35" s="101" t="s">
        <v>2426</v>
      </c>
      <c r="V35" s="101" t="s">
        <v>2426</v>
      </c>
      <c r="W35" s="101" t="s">
        <v>2426</v>
      </c>
      <c r="X35" s="101" t="s">
        <v>2426</v>
      </c>
      <c r="Y35" s="101" t="s">
        <v>2426</v>
      </c>
      <c r="Z35" s="101" t="s">
        <v>2426</v>
      </c>
      <c r="AA35" s="101" t="s">
        <v>2426</v>
      </c>
      <c r="AB35" s="101" t="s">
        <v>2426</v>
      </c>
      <c r="AC35" s="101" t="s">
        <v>2426</v>
      </c>
      <c r="AD35" s="101" t="s">
        <v>2426</v>
      </c>
      <c r="AE35" s="101" t="s">
        <v>2426</v>
      </c>
      <c r="AF35" s="101" t="s">
        <v>2426</v>
      </c>
      <c r="AG35" s="101" t="s">
        <v>2426</v>
      </c>
      <c r="AH35" s="101" t="s">
        <v>2426</v>
      </c>
      <c r="AI35" s="101" t="s">
        <v>2426</v>
      </c>
      <c r="AJ35" s="101" t="s">
        <v>2426</v>
      </c>
      <c r="AK35" s="101" t="s">
        <v>2426</v>
      </c>
      <c r="AL35" s="101" t="s">
        <v>2426</v>
      </c>
      <c r="AM35" s="101" t="s">
        <v>2426</v>
      </c>
      <c r="AN35" s="101" t="s">
        <v>2426</v>
      </c>
      <c r="AO35" s="101" t="s">
        <v>2426</v>
      </c>
      <c r="AP35" s="101" t="s">
        <v>2426</v>
      </c>
      <c r="AQ35" s="101" t="s">
        <v>2426</v>
      </c>
      <c r="AR35" s="101" t="s">
        <v>2426</v>
      </c>
      <c r="AS35" s="101" t="s">
        <v>2426</v>
      </c>
      <c r="AT35" s="101" t="s">
        <v>2426</v>
      </c>
      <c r="AU35" s="101" t="s">
        <v>2426</v>
      </c>
      <c r="AV35" s="101" t="s">
        <v>2426</v>
      </c>
      <c r="AW35" s="101" t="s">
        <v>2426</v>
      </c>
      <c r="AX35" s="101" t="s">
        <v>2426</v>
      </c>
      <c r="AY35" s="101" t="s">
        <v>2426</v>
      </c>
    </row>
    <row r="36" customFormat="false" ht="60" hidden="false" customHeight="true" outlineLevel="0" collapsed="false">
      <c r="A36" s="5" t="s">
        <v>879</v>
      </c>
      <c r="B36" s="5" t="s">
        <v>880</v>
      </c>
      <c r="C36" s="101" t="s">
        <v>2426</v>
      </c>
      <c r="D36" s="101" t="s">
        <v>2426</v>
      </c>
      <c r="E36" s="6" t="s">
        <v>894</v>
      </c>
      <c r="F36" s="101" t="s">
        <v>2426</v>
      </c>
      <c r="G36" s="101" t="s">
        <v>2426</v>
      </c>
      <c r="H36" s="101" t="s">
        <v>2426</v>
      </c>
      <c r="I36" s="101" t="s">
        <v>2426</v>
      </c>
      <c r="J36" s="101" t="s">
        <v>2426</v>
      </c>
      <c r="K36" s="101" t="s">
        <v>2426</v>
      </c>
      <c r="L36" s="101" t="s">
        <v>2426</v>
      </c>
      <c r="M36" s="101" t="s">
        <v>2426</v>
      </c>
      <c r="N36" s="101" t="s">
        <v>2426</v>
      </c>
      <c r="O36" s="101" t="s">
        <v>2426</v>
      </c>
      <c r="P36" s="101" t="s">
        <v>2426</v>
      </c>
      <c r="Q36" s="101" t="s">
        <v>2426</v>
      </c>
      <c r="R36" s="101" t="s">
        <v>2426</v>
      </c>
      <c r="S36" s="101" t="s">
        <v>2426</v>
      </c>
      <c r="T36" s="101" t="s">
        <v>2426</v>
      </c>
      <c r="U36" s="101" t="s">
        <v>2426</v>
      </c>
      <c r="V36" s="101" t="s">
        <v>2426</v>
      </c>
      <c r="W36" s="101" t="s">
        <v>2426</v>
      </c>
      <c r="X36" s="101" t="s">
        <v>2426</v>
      </c>
      <c r="Y36" s="101" t="s">
        <v>2426</v>
      </c>
      <c r="Z36" s="101" t="s">
        <v>2426</v>
      </c>
      <c r="AA36" s="101" t="s">
        <v>2426</v>
      </c>
      <c r="AB36" s="101" t="s">
        <v>2426</v>
      </c>
      <c r="AC36" s="101" t="s">
        <v>2426</v>
      </c>
      <c r="AD36" s="101" t="s">
        <v>2426</v>
      </c>
      <c r="AE36" s="101" t="s">
        <v>2426</v>
      </c>
      <c r="AF36" s="101" t="s">
        <v>2426</v>
      </c>
      <c r="AG36" s="101" t="s">
        <v>2426</v>
      </c>
      <c r="AH36" s="101" t="s">
        <v>2426</v>
      </c>
      <c r="AI36" s="101" t="s">
        <v>2426</v>
      </c>
      <c r="AJ36" s="101" t="s">
        <v>2426</v>
      </c>
      <c r="AK36" s="101" t="s">
        <v>2426</v>
      </c>
      <c r="AL36" s="101" t="s">
        <v>2426</v>
      </c>
      <c r="AM36" s="101" t="s">
        <v>2426</v>
      </c>
      <c r="AN36" s="101" t="s">
        <v>2426</v>
      </c>
      <c r="AO36" s="101" t="s">
        <v>2426</v>
      </c>
      <c r="AP36" s="101" t="s">
        <v>2426</v>
      </c>
      <c r="AQ36" s="101" t="s">
        <v>2426</v>
      </c>
      <c r="AR36" s="101" t="s">
        <v>2426</v>
      </c>
      <c r="AS36" s="101" t="s">
        <v>2426</v>
      </c>
      <c r="AT36" s="101" t="s">
        <v>2426</v>
      </c>
      <c r="AU36" s="101" t="s">
        <v>2426</v>
      </c>
      <c r="AV36" s="101" t="s">
        <v>2426</v>
      </c>
      <c r="AW36" s="101" t="s">
        <v>2426</v>
      </c>
      <c r="AX36" s="101" t="s">
        <v>2426</v>
      </c>
      <c r="AY36" s="101" t="s">
        <v>2426</v>
      </c>
    </row>
    <row r="37" customFormat="false" ht="60" hidden="false" customHeight="true" outlineLevel="0" collapsed="false">
      <c r="A37" s="5" t="s">
        <v>896</v>
      </c>
      <c r="B37" s="5" t="s">
        <v>897</v>
      </c>
      <c r="C37" s="101" t="s">
        <v>2426</v>
      </c>
      <c r="D37" s="101" t="s">
        <v>2426</v>
      </c>
      <c r="E37" s="6" t="s">
        <v>910</v>
      </c>
      <c r="F37" s="101" t="s">
        <v>2426</v>
      </c>
      <c r="G37" s="6" t="s">
        <v>558</v>
      </c>
      <c r="H37" s="101" t="s">
        <v>2426</v>
      </c>
      <c r="I37" s="101" t="s">
        <v>2426</v>
      </c>
      <c r="J37" s="101" t="s">
        <v>2426</v>
      </c>
      <c r="K37" s="101" t="s">
        <v>2426</v>
      </c>
      <c r="L37" s="101" t="s">
        <v>2426</v>
      </c>
      <c r="M37" s="101" t="s">
        <v>2426</v>
      </c>
      <c r="N37" s="101" t="s">
        <v>2426</v>
      </c>
      <c r="O37" s="101" t="s">
        <v>2426</v>
      </c>
      <c r="P37" s="101" t="s">
        <v>2426</v>
      </c>
      <c r="Q37" s="101" t="s">
        <v>2426</v>
      </c>
      <c r="R37" s="101" t="s">
        <v>2426</v>
      </c>
      <c r="S37" s="101" t="s">
        <v>2426</v>
      </c>
      <c r="T37" s="101" t="s">
        <v>2426</v>
      </c>
      <c r="U37" s="101" t="s">
        <v>2426</v>
      </c>
      <c r="V37" s="101" t="s">
        <v>2426</v>
      </c>
      <c r="W37" s="101" t="s">
        <v>2426</v>
      </c>
      <c r="X37" s="101" t="s">
        <v>2426</v>
      </c>
      <c r="Y37" s="101" t="s">
        <v>2426</v>
      </c>
      <c r="Z37" s="101" t="s">
        <v>2426</v>
      </c>
      <c r="AA37" s="101" t="s">
        <v>2426</v>
      </c>
      <c r="AB37" s="101" t="s">
        <v>2426</v>
      </c>
      <c r="AC37" s="101" t="s">
        <v>2426</v>
      </c>
      <c r="AD37" s="101" t="s">
        <v>2426</v>
      </c>
      <c r="AE37" s="101" t="s">
        <v>2426</v>
      </c>
      <c r="AF37" s="101" t="s">
        <v>2426</v>
      </c>
      <c r="AG37" s="101" t="s">
        <v>2426</v>
      </c>
      <c r="AH37" s="101" t="s">
        <v>2426</v>
      </c>
      <c r="AI37" s="101" t="s">
        <v>2426</v>
      </c>
      <c r="AJ37" s="101" t="s">
        <v>2426</v>
      </c>
      <c r="AK37" s="101" t="s">
        <v>2426</v>
      </c>
      <c r="AL37" s="101" t="s">
        <v>2426</v>
      </c>
      <c r="AM37" s="101" t="s">
        <v>2426</v>
      </c>
      <c r="AN37" s="101" t="s">
        <v>2426</v>
      </c>
      <c r="AO37" s="101" t="s">
        <v>2426</v>
      </c>
      <c r="AP37" s="101" t="s">
        <v>2426</v>
      </c>
      <c r="AQ37" s="101" t="s">
        <v>2426</v>
      </c>
      <c r="AR37" s="101" t="s">
        <v>2426</v>
      </c>
      <c r="AS37" s="101" t="s">
        <v>2426</v>
      </c>
      <c r="AT37" s="101" t="s">
        <v>2426</v>
      </c>
      <c r="AU37" s="101" t="s">
        <v>2426</v>
      </c>
      <c r="AV37" s="101" t="s">
        <v>2426</v>
      </c>
      <c r="AW37" s="101" t="s">
        <v>2426</v>
      </c>
      <c r="AX37" s="101" t="s">
        <v>2426</v>
      </c>
      <c r="AY37" s="101" t="s">
        <v>2426</v>
      </c>
    </row>
    <row r="38" customFormat="false" ht="60" hidden="false" customHeight="true" outlineLevel="0" collapsed="false">
      <c r="A38" s="5" t="s">
        <v>912</v>
      </c>
      <c r="B38" s="5" t="s">
        <v>913</v>
      </c>
      <c r="C38" s="101" t="s">
        <v>2426</v>
      </c>
      <c r="D38" s="101" t="s">
        <v>2426</v>
      </c>
      <c r="E38" s="6" t="s">
        <v>925</v>
      </c>
      <c r="F38" s="101" t="s">
        <v>2426</v>
      </c>
      <c r="G38" s="101" t="s">
        <v>2426</v>
      </c>
      <c r="H38" s="101" t="s">
        <v>2426</v>
      </c>
      <c r="I38" s="101" t="s">
        <v>2426</v>
      </c>
      <c r="J38" s="101" t="s">
        <v>2426</v>
      </c>
      <c r="K38" s="101" t="s">
        <v>2426</v>
      </c>
      <c r="L38" s="101" t="s">
        <v>2426</v>
      </c>
      <c r="M38" s="101" t="s">
        <v>2426</v>
      </c>
      <c r="N38" s="101" t="s">
        <v>2426</v>
      </c>
      <c r="O38" s="101" t="s">
        <v>2426</v>
      </c>
      <c r="P38" s="101" t="s">
        <v>2426</v>
      </c>
      <c r="Q38" s="101" t="s">
        <v>2426</v>
      </c>
      <c r="R38" s="101" t="s">
        <v>2426</v>
      </c>
      <c r="S38" s="101" t="s">
        <v>2426</v>
      </c>
      <c r="T38" s="101" t="s">
        <v>2426</v>
      </c>
      <c r="U38" s="101" t="s">
        <v>2426</v>
      </c>
      <c r="V38" s="101" t="s">
        <v>2426</v>
      </c>
      <c r="W38" s="101" t="s">
        <v>2426</v>
      </c>
      <c r="X38" s="101" t="s">
        <v>2426</v>
      </c>
      <c r="Y38" s="101" t="s">
        <v>2426</v>
      </c>
      <c r="Z38" s="101" t="s">
        <v>2426</v>
      </c>
      <c r="AA38" s="101" t="s">
        <v>2426</v>
      </c>
      <c r="AB38" s="101" t="s">
        <v>2426</v>
      </c>
      <c r="AC38" s="101" t="s">
        <v>2426</v>
      </c>
      <c r="AD38" s="101" t="s">
        <v>2426</v>
      </c>
      <c r="AE38" s="101" t="s">
        <v>2426</v>
      </c>
      <c r="AF38" s="101" t="s">
        <v>2426</v>
      </c>
      <c r="AG38" s="101" t="s">
        <v>2426</v>
      </c>
      <c r="AH38" s="101" t="s">
        <v>2426</v>
      </c>
      <c r="AI38" s="101" t="s">
        <v>2426</v>
      </c>
      <c r="AJ38" s="101" t="s">
        <v>2426</v>
      </c>
      <c r="AK38" s="101" t="s">
        <v>2426</v>
      </c>
      <c r="AL38" s="101" t="s">
        <v>2426</v>
      </c>
      <c r="AM38" s="101" t="s">
        <v>2426</v>
      </c>
      <c r="AN38" s="101" t="s">
        <v>2426</v>
      </c>
      <c r="AO38" s="101" t="s">
        <v>2426</v>
      </c>
      <c r="AP38" s="101" t="s">
        <v>2426</v>
      </c>
      <c r="AQ38" s="101" t="s">
        <v>2426</v>
      </c>
      <c r="AR38" s="101" t="s">
        <v>2426</v>
      </c>
      <c r="AS38" s="101" t="s">
        <v>2426</v>
      </c>
      <c r="AT38" s="101" t="s">
        <v>2426</v>
      </c>
      <c r="AU38" s="101" t="s">
        <v>2426</v>
      </c>
      <c r="AV38" s="101" t="s">
        <v>2426</v>
      </c>
      <c r="AW38" s="101" t="s">
        <v>2426</v>
      </c>
      <c r="AX38" s="101" t="s">
        <v>2426</v>
      </c>
      <c r="AY38" s="101" t="s">
        <v>2426</v>
      </c>
    </row>
    <row r="39" customFormat="false" ht="60" hidden="false" customHeight="true" outlineLevel="0" collapsed="false">
      <c r="A39" s="5" t="s">
        <v>927</v>
      </c>
      <c r="B39" s="5" t="s">
        <v>928</v>
      </c>
      <c r="C39" s="101" t="s">
        <v>2426</v>
      </c>
      <c r="D39" s="101" t="s">
        <v>2426</v>
      </c>
      <c r="E39" s="6" t="s">
        <v>938</v>
      </c>
      <c r="F39" s="101" t="s">
        <v>2426</v>
      </c>
      <c r="G39" s="101" t="s">
        <v>2426</v>
      </c>
      <c r="H39" s="101" t="s">
        <v>2426</v>
      </c>
      <c r="I39" s="101" t="s">
        <v>2426</v>
      </c>
      <c r="J39" s="101" t="s">
        <v>2426</v>
      </c>
      <c r="K39" s="101" t="s">
        <v>2426</v>
      </c>
      <c r="L39" s="101" t="s">
        <v>2426</v>
      </c>
      <c r="M39" s="101" t="s">
        <v>2426</v>
      </c>
      <c r="N39" s="101" t="s">
        <v>2426</v>
      </c>
      <c r="O39" s="101" t="s">
        <v>2426</v>
      </c>
      <c r="P39" s="101" t="s">
        <v>2426</v>
      </c>
      <c r="Q39" s="101" t="s">
        <v>2426</v>
      </c>
      <c r="R39" s="101" t="s">
        <v>2426</v>
      </c>
      <c r="S39" s="101" t="s">
        <v>2426</v>
      </c>
      <c r="T39" s="101" t="s">
        <v>2426</v>
      </c>
      <c r="U39" s="101" t="s">
        <v>2426</v>
      </c>
      <c r="V39" s="101" t="s">
        <v>2426</v>
      </c>
      <c r="W39" s="101" t="s">
        <v>2426</v>
      </c>
      <c r="X39" s="101" t="s">
        <v>2426</v>
      </c>
      <c r="Y39" s="101" t="s">
        <v>2426</v>
      </c>
      <c r="Z39" s="101" t="s">
        <v>2426</v>
      </c>
      <c r="AA39" s="101" t="s">
        <v>2426</v>
      </c>
      <c r="AB39" s="101" t="s">
        <v>2426</v>
      </c>
      <c r="AC39" s="101" t="s">
        <v>2426</v>
      </c>
      <c r="AD39" s="101" t="s">
        <v>2426</v>
      </c>
      <c r="AE39" s="101" t="s">
        <v>2426</v>
      </c>
      <c r="AF39" s="101" t="s">
        <v>2426</v>
      </c>
      <c r="AG39" s="101" t="s">
        <v>2426</v>
      </c>
      <c r="AH39" s="101" t="s">
        <v>2426</v>
      </c>
      <c r="AI39" s="101" t="s">
        <v>2426</v>
      </c>
      <c r="AJ39" s="101" t="s">
        <v>2426</v>
      </c>
      <c r="AK39" s="101" t="s">
        <v>2426</v>
      </c>
      <c r="AL39" s="101" t="s">
        <v>2426</v>
      </c>
      <c r="AM39" s="101" t="s">
        <v>2426</v>
      </c>
      <c r="AN39" s="101" t="s">
        <v>2426</v>
      </c>
      <c r="AO39" s="101" t="s">
        <v>2426</v>
      </c>
      <c r="AP39" s="101" t="s">
        <v>2426</v>
      </c>
      <c r="AQ39" s="101" t="s">
        <v>2426</v>
      </c>
      <c r="AR39" s="101" t="s">
        <v>2426</v>
      </c>
      <c r="AS39" s="101" t="s">
        <v>2426</v>
      </c>
      <c r="AT39" s="101" t="s">
        <v>2426</v>
      </c>
      <c r="AU39" s="101" t="s">
        <v>2426</v>
      </c>
      <c r="AV39" s="101" t="s">
        <v>2426</v>
      </c>
      <c r="AW39" s="101" t="s">
        <v>2426</v>
      </c>
      <c r="AX39" s="101" t="s">
        <v>2426</v>
      </c>
      <c r="AY39" s="101" t="s">
        <v>2426</v>
      </c>
    </row>
    <row r="40" customFormat="false" ht="60" hidden="false" customHeight="true" outlineLevel="0" collapsed="false">
      <c r="A40" s="5" t="s">
        <v>940</v>
      </c>
      <c r="B40" s="5" t="s">
        <v>941</v>
      </c>
      <c r="C40" s="101" t="s">
        <v>2426</v>
      </c>
      <c r="D40" s="101" t="s">
        <v>2426</v>
      </c>
      <c r="E40" s="6" t="s">
        <v>955</v>
      </c>
      <c r="F40" s="101" t="s">
        <v>2426</v>
      </c>
      <c r="G40" s="6" t="s">
        <v>954</v>
      </c>
      <c r="H40" s="101" t="s">
        <v>2426</v>
      </c>
      <c r="I40" s="101" t="s">
        <v>2426</v>
      </c>
      <c r="J40" s="101" t="s">
        <v>2426</v>
      </c>
      <c r="K40" s="101" t="s">
        <v>2426</v>
      </c>
      <c r="L40" s="101" t="s">
        <v>2426</v>
      </c>
      <c r="M40" s="101" t="s">
        <v>2426</v>
      </c>
      <c r="N40" s="101" t="s">
        <v>2426</v>
      </c>
      <c r="O40" s="101" t="s">
        <v>2426</v>
      </c>
      <c r="P40" s="101" t="s">
        <v>2426</v>
      </c>
      <c r="Q40" s="101" t="s">
        <v>2426</v>
      </c>
      <c r="R40" s="101" t="s">
        <v>2426</v>
      </c>
      <c r="S40" s="101" t="s">
        <v>2426</v>
      </c>
      <c r="T40" s="101" t="s">
        <v>2426</v>
      </c>
      <c r="U40" s="101" t="s">
        <v>2426</v>
      </c>
      <c r="V40" s="101" t="s">
        <v>2426</v>
      </c>
      <c r="W40" s="101" t="s">
        <v>2426</v>
      </c>
      <c r="X40" s="101" t="s">
        <v>2426</v>
      </c>
      <c r="Y40" s="101" t="s">
        <v>2426</v>
      </c>
      <c r="Z40" s="101" t="s">
        <v>2426</v>
      </c>
      <c r="AA40" s="101" t="s">
        <v>2426</v>
      </c>
      <c r="AB40" s="101" t="s">
        <v>2426</v>
      </c>
      <c r="AC40" s="101" t="s">
        <v>2426</v>
      </c>
      <c r="AD40" s="101" t="s">
        <v>2426</v>
      </c>
      <c r="AE40" s="101" t="s">
        <v>2426</v>
      </c>
      <c r="AF40" s="101" t="s">
        <v>2426</v>
      </c>
      <c r="AG40" s="101" t="s">
        <v>2426</v>
      </c>
      <c r="AH40" s="101" t="s">
        <v>2426</v>
      </c>
      <c r="AI40" s="101" t="s">
        <v>2426</v>
      </c>
      <c r="AJ40" s="101" t="s">
        <v>2426</v>
      </c>
      <c r="AK40" s="101" t="s">
        <v>2426</v>
      </c>
      <c r="AL40" s="101" t="s">
        <v>2426</v>
      </c>
      <c r="AM40" s="101" t="s">
        <v>2426</v>
      </c>
      <c r="AN40" s="101" t="s">
        <v>2426</v>
      </c>
      <c r="AO40" s="101" t="s">
        <v>2426</v>
      </c>
      <c r="AP40" s="101" t="s">
        <v>2426</v>
      </c>
      <c r="AQ40" s="101" t="s">
        <v>2426</v>
      </c>
      <c r="AR40" s="101" t="s">
        <v>2426</v>
      </c>
      <c r="AS40" s="101" t="s">
        <v>2426</v>
      </c>
      <c r="AT40" s="101" t="s">
        <v>2426</v>
      </c>
      <c r="AU40" s="101" t="s">
        <v>2426</v>
      </c>
      <c r="AV40" s="101" t="s">
        <v>2426</v>
      </c>
      <c r="AW40" s="101" t="s">
        <v>2426</v>
      </c>
      <c r="AX40" s="101" t="s">
        <v>2426</v>
      </c>
      <c r="AY40" s="101" t="s">
        <v>2426</v>
      </c>
    </row>
    <row r="41" customFormat="false" ht="60" hidden="false" customHeight="true" outlineLevel="0" collapsed="false">
      <c r="A41" s="5" t="s">
        <v>957</v>
      </c>
      <c r="B41" s="5" t="s">
        <v>958</v>
      </c>
      <c r="C41" s="101" t="s">
        <v>2426</v>
      </c>
      <c r="D41" s="101" t="s">
        <v>2426</v>
      </c>
      <c r="E41" s="6" t="s">
        <v>969</v>
      </c>
      <c r="F41" s="101" t="s">
        <v>2426</v>
      </c>
      <c r="G41" s="101" t="s">
        <v>2426</v>
      </c>
      <c r="H41" s="101" t="s">
        <v>2426</v>
      </c>
      <c r="I41" s="101" t="s">
        <v>2426</v>
      </c>
      <c r="J41" s="101" t="s">
        <v>2426</v>
      </c>
      <c r="K41" s="101" t="s">
        <v>2426</v>
      </c>
      <c r="L41" s="101" t="s">
        <v>2426</v>
      </c>
      <c r="M41" s="101" t="s">
        <v>2426</v>
      </c>
      <c r="N41" s="101" t="s">
        <v>2426</v>
      </c>
      <c r="O41" s="101" t="s">
        <v>2426</v>
      </c>
      <c r="P41" s="101" t="s">
        <v>2426</v>
      </c>
      <c r="Q41" s="101" t="s">
        <v>2426</v>
      </c>
      <c r="R41" s="101" t="s">
        <v>2426</v>
      </c>
      <c r="S41" s="101" t="s">
        <v>2426</v>
      </c>
      <c r="T41" s="101" t="s">
        <v>2426</v>
      </c>
      <c r="U41" s="101" t="s">
        <v>2426</v>
      </c>
      <c r="V41" s="101" t="s">
        <v>2426</v>
      </c>
      <c r="W41" s="101" t="s">
        <v>2426</v>
      </c>
      <c r="X41" s="101" t="s">
        <v>2426</v>
      </c>
      <c r="Y41" s="101" t="s">
        <v>2426</v>
      </c>
      <c r="Z41" s="101" t="s">
        <v>2426</v>
      </c>
      <c r="AA41" s="101" t="s">
        <v>2426</v>
      </c>
      <c r="AB41" s="101" t="s">
        <v>2426</v>
      </c>
      <c r="AC41" s="101" t="s">
        <v>2426</v>
      </c>
      <c r="AD41" s="101" t="s">
        <v>2426</v>
      </c>
      <c r="AE41" s="101" t="s">
        <v>2426</v>
      </c>
      <c r="AF41" s="101" t="s">
        <v>2426</v>
      </c>
      <c r="AG41" s="101" t="s">
        <v>2426</v>
      </c>
      <c r="AH41" s="101" t="s">
        <v>2426</v>
      </c>
      <c r="AI41" s="101" t="s">
        <v>2426</v>
      </c>
      <c r="AJ41" s="101" t="s">
        <v>2426</v>
      </c>
      <c r="AK41" s="101" t="s">
        <v>2426</v>
      </c>
      <c r="AL41" s="101" t="s">
        <v>2426</v>
      </c>
      <c r="AM41" s="101" t="s">
        <v>2426</v>
      </c>
      <c r="AN41" s="101" t="s">
        <v>2426</v>
      </c>
      <c r="AO41" s="101" t="s">
        <v>2426</v>
      </c>
      <c r="AP41" s="101" t="s">
        <v>2426</v>
      </c>
      <c r="AQ41" s="101" t="s">
        <v>2426</v>
      </c>
      <c r="AR41" s="101" t="s">
        <v>2426</v>
      </c>
      <c r="AS41" s="101" t="s">
        <v>2426</v>
      </c>
      <c r="AT41" s="101" t="s">
        <v>2426</v>
      </c>
      <c r="AU41" s="101" t="s">
        <v>2426</v>
      </c>
      <c r="AV41" s="101" t="s">
        <v>2426</v>
      </c>
      <c r="AW41" s="101" t="s">
        <v>2426</v>
      </c>
      <c r="AX41" s="101" t="s">
        <v>2426</v>
      </c>
      <c r="AY41" s="101" t="s">
        <v>2426</v>
      </c>
    </row>
    <row r="42" customFormat="false" ht="60" hidden="false" customHeight="true" outlineLevel="0" collapsed="false">
      <c r="A42" s="5" t="s">
        <v>971</v>
      </c>
      <c r="B42" s="5" t="s">
        <v>972</v>
      </c>
      <c r="C42" s="101" t="s">
        <v>2426</v>
      </c>
      <c r="D42" s="101" t="s">
        <v>2426</v>
      </c>
      <c r="E42" s="6" t="s">
        <v>984</v>
      </c>
      <c r="F42" s="101" t="s">
        <v>2426</v>
      </c>
      <c r="G42" s="101" t="s">
        <v>2426</v>
      </c>
      <c r="H42" s="101" t="s">
        <v>2426</v>
      </c>
      <c r="I42" s="101" t="s">
        <v>2426</v>
      </c>
      <c r="J42" s="101" t="s">
        <v>2426</v>
      </c>
      <c r="K42" s="101" t="s">
        <v>2426</v>
      </c>
      <c r="L42" s="101" t="s">
        <v>2426</v>
      </c>
      <c r="M42" s="101" t="s">
        <v>2426</v>
      </c>
      <c r="N42" s="101" t="s">
        <v>2426</v>
      </c>
      <c r="O42" s="101" t="s">
        <v>2426</v>
      </c>
      <c r="P42" s="101" t="s">
        <v>2426</v>
      </c>
      <c r="Q42" s="101" t="s">
        <v>2426</v>
      </c>
      <c r="R42" s="101" t="s">
        <v>2426</v>
      </c>
      <c r="S42" s="101" t="s">
        <v>2426</v>
      </c>
      <c r="T42" s="101" t="s">
        <v>2426</v>
      </c>
      <c r="U42" s="101" t="s">
        <v>2426</v>
      </c>
      <c r="V42" s="101" t="s">
        <v>2426</v>
      </c>
      <c r="W42" s="101" t="s">
        <v>2426</v>
      </c>
      <c r="X42" s="101" t="s">
        <v>2426</v>
      </c>
      <c r="Y42" s="101" t="s">
        <v>2426</v>
      </c>
      <c r="Z42" s="101" t="s">
        <v>2426</v>
      </c>
      <c r="AA42" s="101" t="s">
        <v>2426</v>
      </c>
      <c r="AB42" s="101" t="s">
        <v>2426</v>
      </c>
      <c r="AC42" s="101" t="s">
        <v>2426</v>
      </c>
      <c r="AD42" s="101" t="s">
        <v>2426</v>
      </c>
      <c r="AE42" s="101" t="s">
        <v>2426</v>
      </c>
      <c r="AF42" s="101" t="s">
        <v>2426</v>
      </c>
      <c r="AG42" s="101" t="s">
        <v>2426</v>
      </c>
      <c r="AH42" s="101" t="s">
        <v>2426</v>
      </c>
      <c r="AI42" s="101" t="s">
        <v>2426</v>
      </c>
      <c r="AJ42" s="101" t="s">
        <v>2426</v>
      </c>
      <c r="AK42" s="101" t="s">
        <v>2426</v>
      </c>
      <c r="AL42" s="101" t="s">
        <v>2426</v>
      </c>
      <c r="AM42" s="101" t="s">
        <v>2426</v>
      </c>
      <c r="AN42" s="101" t="s">
        <v>2426</v>
      </c>
      <c r="AO42" s="101" t="s">
        <v>2426</v>
      </c>
      <c r="AP42" s="101" t="s">
        <v>2426</v>
      </c>
      <c r="AQ42" s="101" t="s">
        <v>2426</v>
      </c>
      <c r="AR42" s="101" t="s">
        <v>2426</v>
      </c>
      <c r="AS42" s="101" t="s">
        <v>2426</v>
      </c>
      <c r="AT42" s="101" t="s">
        <v>2426</v>
      </c>
      <c r="AU42" s="101" t="s">
        <v>2426</v>
      </c>
      <c r="AV42" s="101" t="s">
        <v>2426</v>
      </c>
      <c r="AW42" s="101" t="s">
        <v>2426</v>
      </c>
      <c r="AX42" s="101" t="s">
        <v>2426</v>
      </c>
      <c r="AY42" s="101" t="s">
        <v>2426</v>
      </c>
    </row>
    <row r="43" customFormat="false" ht="60" hidden="false" customHeight="true" outlineLevel="0" collapsed="false">
      <c r="A43" s="5" t="s">
        <v>986</v>
      </c>
      <c r="B43" s="5" t="s">
        <v>987</v>
      </c>
      <c r="C43" s="101" t="s">
        <v>2426</v>
      </c>
      <c r="D43" s="101" t="s">
        <v>2426</v>
      </c>
      <c r="E43" s="6" t="s">
        <v>999</v>
      </c>
      <c r="F43" s="101" t="s">
        <v>2426</v>
      </c>
      <c r="G43" s="101" t="s">
        <v>2426</v>
      </c>
      <c r="H43" s="101" t="s">
        <v>2426</v>
      </c>
      <c r="I43" s="101" t="s">
        <v>2426</v>
      </c>
      <c r="J43" s="101" t="s">
        <v>2426</v>
      </c>
      <c r="K43" s="101" t="s">
        <v>2426</v>
      </c>
      <c r="L43" s="101" t="s">
        <v>2426</v>
      </c>
      <c r="M43" s="101" t="s">
        <v>2426</v>
      </c>
      <c r="N43" s="101" t="s">
        <v>2426</v>
      </c>
      <c r="O43" s="101" t="s">
        <v>2426</v>
      </c>
      <c r="P43" s="101" t="s">
        <v>2426</v>
      </c>
      <c r="Q43" s="101" t="s">
        <v>2426</v>
      </c>
      <c r="R43" s="101" t="s">
        <v>2426</v>
      </c>
      <c r="S43" s="101" t="s">
        <v>2426</v>
      </c>
      <c r="T43" s="101" t="s">
        <v>2426</v>
      </c>
      <c r="U43" s="101" t="s">
        <v>2426</v>
      </c>
      <c r="V43" s="101" t="s">
        <v>2426</v>
      </c>
      <c r="W43" s="101" t="s">
        <v>2426</v>
      </c>
      <c r="X43" s="101" t="s">
        <v>2426</v>
      </c>
      <c r="Y43" s="101" t="s">
        <v>2426</v>
      </c>
      <c r="Z43" s="101" t="s">
        <v>2426</v>
      </c>
      <c r="AA43" s="101" t="s">
        <v>2426</v>
      </c>
      <c r="AB43" s="101" t="s">
        <v>2426</v>
      </c>
      <c r="AC43" s="101" t="s">
        <v>2426</v>
      </c>
      <c r="AD43" s="101" t="s">
        <v>2426</v>
      </c>
      <c r="AE43" s="101" t="s">
        <v>2426</v>
      </c>
      <c r="AF43" s="101" t="s">
        <v>2426</v>
      </c>
      <c r="AG43" s="101" t="s">
        <v>2426</v>
      </c>
      <c r="AH43" s="101" t="s">
        <v>2426</v>
      </c>
      <c r="AI43" s="101" t="s">
        <v>2426</v>
      </c>
      <c r="AJ43" s="101" t="s">
        <v>2426</v>
      </c>
      <c r="AK43" s="101" t="s">
        <v>2426</v>
      </c>
      <c r="AL43" s="101" t="s">
        <v>2426</v>
      </c>
      <c r="AM43" s="101" t="s">
        <v>2426</v>
      </c>
      <c r="AN43" s="101" t="s">
        <v>2426</v>
      </c>
      <c r="AO43" s="101" t="s">
        <v>2426</v>
      </c>
      <c r="AP43" s="101" t="s">
        <v>2426</v>
      </c>
      <c r="AQ43" s="101" t="s">
        <v>2426</v>
      </c>
      <c r="AR43" s="101" t="s">
        <v>2426</v>
      </c>
      <c r="AS43" s="101" t="s">
        <v>2426</v>
      </c>
      <c r="AT43" s="101" t="s">
        <v>2426</v>
      </c>
      <c r="AU43" s="101" t="s">
        <v>2426</v>
      </c>
      <c r="AV43" s="101" t="s">
        <v>2426</v>
      </c>
      <c r="AW43" s="101" t="s">
        <v>2426</v>
      </c>
      <c r="AX43" s="101" t="s">
        <v>2426</v>
      </c>
      <c r="AY43" s="101" t="s">
        <v>2426</v>
      </c>
    </row>
    <row r="44" customFormat="false" ht="60" hidden="false" customHeight="true" outlineLevel="0" collapsed="false">
      <c r="A44" s="5" t="s">
        <v>1001</v>
      </c>
      <c r="B44" s="5" t="s">
        <v>1002</v>
      </c>
      <c r="C44" s="101" t="s">
        <v>2426</v>
      </c>
      <c r="D44" s="101" t="s">
        <v>2426</v>
      </c>
      <c r="E44" s="6" t="s">
        <v>1014</v>
      </c>
      <c r="F44" s="101" t="s">
        <v>2426</v>
      </c>
      <c r="G44" s="101" t="s">
        <v>2426</v>
      </c>
      <c r="H44" s="101" t="s">
        <v>2426</v>
      </c>
      <c r="I44" s="101" t="s">
        <v>2426</v>
      </c>
      <c r="J44" s="101" t="s">
        <v>2426</v>
      </c>
      <c r="K44" s="101" t="s">
        <v>2426</v>
      </c>
      <c r="L44" s="101" t="s">
        <v>2426</v>
      </c>
      <c r="M44" s="101" t="s">
        <v>2426</v>
      </c>
      <c r="N44" s="101" t="s">
        <v>2426</v>
      </c>
      <c r="O44" s="101" t="s">
        <v>2426</v>
      </c>
      <c r="P44" s="101" t="s">
        <v>2426</v>
      </c>
      <c r="Q44" s="101" t="s">
        <v>2426</v>
      </c>
      <c r="R44" s="101" t="s">
        <v>2426</v>
      </c>
      <c r="S44" s="101" t="s">
        <v>2426</v>
      </c>
      <c r="T44" s="101" t="s">
        <v>2426</v>
      </c>
      <c r="U44" s="101" t="s">
        <v>2426</v>
      </c>
      <c r="V44" s="101" t="s">
        <v>2426</v>
      </c>
      <c r="W44" s="101" t="s">
        <v>2426</v>
      </c>
      <c r="X44" s="101" t="s">
        <v>2426</v>
      </c>
      <c r="Y44" s="101" t="s">
        <v>2426</v>
      </c>
      <c r="Z44" s="101" t="s">
        <v>2426</v>
      </c>
      <c r="AA44" s="101" t="s">
        <v>2426</v>
      </c>
      <c r="AB44" s="101" t="s">
        <v>2426</v>
      </c>
      <c r="AC44" s="101" t="s">
        <v>2426</v>
      </c>
      <c r="AD44" s="101" t="s">
        <v>2426</v>
      </c>
      <c r="AE44" s="101" t="s">
        <v>2426</v>
      </c>
      <c r="AF44" s="101" t="s">
        <v>2426</v>
      </c>
      <c r="AG44" s="101" t="s">
        <v>2426</v>
      </c>
      <c r="AH44" s="101" t="s">
        <v>2426</v>
      </c>
      <c r="AI44" s="101" t="s">
        <v>2426</v>
      </c>
      <c r="AJ44" s="101" t="s">
        <v>2426</v>
      </c>
      <c r="AK44" s="101" t="s">
        <v>2426</v>
      </c>
      <c r="AL44" s="101" t="s">
        <v>2426</v>
      </c>
      <c r="AM44" s="101" t="s">
        <v>2426</v>
      </c>
      <c r="AN44" s="101" t="s">
        <v>2426</v>
      </c>
      <c r="AO44" s="101" t="s">
        <v>2426</v>
      </c>
      <c r="AP44" s="101" t="s">
        <v>2426</v>
      </c>
      <c r="AQ44" s="101" t="s">
        <v>2426</v>
      </c>
      <c r="AR44" s="101" t="s">
        <v>2426</v>
      </c>
      <c r="AS44" s="101" t="s">
        <v>2426</v>
      </c>
      <c r="AT44" s="101" t="s">
        <v>2426</v>
      </c>
      <c r="AU44" s="101" t="s">
        <v>2426</v>
      </c>
      <c r="AV44" s="101" t="s">
        <v>2426</v>
      </c>
      <c r="AW44" s="101" t="s">
        <v>2426</v>
      </c>
      <c r="AX44" s="101" t="s">
        <v>2426</v>
      </c>
      <c r="AY44" s="101" t="s">
        <v>2426</v>
      </c>
    </row>
    <row r="45" customFormat="false" ht="60" hidden="false" customHeight="true" outlineLevel="0" collapsed="false">
      <c r="A45" s="5" t="s">
        <v>1016</v>
      </c>
      <c r="B45" s="5" t="s">
        <v>1017</v>
      </c>
      <c r="C45" s="101" t="s">
        <v>2426</v>
      </c>
      <c r="D45" s="101" t="s">
        <v>2426</v>
      </c>
      <c r="E45" s="6" t="s">
        <v>1029</v>
      </c>
      <c r="F45" s="101" t="s">
        <v>2426</v>
      </c>
      <c r="G45" s="101" t="s">
        <v>2426</v>
      </c>
      <c r="H45" s="101" t="s">
        <v>2426</v>
      </c>
      <c r="I45" s="101" t="s">
        <v>2426</v>
      </c>
      <c r="J45" s="101" t="s">
        <v>2426</v>
      </c>
      <c r="K45" s="101" t="s">
        <v>2426</v>
      </c>
      <c r="L45" s="101" t="s">
        <v>2426</v>
      </c>
      <c r="M45" s="101" t="s">
        <v>2426</v>
      </c>
      <c r="N45" s="101" t="s">
        <v>2426</v>
      </c>
      <c r="O45" s="101" t="s">
        <v>2426</v>
      </c>
      <c r="P45" s="101" t="s">
        <v>2426</v>
      </c>
      <c r="Q45" s="101" t="s">
        <v>2426</v>
      </c>
      <c r="R45" s="101" t="s">
        <v>2426</v>
      </c>
      <c r="S45" s="101" t="s">
        <v>2426</v>
      </c>
      <c r="T45" s="101" t="s">
        <v>2426</v>
      </c>
      <c r="U45" s="101" t="s">
        <v>2426</v>
      </c>
      <c r="V45" s="101" t="s">
        <v>2426</v>
      </c>
      <c r="W45" s="101" t="s">
        <v>2426</v>
      </c>
      <c r="X45" s="101" t="s">
        <v>2426</v>
      </c>
      <c r="Y45" s="101" t="s">
        <v>2426</v>
      </c>
      <c r="Z45" s="101" t="s">
        <v>2426</v>
      </c>
      <c r="AA45" s="101" t="s">
        <v>2426</v>
      </c>
      <c r="AB45" s="101" t="s">
        <v>2426</v>
      </c>
      <c r="AC45" s="101" t="s">
        <v>2426</v>
      </c>
      <c r="AD45" s="101" t="s">
        <v>2426</v>
      </c>
      <c r="AE45" s="101" t="s">
        <v>2426</v>
      </c>
      <c r="AF45" s="101" t="s">
        <v>2426</v>
      </c>
      <c r="AG45" s="101" t="s">
        <v>2426</v>
      </c>
      <c r="AH45" s="101" t="s">
        <v>2426</v>
      </c>
      <c r="AI45" s="101" t="s">
        <v>2426</v>
      </c>
      <c r="AJ45" s="101" t="s">
        <v>2426</v>
      </c>
      <c r="AK45" s="101" t="s">
        <v>2426</v>
      </c>
      <c r="AL45" s="101" t="s">
        <v>2426</v>
      </c>
      <c r="AM45" s="101" t="s">
        <v>2426</v>
      </c>
      <c r="AN45" s="101" t="s">
        <v>2426</v>
      </c>
      <c r="AO45" s="101" t="s">
        <v>2426</v>
      </c>
      <c r="AP45" s="101" t="s">
        <v>2426</v>
      </c>
      <c r="AQ45" s="101" t="s">
        <v>2426</v>
      </c>
      <c r="AR45" s="101" t="s">
        <v>2426</v>
      </c>
      <c r="AS45" s="101" t="s">
        <v>2426</v>
      </c>
      <c r="AT45" s="101" t="s">
        <v>2426</v>
      </c>
      <c r="AU45" s="101" t="s">
        <v>2426</v>
      </c>
      <c r="AV45" s="101" t="s">
        <v>2426</v>
      </c>
      <c r="AW45" s="101" t="s">
        <v>2426</v>
      </c>
      <c r="AX45" s="101" t="s">
        <v>2426</v>
      </c>
      <c r="AY45" s="101" t="s">
        <v>2426</v>
      </c>
    </row>
    <row r="46" customFormat="false" ht="60" hidden="false" customHeight="true" outlineLevel="0" collapsed="false">
      <c r="A46" s="5" t="s">
        <v>1031</v>
      </c>
      <c r="B46" s="5" t="s">
        <v>1032</v>
      </c>
      <c r="C46" s="101" t="s">
        <v>2426</v>
      </c>
      <c r="D46" s="101" t="s">
        <v>2426</v>
      </c>
      <c r="E46" s="6" t="s">
        <v>1046</v>
      </c>
      <c r="F46" s="101" t="s">
        <v>2426</v>
      </c>
      <c r="G46" s="101" t="s">
        <v>2426</v>
      </c>
      <c r="H46" s="101" t="s">
        <v>2426</v>
      </c>
      <c r="I46" s="101" t="s">
        <v>2426</v>
      </c>
      <c r="J46" s="101" t="s">
        <v>2426</v>
      </c>
      <c r="K46" s="101" t="s">
        <v>2426</v>
      </c>
      <c r="L46" s="101" t="s">
        <v>2426</v>
      </c>
      <c r="M46" s="101" t="s">
        <v>2426</v>
      </c>
      <c r="N46" s="101" t="s">
        <v>2426</v>
      </c>
      <c r="O46" s="101" t="s">
        <v>2426</v>
      </c>
      <c r="P46" s="101" t="s">
        <v>2426</v>
      </c>
      <c r="Q46" s="101" t="s">
        <v>2426</v>
      </c>
      <c r="R46" s="101" t="s">
        <v>2426</v>
      </c>
      <c r="S46" s="101" t="s">
        <v>2426</v>
      </c>
      <c r="T46" s="101" t="s">
        <v>2426</v>
      </c>
      <c r="U46" s="101" t="s">
        <v>2426</v>
      </c>
      <c r="V46" s="101" t="s">
        <v>2426</v>
      </c>
      <c r="W46" s="101" t="s">
        <v>2426</v>
      </c>
      <c r="X46" s="101" t="s">
        <v>2426</v>
      </c>
      <c r="Y46" s="101" t="s">
        <v>2426</v>
      </c>
      <c r="Z46" s="101" t="s">
        <v>2426</v>
      </c>
      <c r="AA46" s="101" t="s">
        <v>2426</v>
      </c>
      <c r="AB46" s="101" t="s">
        <v>2426</v>
      </c>
      <c r="AC46" s="101" t="s">
        <v>2426</v>
      </c>
      <c r="AD46" s="101" t="s">
        <v>2426</v>
      </c>
      <c r="AE46" s="101" t="s">
        <v>2426</v>
      </c>
      <c r="AF46" s="101" t="s">
        <v>2426</v>
      </c>
      <c r="AG46" s="101" t="s">
        <v>2426</v>
      </c>
      <c r="AH46" s="101" t="s">
        <v>2426</v>
      </c>
      <c r="AI46" s="101" t="s">
        <v>2426</v>
      </c>
      <c r="AJ46" s="101" t="s">
        <v>2426</v>
      </c>
      <c r="AK46" s="101" t="s">
        <v>2426</v>
      </c>
      <c r="AL46" s="101" t="s">
        <v>2426</v>
      </c>
      <c r="AM46" s="101" t="s">
        <v>2426</v>
      </c>
      <c r="AN46" s="101" t="s">
        <v>2426</v>
      </c>
      <c r="AO46" s="101" t="s">
        <v>2426</v>
      </c>
      <c r="AP46" s="101" t="s">
        <v>2426</v>
      </c>
      <c r="AQ46" s="101" t="s">
        <v>2426</v>
      </c>
      <c r="AR46" s="101" t="s">
        <v>2426</v>
      </c>
      <c r="AS46" s="101" t="s">
        <v>2426</v>
      </c>
      <c r="AT46" s="101" t="s">
        <v>2426</v>
      </c>
      <c r="AU46" s="101" t="s">
        <v>2426</v>
      </c>
      <c r="AV46" s="101" t="s">
        <v>2426</v>
      </c>
      <c r="AW46" s="101" t="s">
        <v>2426</v>
      </c>
      <c r="AX46" s="101" t="s">
        <v>2426</v>
      </c>
      <c r="AY46" s="101" t="s">
        <v>2426</v>
      </c>
    </row>
    <row r="47" customFormat="false" ht="60" hidden="false" customHeight="true" outlineLevel="0" collapsed="false">
      <c r="A47" s="5" t="s">
        <v>1048</v>
      </c>
      <c r="B47" s="5" t="s">
        <v>1049</v>
      </c>
      <c r="C47" s="101" t="s">
        <v>2426</v>
      </c>
      <c r="D47" s="101" t="s">
        <v>2426</v>
      </c>
      <c r="E47" s="6" t="s">
        <v>1060</v>
      </c>
      <c r="F47" s="101" t="s">
        <v>2426</v>
      </c>
      <c r="G47" s="6" t="s">
        <v>659</v>
      </c>
      <c r="H47" s="101" t="s">
        <v>2426</v>
      </c>
      <c r="I47" s="101" t="s">
        <v>2426</v>
      </c>
      <c r="J47" s="101" t="s">
        <v>2426</v>
      </c>
      <c r="K47" s="101" t="s">
        <v>2426</v>
      </c>
      <c r="L47" s="101" t="s">
        <v>2426</v>
      </c>
      <c r="M47" s="101" t="s">
        <v>2426</v>
      </c>
      <c r="N47" s="101" t="s">
        <v>2426</v>
      </c>
      <c r="O47" s="101" t="s">
        <v>2426</v>
      </c>
      <c r="P47" s="101" t="s">
        <v>2426</v>
      </c>
      <c r="Q47" s="101" t="s">
        <v>2426</v>
      </c>
      <c r="R47" s="101" t="s">
        <v>2426</v>
      </c>
      <c r="S47" s="101" t="s">
        <v>2426</v>
      </c>
      <c r="T47" s="101" t="s">
        <v>2426</v>
      </c>
      <c r="U47" s="101" t="s">
        <v>2426</v>
      </c>
      <c r="V47" s="101" t="s">
        <v>2426</v>
      </c>
      <c r="W47" s="101" t="s">
        <v>2426</v>
      </c>
      <c r="X47" s="101" t="s">
        <v>2426</v>
      </c>
      <c r="Y47" s="101" t="s">
        <v>2426</v>
      </c>
      <c r="Z47" s="101" t="s">
        <v>2426</v>
      </c>
      <c r="AA47" s="101" t="s">
        <v>2426</v>
      </c>
      <c r="AB47" s="101" t="s">
        <v>2426</v>
      </c>
      <c r="AC47" s="101" t="s">
        <v>2426</v>
      </c>
      <c r="AD47" s="101" t="s">
        <v>2426</v>
      </c>
      <c r="AE47" s="101" t="s">
        <v>2426</v>
      </c>
      <c r="AF47" s="101" t="s">
        <v>2426</v>
      </c>
      <c r="AG47" s="101" t="s">
        <v>2426</v>
      </c>
      <c r="AH47" s="101" t="s">
        <v>2426</v>
      </c>
      <c r="AI47" s="101" t="s">
        <v>2426</v>
      </c>
      <c r="AJ47" s="101" t="s">
        <v>2426</v>
      </c>
      <c r="AK47" s="101" t="s">
        <v>2426</v>
      </c>
      <c r="AL47" s="101" t="s">
        <v>2426</v>
      </c>
      <c r="AM47" s="101" t="s">
        <v>2426</v>
      </c>
      <c r="AN47" s="101" t="s">
        <v>2426</v>
      </c>
      <c r="AO47" s="101" t="s">
        <v>2426</v>
      </c>
      <c r="AP47" s="101" t="s">
        <v>2426</v>
      </c>
      <c r="AQ47" s="101" t="s">
        <v>2426</v>
      </c>
      <c r="AR47" s="101" t="s">
        <v>2426</v>
      </c>
      <c r="AS47" s="101" t="s">
        <v>2426</v>
      </c>
      <c r="AT47" s="101" t="s">
        <v>2426</v>
      </c>
      <c r="AU47" s="101" t="s">
        <v>2426</v>
      </c>
      <c r="AV47" s="101" t="s">
        <v>2426</v>
      </c>
      <c r="AW47" s="101" t="s">
        <v>2426</v>
      </c>
      <c r="AX47" s="101" t="s">
        <v>2426</v>
      </c>
      <c r="AY47" s="101" t="s">
        <v>2426</v>
      </c>
    </row>
    <row r="48" customFormat="false" ht="60" hidden="false" customHeight="true" outlineLevel="0" collapsed="false">
      <c r="A48" s="5" t="s">
        <v>1062</v>
      </c>
      <c r="B48" s="5" t="s">
        <v>1063</v>
      </c>
      <c r="C48" s="101" t="s">
        <v>2426</v>
      </c>
      <c r="D48" s="101" t="s">
        <v>2426</v>
      </c>
      <c r="E48" s="6" t="s">
        <v>1076</v>
      </c>
      <c r="F48" s="101" t="s">
        <v>2426</v>
      </c>
      <c r="G48" s="101" t="s">
        <v>2426</v>
      </c>
      <c r="H48" s="101" t="s">
        <v>2426</v>
      </c>
      <c r="I48" s="101" t="s">
        <v>2426</v>
      </c>
      <c r="J48" s="101" t="s">
        <v>2426</v>
      </c>
      <c r="K48" s="101" t="s">
        <v>2426</v>
      </c>
      <c r="L48" s="101" t="s">
        <v>2426</v>
      </c>
      <c r="M48" s="101" t="s">
        <v>2426</v>
      </c>
      <c r="N48" s="101" t="s">
        <v>2426</v>
      </c>
      <c r="O48" s="101" t="s">
        <v>2426</v>
      </c>
      <c r="P48" s="101" t="s">
        <v>2426</v>
      </c>
      <c r="Q48" s="101" t="s">
        <v>2426</v>
      </c>
      <c r="R48" s="101" t="s">
        <v>2426</v>
      </c>
      <c r="S48" s="101" t="s">
        <v>2426</v>
      </c>
      <c r="T48" s="101" t="s">
        <v>2426</v>
      </c>
      <c r="U48" s="101" t="s">
        <v>2426</v>
      </c>
      <c r="V48" s="101" t="s">
        <v>2426</v>
      </c>
      <c r="W48" s="101" t="s">
        <v>2426</v>
      </c>
      <c r="X48" s="101" t="s">
        <v>2426</v>
      </c>
      <c r="Y48" s="101" t="s">
        <v>2426</v>
      </c>
      <c r="Z48" s="101" t="s">
        <v>2426</v>
      </c>
      <c r="AA48" s="101" t="s">
        <v>2426</v>
      </c>
      <c r="AB48" s="101" t="s">
        <v>2426</v>
      </c>
      <c r="AC48" s="101" t="s">
        <v>2426</v>
      </c>
      <c r="AD48" s="101" t="s">
        <v>2426</v>
      </c>
      <c r="AE48" s="101" t="s">
        <v>2426</v>
      </c>
      <c r="AF48" s="101" t="s">
        <v>2426</v>
      </c>
      <c r="AG48" s="101" t="s">
        <v>2426</v>
      </c>
      <c r="AH48" s="101" t="s">
        <v>2426</v>
      </c>
      <c r="AI48" s="101" t="s">
        <v>2426</v>
      </c>
      <c r="AJ48" s="101" t="s">
        <v>2426</v>
      </c>
      <c r="AK48" s="101" t="s">
        <v>2426</v>
      </c>
      <c r="AL48" s="101" t="s">
        <v>2426</v>
      </c>
      <c r="AM48" s="101" t="s">
        <v>2426</v>
      </c>
      <c r="AN48" s="101" t="s">
        <v>2426</v>
      </c>
      <c r="AO48" s="101" t="s">
        <v>2426</v>
      </c>
      <c r="AP48" s="101" t="s">
        <v>2426</v>
      </c>
      <c r="AQ48" s="101" t="s">
        <v>2426</v>
      </c>
      <c r="AR48" s="101" t="s">
        <v>2426</v>
      </c>
      <c r="AS48" s="101" t="s">
        <v>2426</v>
      </c>
      <c r="AT48" s="101" t="s">
        <v>2426</v>
      </c>
      <c r="AU48" s="101" t="s">
        <v>2426</v>
      </c>
      <c r="AV48" s="101" t="s">
        <v>2426</v>
      </c>
      <c r="AW48" s="101" t="s">
        <v>2426</v>
      </c>
      <c r="AX48" s="101" t="s">
        <v>2426</v>
      </c>
      <c r="AY48" s="101" t="s">
        <v>2426</v>
      </c>
    </row>
    <row r="49" customFormat="false" ht="60" hidden="false" customHeight="true" outlineLevel="0" collapsed="false">
      <c r="A49" s="5" t="s">
        <v>1078</v>
      </c>
      <c r="B49" s="5" t="s">
        <v>1079</v>
      </c>
      <c r="C49" s="101" t="s">
        <v>2426</v>
      </c>
      <c r="D49" s="101" t="s">
        <v>2426</v>
      </c>
      <c r="E49" s="6" t="s">
        <v>1090</v>
      </c>
      <c r="F49" s="101" t="s">
        <v>2426</v>
      </c>
      <c r="G49" s="101" t="s">
        <v>2426</v>
      </c>
      <c r="H49" s="101" t="s">
        <v>2426</v>
      </c>
      <c r="I49" s="101" t="s">
        <v>2426</v>
      </c>
      <c r="J49" s="101" t="s">
        <v>2426</v>
      </c>
      <c r="K49" s="101" t="s">
        <v>2426</v>
      </c>
      <c r="L49" s="101" t="s">
        <v>2426</v>
      </c>
      <c r="M49" s="101" t="s">
        <v>2426</v>
      </c>
      <c r="N49" s="101" t="s">
        <v>2426</v>
      </c>
      <c r="O49" s="101" t="s">
        <v>2426</v>
      </c>
      <c r="P49" s="101" t="s">
        <v>2426</v>
      </c>
      <c r="Q49" s="101" t="s">
        <v>2426</v>
      </c>
      <c r="R49" s="101" t="s">
        <v>2426</v>
      </c>
      <c r="S49" s="101" t="s">
        <v>2426</v>
      </c>
      <c r="T49" s="101" t="s">
        <v>2426</v>
      </c>
      <c r="U49" s="101" t="s">
        <v>2426</v>
      </c>
      <c r="V49" s="101" t="s">
        <v>2426</v>
      </c>
      <c r="W49" s="101" t="s">
        <v>2426</v>
      </c>
      <c r="X49" s="101" t="s">
        <v>2426</v>
      </c>
      <c r="Y49" s="101" t="s">
        <v>2426</v>
      </c>
      <c r="Z49" s="101" t="s">
        <v>2426</v>
      </c>
      <c r="AA49" s="101" t="s">
        <v>2426</v>
      </c>
      <c r="AB49" s="101" t="s">
        <v>2426</v>
      </c>
      <c r="AC49" s="101" t="s">
        <v>2426</v>
      </c>
      <c r="AD49" s="101" t="s">
        <v>2426</v>
      </c>
      <c r="AE49" s="101" t="s">
        <v>2426</v>
      </c>
      <c r="AF49" s="101" t="s">
        <v>2426</v>
      </c>
      <c r="AG49" s="101" t="s">
        <v>2426</v>
      </c>
      <c r="AH49" s="101" t="s">
        <v>2426</v>
      </c>
      <c r="AI49" s="101" t="s">
        <v>2426</v>
      </c>
      <c r="AJ49" s="101" t="s">
        <v>2426</v>
      </c>
      <c r="AK49" s="101" t="s">
        <v>2426</v>
      </c>
      <c r="AL49" s="101" t="s">
        <v>2426</v>
      </c>
      <c r="AM49" s="101" t="s">
        <v>2426</v>
      </c>
      <c r="AN49" s="101" t="s">
        <v>2426</v>
      </c>
      <c r="AO49" s="101" t="s">
        <v>2426</v>
      </c>
      <c r="AP49" s="101" t="s">
        <v>2426</v>
      </c>
      <c r="AQ49" s="101" t="s">
        <v>2426</v>
      </c>
      <c r="AR49" s="101" t="s">
        <v>2426</v>
      </c>
      <c r="AS49" s="101" t="s">
        <v>2426</v>
      </c>
      <c r="AT49" s="101" t="s">
        <v>2426</v>
      </c>
      <c r="AU49" s="101" t="s">
        <v>2426</v>
      </c>
      <c r="AV49" s="101" t="s">
        <v>2426</v>
      </c>
      <c r="AW49" s="101" t="s">
        <v>2426</v>
      </c>
      <c r="AX49" s="101" t="s">
        <v>2426</v>
      </c>
      <c r="AY49" s="101" t="s">
        <v>2426</v>
      </c>
    </row>
    <row r="50" customFormat="false" ht="60" hidden="false" customHeight="true" outlineLevel="0" collapsed="false">
      <c r="A50" s="5" t="s">
        <v>1092</v>
      </c>
      <c r="B50" s="5" t="s">
        <v>1093</v>
      </c>
      <c r="C50" s="101" t="s">
        <v>2426</v>
      </c>
      <c r="D50" s="101" t="s">
        <v>2426</v>
      </c>
      <c r="E50" s="6" t="s">
        <v>1108</v>
      </c>
      <c r="F50" s="101" t="s">
        <v>2426</v>
      </c>
      <c r="G50" s="101" t="s">
        <v>2426</v>
      </c>
      <c r="H50" s="101" t="s">
        <v>2426</v>
      </c>
      <c r="I50" s="101" t="s">
        <v>2426</v>
      </c>
      <c r="J50" s="101" t="s">
        <v>2426</v>
      </c>
      <c r="K50" s="6" t="s">
        <v>460</v>
      </c>
      <c r="L50" s="101" t="s">
        <v>2426</v>
      </c>
      <c r="M50" s="101" t="s">
        <v>2426</v>
      </c>
      <c r="N50" s="101" t="s">
        <v>2426</v>
      </c>
      <c r="O50" s="101" t="s">
        <v>2426</v>
      </c>
      <c r="P50" s="101" t="s">
        <v>2426</v>
      </c>
      <c r="Q50" s="101" t="s">
        <v>2426</v>
      </c>
      <c r="R50" s="101" t="s">
        <v>2426</v>
      </c>
      <c r="S50" s="101" t="s">
        <v>2426</v>
      </c>
      <c r="T50" s="101" t="s">
        <v>2426</v>
      </c>
      <c r="U50" s="101" t="s">
        <v>2426</v>
      </c>
      <c r="V50" s="101" t="s">
        <v>2426</v>
      </c>
      <c r="W50" s="101" t="s">
        <v>2426</v>
      </c>
      <c r="X50" s="101" t="s">
        <v>2426</v>
      </c>
      <c r="Y50" s="101" t="s">
        <v>2426</v>
      </c>
      <c r="Z50" s="101" t="s">
        <v>2426</v>
      </c>
      <c r="AA50" s="101" t="s">
        <v>2426</v>
      </c>
      <c r="AB50" s="101" t="s">
        <v>2426</v>
      </c>
      <c r="AC50" s="101" t="s">
        <v>2426</v>
      </c>
      <c r="AD50" s="101" t="s">
        <v>2426</v>
      </c>
      <c r="AE50" s="101" t="s">
        <v>2426</v>
      </c>
      <c r="AF50" s="101" t="s">
        <v>2426</v>
      </c>
      <c r="AG50" s="101" t="s">
        <v>2426</v>
      </c>
      <c r="AH50" s="101" t="s">
        <v>2426</v>
      </c>
      <c r="AI50" s="101" t="s">
        <v>2426</v>
      </c>
      <c r="AJ50" s="101" t="s">
        <v>2426</v>
      </c>
      <c r="AK50" s="101" t="s">
        <v>2426</v>
      </c>
      <c r="AL50" s="101" t="s">
        <v>2426</v>
      </c>
      <c r="AM50" s="101" t="s">
        <v>2426</v>
      </c>
      <c r="AN50" s="101" t="s">
        <v>2426</v>
      </c>
      <c r="AO50" s="101" t="s">
        <v>2426</v>
      </c>
      <c r="AP50" s="101" t="s">
        <v>2426</v>
      </c>
      <c r="AQ50" s="101" t="s">
        <v>2426</v>
      </c>
      <c r="AR50" s="101" t="s">
        <v>2426</v>
      </c>
      <c r="AS50" s="101" t="s">
        <v>2426</v>
      </c>
      <c r="AT50" s="101" t="s">
        <v>2426</v>
      </c>
      <c r="AU50" s="101" t="s">
        <v>2426</v>
      </c>
      <c r="AV50" s="101" t="s">
        <v>2426</v>
      </c>
      <c r="AW50" s="101" t="s">
        <v>2426</v>
      </c>
      <c r="AX50" s="101" t="s">
        <v>2426</v>
      </c>
      <c r="AY50" s="101" t="s">
        <v>2426</v>
      </c>
    </row>
    <row r="51" customFormat="false" ht="60" hidden="false" customHeight="true" outlineLevel="0" collapsed="false">
      <c r="A51" s="5" t="s">
        <v>1110</v>
      </c>
      <c r="B51" s="5" t="s">
        <v>1111</v>
      </c>
      <c r="C51" s="101" t="s">
        <v>2426</v>
      </c>
      <c r="D51" s="101" t="s">
        <v>2426</v>
      </c>
      <c r="E51" s="6" t="s">
        <v>1124</v>
      </c>
      <c r="F51" s="101" t="s">
        <v>2426</v>
      </c>
      <c r="G51" s="101" t="s">
        <v>2426</v>
      </c>
      <c r="H51" s="101" t="s">
        <v>2426</v>
      </c>
      <c r="I51" s="101" t="s">
        <v>2426</v>
      </c>
      <c r="J51" s="101" t="s">
        <v>2426</v>
      </c>
      <c r="K51" s="6" t="s">
        <v>1125</v>
      </c>
      <c r="L51" s="101" t="s">
        <v>2426</v>
      </c>
      <c r="M51" s="101" t="s">
        <v>2426</v>
      </c>
      <c r="N51" s="101" t="s">
        <v>2426</v>
      </c>
      <c r="O51" s="101" t="s">
        <v>2426</v>
      </c>
      <c r="P51" s="101" t="s">
        <v>2426</v>
      </c>
      <c r="Q51" s="101" t="s">
        <v>2426</v>
      </c>
      <c r="R51" s="101" t="s">
        <v>2426</v>
      </c>
      <c r="S51" s="101" t="s">
        <v>2426</v>
      </c>
      <c r="T51" s="101" t="s">
        <v>2426</v>
      </c>
      <c r="U51" s="101" t="s">
        <v>2426</v>
      </c>
      <c r="V51" s="101" t="s">
        <v>2426</v>
      </c>
      <c r="W51" s="101" t="s">
        <v>2426</v>
      </c>
      <c r="X51" s="101" t="s">
        <v>2426</v>
      </c>
      <c r="Y51" s="101" t="s">
        <v>2426</v>
      </c>
      <c r="Z51" s="101" t="s">
        <v>2426</v>
      </c>
      <c r="AA51" s="101" t="s">
        <v>2426</v>
      </c>
      <c r="AB51" s="101" t="s">
        <v>2426</v>
      </c>
      <c r="AC51" s="101" t="s">
        <v>2426</v>
      </c>
      <c r="AD51" s="101" t="s">
        <v>2426</v>
      </c>
      <c r="AE51" s="101" t="s">
        <v>2426</v>
      </c>
      <c r="AF51" s="101" t="s">
        <v>2426</v>
      </c>
      <c r="AG51" s="101" t="s">
        <v>2426</v>
      </c>
      <c r="AH51" s="101" t="s">
        <v>2426</v>
      </c>
      <c r="AI51" s="101" t="s">
        <v>2426</v>
      </c>
      <c r="AJ51" s="101" t="s">
        <v>2426</v>
      </c>
      <c r="AK51" s="101" t="s">
        <v>2426</v>
      </c>
      <c r="AL51" s="101" t="s">
        <v>2426</v>
      </c>
      <c r="AM51" s="101" t="s">
        <v>2426</v>
      </c>
      <c r="AN51" s="101" t="s">
        <v>2426</v>
      </c>
      <c r="AO51" s="101" t="s">
        <v>2426</v>
      </c>
      <c r="AP51" s="101" t="s">
        <v>2426</v>
      </c>
      <c r="AQ51" s="101" t="s">
        <v>2426</v>
      </c>
      <c r="AR51" s="101" t="s">
        <v>2426</v>
      </c>
      <c r="AS51" s="101" t="s">
        <v>2426</v>
      </c>
      <c r="AT51" s="101" t="s">
        <v>2426</v>
      </c>
      <c r="AU51" s="101" t="s">
        <v>2426</v>
      </c>
      <c r="AV51" s="101" t="s">
        <v>2426</v>
      </c>
      <c r="AW51" s="101" t="s">
        <v>2426</v>
      </c>
      <c r="AX51" s="101" t="s">
        <v>2426</v>
      </c>
      <c r="AY51" s="101" t="s">
        <v>2426</v>
      </c>
    </row>
    <row r="52" customFormat="false" ht="15" hidden="false" customHeight="false" outlineLevel="0" collapsed="false">
      <c r="B52" s="47" t="s">
        <v>2943</v>
      </c>
      <c r="C52" s="21" t="n">
        <f aca="false">COUNTIF(C6:C51,"&lt;&gt;-")</f>
        <v>24</v>
      </c>
      <c r="D52" s="21" t="n">
        <f aca="false">COUNTIF(D6:D51,"&lt;&gt;-")</f>
        <v>26</v>
      </c>
      <c r="E52" s="21" t="n">
        <f aca="false">COUNTIF(E6:E51,"&lt;&gt;-")</f>
        <v>44</v>
      </c>
      <c r="F52" s="21" t="n">
        <f aca="false">COUNTIF(F6:F51,"&lt;&gt;-")</f>
        <v>28</v>
      </c>
      <c r="G52" s="21" t="n">
        <f aca="false">COUNTIF(G6:G51,"&lt;&gt;-")</f>
        <v>16</v>
      </c>
      <c r="H52" s="21" t="n">
        <f aca="false">COUNTIF(H6:H51,"&lt;&gt;-")</f>
        <v>24</v>
      </c>
      <c r="I52" s="21" t="n">
        <f aca="false">COUNTIF(I6:I51,"&lt;&gt;-")</f>
        <v>25</v>
      </c>
      <c r="J52" s="21" t="n">
        <f aca="false">COUNTIF(J6:J51,"&lt;&gt;-")</f>
        <v>15</v>
      </c>
      <c r="K52" s="21" t="n">
        <f aca="false">COUNTIF(K6:K51,"&lt;&gt;-")</f>
        <v>12</v>
      </c>
      <c r="L52" s="21" t="n">
        <f aca="false">COUNTIF(L6:L51,"&lt;&gt;-")</f>
        <v>25</v>
      </c>
      <c r="M52" s="21" t="n">
        <f aca="false">COUNTIF(M6:M51,"&lt;&gt;-")</f>
        <v>27</v>
      </c>
      <c r="N52" s="21" t="n">
        <f aca="false">COUNTIF(N6:N51,"&lt;&gt;-")</f>
        <v>23</v>
      </c>
      <c r="O52" s="21" t="n">
        <f aca="false">COUNTIF(O6:O51,"&lt;&gt;-")</f>
        <v>28</v>
      </c>
      <c r="P52" s="21" t="n">
        <f aca="false">COUNTIF(P6:P51,"&lt;&gt;-")</f>
        <v>7</v>
      </c>
      <c r="Q52" s="21" t="n">
        <f aca="false">COUNTIF(Q6:Q51,"&lt;&gt;-")</f>
        <v>28</v>
      </c>
      <c r="R52" s="21" t="n">
        <f aca="false">COUNTIF(R6:R51,"&lt;&gt;-")</f>
        <v>5</v>
      </c>
      <c r="S52" s="21" t="n">
        <f aca="false">COUNTIF(S6:S51,"&lt;&gt;-")</f>
        <v>6</v>
      </c>
      <c r="T52" s="21" t="n">
        <f aca="false">COUNTIF(T6:T51,"&lt;&gt;-")</f>
        <v>8</v>
      </c>
      <c r="U52" s="21" t="n">
        <f aca="false">COUNTIF(U6:U51,"&lt;&gt;-")</f>
        <v>8</v>
      </c>
      <c r="V52" s="21" t="n">
        <f aca="false">COUNTIF(V6:V51,"&lt;&gt;-")</f>
        <v>15</v>
      </c>
      <c r="W52" s="21" t="n">
        <f aca="false">COUNTIF(W6:W51,"&lt;&gt;-")</f>
        <v>20</v>
      </c>
      <c r="X52" s="21" t="n">
        <f aca="false">COUNTIF(X6:X51,"&lt;&gt;-")</f>
        <v>17</v>
      </c>
      <c r="Y52" s="21" t="n">
        <f aca="false">COUNTIF(Y6:Y51,"&lt;&gt;-")</f>
        <v>10</v>
      </c>
      <c r="Z52" s="21" t="n">
        <f aca="false">COUNTIF(Z6:Z51,"&lt;&gt;-")</f>
        <v>12</v>
      </c>
      <c r="AA52" s="21" t="n">
        <f aca="false">COUNTIF(AA6:AA51,"&lt;&gt;-")</f>
        <v>9</v>
      </c>
      <c r="AB52" s="21" t="n">
        <f aca="false">COUNTIF(AB6:AB51,"&lt;&gt;-")</f>
        <v>28</v>
      </c>
      <c r="AC52" s="21" t="n">
        <f aca="false">COUNTIF(AC6:AC51,"&lt;&gt;-")</f>
        <v>27</v>
      </c>
      <c r="AD52" s="21" t="n">
        <f aca="false">COUNTIF(AD6:AD51,"&lt;&gt;-")</f>
        <v>28</v>
      </c>
      <c r="AE52" s="21" t="n">
        <f aca="false">COUNTIF(AE6:AE51,"&lt;&gt;-")</f>
        <v>24</v>
      </c>
      <c r="AF52" s="21" t="n">
        <f aca="false">COUNTIF(AF6:AF51,"&lt;&gt;-")</f>
        <v>24</v>
      </c>
      <c r="AG52" s="21" t="n">
        <f aca="false">COUNTIF(AG6:AG51,"&lt;&gt;-")</f>
        <v>25</v>
      </c>
      <c r="AH52" s="21" t="n">
        <f aca="false">COUNTIF(AH6:AH51,"&lt;&gt;-")</f>
        <v>20</v>
      </c>
      <c r="AI52" s="21" t="n">
        <f aca="false">COUNTIF(AI6:AI51,"&lt;&gt;-")</f>
        <v>17</v>
      </c>
      <c r="AJ52" s="21" t="n">
        <f aca="false">COUNTIF(AJ6:AJ51,"&lt;&gt;-")</f>
        <v>20</v>
      </c>
      <c r="AK52" s="21" t="n">
        <f aca="false">COUNTIF(AK6:AK51,"&lt;&gt;-")</f>
        <v>17</v>
      </c>
      <c r="AL52" s="21" t="n">
        <f aca="false">COUNTIF(AL6:AL51,"&lt;&gt;-")</f>
        <v>17</v>
      </c>
      <c r="AM52" s="21" t="n">
        <f aca="false">COUNTIF(AM6:AM51,"&lt;&gt;-")</f>
        <v>24</v>
      </c>
      <c r="AN52" s="21" t="n">
        <f aca="false">COUNTIF(AN6:AN51,"&lt;&gt;-")</f>
        <v>21</v>
      </c>
      <c r="AO52" s="21" t="n">
        <f aca="false">COUNTIF(AO6:AO51,"&lt;&gt;-")</f>
        <v>20</v>
      </c>
      <c r="AP52" s="21" t="n">
        <f aca="false">COUNTIF(AP6:AP51,"&lt;&gt;-")</f>
        <v>20</v>
      </c>
      <c r="AQ52" s="21" t="n">
        <f aca="false">COUNTIF(AQ6:AQ51,"&lt;&gt;-")</f>
        <v>18</v>
      </c>
      <c r="AR52" s="21" t="n">
        <f aca="false">COUNTIF(AR6:AR51,"&lt;&gt;-")</f>
        <v>17</v>
      </c>
      <c r="AS52" s="21" t="n">
        <f aca="false">COUNTIF(AS6:AS51,"&lt;&gt;-")</f>
        <v>13</v>
      </c>
      <c r="AT52" s="21" t="n">
        <f aca="false">COUNTIF(AT6:AT51,"&lt;&gt;-")</f>
        <v>16</v>
      </c>
      <c r="AU52" s="21" t="n">
        <f aca="false">COUNTIF(AU6:AU51,"&lt;&gt;-")</f>
        <v>23</v>
      </c>
      <c r="AV52" s="21" t="n">
        <f aca="false">COUNTIF(AV6:AV51,"&lt;&gt;-")</f>
        <v>14</v>
      </c>
      <c r="AW52" s="21" t="n">
        <f aca="false">COUNTIF(AW6:AW51,"&lt;&gt;-")</f>
        <v>27</v>
      </c>
      <c r="AX52" s="21" t="n">
        <f aca="false">COUNTIF(AX6:AX51,"&lt;&gt;-")</f>
        <v>16</v>
      </c>
      <c r="AY52" s="21" t="n">
        <f aca="false">COUNTIF(AY6:AY51,"&lt;&gt;-")</f>
        <v>26</v>
      </c>
    </row>
    <row r="53" customFormat="false" ht="35.05" hidden="false" customHeight="false" outlineLevel="0" collapsed="false">
      <c r="B53" s="153" t="s">
        <v>2944</v>
      </c>
    </row>
  </sheetData>
  <conditionalFormatting sqref="C6:AY51">
    <cfRule type="cellIs" priority="2" operator="equal" aboveAverage="0" equalAverage="0" bottom="0" percent="0" rank="0" text="" dxfId="66">
      <formul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3864"/>
    <pageSetUpPr fitToPage="false"/>
  </sheetPr>
  <dimension ref="A1:K7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30"/>
    <col collapsed="false" customWidth="true" hidden="false" outlineLevel="0" max="4" min="4" style="0" width="18"/>
    <col collapsed="false" customWidth="true" hidden="false" outlineLevel="0" max="5" min="5" style="0" width="44"/>
    <col collapsed="false" customWidth="true" hidden="false" outlineLevel="0" max="7" min="6" style="0" width="34"/>
    <col collapsed="false" customWidth="true" hidden="false" outlineLevel="0" max="8" min="8" style="0" width="22"/>
    <col collapsed="false" customWidth="true" hidden="false" outlineLevel="0" max="9" min="9" style="0" width="12"/>
    <col collapsed="false" customWidth="true" hidden="false" outlineLevel="0" max="10" min="10" style="0" width="60"/>
    <col collapsed="false" customWidth="true" hidden="false" outlineLevel="0" max="11" min="11" style="0" width="30"/>
  </cols>
  <sheetData>
    <row r="1" customFormat="false" ht="30" hidden="false" customHeight="true" outlineLevel="0" collapsed="false">
      <c r="A1" s="154" t="s">
        <v>2945</v>
      </c>
      <c r="B1" s="155"/>
      <c r="C1" s="155"/>
      <c r="D1" s="155"/>
      <c r="E1" s="155"/>
      <c r="F1" s="155"/>
      <c r="G1" s="155"/>
      <c r="H1" s="155"/>
      <c r="I1" s="155"/>
      <c r="J1" s="155"/>
      <c r="K1" s="155"/>
    </row>
    <row r="2" customFormat="false" ht="15" hidden="false" customHeight="false" outlineLevel="0" collapsed="false">
      <c r="A2" s="3" t="s">
        <v>2946</v>
      </c>
    </row>
    <row r="4" customFormat="false" ht="15" hidden="false" customHeight="false" outlineLevel="0" collapsed="false">
      <c r="A4" s="151" t="s">
        <v>2372</v>
      </c>
      <c r="B4" s="151" t="s">
        <v>2947</v>
      </c>
      <c r="C4" s="151" t="s">
        <v>2948</v>
      </c>
      <c r="D4" s="151" t="s">
        <v>2949</v>
      </c>
      <c r="E4" s="151" t="s">
        <v>2950</v>
      </c>
      <c r="F4" s="151" t="s">
        <v>2951</v>
      </c>
      <c r="G4" s="151" t="s">
        <v>2952</v>
      </c>
      <c r="H4" s="151" t="s">
        <v>2953</v>
      </c>
      <c r="I4" s="151" t="s">
        <v>2954</v>
      </c>
      <c r="J4" s="151" t="s">
        <v>2955</v>
      </c>
      <c r="K4" s="151" t="s">
        <v>2956</v>
      </c>
    </row>
    <row r="5" customFormat="false" ht="46.25" hidden="false" customHeight="false" outlineLevel="0" collapsed="false">
      <c r="A5" s="6" t="s">
        <v>2373</v>
      </c>
      <c r="B5" s="6" t="s">
        <v>2383</v>
      </c>
      <c r="C5" s="6" t="s">
        <v>2957</v>
      </c>
      <c r="D5" s="6" t="s">
        <v>517</v>
      </c>
      <c r="E5" s="6" t="s">
        <v>2958</v>
      </c>
      <c r="F5" s="6" t="s">
        <v>287</v>
      </c>
      <c r="G5" s="6" t="s">
        <v>504</v>
      </c>
      <c r="H5" s="6" t="s">
        <v>2959</v>
      </c>
      <c r="I5" s="6" t="s">
        <v>2960</v>
      </c>
      <c r="J5" s="6" t="s">
        <v>2961</v>
      </c>
      <c r="K5" s="6" t="s">
        <v>2962</v>
      </c>
    </row>
    <row r="6" customFormat="false" ht="46.25" hidden="false" customHeight="false" outlineLevel="0" collapsed="false">
      <c r="A6" s="121" t="s">
        <v>2373</v>
      </c>
      <c r="B6" s="121" t="s">
        <v>2383</v>
      </c>
      <c r="C6" s="121" t="s">
        <v>2957</v>
      </c>
      <c r="D6" s="121" t="s">
        <v>2963</v>
      </c>
      <c r="E6" s="121" t="s">
        <v>2964</v>
      </c>
      <c r="F6" s="121" t="s">
        <v>287</v>
      </c>
      <c r="G6" s="121" t="s">
        <v>583</v>
      </c>
      <c r="H6" s="121" t="s">
        <v>2959</v>
      </c>
      <c r="I6" s="121" t="s">
        <v>2960</v>
      </c>
      <c r="J6" s="121" t="s">
        <v>2965</v>
      </c>
      <c r="K6" s="121" t="s">
        <v>2962</v>
      </c>
    </row>
    <row r="7" customFormat="false" ht="46.25" hidden="false" customHeight="false" outlineLevel="0" collapsed="false">
      <c r="A7" s="6" t="s">
        <v>2373</v>
      </c>
      <c r="B7" s="6" t="s">
        <v>2383</v>
      </c>
      <c r="C7" s="6" t="s">
        <v>2957</v>
      </c>
      <c r="D7" s="6" t="s">
        <v>2966</v>
      </c>
      <c r="E7" s="6" t="s">
        <v>2967</v>
      </c>
      <c r="F7" s="6" t="s">
        <v>287</v>
      </c>
      <c r="G7" s="6" t="s">
        <v>583</v>
      </c>
      <c r="H7" s="6" t="s">
        <v>2959</v>
      </c>
      <c r="I7" s="6" t="s">
        <v>2960</v>
      </c>
      <c r="J7" s="6" t="s">
        <v>2968</v>
      </c>
      <c r="K7" s="6" t="s">
        <v>2962</v>
      </c>
    </row>
    <row r="8" customFormat="false" ht="46.25" hidden="false" customHeight="false" outlineLevel="0" collapsed="false">
      <c r="A8" s="121" t="s">
        <v>2373</v>
      </c>
      <c r="B8" s="121" t="s">
        <v>2383</v>
      </c>
      <c r="C8" s="121" t="s">
        <v>2957</v>
      </c>
      <c r="D8" s="121" t="s">
        <v>535</v>
      </c>
      <c r="E8" s="121" t="s">
        <v>2969</v>
      </c>
      <c r="F8" s="121" t="s">
        <v>287</v>
      </c>
      <c r="G8" s="121" t="s">
        <v>525</v>
      </c>
      <c r="H8" s="121" t="s">
        <v>2959</v>
      </c>
      <c r="I8" s="121" t="s">
        <v>2960</v>
      </c>
      <c r="J8" s="121" t="s">
        <v>2970</v>
      </c>
      <c r="K8" s="121" t="s">
        <v>2962</v>
      </c>
    </row>
    <row r="9" customFormat="false" ht="46.25" hidden="false" customHeight="false" outlineLevel="0" collapsed="false">
      <c r="A9" s="6" t="s">
        <v>2373</v>
      </c>
      <c r="B9" s="6" t="s">
        <v>2383</v>
      </c>
      <c r="C9" s="6" t="s">
        <v>2957</v>
      </c>
      <c r="D9" s="6" t="s">
        <v>2971</v>
      </c>
      <c r="E9" s="6" t="s">
        <v>2972</v>
      </c>
      <c r="F9" s="6" t="s">
        <v>287</v>
      </c>
      <c r="G9" s="6" t="s">
        <v>623</v>
      </c>
      <c r="H9" s="6" t="s">
        <v>2959</v>
      </c>
      <c r="I9" s="6" t="s">
        <v>1525</v>
      </c>
      <c r="J9" s="6" t="s">
        <v>2973</v>
      </c>
      <c r="K9" s="6" t="s">
        <v>2962</v>
      </c>
    </row>
    <row r="10" customFormat="false" ht="46.25" hidden="false" customHeight="false" outlineLevel="0" collapsed="false">
      <c r="A10" s="121" t="s">
        <v>2373</v>
      </c>
      <c r="B10" s="121" t="s">
        <v>2383</v>
      </c>
      <c r="C10" s="121" t="s">
        <v>2957</v>
      </c>
      <c r="D10" s="121" t="s">
        <v>554</v>
      </c>
      <c r="E10" s="121" t="s">
        <v>2974</v>
      </c>
      <c r="F10" s="121" t="s">
        <v>287</v>
      </c>
      <c r="G10" s="121" t="s">
        <v>543</v>
      </c>
      <c r="H10" s="121" t="s">
        <v>2959</v>
      </c>
      <c r="I10" s="121" t="s">
        <v>2960</v>
      </c>
      <c r="J10" s="121" t="s">
        <v>2975</v>
      </c>
      <c r="K10" s="121" t="s">
        <v>2962</v>
      </c>
    </row>
    <row r="11" customFormat="false" ht="46.25" hidden="false" customHeight="false" outlineLevel="0" collapsed="false">
      <c r="A11" s="6" t="s">
        <v>2373</v>
      </c>
      <c r="B11" s="6" t="s">
        <v>2383</v>
      </c>
      <c r="C11" s="6" t="s">
        <v>2957</v>
      </c>
      <c r="D11" s="6" t="s">
        <v>575</v>
      </c>
      <c r="E11" s="6" t="s">
        <v>2976</v>
      </c>
      <c r="F11" s="6" t="s">
        <v>287</v>
      </c>
      <c r="G11" s="6" t="s">
        <v>563</v>
      </c>
      <c r="H11" s="6" t="s">
        <v>2959</v>
      </c>
      <c r="I11" s="6" t="s">
        <v>2960</v>
      </c>
      <c r="J11" s="6" t="s">
        <v>2977</v>
      </c>
      <c r="K11" s="6" t="s">
        <v>2962</v>
      </c>
    </row>
    <row r="12" customFormat="false" ht="46.25" hidden="false" customHeight="false" outlineLevel="0" collapsed="false">
      <c r="A12" s="121" t="s">
        <v>2373</v>
      </c>
      <c r="B12" s="121" t="s">
        <v>2383</v>
      </c>
      <c r="C12" s="121" t="s">
        <v>2957</v>
      </c>
      <c r="D12" s="121" t="s">
        <v>2978</v>
      </c>
      <c r="E12" s="121" t="s">
        <v>2979</v>
      </c>
      <c r="F12" s="121" t="s">
        <v>287</v>
      </c>
      <c r="G12" s="121" t="s">
        <v>623</v>
      </c>
      <c r="H12" s="121" t="s">
        <v>2959</v>
      </c>
      <c r="I12" s="121" t="s">
        <v>1525</v>
      </c>
      <c r="J12" s="121" t="s">
        <v>2980</v>
      </c>
      <c r="K12" s="121" t="s">
        <v>2962</v>
      </c>
    </row>
    <row r="13" customFormat="false" ht="46.25" hidden="false" customHeight="false" outlineLevel="0" collapsed="false">
      <c r="A13" s="6" t="s">
        <v>2373</v>
      </c>
      <c r="B13" s="6" t="s">
        <v>2383</v>
      </c>
      <c r="C13" s="6" t="s">
        <v>2957</v>
      </c>
      <c r="D13" s="6" t="s">
        <v>615</v>
      </c>
      <c r="E13" s="6" t="s">
        <v>2981</v>
      </c>
      <c r="F13" s="6" t="s">
        <v>287</v>
      </c>
      <c r="G13" s="6" t="s">
        <v>603</v>
      </c>
      <c r="H13" s="6" t="s">
        <v>2959</v>
      </c>
      <c r="I13" s="6" t="s">
        <v>2960</v>
      </c>
      <c r="J13" s="6" t="s">
        <v>2982</v>
      </c>
      <c r="K13" s="6" t="s">
        <v>2962</v>
      </c>
    </row>
    <row r="14" customFormat="false" ht="46.25" hidden="false" customHeight="false" outlineLevel="0" collapsed="false">
      <c r="A14" s="121" t="s">
        <v>2373</v>
      </c>
      <c r="B14" s="121" t="s">
        <v>2383</v>
      </c>
      <c r="C14" s="121" t="s">
        <v>2957</v>
      </c>
      <c r="D14" s="121" t="s">
        <v>676</v>
      </c>
      <c r="E14" s="121" t="s">
        <v>2983</v>
      </c>
      <c r="F14" s="121" t="s">
        <v>287</v>
      </c>
      <c r="G14" s="121" t="s">
        <v>664</v>
      </c>
      <c r="H14" s="121" t="s">
        <v>2959</v>
      </c>
      <c r="I14" s="121" t="s">
        <v>2960</v>
      </c>
      <c r="J14" s="121" t="s">
        <v>2984</v>
      </c>
      <c r="K14" s="121" t="s">
        <v>2962</v>
      </c>
    </row>
    <row r="15" customFormat="false" ht="46.25" hidden="false" customHeight="false" outlineLevel="0" collapsed="false">
      <c r="A15" s="6" t="s">
        <v>2373</v>
      </c>
      <c r="B15" s="6" t="s">
        <v>2383</v>
      </c>
      <c r="C15" s="6" t="s">
        <v>2957</v>
      </c>
      <c r="D15" s="6" t="s">
        <v>780</v>
      </c>
      <c r="E15" s="6" t="s">
        <v>2985</v>
      </c>
      <c r="F15" s="6" t="s">
        <v>287</v>
      </c>
      <c r="G15" s="6" t="s">
        <v>769</v>
      </c>
      <c r="H15" s="6" t="s">
        <v>2959</v>
      </c>
      <c r="I15" s="6" t="s">
        <v>2960</v>
      </c>
      <c r="J15" s="6" t="s">
        <v>2986</v>
      </c>
      <c r="K15" s="6" t="s">
        <v>2962</v>
      </c>
    </row>
    <row r="16" customFormat="false" ht="46.25" hidden="false" customHeight="false" outlineLevel="0" collapsed="false">
      <c r="A16" s="121" t="s">
        <v>2373</v>
      </c>
      <c r="B16" s="121" t="s">
        <v>2383</v>
      </c>
      <c r="C16" s="121" t="s">
        <v>2957</v>
      </c>
      <c r="D16" s="121" t="s">
        <v>283</v>
      </c>
      <c r="E16" s="121" t="s">
        <v>2987</v>
      </c>
      <c r="F16" s="121" t="s">
        <v>287</v>
      </c>
      <c r="G16" s="121" t="s">
        <v>2988</v>
      </c>
      <c r="H16" s="121" t="s">
        <v>2959</v>
      </c>
      <c r="I16" s="121" t="s">
        <v>1525</v>
      </c>
      <c r="J16" s="121" t="s">
        <v>2989</v>
      </c>
      <c r="K16" s="121" t="s">
        <v>2962</v>
      </c>
    </row>
    <row r="17" customFormat="false" ht="46.25" hidden="false" customHeight="false" outlineLevel="0" collapsed="false">
      <c r="A17" s="6" t="s">
        <v>2373</v>
      </c>
      <c r="B17" s="6" t="s">
        <v>2383</v>
      </c>
      <c r="C17" s="6" t="s">
        <v>2957</v>
      </c>
      <c r="D17" s="6" t="s">
        <v>655</v>
      </c>
      <c r="E17" s="6" t="s">
        <v>2990</v>
      </c>
      <c r="F17" s="6" t="s">
        <v>287</v>
      </c>
      <c r="G17" s="6" t="s">
        <v>2991</v>
      </c>
      <c r="H17" s="6" t="s">
        <v>2959</v>
      </c>
      <c r="I17" s="6" t="s">
        <v>2992</v>
      </c>
      <c r="J17" s="6" t="s">
        <v>2993</v>
      </c>
      <c r="K17" s="6" t="s">
        <v>2962</v>
      </c>
    </row>
    <row r="18" customFormat="false" ht="46.25" hidden="false" customHeight="false" outlineLevel="0" collapsed="false">
      <c r="A18" s="121" t="s">
        <v>2373</v>
      </c>
      <c r="B18" s="121" t="s">
        <v>2383</v>
      </c>
      <c r="C18" s="121" t="s">
        <v>2957</v>
      </c>
      <c r="D18" s="121" t="s">
        <v>818</v>
      </c>
      <c r="E18" s="121" t="s">
        <v>2994</v>
      </c>
      <c r="F18" s="121" t="s">
        <v>287</v>
      </c>
      <c r="G18" s="121" t="s">
        <v>807</v>
      </c>
      <c r="H18" s="121" t="s">
        <v>2959</v>
      </c>
      <c r="I18" s="121" t="s">
        <v>2960</v>
      </c>
      <c r="J18" s="121" t="s">
        <v>2995</v>
      </c>
      <c r="K18" s="121" t="s">
        <v>2962</v>
      </c>
    </row>
    <row r="19" customFormat="false" ht="46.25" hidden="false" customHeight="false" outlineLevel="0" collapsed="false">
      <c r="A19" s="6" t="s">
        <v>2373</v>
      </c>
      <c r="B19" s="6" t="s">
        <v>2383</v>
      </c>
      <c r="C19" s="6" t="s">
        <v>2957</v>
      </c>
      <c r="D19" s="6" t="s">
        <v>387</v>
      </c>
      <c r="E19" s="6" t="s">
        <v>2996</v>
      </c>
      <c r="F19" s="6" t="s">
        <v>287</v>
      </c>
      <c r="G19" s="6" t="s">
        <v>375</v>
      </c>
      <c r="H19" s="6" t="s">
        <v>2959</v>
      </c>
      <c r="I19" s="6" t="s">
        <v>1525</v>
      </c>
      <c r="J19" s="6" t="s">
        <v>2997</v>
      </c>
      <c r="K19" s="6" t="s">
        <v>2962</v>
      </c>
    </row>
    <row r="20" customFormat="false" ht="46.25" hidden="false" customHeight="false" outlineLevel="0" collapsed="false">
      <c r="A20" s="121" t="s">
        <v>2373</v>
      </c>
      <c r="B20" s="121" t="s">
        <v>2383</v>
      </c>
      <c r="C20" s="121" t="s">
        <v>2957</v>
      </c>
      <c r="D20" s="121" t="s">
        <v>2998</v>
      </c>
      <c r="E20" s="121" t="s">
        <v>2999</v>
      </c>
      <c r="F20" s="121" t="s">
        <v>287</v>
      </c>
      <c r="G20" s="121" t="s">
        <v>419</v>
      </c>
      <c r="H20" s="121" t="s">
        <v>2959</v>
      </c>
      <c r="I20" s="121" t="s">
        <v>1525</v>
      </c>
      <c r="J20" s="121" t="s">
        <v>3000</v>
      </c>
      <c r="K20" s="121" t="s">
        <v>2962</v>
      </c>
    </row>
    <row r="21" customFormat="false" ht="46.25" hidden="false" customHeight="false" outlineLevel="0" collapsed="false">
      <c r="A21" s="6" t="s">
        <v>2373</v>
      </c>
      <c r="B21" s="6" t="s">
        <v>2383</v>
      </c>
      <c r="C21" s="6" t="s">
        <v>2957</v>
      </c>
      <c r="D21" s="6" t="s">
        <v>3001</v>
      </c>
      <c r="E21" s="6" t="s">
        <v>3002</v>
      </c>
      <c r="F21" s="6" t="s">
        <v>287</v>
      </c>
      <c r="G21" s="6" t="s">
        <v>419</v>
      </c>
      <c r="H21" s="6" t="s">
        <v>2959</v>
      </c>
      <c r="I21" s="6" t="s">
        <v>1525</v>
      </c>
      <c r="J21" s="6" t="s">
        <v>3003</v>
      </c>
      <c r="K21" s="6" t="s">
        <v>2962</v>
      </c>
    </row>
    <row r="22" customFormat="false" ht="46.25" hidden="false" customHeight="false" outlineLevel="0" collapsed="false">
      <c r="A22" s="121" t="s">
        <v>2373</v>
      </c>
      <c r="B22" s="121" t="s">
        <v>2383</v>
      </c>
      <c r="C22" s="121" t="s">
        <v>2957</v>
      </c>
      <c r="D22" s="121" t="s">
        <v>365</v>
      </c>
      <c r="E22" s="121" t="s">
        <v>3004</v>
      </c>
      <c r="F22" s="121" t="s">
        <v>287</v>
      </c>
      <c r="G22" s="121" t="s">
        <v>351</v>
      </c>
      <c r="H22" s="121" t="s">
        <v>2959</v>
      </c>
      <c r="I22" s="121" t="s">
        <v>2960</v>
      </c>
      <c r="J22" s="121" t="s">
        <v>3005</v>
      </c>
      <c r="K22" s="121" t="s">
        <v>2962</v>
      </c>
    </row>
    <row r="23" customFormat="false" ht="46.25" hidden="false" customHeight="false" outlineLevel="0" collapsed="false">
      <c r="A23" s="6" t="s">
        <v>2373</v>
      </c>
      <c r="B23" s="6" t="s">
        <v>2383</v>
      </c>
      <c r="C23" s="6" t="s">
        <v>2957</v>
      </c>
      <c r="D23" s="6" t="s">
        <v>410</v>
      </c>
      <c r="E23" s="6" t="s">
        <v>3006</v>
      </c>
      <c r="F23" s="6" t="s">
        <v>287</v>
      </c>
      <c r="G23" s="6" t="s">
        <v>396</v>
      </c>
      <c r="H23" s="6" t="s">
        <v>2959</v>
      </c>
      <c r="I23" s="6" t="s">
        <v>1525</v>
      </c>
      <c r="J23" s="6" t="s">
        <v>3007</v>
      </c>
      <c r="K23" s="6" t="s">
        <v>2962</v>
      </c>
    </row>
    <row r="24" customFormat="false" ht="46.25" hidden="false" customHeight="false" outlineLevel="0" collapsed="false">
      <c r="A24" s="121" t="s">
        <v>2373</v>
      </c>
      <c r="B24" s="121" t="s">
        <v>2383</v>
      </c>
      <c r="C24" s="121" t="s">
        <v>2957</v>
      </c>
      <c r="D24" s="121" t="s">
        <v>760</v>
      </c>
      <c r="E24" s="121" t="s">
        <v>749</v>
      </c>
      <c r="F24" s="121" t="s">
        <v>287</v>
      </c>
      <c r="G24" s="121" t="s">
        <v>748</v>
      </c>
      <c r="H24" s="121" t="s">
        <v>2959</v>
      </c>
      <c r="I24" s="121" t="s">
        <v>2960</v>
      </c>
      <c r="J24" s="121" t="s">
        <v>3008</v>
      </c>
      <c r="K24" s="121" t="s">
        <v>2962</v>
      </c>
    </row>
    <row r="25" customFormat="false" ht="46.25" hidden="false" customHeight="false" outlineLevel="0" collapsed="false">
      <c r="A25" s="6" t="s">
        <v>2373</v>
      </c>
      <c r="B25" s="6" t="s">
        <v>2383</v>
      </c>
      <c r="C25" s="6" t="s">
        <v>2957</v>
      </c>
      <c r="D25" s="6" t="s">
        <v>3009</v>
      </c>
      <c r="E25" s="6" t="s">
        <v>3010</v>
      </c>
      <c r="F25" s="6" t="s">
        <v>287</v>
      </c>
      <c r="G25" s="6" t="s">
        <v>3011</v>
      </c>
      <c r="H25" s="6" t="s">
        <v>2959</v>
      </c>
      <c r="I25" s="6" t="s">
        <v>2960</v>
      </c>
      <c r="J25" s="6" t="s">
        <v>3012</v>
      </c>
      <c r="K25" s="6" t="s">
        <v>2962</v>
      </c>
    </row>
    <row r="26" customFormat="false" ht="46.25" hidden="false" customHeight="false" outlineLevel="0" collapsed="false">
      <c r="A26" s="121" t="s">
        <v>2373</v>
      </c>
      <c r="B26" s="121" t="s">
        <v>2383</v>
      </c>
      <c r="C26" s="121" t="s">
        <v>2957</v>
      </c>
      <c r="D26" s="121" t="s">
        <v>698</v>
      </c>
      <c r="E26" s="121" t="s">
        <v>3013</v>
      </c>
      <c r="F26" s="121" t="s">
        <v>287</v>
      </c>
      <c r="G26" s="121" t="s">
        <v>685</v>
      </c>
      <c r="H26" s="121" t="s">
        <v>2959</v>
      </c>
      <c r="I26" s="121" t="s">
        <v>2960</v>
      </c>
      <c r="J26" s="121" t="s">
        <v>3014</v>
      </c>
      <c r="K26" s="121" t="s">
        <v>2962</v>
      </c>
    </row>
    <row r="27" customFormat="false" ht="46.25" hidden="false" customHeight="false" outlineLevel="0" collapsed="false">
      <c r="A27" s="6" t="s">
        <v>2373</v>
      </c>
      <c r="B27" s="6" t="s">
        <v>2383</v>
      </c>
      <c r="C27" s="6" t="s">
        <v>2957</v>
      </c>
      <c r="D27" s="6" t="s">
        <v>718</v>
      </c>
      <c r="E27" s="6" t="s">
        <v>706</v>
      </c>
      <c r="F27" s="6" t="s">
        <v>287</v>
      </c>
      <c r="G27" s="6" t="s">
        <v>705</v>
      </c>
      <c r="H27" s="6" t="s">
        <v>2959</v>
      </c>
      <c r="I27" s="6" t="s">
        <v>2960</v>
      </c>
      <c r="J27" s="6" t="s">
        <v>3015</v>
      </c>
      <c r="K27" s="6" t="s">
        <v>2962</v>
      </c>
    </row>
    <row r="28" customFormat="false" ht="46.25" hidden="false" customHeight="false" outlineLevel="0" collapsed="false">
      <c r="A28" s="121" t="s">
        <v>2373</v>
      </c>
      <c r="B28" s="121" t="s">
        <v>2383</v>
      </c>
      <c r="C28" s="121" t="s">
        <v>2957</v>
      </c>
      <c r="D28" s="121" t="s">
        <v>3016</v>
      </c>
      <c r="E28" s="121" t="s">
        <v>3017</v>
      </c>
      <c r="F28" s="121" t="s">
        <v>287</v>
      </c>
      <c r="G28" s="121" t="s">
        <v>726</v>
      </c>
      <c r="H28" s="121" t="s">
        <v>2959</v>
      </c>
      <c r="I28" s="121" t="s">
        <v>2960</v>
      </c>
      <c r="J28" s="121" t="s">
        <v>3018</v>
      </c>
      <c r="K28" s="121" t="s">
        <v>2962</v>
      </c>
    </row>
    <row r="29" customFormat="false" ht="46.25" hidden="false" customHeight="false" outlineLevel="0" collapsed="false">
      <c r="A29" s="6" t="s">
        <v>2373</v>
      </c>
      <c r="B29" s="6" t="s">
        <v>2384</v>
      </c>
      <c r="C29" s="6" t="s">
        <v>3019</v>
      </c>
      <c r="D29" s="6" t="s">
        <v>3020</v>
      </c>
      <c r="E29" s="6" t="s">
        <v>3021</v>
      </c>
      <c r="F29" s="6" t="s">
        <v>3022</v>
      </c>
      <c r="G29" s="6" t="s">
        <v>3023</v>
      </c>
      <c r="H29" s="6" t="s">
        <v>3024</v>
      </c>
      <c r="I29" s="6"/>
      <c r="J29" s="6" t="s">
        <v>3025</v>
      </c>
      <c r="K29" s="6" t="s">
        <v>2962</v>
      </c>
    </row>
    <row r="30" customFormat="false" ht="46.25" hidden="false" customHeight="false" outlineLevel="0" collapsed="false">
      <c r="A30" s="121" t="s">
        <v>2373</v>
      </c>
      <c r="B30" s="121" t="s">
        <v>2384</v>
      </c>
      <c r="C30" s="121" t="s">
        <v>3019</v>
      </c>
      <c r="D30" s="121" t="s">
        <v>3026</v>
      </c>
      <c r="E30" s="121" t="s">
        <v>3027</v>
      </c>
      <c r="F30" s="121" t="s">
        <v>3028</v>
      </c>
      <c r="G30" s="121" t="s">
        <v>1755</v>
      </c>
      <c r="H30" s="121" t="s">
        <v>3024</v>
      </c>
      <c r="I30" s="121"/>
      <c r="J30" s="121" t="s">
        <v>3029</v>
      </c>
      <c r="K30" s="121" t="s">
        <v>2962</v>
      </c>
    </row>
    <row r="31" customFormat="false" ht="46.25" hidden="false" customHeight="false" outlineLevel="0" collapsed="false">
      <c r="A31" s="6" t="s">
        <v>2373</v>
      </c>
      <c r="B31" s="6" t="s">
        <v>2384</v>
      </c>
      <c r="C31" s="6" t="s">
        <v>3019</v>
      </c>
      <c r="D31" s="6" t="s">
        <v>3030</v>
      </c>
      <c r="E31" s="6" t="s">
        <v>3031</v>
      </c>
      <c r="F31" s="6" t="s">
        <v>944</v>
      </c>
      <c r="G31" s="6" t="s">
        <v>484</v>
      </c>
      <c r="H31" s="6" t="s">
        <v>3024</v>
      </c>
      <c r="I31" s="6"/>
      <c r="J31" s="6" t="s">
        <v>3032</v>
      </c>
      <c r="K31" s="6" t="s">
        <v>2962</v>
      </c>
    </row>
    <row r="32" customFormat="false" ht="46.25" hidden="false" customHeight="false" outlineLevel="0" collapsed="false">
      <c r="A32" s="121" t="s">
        <v>2373</v>
      </c>
      <c r="B32" s="121" t="s">
        <v>2384</v>
      </c>
      <c r="C32" s="121" t="s">
        <v>3019</v>
      </c>
      <c r="D32" s="121" t="s">
        <v>3033</v>
      </c>
      <c r="E32" s="121" t="s">
        <v>3034</v>
      </c>
      <c r="F32" s="121" t="s">
        <v>3035</v>
      </c>
      <c r="G32" s="121" t="s">
        <v>3036</v>
      </c>
      <c r="H32" s="121" t="s">
        <v>3024</v>
      </c>
      <c r="I32" s="121"/>
      <c r="J32" s="121" t="s">
        <v>3037</v>
      </c>
      <c r="K32" s="121" t="s">
        <v>2962</v>
      </c>
    </row>
    <row r="33" customFormat="false" ht="46.25" hidden="false" customHeight="false" outlineLevel="0" collapsed="false">
      <c r="A33" s="6" t="s">
        <v>2373</v>
      </c>
      <c r="B33" s="6" t="s">
        <v>2384</v>
      </c>
      <c r="C33" s="6" t="s">
        <v>3019</v>
      </c>
      <c r="D33" s="6" t="s">
        <v>3038</v>
      </c>
      <c r="E33" s="6" t="s">
        <v>3039</v>
      </c>
      <c r="F33" s="6" t="s">
        <v>2234</v>
      </c>
      <c r="G33" s="6" t="s">
        <v>2242</v>
      </c>
      <c r="H33" s="6" t="s">
        <v>3024</v>
      </c>
      <c r="I33" s="6"/>
      <c r="J33" s="6" t="s">
        <v>3040</v>
      </c>
      <c r="K33" s="6" t="s">
        <v>2962</v>
      </c>
    </row>
    <row r="34" customFormat="false" ht="46.25" hidden="false" customHeight="false" outlineLevel="0" collapsed="false">
      <c r="A34" s="121" t="s">
        <v>2373</v>
      </c>
      <c r="B34" s="121" t="s">
        <v>2384</v>
      </c>
      <c r="C34" s="121" t="s">
        <v>3019</v>
      </c>
      <c r="D34" s="121" t="s">
        <v>3041</v>
      </c>
      <c r="E34" s="121" t="s">
        <v>3042</v>
      </c>
      <c r="F34" s="121" t="s">
        <v>3043</v>
      </c>
      <c r="G34" s="121" t="s">
        <v>3044</v>
      </c>
      <c r="H34" s="121" t="s">
        <v>3024</v>
      </c>
      <c r="I34" s="121"/>
      <c r="J34" s="121" t="s">
        <v>3045</v>
      </c>
      <c r="K34" s="121" t="s">
        <v>2962</v>
      </c>
    </row>
    <row r="35" customFormat="false" ht="46.25" hidden="false" customHeight="false" outlineLevel="0" collapsed="false">
      <c r="A35" s="6" t="s">
        <v>2373</v>
      </c>
      <c r="B35" s="6" t="s">
        <v>2384</v>
      </c>
      <c r="C35" s="6" t="s">
        <v>3019</v>
      </c>
      <c r="D35" s="6" t="s">
        <v>3046</v>
      </c>
      <c r="E35" s="6" t="s">
        <v>3047</v>
      </c>
      <c r="F35" s="6" t="s">
        <v>1904</v>
      </c>
      <c r="G35" s="6" t="s">
        <v>375</v>
      </c>
      <c r="H35" s="6" t="s">
        <v>3024</v>
      </c>
      <c r="I35" s="6"/>
      <c r="J35" s="6" t="s">
        <v>3048</v>
      </c>
      <c r="K35" s="6" t="s">
        <v>2962</v>
      </c>
    </row>
    <row r="36" customFormat="false" ht="46.25" hidden="false" customHeight="false" outlineLevel="0" collapsed="false">
      <c r="A36" s="121" t="s">
        <v>2373</v>
      </c>
      <c r="B36" s="121" t="s">
        <v>2384</v>
      </c>
      <c r="C36" s="121" t="s">
        <v>3019</v>
      </c>
      <c r="D36" s="121" t="s">
        <v>3049</v>
      </c>
      <c r="E36" s="121" t="s">
        <v>3050</v>
      </c>
      <c r="F36" s="121" t="s">
        <v>568</v>
      </c>
      <c r="G36" s="121" t="s">
        <v>3051</v>
      </c>
      <c r="H36" s="121" t="s">
        <v>3024</v>
      </c>
      <c r="I36" s="121"/>
      <c r="J36" s="121" t="s">
        <v>3052</v>
      </c>
      <c r="K36" s="121" t="s">
        <v>2962</v>
      </c>
    </row>
    <row r="37" customFormat="false" ht="46.25" hidden="false" customHeight="false" outlineLevel="0" collapsed="false">
      <c r="A37" s="6" t="s">
        <v>2373</v>
      </c>
      <c r="B37" s="6" t="s">
        <v>2384</v>
      </c>
      <c r="C37" s="6" t="s">
        <v>3019</v>
      </c>
      <c r="D37" s="6" t="s">
        <v>3053</v>
      </c>
      <c r="E37" s="6" t="s">
        <v>3054</v>
      </c>
      <c r="F37" s="6" t="s">
        <v>1919</v>
      </c>
      <c r="G37" s="6" t="s">
        <v>1925</v>
      </c>
      <c r="H37" s="6" t="s">
        <v>3024</v>
      </c>
      <c r="I37" s="6"/>
      <c r="J37" s="6" t="s">
        <v>3055</v>
      </c>
      <c r="K37" s="6" t="s">
        <v>2962</v>
      </c>
    </row>
    <row r="38" customFormat="false" ht="46.25" hidden="false" customHeight="false" outlineLevel="0" collapsed="false">
      <c r="A38" s="121" t="s">
        <v>2373</v>
      </c>
      <c r="B38" s="121" t="s">
        <v>2384</v>
      </c>
      <c r="C38" s="121" t="s">
        <v>3019</v>
      </c>
      <c r="D38" s="121" t="s">
        <v>3056</v>
      </c>
      <c r="E38" s="121" t="s">
        <v>3057</v>
      </c>
      <c r="F38" s="121" t="s">
        <v>3058</v>
      </c>
      <c r="G38" s="121" t="s">
        <v>1941</v>
      </c>
      <c r="H38" s="121" t="s">
        <v>3024</v>
      </c>
      <c r="I38" s="121"/>
      <c r="J38" s="121" t="s">
        <v>3059</v>
      </c>
      <c r="K38" s="121" t="s">
        <v>2962</v>
      </c>
    </row>
    <row r="39" customFormat="false" ht="46.25" hidden="false" customHeight="false" outlineLevel="0" collapsed="false">
      <c r="A39" s="6" t="s">
        <v>2373</v>
      </c>
      <c r="B39" s="6" t="s">
        <v>2384</v>
      </c>
      <c r="C39" s="6" t="s">
        <v>3019</v>
      </c>
      <c r="D39" s="6" t="s">
        <v>3060</v>
      </c>
      <c r="E39" s="6" t="s">
        <v>3061</v>
      </c>
      <c r="F39" s="6" t="s">
        <v>3062</v>
      </c>
      <c r="G39" s="6" t="s">
        <v>3063</v>
      </c>
      <c r="H39" s="6" t="s">
        <v>3024</v>
      </c>
      <c r="I39" s="6"/>
      <c r="J39" s="6" t="s">
        <v>3064</v>
      </c>
      <c r="K39" s="6" t="s">
        <v>2962</v>
      </c>
    </row>
    <row r="40" customFormat="false" ht="46.25" hidden="false" customHeight="false" outlineLevel="0" collapsed="false">
      <c r="A40" s="121" t="s">
        <v>2373</v>
      </c>
      <c r="B40" s="121" t="s">
        <v>2384</v>
      </c>
      <c r="C40" s="121" t="s">
        <v>3019</v>
      </c>
      <c r="D40" s="121" t="s">
        <v>3065</v>
      </c>
      <c r="E40" s="121" t="s">
        <v>3066</v>
      </c>
      <c r="F40" s="121" t="s">
        <v>3067</v>
      </c>
      <c r="G40" s="121" t="s">
        <v>3068</v>
      </c>
      <c r="H40" s="121" t="s">
        <v>3024</v>
      </c>
      <c r="I40" s="121"/>
      <c r="J40" s="121" t="s">
        <v>3069</v>
      </c>
      <c r="K40" s="121" t="s">
        <v>2962</v>
      </c>
    </row>
    <row r="41" customFormat="false" ht="46.25" hidden="false" customHeight="false" outlineLevel="0" collapsed="false">
      <c r="A41" s="6" t="s">
        <v>2373</v>
      </c>
      <c r="B41" s="6" t="s">
        <v>2384</v>
      </c>
      <c r="C41" s="6" t="s">
        <v>3019</v>
      </c>
      <c r="D41" s="6" t="s">
        <v>3070</v>
      </c>
      <c r="E41" s="6" t="s">
        <v>3071</v>
      </c>
      <c r="F41" s="6" t="s">
        <v>3072</v>
      </c>
      <c r="G41" s="6" t="s">
        <v>3073</v>
      </c>
      <c r="H41" s="6" t="s">
        <v>3024</v>
      </c>
      <c r="I41" s="6"/>
      <c r="J41" s="6" t="s">
        <v>3074</v>
      </c>
      <c r="K41" s="6" t="s">
        <v>2962</v>
      </c>
    </row>
    <row r="42" customFormat="false" ht="46.25" hidden="false" customHeight="false" outlineLevel="0" collapsed="false">
      <c r="A42" s="121" t="s">
        <v>2373</v>
      </c>
      <c r="B42" s="121" t="s">
        <v>2384</v>
      </c>
      <c r="C42" s="121" t="s">
        <v>3019</v>
      </c>
      <c r="D42" s="121" t="s">
        <v>2717</v>
      </c>
      <c r="E42" s="121" t="s">
        <v>3075</v>
      </c>
      <c r="F42" s="121" t="s">
        <v>3076</v>
      </c>
      <c r="G42" s="121" t="s">
        <v>3077</v>
      </c>
      <c r="H42" s="121" t="s">
        <v>3024</v>
      </c>
      <c r="I42" s="121"/>
      <c r="J42" s="121" t="s">
        <v>3078</v>
      </c>
      <c r="K42" s="121" t="s">
        <v>2962</v>
      </c>
    </row>
    <row r="43" customFormat="false" ht="46.25" hidden="false" customHeight="false" outlineLevel="0" collapsed="false">
      <c r="A43" s="6" t="s">
        <v>2373</v>
      </c>
      <c r="B43" s="6" t="s">
        <v>2384</v>
      </c>
      <c r="C43" s="6" t="s">
        <v>3019</v>
      </c>
      <c r="D43" s="6" t="s">
        <v>3079</v>
      </c>
      <c r="E43" s="6" t="s">
        <v>3080</v>
      </c>
      <c r="F43" s="6" t="s">
        <v>3081</v>
      </c>
      <c r="G43" s="6" t="s">
        <v>3082</v>
      </c>
      <c r="H43" s="6" t="s">
        <v>3024</v>
      </c>
      <c r="I43" s="6"/>
      <c r="J43" s="6" t="s">
        <v>3083</v>
      </c>
      <c r="K43" s="6" t="s">
        <v>2962</v>
      </c>
    </row>
    <row r="44" customFormat="false" ht="46.25" hidden="false" customHeight="false" outlineLevel="0" collapsed="false">
      <c r="A44" s="121" t="s">
        <v>2373</v>
      </c>
      <c r="B44" s="121" t="s">
        <v>2384</v>
      </c>
      <c r="C44" s="121" t="s">
        <v>3019</v>
      </c>
      <c r="D44" s="121" t="s">
        <v>3084</v>
      </c>
      <c r="E44" s="121" t="s">
        <v>3085</v>
      </c>
      <c r="F44" s="121" t="s">
        <v>3086</v>
      </c>
      <c r="G44" s="121" t="s">
        <v>1882</v>
      </c>
      <c r="H44" s="121" t="s">
        <v>3024</v>
      </c>
      <c r="I44" s="121"/>
      <c r="J44" s="121" t="s">
        <v>3087</v>
      </c>
      <c r="K44" s="121" t="s">
        <v>2962</v>
      </c>
    </row>
    <row r="45" customFormat="false" ht="46.25" hidden="false" customHeight="false" outlineLevel="0" collapsed="false">
      <c r="A45" s="6" t="s">
        <v>2373</v>
      </c>
      <c r="B45" s="6" t="s">
        <v>2384</v>
      </c>
      <c r="C45" s="6" t="s">
        <v>3019</v>
      </c>
      <c r="D45" s="6" t="s">
        <v>3088</v>
      </c>
      <c r="E45" s="6" t="s">
        <v>3089</v>
      </c>
      <c r="F45" s="6" t="s">
        <v>3090</v>
      </c>
      <c r="G45" s="6" t="s">
        <v>3091</v>
      </c>
      <c r="H45" s="6" t="s">
        <v>3024</v>
      </c>
      <c r="I45" s="6"/>
      <c r="J45" s="6" t="s">
        <v>3092</v>
      </c>
      <c r="K45" s="6" t="s">
        <v>2962</v>
      </c>
    </row>
    <row r="46" customFormat="false" ht="46.25" hidden="false" customHeight="false" outlineLevel="0" collapsed="false">
      <c r="A46" s="121" t="s">
        <v>2373</v>
      </c>
      <c r="B46" s="121" t="s">
        <v>2384</v>
      </c>
      <c r="C46" s="121" t="s">
        <v>3019</v>
      </c>
      <c r="D46" s="121" t="s">
        <v>3093</v>
      </c>
      <c r="E46" s="121" t="s">
        <v>3094</v>
      </c>
      <c r="F46" s="121" t="s">
        <v>1691</v>
      </c>
      <c r="G46" s="121" t="s">
        <v>1306</v>
      </c>
      <c r="H46" s="121" t="s">
        <v>3024</v>
      </c>
      <c r="I46" s="121"/>
      <c r="J46" s="121" t="s">
        <v>3059</v>
      </c>
      <c r="K46" s="121" t="s">
        <v>2962</v>
      </c>
    </row>
    <row r="47" customFormat="false" ht="46.25" hidden="false" customHeight="false" outlineLevel="0" collapsed="false">
      <c r="A47" s="6" t="s">
        <v>2373</v>
      </c>
      <c r="B47" s="6" t="s">
        <v>2384</v>
      </c>
      <c r="C47" s="6" t="s">
        <v>3019</v>
      </c>
      <c r="D47" s="6" t="s">
        <v>3095</v>
      </c>
      <c r="E47" s="6" t="s">
        <v>3096</v>
      </c>
      <c r="F47" s="6" t="s">
        <v>3097</v>
      </c>
      <c r="G47" s="6" t="s">
        <v>3098</v>
      </c>
      <c r="H47" s="6" t="s">
        <v>3024</v>
      </c>
      <c r="I47" s="6"/>
      <c r="J47" s="6" t="s">
        <v>3099</v>
      </c>
      <c r="K47" s="6" t="s">
        <v>2962</v>
      </c>
    </row>
    <row r="48" customFormat="false" ht="46.25" hidden="false" customHeight="false" outlineLevel="0" collapsed="false">
      <c r="A48" s="121" t="s">
        <v>2373</v>
      </c>
      <c r="B48" s="121" t="s">
        <v>2384</v>
      </c>
      <c r="C48" s="121" t="s">
        <v>3019</v>
      </c>
      <c r="D48" s="121" t="s">
        <v>3100</v>
      </c>
      <c r="E48" s="121" t="s">
        <v>3101</v>
      </c>
      <c r="F48" s="121" t="s">
        <v>3102</v>
      </c>
      <c r="G48" s="121" t="s">
        <v>3103</v>
      </c>
      <c r="H48" s="121" t="s">
        <v>3024</v>
      </c>
      <c r="I48" s="121"/>
      <c r="J48" s="121" t="s">
        <v>3099</v>
      </c>
      <c r="K48" s="121" t="s">
        <v>2962</v>
      </c>
    </row>
    <row r="49" customFormat="false" ht="46.25" hidden="false" customHeight="false" outlineLevel="0" collapsed="false">
      <c r="A49" s="6" t="s">
        <v>2373</v>
      </c>
      <c r="B49" s="6" t="s">
        <v>2384</v>
      </c>
      <c r="C49" s="6" t="s">
        <v>3019</v>
      </c>
      <c r="D49" s="6" t="s">
        <v>3104</v>
      </c>
      <c r="E49" s="6" t="s">
        <v>3105</v>
      </c>
      <c r="F49" s="6" t="s">
        <v>731</v>
      </c>
      <c r="G49" s="6" t="s">
        <v>2001</v>
      </c>
      <c r="H49" s="6" t="s">
        <v>3024</v>
      </c>
      <c r="I49" s="6"/>
      <c r="J49" s="6" t="s">
        <v>3099</v>
      </c>
      <c r="K49" s="6" t="s">
        <v>2962</v>
      </c>
    </row>
    <row r="50" customFormat="false" ht="46.25" hidden="false" customHeight="false" outlineLevel="0" collapsed="false">
      <c r="A50" s="121" t="s">
        <v>2373</v>
      </c>
      <c r="B50" s="121" t="s">
        <v>2384</v>
      </c>
      <c r="C50" s="121" t="s">
        <v>3019</v>
      </c>
      <c r="D50" s="121" t="s">
        <v>2851</v>
      </c>
      <c r="E50" s="121" t="s">
        <v>3106</v>
      </c>
      <c r="F50" s="121" t="s">
        <v>3107</v>
      </c>
      <c r="G50" s="121" t="s">
        <v>2048</v>
      </c>
      <c r="H50" s="121" t="s">
        <v>3024</v>
      </c>
      <c r="I50" s="121"/>
      <c r="J50" s="121" t="s">
        <v>3099</v>
      </c>
      <c r="K50" s="121" t="s">
        <v>2962</v>
      </c>
    </row>
    <row r="51" customFormat="false" ht="46.25" hidden="false" customHeight="false" outlineLevel="0" collapsed="false">
      <c r="A51" s="6" t="s">
        <v>2373</v>
      </c>
      <c r="B51" s="6" t="s">
        <v>2384</v>
      </c>
      <c r="C51" s="6" t="s">
        <v>3019</v>
      </c>
      <c r="D51" s="6" t="s">
        <v>3108</v>
      </c>
      <c r="E51" s="6" t="s">
        <v>3109</v>
      </c>
      <c r="F51" s="6" t="s">
        <v>3110</v>
      </c>
      <c r="G51" s="6" t="s">
        <v>3111</v>
      </c>
      <c r="H51" s="6" t="s">
        <v>3024</v>
      </c>
      <c r="I51" s="6"/>
      <c r="J51" s="6" t="s">
        <v>3099</v>
      </c>
      <c r="K51" s="6" t="s">
        <v>2962</v>
      </c>
    </row>
    <row r="52" customFormat="false" ht="46.25" hidden="false" customHeight="false" outlineLevel="0" collapsed="false">
      <c r="A52" s="121" t="s">
        <v>2373</v>
      </c>
      <c r="B52" s="121" t="s">
        <v>2384</v>
      </c>
      <c r="C52" s="121" t="s">
        <v>3019</v>
      </c>
      <c r="D52" s="121" t="s">
        <v>3112</v>
      </c>
      <c r="E52" s="121" t="s">
        <v>3113</v>
      </c>
      <c r="F52" s="121" t="s">
        <v>3114</v>
      </c>
      <c r="G52" s="121" t="s">
        <v>2347</v>
      </c>
      <c r="H52" s="121" t="s">
        <v>3024</v>
      </c>
      <c r="I52" s="121"/>
      <c r="J52" s="121" t="s">
        <v>3115</v>
      </c>
      <c r="K52" s="121" t="s">
        <v>2962</v>
      </c>
    </row>
    <row r="53" customFormat="false" ht="46.25" hidden="false" customHeight="false" outlineLevel="0" collapsed="false">
      <c r="A53" s="6" t="s">
        <v>2373</v>
      </c>
      <c r="B53" s="6" t="s">
        <v>2384</v>
      </c>
      <c r="C53" s="6" t="s">
        <v>3019</v>
      </c>
      <c r="D53" s="6" t="s">
        <v>3116</v>
      </c>
      <c r="E53" s="6" t="s">
        <v>3117</v>
      </c>
      <c r="F53" s="6" t="s">
        <v>730</v>
      </c>
      <c r="G53" s="6" t="s">
        <v>3118</v>
      </c>
      <c r="H53" s="6" t="s">
        <v>3024</v>
      </c>
      <c r="I53" s="6"/>
      <c r="J53" s="6" t="s">
        <v>3119</v>
      </c>
      <c r="K53" s="6" t="s">
        <v>2962</v>
      </c>
    </row>
    <row r="54" customFormat="false" ht="46.25" hidden="false" customHeight="false" outlineLevel="0" collapsed="false">
      <c r="A54" s="121" t="s">
        <v>2373</v>
      </c>
      <c r="B54" s="121" t="s">
        <v>2387</v>
      </c>
      <c r="C54" s="121" t="s">
        <v>3120</v>
      </c>
      <c r="D54" s="121" t="s">
        <v>3121</v>
      </c>
      <c r="E54" s="121" t="s">
        <v>3122</v>
      </c>
      <c r="F54" s="121" t="s">
        <v>931</v>
      </c>
      <c r="G54" s="121" t="s">
        <v>1815</v>
      </c>
      <c r="H54" s="121" t="s">
        <v>3024</v>
      </c>
      <c r="I54" s="121" t="s">
        <v>2960</v>
      </c>
      <c r="J54" s="121" t="s">
        <v>3123</v>
      </c>
      <c r="K54" s="121" t="s">
        <v>3124</v>
      </c>
    </row>
    <row r="55" customFormat="false" ht="46.25" hidden="false" customHeight="false" outlineLevel="0" collapsed="false">
      <c r="A55" s="6" t="s">
        <v>2373</v>
      </c>
      <c r="B55" s="6" t="s">
        <v>2387</v>
      </c>
      <c r="C55" s="6" t="s">
        <v>3120</v>
      </c>
      <c r="D55" s="6" t="s">
        <v>3125</v>
      </c>
      <c r="E55" s="6" t="s">
        <v>3122</v>
      </c>
      <c r="F55" s="6" t="s">
        <v>931</v>
      </c>
      <c r="G55" s="6" t="s">
        <v>1815</v>
      </c>
      <c r="H55" s="6" t="s">
        <v>3024</v>
      </c>
      <c r="I55" s="6" t="s">
        <v>2960</v>
      </c>
      <c r="J55" s="6" t="s">
        <v>3126</v>
      </c>
      <c r="K55" s="6" t="s">
        <v>3124</v>
      </c>
    </row>
    <row r="56" customFormat="false" ht="46.25" hidden="false" customHeight="false" outlineLevel="0" collapsed="false">
      <c r="A56" s="121" t="s">
        <v>2373</v>
      </c>
      <c r="B56" s="121" t="s">
        <v>2387</v>
      </c>
      <c r="C56" s="121" t="s">
        <v>3120</v>
      </c>
      <c r="D56" s="121" t="s">
        <v>3127</v>
      </c>
      <c r="E56" s="121" t="s">
        <v>3122</v>
      </c>
      <c r="F56" s="121" t="s">
        <v>2321</v>
      </c>
      <c r="G56" s="121" t="s">
        <v>2329</v>
      </c>
      <c r="H56" s="121" t="s">
        <v>3024</v>
      </c>
      <c r="I56" s="121" t="s">
        <v>2960</v>
      </c>
      <c r="J56" s="121" t="s">
        <v>3128</v>
      </c>
      <c r="K56" s="121" t="s">
        <v>3124</v>
      </c>
    </row>
    <row r="57" customFormat="false" ht="46.25" hidden="false" customHeight="false" outlineLevel="0" collapsed="false">
      <c r="A57" s="6" t="s">
        <v>2373</v>
      </c>
      <c r="B57" s="6" t="s">
        <v>2387</v>
      </c>
      <c r="C57" s="6" t="s">
        <v>3120</v>
      </c>
      <c r="D57" s="6" t="s">
        <v>3129</v>
      </c>
      <c r="E57" s="6" t="s">
        <v>3122</v>
      </c>
      <c r="F57" s="6" t="s">
        <v>848</v>
      </c>
      <c r="G57" s="6" t="s">
        <v>2207</v>
      </c>
      <c r="H57" s="6" t="s">
        <v>3024</v>
      </c>
      <c r="I57" s="6" t="s">
        <v>2960</v>
      </c>
      <c r="J57" s="6" t="s">
        <v>3130</v>
      </c>
      <c r="K57" s="6" t="s">
        <v>3124</v>
      </c>
    </row>
    <row r="58" customFormat="false" ht="46.25" hidden="false" customHeight="false" outlineLevel="0" collapsed="false">
      <c r="A58" s="121" t="s">
        <v>2373</v>
      </c>
      <c r="B58" s="121" t="s">
        <v>2387</v>
      </c>
      <c r="C58" s="121" t="s">
        <v>3120</v>
      </c>
      <c r="D58" s="121" t="s">
        <v>3131</v>
      </c>
      <c r="E58" s="121" t="s">
        <v>3132</v>
      </c>
      <c r="F58" s="121" t="s">
        <v>3133</v>
      </c>
      <c r="G58" s="121" t="s">
        <v>3134</v>
      </c>
      <c r="H58" s="121" t="s">
        <v>3024</v>
      </c>
      <c r="I58" s="121" t="s">
        <v>2960</v>
      </c>
      <c r="J58" s="121" t="s">
        <v>3135</v>
      </c>
      <c r="K58" s="121" t="s">
        <v>3124</v>
      </c>
    </row>
    <row r="59" customFormat="false" ht="46.25" hidden="false" customHeight="false" outlineLevel="0" collapsed="false">
      <c r="A59" s="6" t="s">
        <v>2373</v>
      </c>
      <c r="B59" s="6" t="s">
        <v>2387</v>
      </c>
      <c r="C59" s="6" t="s">
        <v>3120</v>
      </c>
      <c r="D59" s="6" t="s">
        <v>3136</v>
      </c>
      <c r="E59" s="6" t="s">
        <v>3132</v>
      </c>
      <c r="F59" s="6" t="s">
        <v>287</v>
      </c>
      <c r="G59" s="6" t="s">
        <v>287</v>
      </c>
      <c r="H59" s="6" t="s">
        <v>3024</v>
      </c>
      <c r="I59" s="6" t="s">
        <v>3137</v>
      </c>
      <c r="J59" s="6" t="s">
        <v>3138</v>
      </c>
      <c r="K59" s="6" t="s">
        <v>3124</v>
      </c>
    </row>
    <row r="60" customFormat="false" ht="46.25" hidden="false" customHeight="false" outlineLevel="0" collapsed="false">
      <c r="A60" s="121" t="s">
        <v>2373</v>
      </c>
      <c r="B60" s="121" t="s">
        <v>2387</v>
      </c>
      <c r="C60" s="121" t="s">
        <v>3120</v>
      </c>
      <c r="D60" s="121" t="s">
        <v>3139</v>
      </c>
      <c r="E60" s="121" t="s">
        <v>3132</v>
      </c>
      <c r="F60" s="121" t="s">
        <v>3140</v>
      </c>
      <c r="G60" s="121" t="s">
        <v>3141</v>
      </c>
      <c r="H60" s="121" t="s">
        <v>3024</v>
      </c>
      <c r="I60" s="121" t="s">
        <v>1525</v>
      </c>
      <c r="J60" s="121" t="s">
        <v>3142</v>
      </c>
      <c r="K60" s="121" t="s">
        <v>3124</v>
      </c>
    </row>
    <row r="61" customFormat="false" ht="46.25" hidden="false" customHeight="false" outlineLevel="0" collapsed="false">
      <c r="A61" s="6" t="s">
        <v>2373</v>
      </c>
      <c r="B61" s="6" t="s">
        <v>2387</v>
      </c>
      <c r="C61" s="6" t="s">
        <v>3120</v>
      </c>
      <c r="D61" s="6" t="s">
        <v>3143</v>
      </c>
      <c r="E61" s="6" t="s">
        <v>3132</v>
      </c>
      <c r="F61" s="6" t="s">
        <v>2287</v>
      </c>
      <c r="G61" s="6" t="s">
        <v>2295</v>
      </c>
      <c r="H61" s="6" t="s">
        <v>3024</v>
      </c>
      <c r="I61" s="6" t="s">
        <v>2960</v>
      </c>
      <c r="J61" s="6" t="s">
        <v>3144</v>
      </c>
      <c r="K61" s="6" t="s">
        <v>3124</v>
      </c>
    </row>
    <row r="62" customFormat="false" ht="46.25" hidden="false" customHeight="false" outlineLevel="0" collapsed="false">
      <c r="A62" s="121" t="s">
        <v>2373</v>
      </c>
      <c r="B62" s="121" t="s">
        <v>2387</v>
      </c>
      <c r="C62" s="121" t="s">
        <v>3120</v>
      </c>
      <c r="D62" s="121" t="s">
        <v>2871</v>
      </c>
      <c r="E62" s="121" t="s">
        <v>3145</v>
      </c>
      <c r="F62" s="121" t="s">
        <v>3146</v>
      </c>
      <c r="G62" s="121" t="s">
        <v>3147</v>
      </c>
      <c r="H62" s="121" t="s">
        <v>3024</v>
      </c>
      <c r="I62" s="121" t="s">
        <v>2960</v>
      </c>
      <c r="J62" s="121" t="s">
        <v>3148</v>
      </c>
      <c r="K62" s="121" t="s">
        <v>3124</v>
      </c>
    </row>
    <row r="63" customFormat="false" ht="46.25" hidden="false" customHeight="false" outlineLevel="0" collapsed="false">
      <c r="A63" s="6" t="s">
        <v>2373</v>
      </c>
      <c r="B63" s="6" t="s">
        <v>2387</v>
      </c>
      <c r="C63" s="6" t="s">
        <v>3120</v>
      </c>
      <c r="D63" s="6" t="s">
        <v>3149</v>
      </c>
      <c r="E63" s="6" t="s">
        <v>3145</v>
      </c>
      <c r="F63" s="6" t="s">
        <v>3150</v>
      </c>
      <c r="G63" s="6" t="s">
        <v>3151</v>
      </c>
      <c r="H63" s="6" t="s">
        <v>3024</v>
      </c>
      <c r="I63" s="6" t="s">
        <v>2960</v>
      </c>
      <c r="J63" s="6" t="s">
        <v>3152</v>
      </c>
      <c r="K63" s="6" t="s">
        <v>3124</v>
      </c>
    </row>
    <row r="64" customFormat="false" ht="46.25" hidden="false" customHeight="false" outlineLevel="0" collapsed="false">
      <c r="A64" s="121" t="s">
        <v>2373</v>
      </c>
      <c r="B64" s="121" t="s">
        <v>2387</v>
      </c>
      <c r="C64" s="121" t="s">
        <v>3120</v>
      </c>
      <c r="D64" s="121" t="s">
        <v>3153</v>
      </c>
      <c r="E64" s="121" t="s">
        <v>3145</v>
      </c>
      <c r="F64" s="121" t="s">
        <v>287</v>
      </c>
      <c r="G64" s="121" t="s">
        <v>287</v>
      </c>
      <c r="H64" s="121" t="s">
        <v>3024</v>
      </c>
      <c r="I64" s="121" t="s">
        <v>3137</v>
      </c>
      <c r="J64" s="121" t="s">
        <v>3154</v>
      </c>
      <c r="K64" s="121" t="s">
        <v>3124</v>
      </c>
    </row>
    <row r="65" customFormat="false" ht="46.25" hidden="false" customHeight="false" outlineLevel="0" collapsed="false">
      <c r="A65" s="6" t="s">
        <v>2373</v>
      </c>
      <c r="B65" s="6" t="s">
        <v>2387</v>
      </c>
      <c r="C65" s="6" t="s">
        <v>3120</v>
      </c>
      <c r="D65" s="6" t="s">
        <v>2677</v>
      </c>
      <c r="E65" s="6" t="s">
        <v>3145</v>
      </c>
      <c r="F65" s="6" t="s">
        <v>2011</v>
      </c>
      <c r="G65" s="6" t="s">
        <v>2019</v>
      </c>
      <c r="H65" s="6" t="s">
        <v>3024</v>
      </c>
      <c r="I65" s="6" t="s">
        <v>3137</v>
      </c>
      <c r="J65" s="6" t="s">
        <v>3155</v>
      </c>
      <c r="K65" s="6" t="s">
        <v>3124</v>
      </c>
    </row>
    <row r="66" customFormat="false" ht="46.25" hidden="false" customHeight="false" outlineLevel="0" collapsed="false">
      <c r="A66" s="121" t="s">
        <v>2373</v>
      </c>
      <c r="B66" s="121" t="s">
        <v>2387</v>
      </c>
      <c r="C66" s="121" t="s">
        <v>3120</v>
      </c>
      <c r="D66" s="121" t="s">
        <v>3156</v>
      </c>
      <c r="E66" s="121" t="s">
        <v>3145</v>
      </c>
      <c r="F66" s="121" t="s">
        <v>3157</v>
      </c>
      <c r="G66" s="121" t="s">
        <v>3073</v>
      </c>
      <c r="H66" s="121" t="s">
        <v>3024</v>
      </c>
      <c r="I66" s="121" t="s">
        <v>2960</v>
      </c>
      <c r="J66" s="121" t="s">
        <v>3158</v>
      </c>
      <c r="K66" s="121" t="s">
        <v>3124</v>
      </c>
    </row>
    <row r="67" customFormat="false" ht="46.25" hidden="false" customHeight="false" outlineLevel="0" collapsed="false">
      <c r="A67" s="6" t="s">
        <v>2373</v>
      </c>
      <c r="B67" s="6" t="s">
        <v>2387</v>
      </c>
      <c r="C67" s="6" t="s">
        <v>3120</v>
      </c>
      <c r="D67" s="6" t="s">
        <v>3159</v>
      </c>
      <c r="E67" s="6" t="s">
        <v>3160</v>
      </c>
      <c r="F67" s="6" t="s">
        <v>3086</v>
      </c>
      <c r="G67" s="6" t="s">
        <v>1882</v>
      </c>
      <c r="H67" s="6" t="s">
        <v>3024</v>
      </c>
      <c r="I67" s="6" t="s">
        <v>2960</v>
      </c>
      <c r="J67" s="6" t="s">
        <v>3161</v>
      </c>
      <c r="K67" s="6" t="s">
        <v>3124</v>
      </c>
    </row>
    <row r="68" customFormat="false" ht="46.25" hidden="false" customHeight="false" outlineLevel="0" collapsed="false">
      <c r="A68" s="121" t="s">
        <v>2373</v>
      </c>
      <c r="B68" s="121" t="s">
        <v>2387</v>
      </c>
      <c r="C68" s="121" t="s">
        <v>3120</v>
      </c>
      <c r="D68" s="121" t="s">
        <v>3162</v>
      </c>
      <c r="E68" s="121" t="s">
        <v>3160</v>
      </c>
      <c r="F68" s="121" t="s">
        <v>3110</v>
      </c>
      <c r="G68" s="121" t="s">
        <v>3111</v>
      </c>
      <c r="H68" s="121" t="s">
        <v>3024</v>
      </c>
      <c r="I68" s="121" t="s">
        <v>2960</v>
      </c>
      <c r="J68" s="121" t="s">
        <v>3163</v>
      </c>
      <c r="K68" s="121" t="s">
        <v>3124</v>
      </c>
    </row>
    <row r="69" customFormat="false" ht="46.25" hidden="false" customHeight="false" outlineLevel="0" collapsed="false">
      <c r="A69" s="6" t="s">
        <v>2373</v>
      </c>
      <c r="B69" s="6" t="s">
        <v>2387</v>
      </c>
      <c r="C69" s="6" t="s">
        <v>3120</v>
      </c>
      <c r="D69" s="6" t="s">
        <v>3164</v>
      </c>
      <c r="E69" s="6" t="s">
        <v>3160</v>
      </c>
      <c r="F69" s="6" t="s">
        <v>1710</v>
      </c>
      <c r="G69" s="6" t="s">
        <v>1719</v>
      </c>
      <c r="H69" s="6" t="s">
        <v>3024</v>
      </c>
      <c r="I69" s="6" t="s">
        <v>2960</v>
      </c>
      <c r="J69" s="6" t="s">
        <v>3165</v>
      </c>
      <c r="K69" s="6" t="s">
        <v>3124</v>
      </c>
    </row>
    <row r="70" customFormat="false" ht="46.25" hidden="false" customHeight="false" outlineLevel="0" collapsed="false">
      <c r="A70" s="121" t="s">
        <v>2373</v>
      </c>
      <c r="B70" s="121" t="s">
        <v>2387</v>
      </c>
      <c r="C70" s="121" t="s">
        <v>3120</v>
      </c>
      <c r="D70" s="121" t="s">
        <v>3166</v>
      </c>
      <c r="E70" s="121" t="s">
        <v>3160</v>
      </c>
      <c r="F70" s="121" t="s">
        <v>3110</v>
      </c>
      <c r="G70" s="121" t="s">
        <v>3111</v>
      </c>
      <c r="H70" s="121" t="s">
        <v>3024</v>
      </c>
      <c r="I70" s="121" t="s">
        <v>1525</v>
      </c>
      <c r="J70" s="121" t="s">
        <v>3167</v>
      </c>
      <c r="K70" s="121" t="s">
        <v>3124</v>
      </c>
    </row>
    <row r="71" customFormat="false" ht="46.25" hidden="false" customHeight="false" outlineLevel="0" collapsed="false">
      <c r="A71" s="6" t="s">
        <v>2373</v>
      </c>
      <c r="B71" s="6" t="s">
        <v>2387</v>
      </c>
      <c r="C71" s="6" t="s">
        <v>3120</v>
      </c>
      <c r="D71" s="6" t="s">
        <v>2512</v>
      </c>
      <c r="E71" s="6" t="s">
        <v>3168</v>
      </c>
      <c r="F71" s="6" t="s">
        <v>3169</v>
      </c>
      <c r="G71" s="6" t="s">
        <v>3170</v>
      </c>
      <c r="H71" s="6" t="s">
        <v>3024</v>
      </c>
      <c r="I71" s="6" t="s">
        <v>1525</v>
      </c>
      <c r="J71" s="6" t="s">
        <v>3171</v>
      </c>
      <c r="K71" s="6" t="s">
        <v>3124</v>
      </c>
    </row>
    <row r="72" customFormat="false" ht="46.25" hidden="false" customHeight="false" outlineLevel="0" collapsed="false">
      <c r="A72" s="121" t="s">
        <v>2373</v>
      </c>
      <c r="B72" s="121" t="s">
        <v>2387</v>
      </c>
      <c r="C72" s="121" t="s">
        <v>3120</v>
      </c>
      <c r="D72" s="121" t="s">
        <v>3172</v>
      </c>
      <c r="E72" s="121" t="s">
        <v>3168</v>
      </c>
      <c r="F72" s="121" t="s">
        <v>2339</v>
      </c>
      <c r="G72" s="121" t="s">
        <v>2347</v>
      </c>
      <c r="H72" s="121" t="s">
        <v>3024</v>
      </c>
      <c r="I72" s="121" t="s">
        <v>3137</v>
      </c>
      <c r="J72" s="121" t="s">
        <v>3173</v>
      </c>
      <c r="K72" s="121" t="s">
        <v>3124</v>
      </c>
    </row>
    <row r="73" customFormat="false" ht="46.25" hidden="false" customHeight="false" outlineLevel="0" collapsed="false">
      <c r="A73" s="6" t="s">
        <v>2373</v>
      </c>
      <c r="B73" s="6" t="s">
        <v>2387</v>
      </c>
      <c r="C73" s="6" t="s">
        <v>3120</v>
      </c>
      <c r="D73" s="6" t="s">
        <v>3174</v>
      </c>
      <c r="E73" s="6" t="s">
        <v>3168</v>
      </c>
      <c r="F73" s="6" t="s">
        <v>3175</v>
      </c>
      <c r="G73" s="6" t="s">
        <v>3176</v>
      </c>
      <c r="H73" s="6" t="s">
        <v>3024</v>
      </c>
      <c r="I73" s="6" t="s">
        <v>1525</v>
      </c>
      <c r="J73" s="6" t="s">
        <v>3177</v>
      </c>
      <c r="K73" s="6" t="s">
        <v>3124</v>
      </c>
    </row>
    <row r="74" customFormat="false" ht="46.25" hidden="false" customHeight="false" outlineLevel="0" collapsed="false">
      <c r="A74" s="121" t="s">
        <v>2373</v>
      </c>
      <c r="B74" s="121" t="s">
        <v>2385</v>
      </c>
      <c r="C74" s="121" t="s">
        <v>3122</v>
      </c>
      <c r="D74" s="121" t="s">
        <v>3178</v>
      </c>
      <c r="E74" s="121"/>
      <c r="F74" s="121" t="s">
        <v>3179</v>
      </c>
      <c r="G74" s="121" t="s">
        <v>3180</v>
      </c>
      <c r="H74" s="121" t="s">
        <v>3024</v>
      </c>
      <c r="I74" s="121"/>
      <c r="J74" s="121" t="s">
        <v>3181</v>
      </c>
      <c r="K74" s="121" t="s">
        <v>3182</v>
      </c>
    </row>
    <row r="75" customFormat="false" ht="46.25" hidden="false" customHeight="false" outlineLevel="0" collapsed="false">
      <c r="A75" s="6" t="s">
        <v>2373</v>
      </c>
      <c r="B75" s="6" t="s">
        <v>2385</v>
      </c>
      <c r="C75" s="6" t="s">
        <v>3122</v>
      </c>
      <c r="D75" s="6" t="s">
        <v>3183</v>
      </c>
      <c r="E75" s="6"/>
      <c r="F75" s="6" t="s">
        <v>931</v>
      </c>
      <c r="G75" s="6" t="s">
        <v>1815</v>
      </c>
      <c r="H75" s="6" t="s">
        <v>3024</v>
      </c>
      <c r="I75" s="6"/>
      <c r="J75" s="6" t="s">
        <v>3184</v>
      </c>
      <c r="K75" s="6" t="s">
        <v>3182</v>
      </c>
    </row>
    <row r="76" customFormat="false" ht="46.25" hidden="false" customHeight="false" outlineLevel="0" collapsed="false">
      <c r="A76" s="121" t="s">
        <v>2373</v>
      </c>
      <c r="B76" s="121" t="s">
        <v>2385</v>
      </c>
      <c r="C76" s="121" t="s">
        <v>3122</v>
      </c>
      <c r="D76" s="121" t="s">
        <v>3185</v>
      </c>
      <c r="E76" s="121"/>
      <c r="F76" s="121" t="s">
        <v>848</v>
      </c>
      <c r="G76" s="121" t="s">
        <v>2207</v>
      </c>
      <c r="H76" s="121" t="s">
        <v>3024</v>
      </c>
      <c r="I76" s="121"/>
      <c r="J76" s="121" t="s">
        <v>3186</v>
      </c>
      <c r="K76" s="121" t="s">
        <v>3182</v>
      </c>
    </row>
    <row r="77" customFormat="false" ht="46.25" hidden="false" customHeight="false" outlineLevel="0" collapsed="false">
      <c r="A77" s="6" t="s">
        <v>2373</v>
      </c>
      <c r="B77" s="6" t="s">
        <v>2385</v>
      </c>
      <c r="C77" s="6" t="s">
        <v>3122</v>
      </c>
      <c r="D77" s="6" t="s">
        <v>3187</v>
      </c>
      <c r="E77" s="6"/>
      <c r="F77" s="6" t="s">
        <v>3188</v>
      </c>
      <c r="G77" s="6" t="s">
        <v>3189</v>
      </c>
      <c r="H77" s="6" t="s">
        <v>3024</v>
      </c>
      <c r="I77" s="6"/>
      <c r="J77" s="6" t="s">
        <v>3190</v>
      </c>
      <c r="K77" s="6" t="s">
        <v>3182</v>
      </c>
    </row>
    <row r="78" customFormat="false" ht="46.25" hidden="false" customHeight="false" outlineLevel="0" collapsed="false">
      <c r="A78" s="121" t="s">
        <v>2373</v>
      </c>
      <c r="B78" s="121" t="s">
        <v>2385</v>
      </c>
      <c r="C78" s="121" t="s">
        <v>3122</v>
      </c>
      <c r="D78" s="121" t="s">
        <v>3191</v>
      </c>
      <c r="E78" s="121"/>
      <c r="F78" s="121" t="s">
        <v>2217</v>
      </c>
      <c r="G78" s="121" t="s">
        <v>2224</v>
      </c>
      <c r="H78" s="121" t="s">
        <v>3024</v>
      </c>
      <c r="I78" s="121"/>
      <c r="J78" s="121" t="s">
        <v>3192</v>
      </c>
      <c r="K78" s="121" t="s">
        <v>3182</v>
      </c>
    </row>
    <row r="79" customFormat="false" ht="46.25" hidden="false" customHeight="false" outlineLevel="0" collapsed="false">
      <c r="A79" s="6" t="s">
        <v>2373</v>
      </c>
      <c r="B79" s="6" t="s">
        <v>2385</v>
      </c>
      <c r="C79" s="6" t="s">
        <v>3122</v>
      </c>
      <c r="D79" s="6" t="s">
        <v>3193</v>
      </c>
      <c r="E79" s="6"/>
      <c r="F79" s="6" t="s">
        <v>3194</v>
      </c>
      <c r="G79" s="6" t="s">
        <v>3151</v>
      </c>
      <c r="H79" s="6" t="s">
        <v>3024</v>
      </c>
      <c r="I79" s="6"/>
      <c r="J79" s="6" t="s">
        <v>3195</v>
      </c>
      <c r="K79" s="6" t="s">
        <v>3182</v>
      </c>
    </row>
    <row r="80" customFormat="false" ht="46.25" hidden="false" customHeight="false" outlineLevel="0" collapsed="false">
      <c r="A80" s="121" t="s">
        <v>2373</v>
      </c>
      <c r="B80" s="121" t="s">
        <v>2385</v>
      </c>
      <c r="C80" s="121" t="s">
        <v>3122</v>
      </c>
      <c r="D80" s="121" t="s">
        <v>3196</v>
      </c>
      <c r="E80" s="121"/>
      <c r="F80" s="121" t="s">
        <v>849</v>
      </c>
      <c r="G80" s="121" t="s">
        <v>1798</v>
      </c>
      <c r="H80" s="121" t="s">
        <v>3024</v>
      </c>
      <c r="I80" s="121"/>
      <c r="J80" s="121" t="s">
        <v>3197</v>
      </c>
      <c r="K80" s="121" t="s">
        <v>3182</v>
      </c>
    </row>
    <row r="81" customFormat="false" ht="46.25" hidden="false" customHeight="false" outlineLevel="0" collapsed="false">
      <c r="A81" s="6" t="s">
        <v>2373</v>
      </c>
      <c r="B81" s="6" t="s">
        <v>2385</v>
      </c>
      <c r="C81" s="6" t="s">
        <v>3122</v>
      </c>
      <c r="D81" s="6" t="s">
        <v>3198</v>
      </c>
      <c r="E81" s="6"/>
      <c r="F81" s="6" t="s">
        <v>931</v>
      </c>
      <c r="G81" s="6" t="s">
        <v>1815</v>
      </c>
      <c r="H81" s="6" t="s">
        <v>3024</v>
      </c>
      <c r="I81" s="6"/>
      <c r="J81" s="6" t="s">
        <v>3199</v>
      </c>
      <c r="K81" s="6" t="s">
        <v>3182</v>
      </c>
    </row>
    <row r="82" customFormat="false" ht="46.25" hidden="false" customHeight="false" outlineLevel="0" collapsed="false">
      <c r="A82" s="121" t="s">
        <v>2373</v>
      </c>
      <c r="B82" s="121" t="s">
        <v>2385</v>
      </c>
      <c r="C82" s="121" t="s">
        <v>3122</v>
      </c>
      <c r="D82" s="121" t="s">
        <v>3200</v>
      </c>
      <c r="E82" s="121"/>
      <c r="F82" s="121" t="s">
        <v>3201</v>
      </c>
      <c r="G82" s="121" t="s">
        <v>1815</v>
      </c>
      <c r="H82" s="121" t="s">
        <v>3024</v>
      </c>
      <c r="I82" s="121"/>
      <c r="J82" s="121" t="s">
        <v>3202</v>
      </c>
      <c r="K82" s="121" t="s">
        <v>3182</v>
      </c>
    </row>
    <row r="83" customFormat="false" ht="46.25" hidden="false" customHeight="false" outlineLevel="0" collapsed="false">
      <c r="A83" s="6" t="s">
        <v>2373</v>
      </c>
      <c r="B83" s="6" t="s">
        <v>2385</v>
      </c>
      <c r="C83" s="6" t="s">
        <v>3122</v>
      </c>
      <c r="D83" s="6" t="s">
        <v>3203</v>
      </c>
      <c r="E83" s="6" t="s">
        <v>287</v>
      </c>
      <c r="F83" s="6" t="s">
        <v>287</v>
      </c>
      <c r="G83" s="6" t="s">
        <v>287</v>
      </c>
      <c r="H83" s="6" t="s">
        <v>3024</v>
      </c>
      <c r="I83" s="6"/>
      <c r="J83" s="6" t="s">
        <v>3204</v>
      </c>
      <c r="K83" s="6" t="s">
        <v>3182</v>
      </c>
    </row>
    <row r="84" customFormat="false" ht="46.25" hidden="false" customHeight="false" outlineLevel="0" collapsed="false">
      <c r="A84" s="121" t="s">
        <v>2373</v>
      </c>
      <c r="B84" s="121" t="s">
        <v>2385</v>
      </c>
      <c r="C84" s="121" t="s">
        <v>3122</v>
      </c>
      <c r="D84" s="121" t="s">
        <v>3205</v>
      </c>
      <c r="E84" s="121" t="s">
        <v>287</v>
      </c>
      <c r="F84" s="121" t="s">
        <v>287</v>
      </c>
      <c r="G84" s="121" t="s">
        <v>287</v>
      </c>
      <c r="H84" s="121" t="s">
        <v>3024</v>
      </c>
      <c r="I84" s="121"/>
      <c r="J84" s="121" t="s">
        <v>3204</v>
      </c>
      <c r="K84" s="121" t="s">
        <v>3182</v>
      </c>
    </row>
    <row r="85" customFormat="false" ht="46.25" hidden="false" customHeight="false" outlineLevel="0" collapsed="false">
      <c r="A85" s="6" t="s">
        <v>2373</v>
      </c>
      <c r="B85" s="6" t="s">
        <v>2385</v>
      </c>
      <c r="C85" s="6" t="s">
        <v>3122</v>
      </c>
      <c r="D85" s="6" t="s">
        <v>3206</v>
      </c>
      <c r="E85" s="6"/>
      <c r="F85" s="6" t="s">
        <v>3114</v>
      </c>
      <c r="G85" s="6" t="s">
        <v>2347</v>
      </c>
      <c r="H85" s="6" t="s">
        <v>3024</v>
      </c>
      <c r="I85" s="6"/>
      <c r="J85" s="6" t="s">
        <v>3207</v>
      </c>
      <c r="K85" s="6" t="s">
        <v>3182</v>
      </c>
    </row>
    <row r="86" customFormat="false" ht="46.25" hidden="false" customHeight="false" outlineLevel="0" collapsed="false">
      <c r="A86" s="121" t="s">
        <v>2373</v>
      </c>
      <c r="B86" s="121" t="s">
        <v>2385</v>
      </c>
      <c r="C86" s="121" t="s">
        <v>3122</v>
      </c>
      <c r="D86" s="121" t="s">
        <v>3208</v>
      </c>
      <c r="E86" s="121" t="s">
        <v>287</v>
      </c>
      <c r="F86" s="121" t="s">
        <v>287</v>
      </c>
      <c r="G86" s="121" t="s">
        <v>287</v>
      </c>
      <c r="H86" s="121" t="s">
        <v>3024</v>
      </c>
      <c r="I86" s="121"/>
      <c r="J86" s="121" t="s">
        <v>3204</v>
      </c>
      <c r="K86" s="121" t="s">
        <v>3182</v>
      </c>
    </row>
    <row r="87" customFormat="false" ht="46.25" hidden="false" customHeight="false" outlineLevel="0" collapsed="false">
      <c r="A87" s="6" t="s">
        <v>2373</v>
      </c>
      <c r="B87" s="6" t="s">
        <v>2385</v>
      </c>
      <c r="C87" s="6" t="s">
        <v>3122</v>
      </c>
      <c r="D87" s="6" t="s">
        <v>3209</v>
      </c>
      <c r="E87" s="6"/>
      <c r="F87" s="6" t="s">
        <v>548</v>
      </c>
      <c r="G87" s="6" t="s">
        <v>2143</v>
      </c>
      <c r="H87" s="6" t="s">
        <v>3024</v>
      </c>
      <c r="I87" s="6"/>
      <c r="J87" s="6" t="s">
        <v>3210</v>
      </c>
      <c r="K87" s="6" t="s">
        <v>3182</v>
      </c>
    </row>
    <row r="88" customFormat="false" ht="46.25" hidden="false" customHeight="false" outlineLevel="0" collapsed="false">
      <c r="A88" s="121" t="s">
        <v>2373</v>
      </c>
      <c r="B88" s="121" t="s">
        <v>2385</v>
      </c>
      <c r="C88" s="121" t="s">
        <v>3122</v>
      </c>
      <c r="D88" s="121" t="s">
        <v>3211</v>
      </c>
      <c r="E88" s="121"/>
      <c r="F88" s="121" t="s">
        <v>3212</v>
      </c>
      <c r="G88" s="121" t="s">
        <v>3213</v>
      </c>
      <c r="H88" s="121" t="s">
        <v>3024</v>
      </c>
      <c r="I88" s="121"/>
      <c r="J88" s="121" t="s">
        <v>3214</v>
      </c>
      <c r="K88" s="121" t="s">
        <v>3182</v>
      </c>
    </row>
    <row r="89" customFormat="false" ht="46.25" hidden="false" customHeight="false" outlineLevel="0" collapsed="false">
      <c r="A89" s="6" t="s">
        <v>2373</v>
      </c>
      <c r="B89" s="6" t="s">
        <v>2385</v>
      </c>
      <c r="C89" s="6" t="s">
        <v>3122</v>
      </c>
      <c r="D89" s="6" t="s">
        <v>3215</v>
      </c>
      <c r="E89" s="6"/>
      <c r="F89" s="6" t="s">
        <v>2305</v>
      </c>
      <c r="G89" s="6" t="s">
        <v>2312</v>
      </c>
      <c r="H89" s="6" t="s">
        <v>3024</v>
      </c>
      <c r="I89" s="6"/>
      <c r="J89" s="6" t="s">
        <v>3216</v>
      </c>
      <c r="K89" s="6" t="s">
        <v>3182</v>
      </c>
    </row>
    <row r="90" customFormat="false" ht="46.25" hidden="false" customHeight="false" outlineLevel="0" collapsed="false">
      <c r="A90" s="121" t="s">
        <v>2373</v>
      </c>
      <c r="B90" s="121" t="s">
        <v>2385</v>
      </c>
      <c r="C90" s="121" t="s">
        <v>3122</v>
      </c>
      <c r="D90" s="121" t="s">
        <v>3217</v>
      </c>
      <c r="E90" s="121" t="s">
        <v>287</v>
      </c>
      <c r="F90" s="121" t="s">
        <v>287</v>
      </c>
      <c r="G90" s="121" t="s">
        <v>287</v>
      </c>
      <c r="H90" s="121" t="s">
        <v>3024</v>
      </c>
      <c r="I90" s="121"/>
      <c r="J90" s="121" t="s">
        <v>3204</v>
      </c>
      <c r="K90" s="121" t="s">
        <v>3182</v>
      </c>
    </row>
    <row r="91" customFormat="false" ht="46.25" hidden="false" customHeight="false" outlineLevel="0" collapsed="false">
      <c r="A91" s="6" t="s">
        <v>2373</v>
      </c>
      <c r="B91" s="6" t="s">
        <v>2385</v>
      </c>
      <c r="C91" s="6" t="s">
        <v>3122</v>
      </c>
      <c r="D91" s="6" t="s">
        <v>3218</v>
      </c>
      <c r="E91" s="6"/>
      <c r="F91" s="6" t="s">
        <v>3219</v>
      </c>
      <c r="G91" s="6" t="s">
        <v>3220</v>
      </c>
      <c r="H91" s="6" t="s">
        <v>3024</v>
      </c>
      <c r="I91" s="6"/>
      <c r="J91" s="6" t="s">
        <v>3221</v>
      </c>
      <c r="K91" s="6" t="s">
        <v>3182</v>
      </c>
    </row>
    <row r="92" customFormat="false" ht="46.25" hidden="false" customHeight="false" outlineLevel="0" collapsed="false">
      <c r="A92" s="121" t="s">
        <v>2373</v>
      </c>
      <c r="B92" s="121" t="s">
        <v>2385</v>
      </c>
      <c r="C92" s="121" t="s">
        <v>3122</v>
      </c>
      <c r="D92" s="121" t="s">
        <v>3222</v>
      </c>
      <c r="E92" s="121"/>
      <c r="F92" s="121" t="s">
        <v>3223</v>
      </c>
      <c r="G92" s="121" t="s">
        <v>3224</v>
      </c>
      <c r="H92" s="121" t="s">
        <v>3024</v>
      </c>
      <c r="I92" s="121"/>
      <c r="J92" s="121" t="s">
        <v>3225</v>
      </c>
      <c r="K92" s="121" t="s">
        <v>3182</v>
      </c>
    </row>
    <row r="93" customFormat="false" ht="46.25" hidden="false" customHeight="false" outlineLevel="0" collapsed="false">
      <c r="A93" s="6" t="s">
        <v>2373</v>
      </c>
      <c r="B93" s="6" t="s">
        <v>2385</v>
      </c>
      <c r="C93" s="6" t="s">
        <v>3226</v>
      </c>
      <c r="D93" s="6" t="s">
        <v>3227</v>
      </c>
      <c r="E93" s="6"/>
      <c r="F93" s="6" t="s">
        <v>3228</v>
      </c>
      <c r="G93" s="6" t="s">
        <v>3229</v>
      </c>
      <c r="H93" s="6" t="s">
        <v>3024</v>
      </c>
      <c r="I93" s="6"/>
      <c r="J93" s="6" t="s">
        <v>3230</v>
      </c>
      <c r="K93" s="6" t="s">
        <v>3182</v>
      </c>
    </row>
    <row r="94" customFormat="false" ht="46.25" hidden="false" customHeight="false" outlineLevel="0" collapsed="false">
      <c r="A94" s="121" t="s">
        <v>2373</v>
      </c>
      <c r="B94" s="121" t="s">
        <v>2385</v>
      </c>
      <c r="C94" s="121" t="s">
        <v>3226</v>
      </c>
      <c r="D94" s="121" t="s">
        <v>3231</v>
      </c>
      <c r="E94" s="121" t="s">
        <v>287</v>
      </c>
      <c r="F94" s="121" t="s">
        <v>287</v>
      </c>
      <c r="G94" s="121" t="s">
        <v>287</v>
      </c>
      <c r="H94" s="121" t="s">
        <v>3024</v>
      </c>
      <c r="I94" s="121"/>
      <c r="J94" s="121" t="s">
        <v>3204</v>
      </c>
      <c r="K94" s="121" t="s">
        <v>3182</v>
      </c>
    </row>
    <row r="95" customFormat="false" ht="46.25" hidden="false" customHeight="false" outlineLevel="0" collapsed="false">
      <c r="A95" s="6" t="s">
        <v>2373</v>
      </c>
      <c r="B95" s="6" t="s">
        <v>2385</v>
      </c>
      <c r="C95" s="6" t="s">
        <v>3226</v>
      </c>
      <c r="D95" s="6" t="s">
        <v>3232</v>
      </c>
      <c r="E95" s="6" t="s">
        <v>287</v>
      </c>
      <c r="F95" s="6" t="s">
        <v>287</v>
      </c>
      <c r="G95" s="6" t="s">
        <v>287</v>
      </c>
      <c r="H95" s="6" t="s">
        <v>3024</v>
      </c>
      <c r="I95" s="6"/>
      <c r="J95" s="6" t="s">
        <v>3204</v>
      </c>
      <c r="K95" s="6" t="s">
        <v>3182</v>
      </c>
    </row>
    <row r="96" customFormat="false" ht="46.25" hidden="false" customHeight="false" outlineLevel="0" collapsed="false">
      <c r="A96" s="121" t="s">
        <v>2373</v>
      </c>
      <c r="B96" s="121" t="s">
        <v>2385</v>
      </c>
      <c r="C96" s="121" t="s">
        <v>3226</v>
      </c>
      <c r="D96" s="121" t="s">
        <v>3233</v>
      </c>
      <c r="E96" s="121" t="s">
        <v>287</v>
      </c>
      <c r="F96" s="121" t="s">
        <v>287</v>
      </c>
      <c r="G96" s="121" t="s">
        <v>287</v>
      </c>
      <c r="H96" s="121" t="s">
        <v>3024</v>
      </c>
      <c r="I96" s="121"/>
      <c r="J96" s="121" t="s">
        <v>3204</v>
      </c>
      <c r="K96" s="121" t="s">
        <v>3182</v>
      </c>
    </row>
    <row r="97" customFormat="false" ht="46.25" hidden="false" customHeight="false" outlineLevel="0" collapsed="false">
      <c r="A97" s="6" t="s">
        <v>2373</v>
      </c>
      <c r="B97" s="6" t="s">
        <v>2385</v>
      </c>
      <c r="C97" s="6" t="s">
        <v>3226</v>
      </c>
      <c r="D97" s="6" t="s">
        <v>3234</v>
      </c>
      <c r="E97" s="6"/>
      <c r="F97" s="6" t="s">
        <v>2200</v>
      </c>
      <c r="G97" s="6" t="s">
        <v>2207</v>
      </c>
      <c r="H97" s="6" t="s">
        <v>3024</v>
      </c>
      <c r="I97" s="6"/>
      <c r="J97" s="6" t="s">
        <v>3202</v>
      </c>
      <c r="K97" s="6" t="s">
        <v>3182</v>
      </c>
    </row>
    <row r="98" customFormat="false" ht="46.25" hidden="false" customHeight="false" outlineLevel="0" collapsed="false">
      <c r="A98" s="121" t="s">
        <v>2373</v>
      </c>
      <c r="B98" s="121" t="s">
        <v>2385</v>
      </c>
      <c r="C98" s="121" t="s">
        <v>3226</v>
      </c>
      <c r="D98" s="121" t="s">
        <v>3235</v>
      </c>
      <c r="E98" s="121" t="s">
        <v>287</v>
      </c>
      <c r="F98" s="121" t="s">
        <v>287</v>
      </c>
      <c r="G98" s="121" t="s">
        <v>287</v>
      </c>
      <c r="H98" s="121" t="s">
        <v>3024</v>
      </c>
      <c r="I98" s="121"/>
      <c r="J98" s="121" t="s">
        <v>3204</v>
      </c>
      <c r="K98" s="121" t="s">
        <v>3182</v>
      </c>
    </row>
    <row r="99" customFormat="false" ht="46.25" hidden="false" customHeight="false" outlineLevel="0" collapsed="false">
      <c r="A99" s="6" t="s">
        <v>2373</v>
      </c>
      <c r="B99" s="6" t="s">
        <v>2385</v>
      </c>
      <c r="C99" s="6" t="s">
        <v>3226</v>
      </c>
      <c r="D99" s="6" t="s">
        <v>3236</v>
      </c>
      <c r="E99" s="6" t="s">
        <v>287</v>
      </c>
      <c r="F99" s="6" t="s">
        <v>287</v>
      </c>
      <c r="G99" s="6" t="s">
        <v>287</v>
      </c>
      <c r="H99" s="6" t="s">
        <v>3024</v>
      </c>
      <c r="I99" s="6"/>
      <c r="J99" s="6" t="s">
        <v>3204</v>
      </c>
      <c r="K99" s="6" t="s">
        <v>3182</v>
      </c>
    </row>
    <row r="100" customFormat="false" ht="46.25" hidden="false" customHeight="false" outlineLevel="0" collapsed="false">
      <c r="A100" s="121" t="s">
        <v>2373</v>
      </c>
      <c r="B100" s="121" t="s">
        <v>2385</v>
      </c>
      <c r="C100" s="121" t="s">
        <v>3226</v>
      </c>
      <c r="D100" s="121" t="s">
        <v>3237</v>
      </c>
      <c r="E100" s="121"/>
      <c r="F100" s="121" t="s">
        <v>2234</v>
      </c>
      <c r="G100" s="121" t="s">
        <v>2242</v>
      </c>
      <c r="H100" s="121" t="s">
        <v>3024</v>
      </c>
      <c r="I100" s="121"/>
      <c r="J100" s="121" t="s">
        <v>3207</v>
      </c>
      <c r="K100" s="121" t="s">
        <v>3182</v>
      </c>
    </row>
    <row r="101" customFormat="false" ht="46.25" hidden="false" customHeight="false" outlineLevel="0" collapsed="false">
      <c r="A101" s="6" t="s">
        <v>2373</v>
      </c>
      <c r="B101" s="6" t="s">
        <v>2385</v>
      </c>
      <c r="C101" s="6" t="s">
        <v>3226</v>
      </c>
      <c r="D101" s="6" t="s">
        <v>3238</v>
      </c>
      <c r="E101" s="6"/>
      <c r="F101" s="6" t="s">
        <v>3239</v>
      </c>
      <c r="G101" s="6" t="s">
        <v>1925</v>
      </c>
      <c r="H101" s="6" t="s">
        <v>3024</v>
      </c>
      <c r="I101" s="6"/>
      <c r="J101" s="6" t="s">
        <v>3240</v>
      </c>
      <c r="K101" s="6" t="s">
        <v>3182</v>
      </c>
    </row>
    <row r="102" customFormat="false" ht="46.25" hidden="false" customHeight="false" outlineLevel="0" collapsed="false">
      <c r="A102" s="121" t="s">
        <v>2373</v>
      </c>
      <c r="B102" s="121" t="s">
        <v>2385</v>
      </c>
      <c r="C102" s="121" t="s">
        <v>3226</v>
      </c>
      <c r="D102" s="121" t="s">
        <v>3241</v>
      </c>
      <c r="E102" s="121" t="s">
        <v>287</v>
      </c>
      <c r="F102" s="121" t="s">
        <v>287</v>
      </c>
      <c r="G102" s="121" t="s">
        <v>287</v>
      </c>
      <c r="H102" s="121" t="s">
        <v>3024</v>
      </c>
      <c r="I102" s="121"/>
      <c r="J102" s="121" t="s">
        <v>3204</v>
      </c>
      <c r="K102" s="121" t="s">
        <v>3182</v>
      </c>
    </row>
    <row r="103" customFormat="false" ht="46.25" hidden="false" customHeight="false" outlineLevel="0" collapsed="false">
      <c r="A103" s="6" t="s">
        <v>2373</v>
      </c>
      <c r="B103" s="6" t="s">
        <v>2385</v>
      </c>
      <c r="C103" s="6" t="s">
        <v>3226</v>
      </c>
      <c r="D103" s="6" t="s">
        <v>3242</v>
      </c>
      <c r="E103" s="6" t="s">
        <v>287</v>
      </c>
      <c r="F103" s="6" t="s">
        <v>287</v>
      </c>
      <c r="G103" s="6" t="s">
        <v>287</v>
      </c>
      <c r="H103" s="6" t="s">
        <v>3024</v>
      </c>
      <c r="I103" s="6"/>
      <c r="J103" s="6" t="s">
        <v>3204</v>
      </c>
      <c r="K103" s="6" t="s">
        <v>3182</v>
      </c>
    </row>
    <row r="104" customFormat="false" ht="46.25" hidden="false" customHeight="false" outlineLevel="0" collapsed="false">
      <c r="A104" s="121" t="s">
        <v>2373</v>
      </c>
      <c r="B104" s="121" t="s">
        <v>2385</v>
      </c>
      <c r="C104" s="121" t="s">
        <v>3226</v>
      </c>
      <c r="D104" s="121" t="s">
        <v>3243</v>
      </c>
      <c r="E104" s="121" t="s">
        <v>287</v>
      </c>
      <c r="F104" s="121" t="s">
        <v>287</v>
      </c>
      <c r="G104" s="121" t="s">
        <v>287</v>
      </c>
      <c r="H104" s="121" t="s">
        <v>3024</v>
      </c>
      <c r="I104" s="121"/>
      <c r="J104" s="121" t="s">
        <v>3204</v>
      </c>
      <c r="K104" s="121" t="s">
        <v>3182</v>
      </c>
    </row>
    <row r="105" customFormat="false" ht="46.25" hidden="false" customHeight="false" outlineLevel="0" collapsed="false">
      <c r="A105" s="6" t="s">
        <v>2373</v>
      </c>
      <c r="B105" s="6" t="s">
        <v>2385</v>
      </c>
      <c r="C105" s="6" t="s">
        <v>3226</v>
      </c>
      <c r="D105" s="6" t="s">
        <v>3244</v>
      </c>
      <c r="E105" s="6"/>
      <c r="F105" s="6" t="s">
        <v>2321</v>
      </c>
      <c r="G105" s="6" t="s">
        <v>2329</v>
      </c>
      <c r="H105" s="6" t="s">
        <v>3024</v>
      </c>
      <c r="I105" s="6"/>
      <c r="J105" s="6" t="s">
        <v>3245</v>
      </c>
      <c r="K105" s="6" t="s">
        <v>3182</v>
      </c>
    </row>
    <row r="106" customFormat="false" ht="46.25" hidden="false" customHeight="false" outlineLevel="0" collapsed="false">
      <c r="A106" s="121" t="s">
        <v>2373</v>
      </c>
      <c r="B106" s="121" t="s">
        <v>2385</v>
      </c>
      <c r="C106" s="121" t="s">
        <v>3226</v>
      </c>
      <c r="D106" s="121" t="s">
        <v>3246</v>
      </c>
      <c r="E106" s="121"/>
      <c r="F106" s="121" t="s">
        <v>3114</v>
      </c>
      <c r="G106" s="121" t="s">
        <v>2347</v>
      </c>
      <c r="H106" s="121" t="s">
        <v>3024</v>
      </c>
      <c r="I106" s="121"/>
      <c r="J106" s="121" t="s">
        <v>3207</v>
      </c>
      <c r="K106" s="121" t="s">
        <v>3182</v>
      </c>
    </row>
    <row r="107" customFormat="false" ht="46.25" hidden="false" customHeight="false" outlineLevel="0" collapsed="false">
      <c r="A107" s="6" t="s">
        <v>2373</v>
      </c>
      <c r="B107" s="6" t="s">
        <v>2385</v>
      </c>
      <c r="C107" s="6" t="s">
        <v>3226</v>
      </c>
      <c r="D107" s="6" t="s">
        <v>2364</v>
      </c>
      <c r="E107" s="6"/>
      <c r="F107" s="6" t="s">
        <v>3247</v>
      </c>
      <c r="G107" s="6" t="s">
        <v>3248</v>
      </c>
      <c r="H107" s="6" t="s">
        <v>3024</v>
      </c>
      <c r="I107" s="6"/>
      <c r="J107" s="6" t="s">
        <v>3249</v>
      </c>
      <c r="K107" s="6" t="s">
        <v>3182</v>
      </c>
    </row>
    <row r="108" customFormat="false" ht="46.25" hidden="false" customHeight="false" outlineLevel="0" collapsed="false">
      <c r="A108" s="121" t="s">
        <v>2373</v>
      </c>
      <c r="B108" s="121" t="s">
        <v>2385</v>
      </c>
      <c r="C108" s="121" t="s">
        <v>3226</v>
      </c>
      <c r="D108" s="121" t="s">
        <v>3250</v>
      </c>
      <c r="E108" s="121"/>
      <c r="F108" s="121" t="s">
        <v>3251</v>
      </c>
      <c r="G108" s="121" t="s">
        <v>3252</v>
      </c>
      <c r="H108" s="121" t="s">
        <v>3024</v>
      </c>
      <c r="I108" s="121"/>
      <c r="J108" s="121" t="s">
        <v>3253</v>
      </c>
      <c r="K108" s="121" t="s">
        <v>3182</v>
      </c>
    </row>
    <row r="109" customFormat="false" ht="46.25" hidden="false" customHeight="false" outlineLevel="0" collapsed="false">
      <c r="A109" s="6" t="s">
        <v>2373</v>
      </c>
      <c r="B109" s="6" t="s">
        <v>2385</v>
      </c>
      <c r="C109" s="6" t="s">
        <v>3226</v>
      </c>
      <c r="D109" s="6" t="s">
        <v>3254</v>
      </c>
      <c r="E109" s="6"/>
      <c r="F109" s="6" t="s">
        <v>3255</v>
      </c>
      <c r="G109" s="6" t="s">
        <v>3256</v>
      </c>
      <c r="H109" s="6" t="s">
        <v>3024</v>
      </c>
      <c r="I109" s="6"/>
      <c r="J109" s="6" t="s">
        <v>3257</v>
      </c>
      <c r="K109" s="6" t="s">
        <v>3182</v>
      </c>
    </row>
    <row r="110" customFormat="false" ht="46.25" hidden="false" customHeight="false" outlineLevel="0" collapsed="false">
      <c r="A110" s="121" t="s">
        <v>2373</v>
      </c>
      <c r="B110" s="121" t="s">
        <v>2385</v>
      </c>
      <c r="C110" s="121" t="s">
        <v>3226</v>
      </c>
      <c r="D110" s="121" t="s">
        <v>3258</v>
      </c>
      <c r="E110" s="121" t="s">
        <v>287</v>
      </c>
      <c r="F110" s="121" t="s">
        <v>287</v>
      </c>
      <c r="G110" s="121" t="s">
        <v>287</v>
      </c>
      <c r="H110" s="121" t="s">
        <v>3024</v>
      </c>
      <c r="I110" s="121"/>
      <c r="J110" s="121" t="s">
        <v>3204</v>
      </c>
      <c r="K110" s="121" t="s">
        <v>3182</v>
      </c>
    </row>
    <row r="111" customFormat="false" ht="46.25" hidden="false" customHeight="false" outlineLevel="0" collapsed="false">
      <c r="A111" s="6" t="s">
        <v>2373</v>
      </c>
      <c r="B111" s="6" t="s">
        <v>2385</v>
      </c>
      <c r="C111" s="6" t="s">
        <v>3259</v>
      </c>
      <c r="D111" s="6" t="s">
        <v>3260</v>
      </c>
      <c r="E111" s="6" t="s">
        <v>287</v>
      </c>
      <c r="F111" s="6" t="s">
        <v>287</v>
      </c>
      <c r="G111" s="6" t="s">
        <v>287</v>
      </c>
      <c r="H111" s="6" t="s">
        <v>3024</v>
      </c>
      <c r="I111" s="6"/>
      <c r="J111" s="6" t="s">
        <v>3204</v>
      </c>
      <c r="K111" s="6" t="s">
        <v>3182</v>
      </c>
    </row>
    <row r="112" customFormat="false" ht="46.25" hidden="false" customHeight="false" outlineLevel="0" collapsed="false">
      <c r="A112" s="121" t="s">
        <v>2373</v>
      </c>
      <c r="B112" s="121" t="s">
        <v>2385</v>
      </c>
      <c r="C112" s="121" t="s">
        <v>3259</v>
      </c>
      <c r="D112" s="121" t="s">
        <v>3261</v>
      </c>
      <c r="E112" s="121"/>
      <c r="F112" s="121" t="s">
        <v>2217</v>
      </c>
      <c r="G112" s="121" t="s">
        <v>2224</v>
      </c>
      <c r="H112" s="121" t="s">
        <v>3024</v>
      </c>
      <c r="I112" s="121"/>
      <c r="J112" s="121" t="s">
        <v>3262</v>
      </c>
      <c r="K112" s="121" t="s">
        <v>3182</v>
      </c>
    </row>
    <row r="113" customFormat="false" ht="46.25" hidden="false" customHeight="false" outlineLevel="0" collapsed="false">
      <c r="A113" s="6" t="s">
        <v>2373</v>
      </c>
      <c r="B113" s="6" t="s">
        <v>2385</v>
      </c>
      <c r="C113" s="6" t="s">
        <v>3259</v>
      </c>
      <c r="D113" s="6" t="s">
        <v>3263</v>
      </c>
      <c r="E113" s="6"/>
      <c r="F113" s="6" t="s">
        <v>2217</v>
      </c>
      <c r="G113" s="6" t="s">
        <v>2224</v>
      </c>
      <c r="H113" s="6" t="s">
        <v>3024</v>
      </c>
      <c r="I113" s="6"/>
      <c r="J113" s="6" t="s">
        <v>3262</v>
      </c>
      <c r="K113" s="6" t="s">
        <v>3182</v>
      </c>
    </row>
    <row r="114" customFormat="false" ht="46.25" hidden="false" customHeight="false" outlineLevel="0" collapsed="false">
      <c r="A114" s="121" t="s">
        <v>2373</v>
      </c>
      <c r="B114" s="121" t="s">
        <v>2385</v>
      </c>
      <c r="C114" s="121" t="s">
        <v>3259</v>
      </c>
      <c r="D114" s="121" t="s">
        <v>3264</v>
      </c>
      <c r="E114" s="121"/>
      <c r="F114" s="121" t="s">
        <v>2152</v>
      </c>
      <c r="G114" s="121" t="s">
        <v>2160</v>
      </c>
      <c r="H114" s="121" t="s">
        <v>3024</v>
      </c>
      <c r="I114" s="121"/>
      <c r="J114" s="121" t="s">
        <v>3265</v>
      </c>
      <c r="K114" s="121" t="s">
        <v>3182</v>
      </c>
    </row>
    <row r="115" customFormat="false" ht="46.25" hidden="false" customHeight="false" outlineLevel="0" collapsed="false">
      <c r="A115" s="6" t="s">
        <v>2373</v>
      </c>
      <c r="B115" s="6" t="s">
        <v>2385</v>
      </c>
      <c r="C115" s="6" t="s">
        <v>3259</v>
      </c>
      <c r="D115" s="6" t="s">
        <v>3266</v>
      </c>
      <c r="E115" s="6" t="s">
        <v>287</v>
      </c>
      <c r="F115" s="6" t="s">
        <v>287</v>
      </c>
      <c r="G115" s="6" t="s">
        <v>287</v>
      </c>
      <c r="H115" s="6" t="s">
        <v>3024</v>
      </c>
      <c r="I115" s="6"/>
      <c r="J115" s="6" t="s">
        <v>3204</v>
      </c>
      <c r="K115" s="6" t="s">
        <v>3182</v>
      </c>
    </row>
    <row r="116" customFormat="false" ht="46.25" hidden="false" customHeight="false" outlineLevel="0" collapsed="false">
      <c r="A116" s="121" t="s">
        <v>2373</v>
      </c>
      <c r="B116" s="121" t="s">
        <v>2385</v>
      </c>
      <c r="C116" s="121" t="s">
        <v>3259</v>
      </c>
      <c r="D116" s="121" t="s">
        <v>3267</v>
      </c>
      <c r="E116" s="121" t="s">
        <v>287</v>
      </c>
      <c r="F116" s="121" t="s">
        <v>287</v>
      </c>
      <c r="G116" s="121" t="s">
        <v>287</v>
      </c>
      <c r="H116" s="121" t="s">
        <v>3024</v>
      </c>
      <c r="I116" s="121"/>
      <c r="J116" s="121" t="s">
        <v>3204</v>
      </c>
      <c r="K116" s="121" t="s">
        <v>3182</v>
      </c>
    </row>
    <row r="117" customFormat="false" ht="46.25" hidden="false" customHeight="false" outlineLevel="0" collapsed="false">
      <c r="A117" s="6" t="s">
        <v>2373</v>
      </c>
      <c r="B117" s="6" t="s">
        <v>2385</v>
      </c>
      <c r="C117" s="6" t="s">
        <v>3259</v>
      </c>
      <c r="D117" s="6" t="s">
        <v>3268</v>
      </c>
      <c r="E117" s="6"/>
      <c r="F117" s="6" t="s">
        <v>3269</v>
      </c>
      <c r="G117" s="6" t="s">
        <v>3270</v>
      </c>
      <c r="H117" s="6" t="s">
        <v>3024</v>
      </c>
      <c r="I117" s="6"/>
      <c r="J117" s="6" t="s">
        <v>3271</v>
      </c>
      <c r="K117" s="6" t="s">
        <v>3182</v>
      </c>
    </row>
    <row r="118" customFormat="false" ht="46.25" hidden="false" customHeight="false" outlineLevel="0" collapsed="false">
      <c r="A118" s="121" t="s">
        <v>2373</v>
      </c>
      <c r="B118" s="121" t="s">
        <v>2385</v>
      </c>
      <c r="C118" s="121" t="s">
        <v>3259</v>
      </c>
      <c r="D118" s="121" t="s">
        <v>3272</v>
      </c>
      <c r="E118" s="121"/>
      <c r="F118" s="121" t="s">
        <v>3273</v>
      </c>
      <c r="G118" s="121" t="s">
        <v>3274</v>
      </c>
      <c r="H118" s="121" t="s">
        <v>3024</v>
      </c>
      <c r="I118" s="121"/>
      <c r="J118" s="121" t="s">
        <v>3275</v>
      </c>
      <c r="K118" s="121" t="s">
        <v>3182</v>
      </c>
    </row>
    <row r="119" customFormat="false" ht="46.25" hidden="false" customHeight="false" outlineLevel="0" collapsed="false">
      <c r="A119" s="6" t="s">
        <v>2373</v>
      </c>
      <c r="B119" s="6" t="s">
        <v>2385</v>
      </c>
      <c r="C119" s="6" t="s">
        <v>3259</v>
      </c>
      <c r="D119" s="6" t="s">
        <v>3276</v>
      </c>
      <c r="E119" s="6"/>
      <c r="F119" s="6" t="s">
        <v>3043</v>
      </c>
      <c r="G119" s="6" t="s">
        <v>3044</v>
      </c>
      <c r="H119" s="6" t="s">
        <v>3024</v>
      </c>
      <c r="I119" s="6"/>
      <c r="J119" s="6" t="s">
        <v>3277</v>
      </c>
      <c r="K119" s="6" t="s">
        <v>3182</v>
      </c>
    </row>
    <row r="120" customFormat="false" ht="91" hidden="false" customHeight="false" outlineLevel="0" collapsed="false">
      <c r="A120" s="121" t="s">
        <v>2373</v>
      </c>
      <c r="B120" s="121" t="s">
        <v>2385</v>
      </c>
      <c r="C120" s="121" t="s">
        <v>3259</v>
      </c>
      <c r="D120" s="121" t="s">
        <v>3278</v>
      </c>
      <c r="E120" s="121"/>
      <c r="F120" s="121" t="s">
        <v>3279</v>
      </c>
      <c r="G120" s="121" t="s">
        <v>3280</v>
      </c>
      <c r="H120" s="121" t="s">
        <v>3024</v>
      </c>
      <c r="I120" s="121"/>
      <c r="J120" s="121" t="s">
        <v>3281</v>
      </c>
      <c r="K120" s="121" t="s">
        <v>3182</v>
      </c>
    </row>
    <row r="121" customFormat="false" ht="46.25" hidden="false" customHeight="false" outlineLevel="0" collapsed="false">
      <c r="A121" s="6" t="s">
        <v>2373</v>
      </c>
      <c r="B121" s="6" t="s">
        <v>2385</v>
      </c>
      <c r="C121" s="6" t="s">
        <v>3259</v>
      </c>
      <c r="D121" s="6" t="s">
        <v>3282</v>
      </c>
      <c r="E121" s="6"/>
      <c r="F121" s="6" t="s">
        <v>3283</v>
      </c>
      <c r="G121" s="6" t="s">
        <v>3284</v>
      </c>
      <c r="H121" s="6" t="s">
        <v>3024</v>
      </c>
      <c r="I121" s="6"/>
      <c r="J121" s="6" t="s">
        <v>3285</v>
      </c>
      <c r="K121" s="6" t="s">
        <v>3182</v>
      </c>
    </row>
    <row r="122" customFormat="false" ht="46.25" hidden="false" customHeight="false" outlineLevel="0" collapsed="false">
      <c r="A122" s="121" t="s">
        <v>2373</v>
      </c>
      <c r="B122" s="121" t="s">
        <v>2385</v>
      </c>
      <c r="C122" s="121" t="s">
        <v>3259</v>
      </c>
      <c r="D122" s="121" t="s">
        <v>3286</v>
      </c>
      <c r="E122" s="121"/>
      <c r="F122" s="121" t="s">
        <v>2269</v>
      </c>
      <c r="G122" s="121" t="s">
        <v>2277</v>
      </c>
      <c r="H122" s="121" t="s">
        <v>3024</v>
      </c>
      <c r="I122" s="121"/>
      <c r="J122" s="121" t="s">
        <v>3210</v>
      </c>
      <c r="K122" s="121" t="s">
        <v>3182</v>
      </c>
    </row>
    <row r="123" customFormat="false" ht="46.25" hidden="false" customHeight="false" outlineLevel="0" collapsed="false">
      <c r="A123" s="6" t="s">
        <v>2373</v>
      </c>
      <c r="B123" s="6" t="s">
        <v>2385</v>
      </c>
      <c r="C123" s="6" t="s">
        <v>3259</v>
      </c>
      <c r="D123" s="6" t="s">
        <v>3287</v>
      </c>
      <c r="E123" s="6"/>
      <c r="F123" s="6" t="s">
        <v>3288</v>
      </c>
      <c r="G123" s="6" t="s">
        <v>3289</v>
      </c>
      <c r="H123" s="6" t="s">
        <v>3024</v>
      </c>
      <c r="I123" s="6"/>
      <c r="J123" s="6" t="s">
        <v>3290</v>
      </c>
      <c r="K123" s="6" t="s">
        <v>3182</v>
      </c>
    </row>
    <row r="124" customFormat="false" ht="46.25" hidden="false" customHeight="false" outlineLevel="0" collapsed="false">
      <c r="A124" s="121" t="s">
        <v>2373</v>
      </c>
      <c r="B124" s="121" t="s">
        <v>2385</v>
      </c>
      <c r="C124" s="121" t="s">
        <v>3259</v>
      </c>
      <c r="D124" s="121" t="s">
        <v>3291</v>
      </c>
      <c r="E124" s="121"/>
      <c r="F124" s="121" t="s">
        <v>2269</v>
      </c>
      <c r="G124" s="121" t="s">
        <v>2277</v>
      </c>
      <c r="H124" s="121" t="s">
        <v>3024</v>
      </c>
      <c r="I124" s="121"/>
      <c r="J124" s="121" t="s">
        <v>3210</v>
      </c>
      <c r="K124" s="121" t="s">
        <v>3182</v>
      </c>
    </row>
    <row r="125" customFormat="false" ht="46.25" hidden="false" customHeight="false" outlineLevel="0" collapsed="false">
      <c r="A125" s="6" t="s">
        <v>2373</v>
      </c>
      <c r="B125" s="6" t="s">
        <v>2385</v>
      </c>
      <c r="C125" s="6" t="s">
        <v>3259</v>
      </c>
      <c r="D125" s="6" t="s">
        <v>3292</v>
      </c>
      <c r="E125" s="6" t="s">
        <v>287</v>
      </c>
      <c r="F125" s="6" t="s">
        <v>287</v>
      </c>
      <c r="G125" s="6" t="s">
        <v>287</v>
      </c>
      <c r="H125" s="6" t="s">
        <v>3024</v>
      </c>
      <c r="I125" s="6"/>
      <c r="J125" s="6" t="s">
        <v>3204</v>
      </c>
      <c r="K125" s="6" t="s">
        <v>3182</v>
      </c>
    </row>
    <row r="126" customFormat="false" ht="46.25" hidden="false" customHeight="false" outlineLevel="0" collapsed="false">
      <c r="A126" s="121" t="s">
        <v>2373</v>
      </c>
      <c r="B126" s="121" t="s">
        <v>2385</v>
      </c>
      <c r="C126" s="121" t="s">
        <v>3259</v>
      </c>
      <c r="D126" s="121" t="s">
        <v>3293</v>
      </c>
      <c r="E126" s="121" t="s">
        <v>287</v>
      </c>
      <c r="F126" s="121" t="s">
        <v>287</v>
      </c>
      <c r="G126" s="121" t="s">
        <v>287</v>
      </c>
      <c r="H126" s="121" t="s">
        <v>3024</v>
      </c>
      <c r="I126" s="121"/>
      <c r="J126" s="121" t="s">
        <v>3204</v>
      </c>
      <c r="K126" s="121" t="s">
        <v>3182</v>
      </c>
    </row>
    <row r="127" customFormat="false" ht="46.25" hidden="false" customHeight="false" outlineLevel="0" collapsed="false">
      <c r="A127" s="6" t="s">
        <v>2373</v>
      </c>
      <c r="B127" s="6" t="s">
        <v>2385</v>
      </c>
      <c r="C127" s="6" t="s">
        <v>3259</v>
      </c>
      <c r="D127" s="6" t="s">
        <v>3294</v>
      </c>
      <c r="E127" s="6"/>
      <c r="F127" s="6" t="s">
        <v>1765</v>
      </c>
      <c r="G127" s="6" t="s">
        <v>443</v>
      </c>
      <c r="H127" s="6" t="s">
        <v>3024</v>
      </c>
      <c r="I127" s="6"/>
      <c r="J127" s="6" t="s">
        <v>3295</v>
      </c>
      <c r="K127" s="6" t="s">
        <v>3182</v>
      </c>
    </row>
    <row r="128" customFormat="false" ht="46.25" hidden="false" customHeight="false" outlineLevel="0" collapsed="false">
      <c r="A128" s="121" t="s">
        <v>2373</v>
      </c>
      <c r="B128" s="121" t="s">
        <v>2385</v>
      </c>
      <c r="C128" s="121" t="s">
        <v>3259</v>
      </c>
      <c r="D128" s="121" t="s">
        <v>3296</v>
      </c>
      <c r="E128" s="121" t="s">
        <v>287</v>
      </c>
      <c r="F128" s="121" t="s">
        <v>287</v>
      </c>
      <c r="G128" s="121" t="s">
        <v>287</v>
      </c>
      <c r="H128" s="121" t="s">
        <v>3024</v>
      </c>
      <c r="I128" s="121"/>
      <c r="J128" s="121" t="s">
        <v>3204</v>
      </c>
      <c r="K128" s="121" t="s">
        <v>3182</v>
      </c>
    </row>
    <row r="129" customFormat="false" ht="46.25" hidden="false" customHeight="false" outlineLevel="0" collapsed="false">
      <c r="A129" s="6" t="s">
        <v>2373</v>
      </c>
      <c r="B129" s="6" t="s">
        <v>2385</v>
      </c>
      <c r="C129" s="6" t="s">
        <v>3259</v>
      </c>
      <c r="D129" s="6" t="s">
        <v>3297</v>
      </c>
      <c r="E129" s="6" t="s">
        <v>287</v>
      </c>
      <c r="F129" s="6" t="s">
        <v>287</v>
      </c>
      <c r="G129" s="6" t="s">
        <v>287</v>
      </c>
      <c r="H129" s="6" t="s">
        <v>3024</v>
      </c>
      <c r="I129" s="6"/>
      <c r="J129" s="6" t="s">
        <v>3204</v>
      </c>
      <c r="K129" s="6" t="s">
        <v>3182</v>
      </c>
    </row>
    <row r="130" customFormat="false" ht="46.25" hidden="false" customHeight="false" outlineLevel="0" collapsed="false">
      <c r="A130" s="121" t="s">
        <v>2373</v>
      </c>
      <c r="B130" s="121" t="s">
        <v>2385</v>
      </c>
      <c r="C130" s="121" t="s">
        <v>3259</v>
      </c>
      <c r="D130" s="121" t="s">
        <v>3298</v>
      </c>
      <c r="E130" s="121" t="s">
        <v>287</v>
      </c>
      <c r="F130" s="121" t="s">
        <v>287</v>
      </c>
      <c r="G130" s="121" t="s">
        <v>287</v>
      </c>
      <c r="H130" s="121" t="s">
        <v>3024</v>
      </c>
      <c r="I130" s="121"/>
      <c r="J130" s="121" t="s">
        <v>3204</v>
      </c>
      <c r="K130" s="121" t="s">
        <v>3182</v>
      </c>
    </row>
    <row r="131" customFormat="false" ht="46.25" hidden="false" customHeight="false" outlineLevel="0" collapsed="false">
      <c r="A131" s="6" t="s">
        <v>2373</v>
      </c>
      <c r="B131" s="6" t="s">
        <v>2385</v>
      </c>
      <c r="C131" s="6" t="s">
        <v>3259</v>
      </c>
      <c r="D131" s="6" t="s">
        <v>3299</v>
      </c>
      <c r="E131" s="6" t="s">
        <v>287</v>
      </c>
      <c r="F131" s="6" t="s">
        <v>287</v>
      </c>
      <c r="G131" s="6" t="s">
        <v>287</v>
      </c>
      <c r="H131" s="6" t="s">
        <v>3024</v>
      </c>
      <c r="I131" s="6"/>
      <c r="J131" s="6" t="s">
        <v>3204</v>
      </c>
      <c r="K131" s="6" t="s">
        <v>3182</v>
      </c>
    </row>
    <row r="132" customFormat="false" ht="46.25" hidden="false" customHeight="false" outlineLevel="0" collapsed="false">
      <c r="A132" s="121" t="s">
        <v>2373</v>
      </c>
      <c r="B132" s="121" t="s">
        <v>2385</v>
      </c>
      <c r="C132" s="121" t="s">
        <v>3259</v>
      </c>
      <c r="D132" s="121" t="s">
        <v>3300</v>
      </c>
      <c r="E132" s="121" t="s">
        <v>287</v>
      </c>
      <c r="F132" s="121" t="s">
        <v>287</v>
      </c>
      <c r="G132" s="121" t="s">
        <v>287</v>
      </c>
      <c r="H132" s="121" t="s">
        <v>3024</v>
      </c>
      <c r="I132" s="121"/>
      <c r="J132" s="121" t="s">
        <v>3204</v>
      </c>
      <c r="K132" s="121" t="s">
        <v>3182</v>
      </c>
    </row>
    <row r="133" customFormat="false" ht="46.25" hidden="false" customHeight="false" outlineLevel="0" collapsed="false">
      <c r="A133" s="6" t="s">
        <v>2373</v>
      </c>
      <c r="B133" s="6" t="s">
        <v>2385</v>
      </c>
      <c r="C133" s="6" t="s">
        <v>3301</v>
      </c>
      <c r="D133" s="6" t="s">
        <v>3302</v>
      </c>
      <c r="E133" s="6"/>
      <c r="F133" s="6" t="s">
        <v>548</v>
      </c>
      <c r="G133" s="6" t="s">
        <v>2143</v>
      </c>
      <c r="H133" s="6" t="s">
        <v>3024</v>
      </c>
      <c r="I133" s="6"/>
      <c r="J133" s="6" t="s">
        <v>3210</v>
      </c>
      <c r="K133" s="6" t="s">
        <v>3182</v>
      </c>
    </row>
    <row r="134" customFormat="false" ht="46.25" hidden="false" customHeight="false" outlineLevel="0" collapsed="false">
      <c r="A134" s="121" t="s">
        <v>2373</v>
      </c>
      <c r="B134" s="121" t="s">
        <v>2385</v>
      </c>
      <c r="C134" s="121" t="s">
        <v>3301</v>
      </c>
      <c r="D134" s="121" t="s">
        <v>3303</v>
      </c>
      <c r="E134" s="121"/>
      <c r="F134" s="121" t="s">
        <v>2200</v>
      </c>
      <c r="G134" s="121" t="s">
        <v>2207</v>
      </c>
      <c r="H134" s="121" t="s">
        <v>3024</v>
      </c>
      <c r="I134" s="121"/>
      <c r="J134" s="121" t="s">
        <v>3202</v>
      </c>
      <c r="K134" s="121" t="s">
        <v>3182</v>
      </c>
    </row>
    <row r="135" customFormat="false" ht="46.25" hidden="false" customHeight="false" outlineLevel="0" collapsed="false">
      <c r="A135" s="6" t="s">
        <v>2373</v>
      </c>
      <c r="B135" s="6" t="s">
        <v>2385</v>
      </c>
      <c r="C135" s="6" t="s">
        <v>3301</v>
      </c>
      <c r="D135" s="6" t="s">
        <v>3304</v>
      </c>
      <c r="E135" s="6"/>
      <c r="F135" s="6" t="s">
        <v>3305</v>
      </c>
      <c r="G135" s="6" t="s">
        <v>3306</v>
      </c>
      <c r="H135" s="6" t="s">
        <v>3024</v>
      </c>
      <c r="I135" s="6"/>
      <c r="J135" s="6" t="s">
        <v>3307</v>
      </c>
      <c r="K135" s="6" t="s">
        <v>3182</v>
      </c>
    </row>
    <row r="136" customFormat="false" ht="46.25" hidden="false" customHeight="false" outlineLevel="0" collapsed="false">
      <c r="A136" s="121" t="s">
        <v>2373</v>
      </c>
      <c r="B136" s="121" t="s">
        <v>2385</v>
      </c>
      <c r="C136" s="121" t="s">
        <v>3301</v>
      </c>
      <c r="D136" s="121" t="s">
        <v>3308</v>
      </c>
      <c r="E136" s="121"/>
      <c r="F136" s="121" t="s">
        <v>2200</v>
      </c>
      <c r="G136" s="121" t="s">
        <v>2207</v>
      </c>
      <c r="H136" s="121" t="s">
        <v>3024</v>
      </c>
      <c r="I136" s="121"/>
      <c r="J136" s="121" t="s">
        <v>3202</v>
      </c>
      <c r="K136" s="121" t="s">
        <v>3182</v>
      </c>
    </row>
    <row r="137" customFormat="false" ht="46.25" hidden="false" customHeight="false" outlineLevel="0" collapsed="false">
      <c r="A137" s="6" t="s">
        <v>2373</v>
      </c>
      <c r="B137" s="6" t="s">
        <v>2385</v>
      </c>
      <c r="C137" s="6" t="s">
        <v>3301</v>
      </c>
      <c r="D137" s="6" t="s">
        <v>3309</v>
      </c>
      <c r="E137" s="6" t="s">
        <v>287</v>
      </c>
      <c r="F137" s="6" t="s">
        <v>287</v>
      </c>
      <c r="G137" s="6" t="s">
        <v>287</v>
      </c>
      <c r="H137" s="6" t="s">
        <v>3024</v>
      </c>
      <c r="I137" s="6"/>
      <c r="J137" s="6" t="s">
        <v>3204</v>
      </c>
      <c r="K137" s="6" t="s">
        <v>3182</v>
      </c>
    </row>
    <row r="138" customFormat="false" ht="46.25" hidden="false" customHeight="false" outlineLevel="0" collapsed="false">
      <c r="A138" s="121" t="s">
        <v>2373</v>
      </c>
      <c r="B138" s="121" t="s">
        <v>2385</v>
      </c>
      <c r="C138" s="121" t="s">
        <v>3301</v>
      </c>
      <c r="D138" s="121" t="s">
        <v>3310</v>
      </c>
      <c r="E138" s="121" t="s">
        <v>287</v>
      </c>
      <c r="F138" s="121" t="s">
        <v>287</v>
      </c>
      <c r="G138" s="121" t="s">
        <v>287</v>
      </c>
      <c r="H138" s="121" t="s">
        <v>3024</v>
      </c>
      <c r="I138" s="121"/>
      <c r="J138" s="121" t="s">
        <v>3204</v>
      </c>
      <c r="K138" s="121" t="s">
        <v>3182</v>
      </c>
    </row>
    <row r="139" customFormat="false" ht="46.25" hidden="false" customHeight="false" outlineLevel="0" collapsed="false">
      <c r="A139" s="6" t="s">
        <v>2373</v>
      </c>
      <c r="B139" s="6" t="s">
        <v>2385</v>
      </c>
      <c r="C139" s="6" t="s">
        <v>3301</v>
      </c>
      <c r="D139" s="6" t="s">
        <v>3311</v>
      </c>
      <c r="E139" s="6"/>
      <c r="F139" s="6" t="s">
        <v>3312</v>
      </c>
      <c r="G139" s="6" t="s">
        <v>3313</v>
      </c>
      <c r="H139" s="6" t="s">
        <v>3024</v>
      </c>
      <c r="I139" s="6"/>
      <c r="J139" s="6" t="s">
        <v>3314</v>
      </c>
      <c r="K139" s="6" t="s">
        <v>3182</v>
      </c>
    </row>
    <row r="140" customFormat="false" ht="46.25" hidden="false" customHeight="false" outlineLevel="0" collapsed="false">
      <c r="A140" s="121" t="s">
        <v>2373</v>
      </c>
      <c r="B140" s="121" t="s">
        <v>2385</v>
      </c>
      <c r="C140" s="121" t="s">
        <v>3301</v>
      </c>
      <c r="D140" s="121" t="s">
        <v>3315</v>
      </c>
      <c r="E140" s="121"/>
      <c r="F140" s="121" t="s">
        <v>2011</v>
      </c>
      <c r="G140" s="121" t="s">
        <v>2019</v>
      </c>
      <c r="H140" s="121" t="s">
        <v>3024</v>
      </c>
      <c r="I140" s="121"/>
      <c r="J140" s="121" t="s">
        <v>3316</v>
      </c>
      <c r="K140" s="121" t="s">
        <v>3182</v>
      </c>
    </row>
    <row r="141" customFormat="false" ht="46.25" hidden="false" customHeight="false" outlineLevel="0" collapsed="false">
      <c r="A141" s="6" t="s">
        <v>2373</v>
      </c>
      <c r="B141" s="6" t="s">
        <v>2385</v>
      </c>
      <c r="C141" s="6" t="s">
        <v>3301</v>
      </c>
      <c r="D141" s="6" t="s">
        <v>3317</v>
      </c>
      <c r="E141" s="6"/>
      <c r="F141" s="6" t="s">
        <v>3318</v>
      </c>
      <c r="G141" s="6" t="s">
        <v>3319</v>
      </c>
      <c r="H141" s="6" t="s">
        <v>3024</v>
      </c>
      <c r="I141" s="6"/>
      <c r="J141" s="6" t="s">
        <v>3285</v>
      </c>
      <c r="K141" s="6" t="s">
        <v>3182</v>
      </c>
    </row>
    <row r="142" customFormat="false" ht="46.25" hidden="false" customHeight="false" outlineLevel="0" collapsed="false">
      <c r="A142" s="121" t="s">
        <v>2373</v>
      </c>
      <c r="B142" s="121" t="s">
        <v>2385</v>
      </c>
      <c r="C142" s="121" t="s">
        <v>3301</v>
      </c>
      <c r="D142" s="121" t="s">
        <v>3320</v>
      </c>
      <c r="E142" s="121"/>
      <c r="F142" s="121" t="s">
        <v>2104</v>
      </c>
      <c r="G142" s="121" t="s">
        <v>2112</v>
      </c>
      <c r="H142" s="121" t="s">
        <v>3024</v>
      </c>
      <c r="I142" s="121"/>
      <c r="J142" s="121" t="s">
        <v>3321</v>
      </c>
      <c r="K142" s="121" t="s">
        <v>3182</v>
      </c>
    </row>
    <row r="143" customFormat="false" ht="46.25" hidden="false" customHeight="false" outlineLevel="0" collapsed="false">
      <c r="A143" s="6" t="s">
        <v>2373</v>
      </c>
      <c r="B143" s="6" t="s">
        <v>2385</v>
      </c>
      <c r="C143" s="6" t="s">
        <v>3301</v>
      </c>
      <c r="D143" s="6" t="s">
        <v>3322</v>
      </c>
      <c r="E143" s="6"/>
      <c r="F143" s="6" t="s">
        <v>3323</v>
      </c>
      <c r="G143" s="6" t="s">
        <v>3324</v>
      </c>
      <c r="H143" s="6" t="s">
        <v>3024</v>
      </c>
      <c r="I143" s="6"/>
      <c r="J143" s="6" t="s">
        <v>3325</v>
      </c>
      <c r="K143" s="6" t="s">
        <v>3182</v>
      </c>
    </row>
    <row r="144" customFormat="false" ht="46.25" hidden="false" customHeight="false" outlineLevel="0" collapsed="false">
      <c r="A144" s="121" t="s">
        <v>2373</v>
      </c>
      <c r="B144" s="121" t="s">
        <v>2385</v>
      </c>
      <c r="C144" s="121" t="s">
        <v>3301</v>
      </c>
      <c r="D144" s="121" t="s">
        <v>3326</v>
      </c>
      <c r="E144" s="121"/>
      <c r="F144" s="121" t="s">
        <v>2217</v>
      </c>
      <c r="G144" s="121" t="s">
        <v>2224</v>
      </c>
      <c r="H144" s="121" t="s">
        <v>3024</v>
      </c>
      <c r="I144" s="121"/>
      <c r="J144" s="121" t="s">
        <v>3262</v>
      </c>
      <c r="K144" s="121" t="s">
        <v>3182</v>
      </c>
    </row>
    <row r="145" customFormat="false" ht="46.25" hidden="false" customHeight="false" outlineLevel="0" collapsed="false">
      <c r="A145" s="6" t="s">
        <v>2373</v>
      </c>
      <c r="B145" s="6" t="s">
        <v>2385</v>
      </c>
      <c r="C145" s="6" t="s">
        <v>3301</v>
      </c>
      <c r="D145" s="6" t="s">
        <v>3327</v>
      </c>
      <c r="E145" s="6"/>
      <c r="F145" s="6" t="s">
        <v>670</v>
      </c>
      <c r="G145" s="6" t="s">
        <v>2176</v>
      </c>
      <c r="H145" s="6" t="s">
        <v>3024</v>
      </c>
      <c r="I145" s="6"/>
      <c r="J145" s="6" t="s">
        <v>3328</v>
      </c>
      <c r="K145" s="6" t="s">
        <v>3182</v>
      </c>
    </row>
    <row r="146" customFormat="false" ht="57.45" hidden="false" customHeight="false" outlineLevel="0" collapsed="false">
      <c r="A146" s="121" t="s">
        <v>2373</v>
      </c>
      <c r="B146" s="121" t="s">
        <v>2386</v>
      </c>
      <c r="C146" s="121" t="s">
        <v>3329</v>
      </c>
      <c r="D146" s="121" t="s">
        <v>3330</v>
      </c>
      <c r="E146" s="121" t="s">
        <v>3330</v>
      </c>
      <c r="F146" s="121" t="s">
        <v>2234</v>
      </c>
      <c r="G146" s="121" t="s">
        <v>504</v>
      </c>
      <c r="H146" s="121" t="s">
        <v>2959</v>
      </c>
      <c r="I146" s="121" t="s">
        <v>1525</v>
      </c>
      <c r="J146" s="121" t="s">
        <v>3331</v>
      </c>
      <c r="K146" s="121" t="s">
        <v>3332</v>
      </c>
    </row>
    <row r="147" customFormat="false" ht="57.45" hidden="false" customHeight="false" outlineLevel="0" collapsed="false">
      <c r="A147" s="6" t="s">
        <v>2373</v>
      </c>
      <c r="B147" s="6" t="s">
        <v>2386</v>
      </c>
      <c r="C147" s="6" t="s">
        <v>3329</v>
      </c>
      <c r="D147" s="6" t="s">
        <v>3333</v>
      </c>
      <c r="E147" s="6" t="s">
        <v>3333</v>
      </c>
      <c r="F147" s="6" t="s">
        <v>3334</v>
      </c>
      <c r="G147" s="6" t="s">
        <v>504</v>
      </c>
      <c r="H147" s="6" t="s">
        <v>2959</v>
      </c>
      <c r="I147" s="6" t="s">
        <v>2960</v>
      </c>
      <c r="J147" s="6" t="s">
        <v>3335</v>
      </c>
      <c r="K147" s="6" t="s">
        <v>3332</v>
      </c>
    </row>
    <row r="148" customFormat="false" ht="57.45" hidden="false" customHeight="false" outlineLevel="0" collapsed="false">
      <c r="A148" s="121" t="s">
        <v>2373</v>
      </c>
      <c r="B148" s="121" t="s">
        <v>2386</v>
      </c>
      <c r="C148" s="121" t="s">
        <v>3329</v>
      </c>
      <c r="D148" s="121" t="s">
        <v>3336</v>
      </c>
      <c r="E148" s="121" t="s">
        <v>3336</v>
      </c>
      <c r="F148" s="121" t="s">
        <v>3043</v>
      </c>
      <c r="G148" s="121" t="s">
        <v>3337</v>
      </c>
      <c r="H148" s="121" t="s">
        <v>2959</v>
      </c>
      <c r="I148" s="121" t="s">
        <v>1525</v>
      </c>
      <c r="J148" s="121" t="s">
        <v>3338</v>
      </c>
      <c r="K148" s="121" t="s">
        <v>3332</v>
      </c>
    </row>
    <row r="149" customFormat="false" ht="57.45" hidden="false" customHeight="false" outlineLevel="0" collapsed="false">
      <c r="A149" s="6" t="s">
        <v>2373</v>
      </c>
      <c r="B149" s="6" t="s">
        <v>2386</v>
      </c>
      <c r="C149" s="6" t="s">
        <v>3329</v>
      </c>
      <c r="D149" s="6" t="s">
        <v>330</v>
      </c>
      <c r="E149" s="6" t="s">
        <v>330</v>
      </c>
      <c r="F149" s="6" t="s">
        <v>3339</v>
      </c>
      <c r="G149" s="6" t="s">
        <v>3340</v>
      </c>
      <c r="H149" s="6" t="s">
        <v>2959</v>
      </c>
      <c r="I149" s="6" t="s">
        <v>2960</v>
      </c>
      <c r="J149" s="6" t="s">
        <v>3341</v>
      </c>
      <c r="K149" s="6" t="s">
        <v>3332</v>
      </c>
    </row>
    <row r="150" customFormat="false" ht="57.45" hidden="false" customHeight="false" outlineLevel="0" collapsed="false">
      <c r="A150" s="121" t="s">
        <v>2373</v>
      </c>
      <c r="B150" s="121" t="s">
        <v>2386</v>
      </c>
      <c r="C150" s="121" t="s">
        <v>3329</v>
      </c>
      <c r="D150" s="121" t="s">
        <v>954</v>
      </c>
      <c r="E150" s="121" t="s">
        <v>954</v>
      </c>
      <c r="F150" s="121" t="s">
        <v>944</v>
      </c>
      <c r="G150" s="121" t="s">
        <v>940</v>
      </c>
      <c r="H150" s="121" t="s">
        <v>2959</v>
      </c>
      <c r="I150" s="121" t="s">
        <v>1525</v>
      </c>
      <c r="J150" s="121" t="s">
        <v>3342</v>
      </c>
      <c r="K150" s="121" t="s">
        <v>3332</v>
      </c>
    </row>
    <row r="151" customFormat="false" ht="57.45" hidden="false" customHeight="false" outlineLevel="0" collapsed="false">
      <c r="A151" s="6" t="s">
        <v>2373</v>
      </c>
      <c r="B151" s="6" t="s">
        <v>2386</v>
      </c>
      <c r="C151" s="6" t="s">
        <v>3329</v>
      </c>
      <c r="D151" s="6" t="s">
        <v>558</v>
      </c>
      <c r="E151" s="6" t="s">
        <v>558</v>
      </c>
      <c r="F151" s="6" t="s">
        <v>3343</v>
      </c>
      <c r="G151" s="6" t="s">
        <v>3344</v>
      </c>
      <c r="H151" s="6" t="s">
        <v>2959</v>
      </c>
      <c r="I151" s="6" t="s">
        <v>1525</v>
      </c>
      <c r="J151" s="6" t="s">
        <v>3345</v>
      </c>
      <c r="K151" s="6" t="s">
        <v>3332</v>
      </c>
    </row>
    <row r="152" customFormat="false" ht="57.45" hidden="false" customHeight="false" outlineLevel="0" collapsed="false">
      <c r="A152" s="121" t="s">
        <v>2373</v>
      </c>
      <c r="B152" s="121" t="s">
        <v>2386</v>
      </c>
      <c r="C152" s="121" t="s">
        <v>3329</v>
      </c>
      <c r="D152" s="121" t="s">
        <v>659</v>
      </c>
      <c r="E152" s="121" t="s">
        <v>659</v>
      </c>
      <c r="F152" s="121" t="s">
        <v>3346</v>
      </c>
      <c r="G152" s="121" t="s">
        <v>3347</v>
      </c>
      <c r="H152" s="121" t="s">
        <v>2959</v>
      </c>
      <c r="I152" s="121" t="s">
        <v>1525</v>
      </c>
      <c r="J152" s="121" t="s">
        <v>3348</v>
      </c>
      <c r="K152" s="121" t="s">
        <v>3332</v>
      </c>
    </row>
    <row r="153" customFormat="false" ht="57.45" hidden="false" customHeight="false" outlineLevel="0" collapsed="false">
      <c r="A153" s="6" t="s">
        <v>2373</v>
      </c>
      <c r="B153" s="6" t="s">
        <v>2386</v>
      </c>
      <c r="C153" s="6" t="s">
        <v>3329</v>
      </c>
      <c r="D153" s="6" t="s">
        <v>3349</v>
      </c>
      <c r="E153" s="6" t="s">
        <v>3349</v>
      </c>
      <c r="F153" s="6" t="s">
        <v>2234</v>
      </c>
      <c r="G153" s="6" t="s">
        <v>3337</v>
      </c>
      <c r="H153" s="6" t="s">
        <v>2959</v>
      </c>
      <c r="I153" s="6" t="s">
        <v>1525</v>
      </c>
      <c r="J153" s="6" t="s">
        <v>3350</v>
      </c>
      <c r="K153" s="6" t="s">
        <v>3332</v>
      </c>
    </row>
    <row r="154" customFormat="false" ht="57.45" hidden="false" customHeight="false" outlineLevel="0" collapsed="false">
      <c r="A154" s="121" t="s">
        <v>2373</v>
      </c>
      <c r="B154" s="121" t="s">
        <v>2386</v>
      </c>
      <c r="C154" s="121" t="s">
        <v>3329</v>
      </c>
      <c r="D154" s="121" t="s">
        <v>369</v>
      </c>
      <c r="E154" s="121" t="s">
        <v>369</v>
      </c>
      <c r="F154" s="121" t="s">
        <v>3351</v>
      </c>
      <c r="G154" s="121" t="s">
        <v>3352</v>
      </c>
      <c r="H154" s="121" t="s">
        <v>2959</v>
      </c>
      <c r="I154" s="121" t="s">
        <v>1525</v>
      </c>
      <c r="J154" s="121" t="s">
        <v>3353</v>
      </c>
      <c r="K154" s="121" t="s">
        <v>3332</v>
      </c>
    </row>
    <row r="155" customFormat="false" ht="57.45" hidden="false" customHeight="false" outlineLevel="0" collapsed="false">
      <c r="A155" s="6" t="s">
        <v>2373</v>
      </c>
      <c r="B155" s="6" t="s">
        <v>2386</v>
      </c>
      <c r="C155" s="6" t="s">
        <v>3329</v>
      </c>
      <c r="D155" s="6" t="s">
        <v>821</v>
      </c>
      <c r="E155" s="6" t="s">
        <v>821</v>
      </c>
      <c r="F155" s="6" t="s">
        <v>3354</v>
      </c>
      <c r="G155" s="6" t="s">
        <v>807</v>
      </c>
      <c r="H155" s="6" t="s">
        <v>2959</v>
      </c>
      <c r="I155" s="6" t="s">
        <v>2960</v>
      </c>
      <c r="J155" s="6" t="s">
        <v>3355</v>
      </c>
      <c r="K155" s="6" t="s">
        <v>3332</v>
      </c>
    </row>
    <row r="156" customFormat="false" ht="57.45" hidden="false" customHeight="false" outlineLevel="0" collapsed="false">
      <c r="A156" s="121" t="s">
        <v>2373</v>
      </c>
      <c r="B156" s="121" t="s">
        <v>2386</v>
      </c>
      <c r="C156" s="121" t="s">
        <v>3329</v>
      </c>
      <c r="D156" s="121" t="s">
        <v>3356</v>
      </c>
      <c r="E156" s="121" t="s">
        <v>3356</v>
      </c>
      <c r="F156" s="121" t="s">
        <v>2234</v>
      </c>
      <c r="G156" s="121" t="s">
        <v>504</v>
      </c>
      <c r="H156" s="121" t="s">
        <v>2959</v>
      </c>
      <c r="I156" s="121" t="s">
        <v>1525</v>
      </c>
      <c r="J156" s="121" t="s">
        <v>3357</v>
      </c>
      <c r="K156" s="121" t="s">
        <v>3332</v>
      </c>
    </row>
    <row r="157" customFormat="false" ht="57.45" hidden="false" customHeight="false" outlineLevel="0" collapsed="false">
      <c r="A157" s="6" t="s">
        <v>2373</v>
      </c>
      <c r="B157" s="6" t="s">
        <v>2386</v>
      </c>
      <c r="C157" s="6" t="s">
        <v>3329</v>
      </c>
      <c r="D157" s="6" t="s">
        <v>743</v>
      </c>
      <c r="E157" s="6" t="s">
        <v>743</v>
      </c>
      <c r="F157" s="6" t="s">
        <v>3318</v>
      </c>
      <c r="G157" s="6" t="s">
        <v>3011</v>
      </c>
      <c r="H157" s="6" t="s">
        <v>2959</v>
      </c>
      <c r="I157" s="6" t="s">
        <v>2960</v>
      </c>
      <c r="J157" s="6" t="s">
        <v>3358</v>
      </c>
      <c r="K157" s="6" t="s">
        <v>3332</v>
      </c>
    </row>
    <row r="158" customFormat="false" ht="46.25" hidden="false" customHeight="false" outlineLevel="0" collapsed="false">
      <c r="A158" s="121" t="s">
        <v>2375</v>
      </c>
      <c r="B158" s="121" t="s">
        <v>230</v>
      </c>
      <c r="C158" s="121" t="s">
        <v>3359</v>
      </c>
      <c r="D158" s="121" t="s">
        <v>3360</v>
      </c>
      <c r="E158" s="121" t="s">
        <v>3361</v>
      </c>
      <c r="F158" s="121" t="s">
        <v>3188</v>
      </c>
      <c r="G158" s="121" t="s">
        <v>3189</v>
      </c>
      <c r="H158" s="121" t="s">
        <v>3024</v>
      </c>
      <c r="I158" s="121"/>
      <c r="J158" s="121" t="s">
        <v>3362</v>
      </c>
      <c r="K158" s="121" t="s">
        <v>3363</v>
      </c>
    </row>
    <row r="159" customFormat="false" ht="46.25" hidden="false" customHeight="false" outlineLevel="0" collapsed="false">
      <c r="A159" s="6" t="s">
        <v>2375</v>
      </c>
      <c r="B159" s="6" t="s">
        <v>230</v>
      </c>
      <c r="C159" s="6" t="s">
        <v>3359</v>
      </c>
      <c r="D159" s="6" t="s">
        <v>3364</v>
      </c>
      <c r="E159" s="6"/>
      <c r="F159" s="6" t="s">
        <v>287</v>
      </c>
      <c r="G159" s="6" t="s">
        <v>287</v>
      </c>
      <c r="H159" s="6" t="s">
        <v>3024</v>
      </c>
      <c r="I159" s="6"/>
      <c r="J159" s="6" t="s">
        <v>3365</v>
      </c>
      <c r="K159" s="6" t="s">
        <v>3363</v>
      </c>
    </row>
    <row r="160" customFormat="false" ht="46.25" hidden="false" customHeight="false" outlineLevel="0" collapsed="false">
      <c r="A160" s="121" t="s">
        <v>2375</v>
      </c>
      <c r="B160" s="121" t="s">
        <v>230</v>
      </c>
      <c r="C160" s="121" t="s">
        <v>3359</v>
      </c>
      <c r="D160" s="121" t="s">
        <v>3366</v>
      </c>
      <c r="E160" s="121" t="s">
        <v>3367</v>
      </c>
      <c r="F160" s="121" t="s">
        <v>931</v>
      </c>
      <c r="G160" s="121" t="s">
        <v>1815</v>
      </c>
      <c r="H160" s="121" t="s">
        <v>3024</v>
      </c>
      <c r="I160" s="121"/>
      <c r="J160" s="121" t="s">
        <v>3368</v>
      </c>
      <c r="K160" s="121" t="s">
        <v>3363</v>
      </c>
    </row>
    <row r="161" customFormat="false" ht="46.25" hidden="false" customHeight="false" outlineLevel="0" collapsed="false">
      <c r="A161" s="6" t="s">
        <v>2375</v>
      </c>
      <c r="B161" s="6" t="s">
        <v>230</v>
      </c>
      <c r="C161" s="6" t="s">
        <v>3359</v>
      </c>
      <c r="D161" s="6" t="s">
        <v>3369</v>
      </c>
      <c r="E161" s="6" t="s">
        <v>3370</v>
      </c>
      <c r="F161" s="6" t="s">
        <v>931</v>
      </c>
      <c r="G161" s="6" t="s">
        <v>1815</v>
      </c>
      <c r="H161" s="6" t="s">
        <v>3024</v>
      </c>
      <c r="I161" s="6"/>
      <c r="J161" s="6" t="s">
        <v>3368</v>
      </c>
      <c r="K161" s="6" t="s">
        <v>3363</v>
      </c>
    </row>
    <row r="162" customFormat="false" ht="46.25" hidden="false" customHeight="false" outlineLevel="0" collapsed="false">
      <c r="A162" s="121" t="s">
        <v>2375</v>
      </c>
      <c r="B162" s="121" t="s">
        <v>230</v>
      </c>
      <c r="C162" s="121" t="s">
        <v>3359</v>
      </c>
      <c r="D162" s="121" t="s">
        <v>3371</v>
      </c>
      <c r="E162" s="121" t="s">
        <v>3372</v>
      </c>
      <c r="F162" s="121" t="s">
        <v>670</v>
      </c>
      <c r="G162" s="121" t="s">
        <v>2176</v>
      </c>
      <c r="H162" s="121" t="s">
        <v>3024</v>
      </c>
      <c r="I162" s="121"/>
      <c r="J162" s="121" t="s">
        <v>3373</v>
      </c>
      <c r="K162" s="121" t="s">
        <v>3363</v>
      </c>
    </row>
    <row r="163" customFormat="false" ht="46.25" hidden="false" customHeight="false" outlineLevel="0" collapsed="false">
      <c r="A163" s="6" t="s">
        <v>2375</v>
      </c>
      <c r="B163" s="6" t="s">
        <v>230</v>
      </c>
      <c r="C163" s="6" t="s">
        <v>3359</v>
      </c>
      <c r="D163" s="6" t="s">
        <v>3374</v>
      </c>
      <c r="E163" s="6" t="s">
        <v>3375</v>
      </c>
      <c r="F163" s="6" t="s">
        <v>3376</v>
      </c>
      <c r="G163" s="6" t="s">
        <v>3377</v>
      </c>
      <c r="H163" s="6" t="s">
        <v>3024</v>
      </c>
      <c r="I163" s="6"/>
      <c r="J163" s="6" t="s">
        <v>3378</v>
      </c>
      <c r="K163" s="6" t="s">
        <v>3363</v>
      </c>
    </row>
    <row r="164" customFormat="false" ht="46.25" hidden="false" customHeight="false" outlineLevel="0" collapsed="false">
      <c r="A164" s="121" t="s">
        <v>2375</v>
      </c>
      <c r="B164" s="121" t="s">
        <v>230</v>
      </c>
      <c r="C164" s="121" t="s">
        <v>3359</v>
      </c>
      <c r="D164" s="121" t="s">
        <v>3379</v>
      </c>
      <c r="E164" s="121" t="s">
        <v>3380</v>
      </c>
      <c r="F164" s="121" t="s">
        <v>608</v>
      </c>
      <c r="G164" s="121" t="s">
        <v>1896</v>
      </c>
      <c r="H164" s="121" t="s">
        <v>3024</v>
      </c>
      <c r="I164" s="121"/>
      <c r="J164" s="121" t="s">
        <v>3381</v>
      </c>
      <c r="K164" s="121" t="s">
        <v>3363</v>
      </c>
    </row>
    <row r="165" customFormat="false" ht="46.25" hidden="false" customHeight="false" outlineLevel="0" collapsed="false">
      <c r="A165" s="6" t="s">
        <v>2375</v>
      </c>
      <c r="B165" s="6" t="s">
        <v>230</v>
      </c>
      <c r="C165" s="6" t="s">
        <v>3359</v>
      </c>
      <c r="D165" s="6" t="s">
        <v>3382</v>
      </c>
      <c r="E165" s="6" t="s">
        <v>3383</v>
      </c>
      <c r="F165" s="6" t="s">
        <v>3384</v>
      </c>
      <c r="G165" s="6" t="s">
        <v>3385</v>
      </c>
      <c r="H165" s="6" t="s">
        <v>3024</v>
      </c>
      <c r="I165" s="6"/>
      <c r="J165" s="6" t="s">
        <v>3386</v>
      </c>
      <c r="K165" s="6" t="s">
        <v>3363</v>
      </c>
    </row>
    <row r="166" customFormat="false" ht="46.25" hidden="false" customHeight="false" outlineLevel="0" collapsed="false">
      <c r="A166" s="121" t="s">
        <v>2375</v>
      </c>
      <c r="B166" s="121" t="s">
        <v>230</v>
      </c>
      <c r="C166" s="121" t="s">
        <v>3359</v>
      </c>
      <c r="D166" s="121" t="s">
        <v>947</v>
      </c>
      <c r="E166" s="121" t="s">
        <v>3387</v>
      </c>
      <c r="F166" s="121" t="s">
        <v>3388</v>
      </c>
      <c r="G166" s="121" t="s">
        <v>3389</v>
      </c>
      <c r="H166" s="121" t="s">
        <v>3024</v>
      </c>
      <c r="I166" s="121"/>
      <c r="J166" s="121" t="s">
        <v>3390</v>
      </c>
      <c r="K166" s="121" t="s">
        <v>3363</v>
      </c>
    </row>
    <row r="167" customFormat="false" ht="46.25" hidden="false" customHeight="false" outlineLevel="0" collapsed="false">
      <c r="A167" s="6" t="s">
        <v>2375</v>
      </c>
      <c r="B167" s="6" t="s">
        <v>230</v>
      </c>
      <c r="C167" s="6" t="s">
        <v>3359</v>
      </c>
      <c r="D167" s="6" t="s">
        <v>3391</v>
      </c>
      <c r="E167" s="6" t="s">
        <v>3392</v>
      </c>
      <c r="F167" s="6" t="s">
        <v>2321</v>
      </c>
      <c r="G167" s="6" t="s">
        <v>2329</v>
      </c>
      <c r="H167" s="6" t="s">
        <v>3024</v>
      </c>
      <c r="I167" s="6"/>
      <c r="J167" s="6" t="s">
        <v>3393</v>
      </c>
      <c r="K167" s="6" t="s">
        <v>3363</v>
      </c>
    </row>
    <row r="168" customFormat="false" ht="46.25" hidden="false" customHeight="false" outlineLevel="0" collapsed="false">
      <c r="A168" s="121" t="s">
        <v>2375</v>
      </c>
      <c r="B168" s="121" t="s">
        <v>230</v>
      </c>
      <c r="C168" s="121" t="s">
        <v>3359</v>
      </c>
      <c r="D168" s="121" t="s">
        <v>3394</v>
      </c>
      <c r="E168" s="121" t="s">
        <v>3395</v>
      </c>
      <c r="F168" s="121" t="s">
        <v>3396</v>
      </c>
      <c r="G168" s="121" t="s">
        <v>3397</v>
      </c>
      <c r="H168" s="121" t="s">
        <v>3024</v>
      </c>
      <c r="I168" s="121"/>
      <c r="J168" s="121" t="s">
        <v>3398</v>
      </c>
      <c r="K168" s="121" t="s">
        <v>3363</v>
      </c>
    </row>
    <row r="169" customFormat="false" ht="46.25" hidden="false" customHeight="false" outlineLevel="0" collapsed="false">
      <c r="A169" s="6" t="s">
        <v>2375</v>
      </c>
      <c r="B169" s="6" t="s">
        <v>230</v>
      </c>
      <c r="C169" s="6" t="s">
        <v>3359</v>
      </c>
      <c r="D169" s="6" t="s">
        <v>3399</v>
      </c>
      <c r="E169" s="6" t="s">
        <v>3400</v>
      </c>
      <c r="F169" s="6" t="s">
        <v>3401</v>
      </c>
      <c r="G169" s="6" t="s">
        <v>3402</v>
      </c>
      <c r="H169" s="6" t="s">
        <v>3024</v>
      </c>
      <c r="I169" s="6"/>
      <c r="J169" s="6" t="s">
        <v>3403</v>
      </c>
      <c r="K169" s="6" t="s">
        <v>3363</v>
      </c>
    </row>
    <row r="170" customFormat="false" ht="46.25" hidden="false" customHeight="false" outlineLevel="0" collapsed="false">
      <c r="A170" s="121" t="s">
        <v>2375</v>
      </c>
      <c r="B170" s="121" t="s">
        <v>230</v>
      </c>
      <c r="C170" s="121" t="s">
        <v>3359</v>
      </c>
      <c r="D170" s="121" t="s">
        <v>3404</v>
      </c>
      <c r="E170" s="121" t="s">
        <v>3405</v>
      </c>
      <c r="F170" s="121" t="s">
        <v>3255</v>
      </c>
      <c r="G170" s="121" t="s">
        <v>3256</v>
      </c>
      <c r="H170" s="121" t="s">
        <v>3024</v>
      </c>
      <c r="I170" s="121"/>
      <c r="J170" s="121" t="s">
        <v>3406</v>
      </c>
      <c r="K170" s="121" t="s">
        <v>3363</v>
      </c>
    </row>
    <row r="171" customFormat="false" ht="46.25" hidden="false" customHeight="false" outlineLevel="0" collapsed="false">
      <c r="A171" s="6" t="s">
        <v>2375</v>
      </c>
      <c r="B171" s="6" t="s">
        <v>230</v>
      </c>
      <c r="C171" s="6" t="s">
        <v>3359</v>
      </c>
      <c r="D171" s="6" t="s">
        <v>3407</v>
      </c>
      <c r="E171" s="6" t="s">
        <v>3408</v>
      </c>
      <c r="F171" s="6" t="s">
        <v>2287</v>
      </c>
      <c r="G171" s="6" t="s">
        <v>2295</v>
      </c>
      <c r="H171" s="6" t="s">
        <v>3024</v>
      </c>
      <c r="I171" s="6"/>
      <c r="J171" s="6" t="s">
        <v>3409</v>
      </c>
      <c r="K171" s="6" t="s">
        <v>3363</v>
      </c>
    </row>
    <row r="172" customFormat="false" ht="46.25" hidden="false" customHeight="false" outlineLevel="0" collapsed="false">
      <c r="A172" s="121" t="s">
        <v>2375</v>
      </c>
      <c r="B172" s="121" t="s">
        <v>230</v>
      </c>
      <c r="C172" s="121" t="s">
        <v>3359</v>
      </c>
      <c r="D172" s="121" t="s">
        <v>3410</v>
      </c>
      <c r="E172" s="121"/>
      <c r="F172" s="121" t="s">
        <v>287</v>
      </c>
      <c r="G172" s="121" t="s">
        <v>287</v>
      </c>
      <c r="H172" s="121" t="s">
        <v>3024</v>
      </c>
      <c r="I172" s="121"/>
      <c r="J172" s="121" t="s">
        <v>3365</v>
      </c>
      <c r="K172" s="121" t="s">
        <v>3363</v>
      </c>
    </row>
    <row r="173" customFormat="false" ht="46.25" hidden="false" customHeight="false" outlineLevel="0" collapsed="false">
      <c r="A173" s="6" t="s">
        <v>2375</v>
      </c>
      <c r="B173" s="6" t="s">
        <v>230</v>
      </c>
      <c r="C173" s="6" t="s">
        <v>3359</v>
      </c>
      <c r="D173" s="6" t="s">
        <v>3411</v>
      </c>
      <c r="E173" s="6"/>
      <c r="F173" s="6" t="s">
        <v>287</v>
      </c>
      <c r="G173" s="6" t="s">
        <v>287</v>
      </c>
      <c r="H173" s="6" t="s">
        <v>3024</v>
      </c>
      <c r="I173" s="6"/>
      <c r="J173" s="6" t="s">
        <v>3365</v>
      </c>
      <c r="K173" s="6" t="s">
        <v>3363</v>
      </c>
    </row>
    <row r="174" customFormat="false" ht="46.25" hidden="false" customHeight="false" outlineLevel="0" collapsed="false">
      <c r="A174" s="121" t="s">
        <v>2375</v>
      </c>
      <c r="B174" s="121" t="s">
        <v>230</v>
      </c>
      <c r="C174" s="121" t="s">
        <v>3359</v>
      </c>
      <c r="D174" s="121" t="s">
        <v>3412</v>
      </c>
      <c r="E174" s="121" t="s">
        <v>3413</v>
      </c>
      <c r="F174" s="121" t="s">
        <v>3414</v>
      </c>
      <c r="G174" s="121" t="s">
        <v>3415</v>
      </c>
      <c r="H174" s="121" t="s">
        <v>3024</v>
      </c>
      <c r="I174" s="121"/>
      <c r="J174" s="121" t="s">
        <v>3416</v>
      </c>
      <c r="K174" s="121" t="s">
        <v>3363</v>
      </c>
    </row>
    <row r="175" customFormat="false" ht="46.25" hidden="false" customHeight="false" outlineLevel="0" collapsed="false">
      <c r="A175" s="6" t="s">
        <v>2375</v>
      </c>
      <c r="B175" s="6" t="s">
        <v>230</v>
      </c>
      <c r="C175" s="6" t="s">
        <v>3359</v>
      </c>
      <c r="D175" s="6" t="s">
        <v>3417</v>
      </c>
      <c r="E175" s="6" t="s">
        <v>3418</v>
      </c>
      <c r="F175" s="6" t="s">
        <v>2088</v>
      </c>
      <c r="G175" s="6" t="s">
        <v>419</v>
      </c>
      <c r="H175" s="6" t="s">
        <v>3024</v>
      </c>
      <c r="I175" s="6"/>
      <c r="J175" s="6" t="s">
        <v>3419</v>
      </c>
      <c r="K175" s="6" t="s">
        <v>3363</v>
      </c>
    </row>
    <row r="176" customFormat="false" ht="46.25" hidden="false" customHeight="false" outlineLevel="0" collapsed="false">
      <c r="A176" s="121" t="s">
        <v>2375</v>
      </c>
      <c r="B176" s="121" t="s">
        <v>230</v>
      </c>
      <c r="C176" s="121" t="s">
        <v>3359</v>
      </c>
      <c r="D176" s="121" t="s">
        <v>3420</v>
      </c>
      <c r="E176" s="121" t="s">
        <v>3421</v>
      </c>
      <c r="F176" s="121" t="s">
        <v>3422</v>
      </c>
      <c r="G176" s="121" t="s">
        <v>3423</v>
      </c>
      <c r="H176" s="121" t="s">
        <v>3024</v>
      </c>
      <c r="I176" s="121"/>
      <c r="J176" s="121" t="s">
        <v>3424</v>
      </c>
      <c r="K176" s="121" t="s">
        <v>3363</v>
      </c>
    </row>
    <row r="177" customFormat="false" ht="46.25" hidden="false" customHeight="false" outlineLevel="0" collapsed="false">
      <c r="A177" s="6" t="s">
        <v>2375</v>
      </c>
      <c r="B177" s="6" t="s">
        <v>230</v>
      </c>
      <c r="C177" s="6" t="s">
        <v>3359</v>
      </c>
      <c r="D177" s="6" t="s">
        <v>3425</v>
      </c>
      <c r="E177" s="6" t="s">
        <v>3426</v>
      </c>
      <c r="F177" s="6" t="s">
        <v>3427</v>
      </c>
      <c r="G177" s="6" t="s">
        <v>3428</v>
      </c>
      <c r="H177" s="6" t="s">
        <v>3024</v>
      </c>
      <c r="I177" s="6"/>
      <c r="J177" s="6" t="s">
        <v>3429</v>
      </c>
      <c r="K177" s="6" t="s">
        <v>3363</v>
      </c>
    </row>
    <row r="178" customFormat="false" ht="46.25" hidden="false" customHeight="false" outlineLevel="0" collapsed="false">
      <c r="A178" s="121" t="s">
        <v>2375</v>
      </c>
      <c r="B178" s="121" t="s">
        <v>230</v>
      </c>
      <c r="C178" s="121" t="s">
        <v>3359</v>
      </c>
      <c r="D178" s="121" t="s">
        <v>3430</v>
      </c>
      <c r="E178" s="121" t="s">
        <v>3431</v>
      </c>
      <c r="F178" s="121" t="s">
        <v>3432</v>
      </c>
      <c r="G178" s="121" t="s">
        <v>3433</v>
      </c>
      <c r="H178" s="121" t="s">
        <v>3024</v>
      </c>
      <c r="I178" s="121"/>
      <c r="J178" s="121" t="s">
        <v>3434</v>
      </c>
      <c r="K178" s="121" t="s">
        <v>3363</v>
      </c>
    </row>
    <row r="179" customFormat="false" ht="46.25" hidden="false" customHeight="false" outlineLevel="0" collapsed="false">
      <c r="A179" s="6" t="s">
        <v>2375</v>
      </c>
      <c r="B179" s="6" t="s">
        <v>230</v>
      </c>
      <c r="C179" s="6" t="s">
        <v>3359</v>
      </c>
      <c r="D179" s="6" t="s">
        <v>3435</v>
      </c>
      <c r="E179" s="6"/>
      <c r="F179" s="6" t="s">
        <v>287</v>
      </c>
      <c r="G179" s="6" t="s">
        <v>287</v>
      </c>
      <c r="H179" s="6" t="s">
        <v>3024</v>
      </c>
      <c r="I179" s="6"/>
      <c r="J179" s="6" t="s">
        <v>3365</v>
      </c>
      <c r="K179" s="6" t="s">
        <v>3363</v>
      </c>
    </row>
    <row r="180" customFormat="false" ht="46.25" hidden="false" customHeight="false" outlineLevel="0" collapsed="false">
      <c r="A180" s="121" t="s">
        <v>2375</v>
      </c>
      <c r="B180" s="121" t="s">
        <v>230</v>
      </c>
      <c r="C180" s="121" t="s">
        <v>3359</v>
      </c>
      <c r="D180" s="121" t="s">
        <v>3436</v>
      </c>
      <c r="E180" s="121" t="s">
        <v>3437</v>
      </c>
      <c r="F180" s="121" t="s">
        <v>3028</v>
      </c>
      <c r="G180" s="121" t="s">
        <v>1755</v>
      </c>
      <c r="H180" s="121" t="s">
        <v>3024</v>
      </c>
      <c r="I180" s="121"/>
      <c r="J180" s="121" t="s">
        <v>3438</v>
      </c>
      <c r="K180" s="121" t="s">
        <v>3363</v>
      </c>
    </row>
    <row r="181" customFormat="false" ht="46.25" hidden="false" customHeight="false" outlineLevel="0" collapsed="false">
      <c r="A181" s="6" t="s">
        <v>2375</v>
      </c>
      <c r="B181" s="6" t="s">
        <v>230</v>
      </c>
      <c r="C181" s="6" t="s">
        <v>3359</v>
      </c>
      <c r="D181" s="6" t="s">
        <v>3439</v>
      </c>
      <c r="E181" s="6" t="s">
        <v>3440</v>
      </c>
      <c r="F181" s="6" t="s">
        <v>2071</v>
      </c>
      <c r="G181" s="6" t="s">
        <v>419</v>
      </c>
      <c r="H181" s="6" t="s">
        <v>3024</v>
      </c>
      <c r="I181" s="6"/>
      <c r="J181" s="6" t="s">
        <v>3441</v>
      </c>
      <c r="K181" s="6" t="s">
        <v>3363</v>
      </c>
    </row>
    <row r="182" customFormat="false" ht="46.25" hidden="false" customHeight="false" outlineLevel="0" collapsed="false">
      <c r="A182" s="121" t="s">
        <v>2375</v>
      </c>
      <c r="B182" s="121" t="s">
        <v>230</v>
      </c>
      <c r="C182" s="121" t="s">
        <v>3359</v>
      </c>
      <c r="D182" s="121" t="s">
        <v>3442</v>
      </c>
      <c r="E182" s="121" t="s">
        <v>3443</v>
      </c>
      <c r="F182" s="121" t="s">
        <v>3239</v>
      </c>
      <c r="G182" s="121" t="s">
        <v>1925</v>
      </c>
      <c r="H182" s="121" t="s">
        <v>3024</v>
      </c>
      <c r="I182" s="121"/>
      <c r="J182" s="121" t="s">
        <v>3429</v>
      </c>
      <c r="K182" s="121" t="s">
        <v>3363</v>
      </c>
    </row>
    <row r="183" customFormat="false" ht="46.25" hidden="false" customHeight="false" outlineLevel="0" collapsed="false">
      <c r="A183" s="6" t="s">
        <v>2375</v>
      </c>
      <c r="B183" s="6" t="s">
        <v>230</v>
      </c>
      <c r="C183" s="6" t="s">
        <v>3359</v>
      </c>
      <c r="D183" s="6" t="s">
        <v>3444</v>
      </c>
      <c r="E183" s="6" t="s">
        <v>3445</v>
      </c>
      <c r="F183" s="6" t="s">
        <v>3239</v>
      </c>
      <c r="G183" s="6" t="s">
        <v>1925</v>
      </c>
      <c r="H183" s="6" t="s">
        <v>3024</v>
      </c>
      <c r="I183" s="6"/>
      <c r="J183" s="6" t="s">
        <v>3429</v>
      </c>
      <c r="K183" s="6" t="s">
        <v>3363</v>
      </c>
    </row>
    <row r="184" customFormat="false" ht="46.25" hidden="false" customHeight="false" outlineLevel="0" collapsed="false">
      <c r="A184" s="121" t="s">
        <v>2375</v>
      </c>
      <c r="B184" s="121" t="s">
        <v>230</v>
      </c>
      <c r="C184" s="121" t="s">
        <v>3359</v>
      </c>
      <c r="D184" s="121" t="s">
        <v>3446</v>
      </c>
      <c r="E184" s="121" t="s">
        <v>3447</v>
      </c>
      <c r="F184" s="121" t="s">
        <v>3448</v>
      </c>
      <c r="G184" s="121" t="s">
        <v>3449</v>
      </c>
      <c r="H184" s="121" t="s">
        <v>3024</v>
      </c>
      <c r="I184" s="121"/>
      <c r="J184" s="121" t="s">
        <v>3450</v>
      </c>
      <c r="K184" s="121" t="s">
        <v>3363</v>
      </c>
    </row>
    <row r="185" customFormat="false" ht="46.25" hidden="false" customHeight="false" outlineLevel="0" collapsed="false">
      <c r="A185" s="6" t="s">
        <v>2375</v>
      </c>
      <c r="B185" s="6" t="s">
        <v>230</v>
      </c>
      <c r="C185" s="6" t="s">
        <v>3359</v>
      </c>
      <c r="D185" s="6" t="s">
        <v>3451</v>
      </c>
      <c r="E185" s="6" t="s">
        <v>3452</v>
      </c>
      <c r="F185" s="6" t="s">
        <v>608</v>
      </c>
      <c r="G185" s="6" t="s">
        <v>1896</v>
      </c>
      <c r="H185" s="6" t="s">
        <v>3024</v>
      </c>
      <c r="I185" s="6"/>
      <c r="J185" s="6" t="s">
        <v>3381</v>
      </c>
      <c r="K185" s="6" t="s">
        <v>3363</v>
      </c>
    </row>
    <row r="186" customFormat="false" ht="46.25" hidden="false" customHeight="false" outlineLevel="0" collapsed="false">
      <c r="A186" s="121" t="s">
        <v>2375</v>
      </c>
      <c r="B186" s="121" t="s">
        <v>230</v>
      </c>
      <c r="C186" s="121" t="s">
        <v>3359</v>
      </c>
      <c r="D186" s="121" t="s">
        <v>3453</v>
      </c>
      <c r="E186" s="121" t="s">
        <v>3454</v>
      </c>
      <c r="F186" s="121" t="s">
        <v>3455</v>
      </c>
      <c r="G186" s="121" t="s">
        <v>3456</v>
      </c>
      <c r="H186" s="121" t="s">
        <v>3024</v>
      </c>
      <c r="I186" s="121"/>
      <c r="J186" s="121" t="s">
        <v>3457</v>
      </c>
      <c r="K186" s="121" t="s">
        <v>3363</v>
      </c>
    </row>
    <row r="187" customFormat="false" ht="46.25" hidden="false" customHeight="false" outlineLevel="0" collapsed="false">
      <c r="A187" s="6" t="s">
        <v>2375</v>
      </c>
      <c r="B187" s="6" t="s">
        <v>230</v>
      </c>
      <c r="C187" s="6" t="s">
        <v>3359</v>
      </c>
      <c r="D187" s="6" t="s">
        <v>3458</v>
      </c>
      <c r="E187" s="6" t="s">
        <v>3459</v>
      </c>
      <c r="F187" s="6" t="s">
        <v>3460</v>
      </c>
      <c r="G187" s="6" t="s">
        <v>3461</v>
      </c>
      <c r="H187" s="6" t="s">
        <v>3024</v>
      </c>
      <c r="I187" s="6"/>
      <c r="J187" s="6" t="s">
        <v>3462</v>
      </c>
      <c r="K187" s="6" t="s">
        <v>3363</v>
      </c>
    </row>
    <row r="188" customFormat="false" ht="46.25" hidden="false" customHeight="false" outlineLevel="0" collapsed="false">
      <c r="A188" s="121" t="s">
        <v>2375</v>
      </c>
      <c r="B188" s="121" t="s">
        <v>230</v>
      </c>
      <c r="C188" s="121" t="s">
        <v>3359</v>
      </c>
      <c r="D188" s="121" t="s">
        <v>3463</v>
      </c>
      <c r="E188" s="121" t="s">
        <v>3464</v>
      </c>
      <c r="F188" s="121" t="s">
        <v>670</v>
      </c>
      <c r="G188" s="121" t="s">
        <v>2176</v>
      </c>
      <c r="H188" s="121" t="s">
        <v>3024</v>
      </c>
      <c r="I188" s="121"/>
      <c r="J188" s="121" t="s">
        <v>3373</v>
      </c>
      <c r="K188" s="121" t="s">
        <v>3363</v>
      </c>
    </row>
    <row r="189" customFormat="false" ht="46.25" hidden="false" customHeight="false" outlineLevel="0" collapsed="false">
      <c r="A189" s="6" t="s">
        <v>2375</v>
      </c>
      <c r="B189" s="6" t="s">
        <v>230</v>
      </c>
      <c r="C189" s="6" t="s">
        <v>3359</v>
      </c>
      <c r="D189" s="6" t="s">
        <v>3465</v>
      </c>
      <c r="E189" s="6" t="s">
        <v>3466</v>
      </c>
      <c r="F189" s="6" t="s">
        <v>2305</v>
      </c>
      <c r="G189" s="6" t="s">
        <v>2312</v>
      </c>
      <c r="H189" s="6" t="s">
        <v>3024</v>
      </c>
      <c r="I189" s="6"/>
      <c r="J189" s="6" t="s">
        <v>3409</v>
      </c>
      <c r="K189" s="6" t="s">
        <v>3363</v>
      </c>
    </row>
    <row r="190" customFormat="false" ht="46.25" hidden="false" customHeight="false" outlineLevel="0" collapsed="false">
      <c r="A190" s="121" t="s">
        <v>2375</v>
      </c>
      <c r="B190" s="121" t="s">
        <v>230</v>
      </c>
      <c r="C190" s="121" t="s">
        <v>3359</v>
      </c>
      <c r="D190" s="121" t="s">
        <v>3467</v>
      </c>
      <c r="E190" s="121" t="s">
        <v>3468</v>
      </c>
      <c r="F190" s="121" t="s">
        <v>3469</v>
      </c>
      <c r="G190" s="121" t="s">
        <v>3470</v>
      </c>
      <c r="H190" s="121" t="s">
        <v>3024</v>
      </c>
      <c r="I190" s="121"/>
      <c r="J190" s="121" t="s">
        <v>3471</v>
      </c>
      <c r="K190" s="121" t="s">
        <v>3363</v>
      </c>
    </row>
    <row r="191" customFormat="false" ht="46.25" hidden="false" customHeight="false" outlineLevel="0" collapsed="false">
      <c r="A191" s="6" t="s">
        <v>2375</v>
      </c>
      <c r="B191" s="6" t="s">
        <v>230</v>
      </c>
      <c r="C191" s="6" t="s">
        <v>3359</v>
      </c>
      <c r="D191" s="6" t="s">
        <v>3472</v>
      </c>
      <c r="E191" s="6" t="s">
        <v>3473</v>
      </c>
      <c r="F191" s="6" t="s">
        <v>3114</v>
      </c>
      <c r="G191" s="6" t="s">
        <v>2347</v>
      </c>
      <c r="H191" s="6" t="s">
        <v>3024</v>
      </c>
      <c r="I191" s="6"/>
      <c r="J191" s="6" t="s">
        <v>3474</v>
      </c>
      <c r="K191" s="6" t="s">
        <v>3363</v>
      </c>
    </row>
    <row r="192" customFormat="false" ht="46.25" hidden="false" customHeight="false" outlineLevel="0" collapsed="false">
      <c r="A192" s="121" t="s">
        <v>2375</v>
      </c>
      <c r="B192" s="121" t="s">
        <v>230</v>
      </c>
      <c r="C192" s="121" t="s">
        <v>3359</v>
      </c>
      <c r="D192" s="121" t="s">
        <v>3475</v>
      </c>
      <c r="E192" s="121" t="s">
        <v>3476</v>
      </c>
      <c r="F192" s="121" t="s">
        <v>849</v>
      </c>
      <c r="G192" s="121" t="s">
        <v>1798</v>
      </c>
      <c r="H192" s="121" t="s">
        <v>3024</v>
      </c>
      <c r="I192" s="121"/>
      <c r="J192" s="121" t="s">
        <v>3477</v>
      </c>
      <c r="K192" s="121" t="s">
        <v>3363</v>
      </c>
    </row>
    <row r="193" customFormat="false" ht="46.25" hidden="false" customHeight="false" outlineLevel="0" collapsed="false">
      <c r="A193" s="6" t="s">
        <v>2375</v>
      </c>
      <c r="B193" s="6" t="s">
        <v>230</v>
      </c>
      <c r="C193" s="6" t="s">
        <v>3359</v>
      </c>
      <c r="D193" s="6" t="s">
        <v>3478</v>
      </c>
      <c r="E193" s="6" t="s">
        <v>3479</v>
      </c>
      <c r="F193" s="6" t="s">
        <v>884</v>
      </c>
      <c r="G193" s="6" t="s">
        <v>1848</v>
      </c>
      <c r="H193" s="6" t="s">
        <v>3024</v>
      </c>
      <c r="I193" s="6"/>
      <c r="J193" s="6" t="s">
        <v>3416</v>
      </c>
      <c r="K193" s="6" t="s">
        <v>3363</v>
      </c>
    </row>
    <row r="194" customFormat="false" ht="46.25" hidden="false" customHeight="false" outlineLevel="0" collapsed="false">
      <c r="A194" s="121" t="s">
        <v>2375</v>
      </c>
      <c r="B194" s="121" t="s">
        <v>230</v>
      </c>
      <c r="C194" s="121" t="s">
        <v>3359</v>
      </c>
      <c r="D194" s="121" t="s">
        <v>3480</v>
      </c>
      <c r="E194" s="121" t="s">
        <v>3481</v>
      </c>
      <c r="F194" s="121" t="s">
        <v>3482</v>
      </c>
      <c r="G194" s="121" t="s">
        <v>3248</v>
      </c>
      <c r="H194" s="121" t="s">
        <v>3024</v>
      </c>
      <c r="I194" s="121"/>
      <c r="J194" s="121" t="s">
        <v>3483</v>
      </c>
      <c r="K194" s="121" t="s">
        <v>3363</v>
      </c>
    </row>
    <row r="195" customFormat="false" ht="46.25" hidden="false" customHeight="false" outlineLevel="0" collapsed="false">
      <c r="A195" s="6" t="s">
        <v>2375</v>
      </c>
      <c r="B195" s="6" t="s">
        <v>230</v>
      </c>
      <c r="C195" s="6" t="s">
        <v>3359</v>
      </c>
      <c r="D195" s="6" t="s">
        <v>3484</v>
      </c>
      <c r="E195" s="6"/>
      <c r="F195" s="6" t="s">
        <v>287</v>
      </c>
      <c r="G195" s="6" t="s">
        <v>287</v>
      </c>
      <c r="H195" s="6" t="s">
        <v>3024</v>
      </c>
      <c r="I195" s="6"/>
      <c r="J195" s="6" t="s">
        <v>3365</v>
      </c>
      <c r="K195" s="6" t="s">
        <v>3363</v>
      </c>
    </row>
    <row r="196" customFormat="false" ht="46.25" hidden="false" customHeight="false" outlineLevel="0" collapsed="false">
      <c r="A196" s="121" t="s">
        <v>2375</v>
      </c>
      <c r="B196" s="121" t="s">
        <v>2393</v>
      </c>
      <c r="C196" s="121" t="s">
        <v>3485</v>
      </c>
      <c r="D196" s="121" t="s">
        <v>2649</v>
      </c>
      <c r="E196" s="121" t="s">
        <v>3486</v>
      </c>
      <c r="F196" s="121" t="s">
        <v>2305</v>
      </c>
      <c r="G196" s="121" t="s">
        <v>2312</v>
      </c>
      <c r="H196" s="121" t="s">
        <v>3024</v>
      </c>
      <c r="I196" s="121"/>
      <c r="J196" s="121" t="s">
        <v>3409</v>
      </c>
      <c r="K196" s="121" t="s">
        <v>3363</v>
      </c>
    </row>
    <row r="197" customFormat="false" ht="46.25" hidden="false" customHeight="false" outlineLevel="0" collapsed="false">
      <c r="A197" s="6" t="s">
        <v>2375</v>
      </c>
      <c r="B197" s="6" t="s">
        <v>2393</v>
      </c>
      <c r="C197" s="6" t="s">
        <v>3485</v>
      </c>
      <c r="D197" s="6" t="s">
        <v>3487</v>
      </c>
      <c r="E197" s="6" t="s">
        <v>3488</v>
      </c>
      <c r="F197" s="6" t="s">
        <v>2200</v>
      </c>
      <c r="G197" s="6" t="s">
        <v>2207</v>
      </c>
      <c r="H197" s="6" t="s">
        <v>3024</v>
      </c>
      <c r="I197" s="6"/>
      <c r="J197" s="6" t="s">
        <v>3489</v>
      </c>
      <c r="K197" s="6" t="s">
        <v>3363</v>
      </c>
    </row>
    <row r="198" customFormat="false" ht="46.25" hidden="false" customHeight="false" outlineLevel="0" collapsed="false">
      <c r="A198" s="121" t="s">
        <v>2375</v>
      </c>
      <c r="B198" s="121" t="s">
        <v>2393</v>
      </c>
      <c r="C198" s="121" t="s">
        <v>3485</v>
      </c>
      <c r="D198" s="121" t="s">
        <v>3490</v>
      </c>
      <c r="E198" s="121" t="s">
        <v>3491</v>
      </c>
      <c r="F198" s="121" t="s">
        <v>2200</v>
      </c>
      <c r="G198" s="121" t="s">
        <v>2207</v>
      </c>
      <c r="H198" s="121" t="s">
        <v>3024</v>
      </c>
      <c r="I198" s="121"/>
      <c r="J198" s="121" t="s">
        <v>3489</v>
      </c>
      <c r="K198" s="121" t="s">
        <v>3363</v>
      </c>
    </row>
    <row r="199" customFormat="false" ht="46.25" hidden="false" customHeight="false" outlineLevel="0" collapsed="false">
      <c r="A199" s="6" t="s">
        <v>2375</v>
      </c>
      <c r="B199" s="6" t="s">
        <v>2393</v>
      </c>
      <c r="C199" s="6" t="s">
        <v>3485</v>
      </c>
      <c r="D199" s="6" t="s">
        <v>3492</v>
      </c>
      <c r="E199" s="6" t="s">
        <v>3493</v>
      </c>
      <c r="F199" s="6" t="s">
        <v>2321</v>
      </c>
      <c r="G199" s="6" t="s">
        <v>2329</v>
      </c>
      <c r="H199" s="6" t="s">
        <v>3024</v>
      </c>
      <c r="I199" s="6"/>
      <c r="J199" s="6" t="s">
        <v>3393</v>
      </c>
      <c r="K199" s="6" t="s">
        <v>3363</v>
      </c>
    </row>
    <row r="200" customFormat="false" ht="46.25" hidden="false" customHeight="false" outlineLevel="0" collapsed="false">
      <c r="A200" s="121" t="s">
        <v>2375</v>
      </c>
      <c r="B200" s="121" t="s">
        <v>2393</v>
      </c>
      <c r="C200" s="121" t="s">
        <v>3485</v>
      </c>
      <c r="D200" s="121" t="s">
        <v>3494</v>
      </c>
      <c r="E200" s="121" t="s">
        <v>3495</v>
      </c>
      <c r="F200" s="121" t="s">
        <v>2321</v>
      </c>
      <c r="G200" s="121" t="s">
        <v>2329</v>
      </c>
      <c r="H200" s="121" t="s">
        <v>3024</v>
      </c>
      <c r="I200" s="121"/>
      <c r="J200" s="121" t="s">
        <v>3393</v>
      </c>
      <c r="K200" s="121" t="s">
        <v>3363</v>
      </c>
    </row>
    <row r="201" customFormat="false" ht="46.25" hidden="false" customHeight="false" outlineLevel="0" collapsed="false">
      <c r="A201" s="6" t="s">
        <v>2375</v>
      </c>
      <c r="B201" s="6" t="s">
        <v>2393</v>
      </c>
      <c r="C201" s="6" t="s">
        <v>3485</v>
      </c>
      <c r="D201" s="6" t="s">
        <v>3496</v>
      </c>
      <c r="E201" s="6" t="s">
        <v>3497</v>
      </c>
      <c r="F201" s="6" t="s">
        <v>2217</v>
      </c>
      <c r="G201" s="6" t="s">
        <v>2224</v>
      </c>
      <c r="H201" s="6" t="s">
        <v>3024</v>
      </c>
      <c r="I201" s="6"/>
      <c r="J201" s="6" t="s">
        <v>3498</v>
      </c>
      <c r="K201" s="6" t="s">
        <v>3363</v>
      </c>
    </row>
    <row r="202" customFormat="false" ht="46.25" hidden="false" customHeight="false" outlineLevel="0" collapsed="false">
      <c r="A202" s="121" t="s">
        <v>2375</v>
      </c>
      <c r="B202" s="121" t="s">
        <v>2393</v>
      </c>
      <c r="C202" s="121" t="s">
        <v>3485</v>
      </c>
      <c r="D202" s="121" t="s">
        <v>2620</v>
      </c>
      <c r="E202" s="121" t="s">
        <v>3499</v>
      </c>
      <c r="F202" s="121" t="s">
        <v>2217</v>
      </c>
      <c r="G202" s="121" t="s">
        <v>2224</v>
      </c>
      <c r="H202" s="121" t="s">
        <v>3024</v>
      </c>
      <c r="I202" s="121"/>
      <c r="J202" s="121" t="s">
        <v>3498</v>
      </c>
      <c r="K202" s="121" t="s">
        <v>3363</v>
      </c>
    </row>
    <row r="203" customFormat="false" ht="46.25" hidden="false" customHeight="false" outlineLevel="0" collapsed="false">
      <c r="A203" s="6" t="s">
        <v>2375</v>
      </c>
      <c r="B203" s="6" t="s">
        <v>2393</v>
      </c>
      <c r="C203" s="6" t="s">
        <v>3485</v>
      </c>
      <c r="D203" s="6" t="s">
        <v>3500</v>
      </c>
      <c r="E203" s="6" t="s">
        <v>3501</v>
      </c>
      <c r="F203" s="6" t="s">
        <v>2217</v>
      </c>
      <c r="G203" s="6" t="s">
        <v>2224</v>
      </c>
      <c r="H203" s="6" t="s">
        <v>3024</v>
      </c>
      <c r="I203" s="6"/>
      <c r="J203" s="6" t="s">
        <v>3498</v>
      </c>
      <c r="K203" s="6" t="s">
        <v>3363</v>
      </c>
    </row>
    <row r="204" customFormat="false" ht="46.25" hidden="false" customHeight="false" outlineLevel="0" collapsed="false">
      <c r="A204" s="121" t="s">
        <v>2375</v>
      </c>
      <c r="B204" s="121" t="s">
        <v>2393</v>
      </c>
      <c r="C204" s="121" t="s">
        <v>3485</v>
      </c>
      <c r="D204" s="121" t="s">
        <v>3502</v>
      </c>
      <c r="E204" s="121" t="s">
        <v>3503</v>
      </c>
      <c r="F204" s="121" t="s">
        <v>2217</v>
      </c>
      <c r="G204" s="121" t="s">
        <v>2224</v>
      </c>
      <c r="H204" s="121" t="s">
        <v>3024</v>
      </c>
      <c r="I204" s="121"/>
      <c r="J204" s="121" t="s">
        <v>3498</v>
      </c>
      <c r="K204" s="121" t="s">
        <v>3363</v>
      </c>
    </row>
    <row r="205" customFormat="false" ht="57.45" hidden="false" customHeight="false" outlineLevel="0" collapsed="false">
      <c r="A205" s="6" t="s">
        <v>2374</v>
      </c>
      <c r="B205" s="6" t="s">
        <v>2388</v>
      </c>
      <c r="C205" s="6" t="s">
        <v>3504</v>
      </c>
      <c r="D205" s="6" t="s">
        <v>3505</v>
      </c>
      <c r="E205" s="6" t="s">
        <v>3004</v>
      </c>
      <c r="F205" s="6" t="s">
        <v>3506</v>
      </c>
      <c r="G205" s="6" t="s">
        <v>3507</v>
      </c>
      <c r="H205" s="6" t="s">
        <v>3024</v>
      </c>
      <c r="I205" s="6"/>
      <c r="J205" s="6" t="s">
        <v>3508</v>
      </c>
      <c r="K205" s="6" t="s">
        <v>3509</v>
      </c>
    </row>
    <row r="206" customFormat="false" ht="57.45" hidden="false" customHeight="false" outlineLevel="0" collapsed="false">
      <c r="A206" s="121" t="s">
        <v>2374</v>
      </c>
      <c r="B206" s="121" t="s">
        <v>2388</v>
      </c>
      <c r="C206" s="121" t="s">
        <v>3504</v>
      </c>
      <c r="D206" s="121" t="s">
        <v>281</v>
      </c>
      <c r="E206" s="121" t="s">
        <v>3510</v>
      </c>
      <c r="F206" s="121" t="s">
        <v>3511</v>
      </c>
      <c r="G206" s="121" t="s">
        <v>3512</v>
      </c>
      <c r="H206" s="121" t="s">
        <v>3024</v>
      </c>
      <c r="I206" s="121"/>
      <c r="J206" s="121" t="s">
        <v>3513</v>
      </c>
      <c r="K206" s="121" t="s">
        <v>3509</v>
      </c>
    </row>
    <row r="207" customFormat="false" ht="57.45" hidden="false" customHeight="false" outlineLevel="0" collapsed="false">
      <c r="A207" s="6" t="s">
        <v>2374</v>
      </c>
      <c r="B207" s="6" t="s">
        <v>2388</v>
      </c>
      <c r="C207" s="6" t="s">
        <v>3504</v>
      </c>
      <c r="D207" s="6" t="s">
        <v>890</v>
      </c>
      <c r="E207" s="6" t="s">
        <v>3514</v>
      </c>
      <c r="F207" s="6" t="s">
        <v>3515</v>
      </c>
      <c r="G207" s="6" t="s">
        <v>3516</v>
      </c>
      <c r="H207" s="6" t="s">
        <v>3024</v>
      </c>
      <c r="I207" s="6"/>
      <c r="J207" s="6" t="s">
        <v>3517</v>
      </c>
      <c r="K207" s="6" t="s">
        <v>3509</v>
      </c>
    </row>
    <row r="208" customFormat="false" ht="57.45" hidden="false" customHeight="false" outlineLevel="0" collapsed="false">
      <c r="A208" s="121" t="s">
        <v>2374</v>
      </c>
      <c r="B208" s="121" t="s">
        <v>2388</v>
      </c>
      <c r="C208" s="121" t="s">
        <v>3504</v>
      </c>
      <c r="D208" s="121" t="s">
        <v>3518</v>
      </c>
      <c r="E208" s="121" t="s">
        <v>3519</v>
      </c>
      <c r="F208" s="121" t="s">
        <v>3520</v>
      </c>
      <c r="G208" s="121" t="s">
        <v>3521</v>
      </c>
      <c r="H208" s="121" t="s">
        <v>3024</v>
      </c>
      <c r="I208" s="121"/>
      <c r="J208" s="121" t="s">
        <v>3522</v>
      </c>
      <c r="K208" s="121" t="s">
        <v>3509</v>
      </c>
    </row>
    <row r="209" customFormat="false" ht="57.45" hidden="false" customHeight="false" outlineLevel="0" collapsed="false">
      <c r="A209" s="6" t="s">
        <v>2374</v>
      </c>
      <c r="B209" s="6" t="s">
        <v>2388</v>
      </c>
      <c r="C209" s="6" t="s">
        <v>3504</v>
      </c>
      <c r="D209" s="6" t="s">
        <v>3523</v>
      </c>
      <c r="E209" s="6" t="s">
        <v>3524</v>
      </c>
      <c r="F209" s="6" t="s">
        <v>3525</v>
      </c>
      <c r="G209" s="6" t="s">
        <v>3526</v>
      </c>
      <c r="H209" s="6" t="s">
        <v>3024</v>
      </c>
      <c r="I209" s="6"/>
      <c r="J209" s="6" t="s">
        <v>3527</v>
      </c>
      <c r="K209" s="6" t="s">
        <v>3509</v>
      </c>
    </row>
    <row r="210" customFormat="false" ht="57.45" hidden="false" customHeight="false" outlineLevel="0" collapsed="false">
      <c r="A210" s="121" t="s">
        <v>2374</v>
      </c>
      <c r="B210" s="121" t="s">
        <v>2388</v>
      </c>
      <c r="C210" s="121" t="s">
        <v>3504</v>
      </c>
      <c r="D210" s="121" t="s">
        <v>2791</v>
      </c>
      <c r="E210" s="121" t="s">
        <v>3528</v>
      </c>
      <c r="F210" s="121" t="s">
        <v>3529</v>
      </c>
      <c r="G210" s="121" t="s">
        <v>3530</v>
      </c>
      <c r="H210" s="121" t="s">
        <v>3024</v>
      </c>
      <c r="I210" s="121"/>
      <c r="J210" s="121" t="s">
        <v>3531</v>
      </c>
      <c r="K210" s="121" t="s">
        <v>3509</v>
      </c>
    </row>
    <row r="211" customFormat="false" ht="57.45" hidden="false" customHeight="false" outlineLevel="0" collapsed="false">
      <c r="A211" s="6" t="s">
        <v>2374</v>
      </c>
      <c r="B211" s="6" t="s">
        <v>2388</v>
      </c>
      <c r="C211" s="6" t="s">
        <v>3504</v>
      </c>
      <c r="D211" s="6" t="s">
        <v>3532</v>
      </c>
      <c r="E211" s="6" t="s">
        <v>3533</v>
      </c>
      <c r="F211" s="6" t="s">
        <v>3534</v>
      </c>
      <c r="G211" s="6" t="s">
        <v>3535</v>
      </c>
      <c r="H211" s="6" t="s">
        <v>3024</v>
      </c>
      <c r="I211" s="6"/>
      <c r="J211" s="6" t="s">
        <v>3536</v>
      </c>
      <c r="K211" s="6" t="s">
        <v>3509</v>
      </c>
    </row>
    <row r="212" customFormat="false" ht="57.45" hidden="false" customHeight="false" outlineLevel="0" collapsed="false">
      <c r="A212" s="121" t="s">
        <v>2374</v>
      </c>
      <c r="B212" s="121" t="s">
        <v>2388</v>
      </c>
      <c r="C212" s="121" t="s">
        <v>3504</v>
      </c>
      <c r="D212" s="121" t="s">
        <v>3537</v>
      </c>
      <c r="E212" s="121" t="s">
        <v>3538</v>
      </c>
      <c r="F212" s="121" t="s">
        <v>3539</v>
      </c>
      <c r="G212" s="121" t="s">
        <v>3540</v>
      </c>
      <c r="H212" s="121" t="s">
        <v>3024</v>
      </c>
      <c r="I212" s="121"/>
      <c r="J212" s="121" t="s">
        <v>3541</v>
      </c>
      <c r="K212" s="121" t="s">
        <v>3509</v>
      </c>
    </row>
    <row r="213" customFormat="false" ht="57.45" hidden="false" customHeight="false" outlineLevel="0" collapsed="false">
      <c r="A213" s="6" t="s">
        <v>2374</v>
      </c>
      <c r="B213" s="6" t="s">
        <v>2388</v>
      </c>
      <c r="C213" s="6" t="s">
        <v>3504</v>
      </c>
      <c r="D213" s="6" t="s">
        <v>3542</v>
      </c>
      <c r="E213" s="6" t="s">
        <v>3543</v>
      </c>
      <c r="F213" s="6" t="s">
        <v>3043</v>
      </c>
      <c r="G213" s="6" t="s">
        <v>3044</v>
      </c>
      <c r="H213" s="6" t="s">
        <v>3024</v>
      </c>
      <c r="I213" s="6"/>
      <c r="J213" s="6" t="s">
        <v>3544</v>
      </c>
      <c r="K213" s="6" t="s">
        <v>3509</v>
      </c>
    </row>
    <row r="214" customFormat="false" ht="57.45" hidden="false" customHeight="false" outlineLevel="0" collapsed="false">
      <c r="A214" s="121" t="s">
        <v>2374</v>
      </c>
      <c r="B214" s="121" t="s">
        <v>2388</v>
      </c>
      <c r="C214" s="121" t="s">
        <v>3504</v>
      </c>
      <c r="D214" s="121" t="s">
        <v>950</v>
      </c>
      <c r="E214" s="121" t="s">
        <v>3545</v>
      </c>
      <c r="F214" s="121" t="s">
        <v>3546</v>
      </c>
      <c r="G214" s="121" t="s">
        <v>3547</v>
      </c>
      <c r="H214" s="121" t="s">
        <v>3024</v>
      </c>
      <c r="I214" s="121"/>
      <c r="J214" s="121" t="s">
        <v>3548</v>
      </c>
      <c r="K214" s="121" t="s">
        <v>3509</v>
      </c>
    </row>
    <row r="215" customFormat="false" ht="57.45" hidden="false" customHeight="false" outlineLevel="0" collapsed="false">
      <c r="A215" s="6" t="s">
        <v>2374</v>
      </c>
      <c r="B215" s="6" t="s">
        <v>2389</v>
      </c>
      <c r="C215" s="6" t="s">
        <v>3549</v>
      </c>
      <c r="D215" s="6" t="s">
        <v>3550</v>
      </c>
      <c r="E215" s="6" t="s">
        <v>3551</v>
      </c>
      <c r="F215" s="6" t="s">
        <v>1691</v>
      </c>
      <c r="G215" s="6" t="s">
        <v>1306</v>
      </c>
      <c r="H215" s="6" t="s">
        <v>3024</v>
      </c>
      <c r="I215" s="6"/>
      <c r="J215" s="6" t="s">
        <v>3552</v>
      </c>
      <c r="K215" s="6" t="s">
        <v>3509</v>
      </c>
    </row>
    <row r="216" customFormat="false" ht="57.45" hidden="false" customHeight="false" outlineLevel="0" collapsed="false">
      <c r="A216" s="121" t="s">
        <v>2374</v>
      </c>
      <c r="B216" s="121" t="s">
        <v>2389</v>
      </c>
      <c r="C216" s="121" t="s">
        <v>3549</v>
      </c>
      <c r="D216" s="121" t="s">
        <v>3553</v>
      </c>
      <c r="E216" s="121" t="s">
        <v>3554</v>
      </c>
      <c r="F216" s="121" t="s">
        <v>3555</v>
      </c>
      <c r="G216" s="121" t="s">
        <v>2001</v>
      </c>
      <c r="H216" s="121" t="s">
        <v>3024</v>
      </c>
      <c r="I216" s="121"/>
      <c r="J216" s="121" t="s">
        <v>3556</v>
      </c>
      <c r="K216" s="121" t="s">
        <v>3509</v>
      </c>
    </row>
    <row r="217" customFormat="false" ht="57.45" hidden="false" customHeight="false" outlineLevel="0" collapsed="false">
      <c r="A217" s="6" t="s">
        <v>2374</v>
      </c>
      <c r="B217" s="6" t="s">
        <v>2389</v>
      </c>
      <c r="C217" s="6" t="s">
        <v>3549</v>
      </c>
      <c r="D217" s="6" t="s">
        <v>3557</v>
      </c>
      <c r="E217" s="6" t="s">
        <v>3558</v>
      </c>
      <c r="F217" s="6" t="s">
        <v>3110</v>
      </c>
      <c r="G217" s="6" t="s">
        <v>3111</v>
      </c>
      <c r="H217" s="6" t="s">
        <v>3024</v>
      </c>
      <c r="I217" s="6"/>
      <c r="J217" s="6" t="s">
        <v>3559</v>
      </c>
      <c r="K217" s="6" t="s">
        <v>3509</v>
      </c>
    </row>
    <row r="218" customFormat="false" ht="57.45" hidden="false" customHeight="false" outlineLevel="0" collapsed="false">
      <c r="A218" s="121" t="s">
        <v>2374</v>
      </c>
      <c r="B218" s="121" t="s">
        <v>2389</v>
      </c>
      <c r="C218" s="121" t="s">
        <v>3549</v>
      </c>
      <c r="D218" s="121" t="s">
        <v>3560</v>
      </c>
      <c r="E218" s="121" t="s">
        <v>3561</v>
      </c>
      <c r="F218" s="121" t="s">
        <v>731</v>
      </c>
      <c r="G218" s="121" t="s">
        <v>2001</v>
      </c>
      <c r="H218" s="121" t="s">
        <v>3024</v>
      </c>
      <c r="I218" s="121"/>
      <c r="J218" s="121" t="s">
        <v>3562</v>
      </c>
      <c r="K218" s="121" t="s">
        <v>3509</v>
      </c>
    </row>
    <row r="219" customFormat="false" ht="57.45" hidden="false" customHeight="false" outlineLevel="0" collapsed="false">
      <c r="A219" s="6" t="s">
        <v>2374</v>
      </c>
      <c r="B219" s="6" t="s">
        <v>2389</v>
      </c>
      <c r="C219" s="6" t="s">
        <v>3549</v>
      </c>
      <c r="D219" s="6" t="s">
        <v>3563</v>
      </c>
      <c r="E219" s="6" t="s">
        <v>3564</v>
      </c>
      <c r="F219" s="6" t="s">
        <v>2041</v>
      </c>
      <c r="G219" s="6" t="s">
        <v>2048</v>
      </c>
      <c r="H219" s="6" t="s">
        <v>3024</v>
      </c>
      <c r="I219" s="6"/>
      <c r="J219" s="6" t="s">
        <v>3565</v>
      </c>
      <c r="K219" s="6" t="s">
        <v>3509</v>
      </c>
    </row>
    <row r="220" customFormat="false" ht="57.45" hidden="false" customHeight="false" outlineLevel="0" collapsed="false">
      <c r="A220" s="121" t="s">
        <v>2374</v>
      </c>
      <c r="B220" s="121" t="s">
        <v>2389</v>
      </c>
      <c r="C220" s="121" t="s">
        <v>3549</v>
      </c>
      <c r="D220" s="121" t="s">
        <v>3566</v>
      </c>
      <c r="E220" s="121" t="s">
        <v>3567</v>
      </c>
      <c r="F220" s="121" t="s">
        <v>2029</v>
      </c>
      <c r="G220" s="121" t="s">
        <v>2035</v>
      </c>
      <c r="H220" s="121" t="s">
        <v>3024</v>
      </c>
      <c r="I220" s="121"/>
      <c r="J220" s="121" t="s">
        <v>3207</v>
      </c>
      <c r="K220" s="121" t="s">
        <v>3509</v>
      </c>
    </row>
    <row r="221" customFormat="false" ht="57.45" hidden="false" customHeight="false" outlineLevel="0" collapsed="false">
      <c r="A221" s="6" t="s">
        <v>2374</v>
      </c>
      <c r="B221" s="6" t="s">
        <v>2389</v>
      </c>
      <c r="C221" s="6" t="s">
        <v>3549</v>
      </c>
      <c r="D221" s="6" t="s">
        <v>3568</v>
      </c>
      <c r="E221" s="6" t="s">
        <v>3569</v>
      </c>
      <c r="F221" s="6" t="s">
        <v>3570</v>
      </c>
      <c r="G221" s="6" t="s">
        <v>1866</v>
      </c>
      <c r="H221" s="6" t="s">
        <v>3024</v>
      </c>
      <c r="I221" s="6"/>
      <c r="J221" s="6" t="s">
        <v>3571</v>
      </c>
      <c r="K221" s="6" t="s">
        <v>3509</v>
      </c>
    </row>
    <row r="222" customFormat="false" ht="57.45" hidden="false" customHeight="false" outlineLevel="0" collapsed="false">
      <c r="A222" s="121" t="s">
        <v>2374</v>
      </c>
      <c r="B222" s="121" t="s">
        <v>2389</v>
      </c>
      <c r="C222" s="121" t="s">
        <v>3549</v>
      </c>
      <c r="D222" s="121" t="s">
        <v>3572</v>
      </c>
      <c r="E222" s="121" t="s">
        <v>3573</v>
      </c>
      <c r="F222" s="121" t="s">
        <v>2011</v>
      </c>
      <c r="G222" s="121" t="s">
        <v>2019</v>
      </c>
      <c r="H222" s="121" t="s">
        <v>3024</v>
      </c>
      <c r="I222" s="121"/>
      <c r="J222" s="121" t="s">
        <v>3574</v>
      </c>
      <c r="K222" s="121" t="s">
        <v>3509</v>
      </c>
    </row>
    <row r="223" customFormat="false" ht="57.45" hidden="false" customHeight="false" outlineLevel="0" collapsed="false">
      <c r="A223" s="6" t="s">
        <v>2374</v>
      </c>
      <c r="B223" s="6" t="s">
        <v>2389</v>
      </c>
      <c r="C223" s="6" t="s">
        <v>3549</v>
      </c>
      <c r="D223" s="6" t="s">
        <v>2694</v>
      </c>
      <c r="E223" s="6" t="s">
        <v>3575</v>
      </c>
      <c r="F223" s="6" t="s">
        <v>3114</v>
      </c>
      <c r="G223" s="6" t="s">
        <v>2347</v>
      </c>
      <c r="H223" s="6" t="s">
        <v>3024</v>
      </c>
      <c r="I223" s="6"/>
      <c r="J223" s="6" t="s">
        <v>3207</v>
      </c>
      <c r="K223" s="6" t="s">
        <v>3509</v>
      </c>
    </row>
    <row r="224" customFormat="false" ht="57.45" hidden="false" customHeight="false" outlineLevel="0" collapsed="false">
      <c r="A224" s="121" t="s">
        <v>2374</v>
      </c>
      <c r="B224" s="121" t="s">
        <v>2389</v>
      </c>
      <c r="C224" s="121" t="s">
        <v>3549</v>
      </c>
      <c r="D224" s="121" t="s">
        <v>3576</v>
      </c>
      <c r="E224" s="121" t="s">
        <v>3577</v>
      </c>
      <c r="F224" s="121" t="s">
        <v>3578</v>
      </c>
      <c r="G224" s="121" t="s">
        <v>2019</v>
      </c>
      <c r="H224" s="121" t="s">
        <v>3024</v>
      </c>
      <c r="I224" s="121"/>
      <c r="J224" s="121" t="s">
        <v>3579</v>
      </c>
      <c r="K224" s="121" t="s">
        <v>3509</v>
      </c>
    </row>
    <row r="225" customFormat="false" ht="46.25" hidden="false" customHeight="false" outlineLevel="0" collapsed="false">
      <c r="A225" s="6" t="s">
        <v>2374</v>
      </c>
      <c r="B225" s="6" t="s">
        <v>2390</v>
      </c>
      <c r="C225" s="6" t="s">
        <v>3580</v>
      </c>
      <c r="D225" s="6" t="s">
        <v>3581</v>
      </c>
      <c r="E225" s="6" t="s">
        <v>3582</v>
      </c>
      <c r="F225" s="6" t="s">
        <v>3583</v>
      </c>
      <c r="G225" s="6" t="s">
        <v>3319</v>
      </c>
      <c r="H225" s="6" t="s">
        <v>3024</v>
      </c>
      <c r="I225" s="6"/>
      <c r="J225" s="6" t="s">
        <v>3584</v>
      </c>
      <c r="K225" s="6" t="s">
        <v>3585</v>
      </c>
    </row>
    <row r="226" customFormat="false" ht="46.25" hidden="false" customHeight="false" outlineLevel="0" collapsed="false">
      <c r="A226" s="121" t="s">
        <v>2374</v>
      </c>
      <c r="B226" s="121" t="s">
        <v>2390</v>
      </c>
      <c r="C226" s="121" t="s">
        <v>3580</v>
      </c>
      <c r="D226" s="121" t="s">
        <v>3586</v>
      </c>
      <c r="E226" s="121" t="s">
        <v>3587</v>
      </c>
      <c r="F226" s="121" t="s">
        <v>3110</v>
      </c>
      <c r="G226" s="121" t="s">
        <v>3111</v>
      </c>
      <c r="H226" s="121" t="s">
        <v>3024</v>
      </c>
      <c r="I226" s="121"/>
      <c r="J226" s="121" t="s">
        <v>3588</v>
      </c>
      <c r="K226" s="121" t="s">
        <v>3585</v>
      </c>
    </row>
    <row r="227" customFormat="false" ht="46.25" hidden="false" customHeight="false" outlineLevel="0" collapsed="false">
      <c r="A227" s="6" t="s">
        <v>2374</v>
      </c>
      <c r="B227" s="6" t="s">
        <v>2390</v>
      </c>
      <c r="C227" s="6" t="s">
        <v>3580</v>
      </c>
      <c r="D227" s="6" t="s">
        <v>3589</v>
      </c>
      <c r="E227" s="6" t="s">
        <v>3590</v>
      </c>
      <c r="F227" s="6" t="s">
        <v>2057</v>
      </c>
      <c r="G227" s="6" t="s">
        <v>419</v>
      </c>
      <c r="H227" s="6" t="s">
        <v>3024</v>
      </c>
      <c r="I227" s="6"/>
      <c r="J227" s="6" t="s">
        <v>3591</v>
      </c>
      <c r="K227" s="6" t="s">
        <v>3585</v>
      </c>
    </row>
    <row r="228" customFormat="false" ht="46.25" hidden="false" customHeight="false" outlineLevel="0" collapsed="false">
      <c r="A228" s="121" t="s">
        <v>2374</v>
      </c>
      <c r="B228" s="121" t="s">
        <v>2390</v>
      </c>
      <c r="C228" s="121" t="s">
        <v>3580</v>
      </c>
      <c r="D228" s="121" t="s">
        <v>3592</v>
      </c>
      <c r="E228" s="121" t="s">
        <v>3593</v>
      </c>
      <c r="F228" s="121" t="s">
        <v>3594</v>
      </c>
      <c r="G228" s="121" t="s">
        <v>419</v>
      </c>
      <c r="H228" s="121" t="s">
        <v>3024</v>
      </c>
      <c r="I228" s="121"/>
      <c r="J228" s="121" t="s">
        <v>3595</v>
      </c>
      <c r="K228" s="121" t="s">
        <v>3585</v>
      </c>
    </row>
    <row r="229" customFormat="false" ht="46.25" hidden="false" customHeight="false" outlineLevel="0" collapsed="false">
      <c r="A229" s="6" t="s">
        <v>2374</v>
      </c>
      <c r="B229" s="6" t="s">
        <v>2390</v>
      </c>
      <c r="C229" s="6" t="s">
        <v>3580</v>
      </c>
      <c r="D229" s="6" t="s">
        <v>3596</v>
      </c>
      <c r="E229" s="6" t="s">
        <v>3597</v>
      </c>
      <c r="F229" s="6" t="s">
        <v>2071</v>
      </c>
      <c r="G229" s="6" t="s">
        <v>419</v>
      </c>
      <c r="H229" s="6" t="s">
        <v>3024</v>
      </c>
      <c r="I229" s="6"/>
      <c r="J229" s="6" t="s">
        <v>3598</v>
      </c>
      <c r="K229" s="6" t="s">
        <v>3585</v>
      </c>
    </row>
    <row r="230" customFormat="false" ht="46.25" hidden="false" customHeight="false" outlineLevel="0" collapsed="false">
      <c r="A230" s="121" t="s">
        <v>2374</v>
      </c>
      <c r="B230" s="121" t="s">
        <v>2390</v>
      </c>
      <c r="C230" s="121" t="s">
        <v>3580</v>
      </c>
      <c r="D230" s="121" t="s">
        <v>3599</v>
      </c>
      <c r="E230" s="121" t="s">
        <v>3600</v>
      </c>
      <c r="F230" s="121" t="s">
        <v>2057</v>
      </c>
      <c r="G230" s="121" t="s">
        <v>419</v>
      </c>
      <c r="H230" s="121" t="s">
        <v>3024</v>
      </c>
      <c r="I230" s="121"/>
      <c r="J230" s="121" t="s">
        <v>3601</v>
      </c>
      <c r="K230" s="121" t="s">
        <v>3585</v>
      </c>
    </row>
    <row r="231" customFormat="false" ht="46.25" hidden="false" customHeight="false" outlineLevel="0" collapsed="false">
      <c r="A231" s="6" t="s">
        <v>2374</v>
      </c>
      <c r="B231" s="6" t="s">
        <v>2390</v>
      </c>
      <c r="C231" s="6" t="s">
        <v>3580</v>
      </c>
      <c r="D231" s="6" t="s">
        <v>3602</v>
      </c>
      <c r="E231" s="6" t="s">
        <v>3603</v>
      </c>
      <c r="F231" s="6" t="s">
        <v>3090</v>
      </c>
      <c r="G231" s="6" t="s">
        <v>3091</v>
      </c>
      <c r="H231" s="6" t="s">
        <v>3024</v>
      </c>
      <c r="I231" s="6"/>
      <c r="J231" s="6" t="s">
        <v>3604</v>
      </c>
      <c r="K231" s="6" t="s">
        <v>3585</v>
      </c>
    </row>
    <row r="232" customFormat="false" ht="46.25" hidden="false" customHeight="false" outlineLevel="0" collapsed="false">
      <c r="A232" s="121" t="s">
        <v>2374</v>
      </c>
      <c r="B232" s="121" t="s">
        <v>2390</v>
      </c>
      <c r="C232" s="121" t="s">
        <v>3580</v>
      </c>
      <c r="D232" s="121" t="s">
        <v>534</v>
      </c>
      <c r="E232" s="121" t="s">
        <v>3605</v>
      </c>
      <c r="F232" s="121" t="s">
        <v>3076</v>
      </c>
      <c r="G232" s="121" t="s">
        <v>3077</v>
      </c>
      <c r="H232" s="121" t="s">
        <v>3024</v>
      </c>
      <c r="I232" s="121"/>
      <c r="J232" s="121" t="s">
        <v>3606</v>
      </c>
      <c r="K232" s="121" t="s">
        <v>3585</v>
      </c>
    </row>
    <row r="233" customFormat="false" ht="46.25" hidden="false" customHeight="false" outlineLevel="0" collapsed="false">
      <c r="A233" s="6" t="s">
        <v>2374</v>
      </c>
      <c r="B233" s="6" t="s">
        <v>2390</v>
      </c>
      <c r="C233" s="6" t="s">
        <v>3580</v>
      </c>
      <c r="D233" s="6" t="s">
        <v>3607</v>
      </c>
      <c r="E233" s="6" t="s">
        <v>3608</v>
      </c>
      <c r="F233" s="6" t="s">
        <v>488</v>
      </c>
      <c r="G233" s="6" t="s">
        <v>2019</v>
      </c>
      <c r="H233" s="6" t="s">
        <v>3024</v>
      </c>
      <c r="I233" s="6"/>
      <c r="J233" s="6" t="s">
        <v>3609</v>
      </c>
      <c r="K233" s="6" t="s">
        <v>3585</v>
      </c>
    </row>
    <row r="234" customFormat="false" ht="46.25" hidden="false" customHeight="false" outlineLevel="0" collapsed="false">
      <c r="A234" s="121" t="s">
        <v>2374</v>
      </c>
      <c r="B234" s="121" t="s">
        <v>2390</v>
      </c>
      <c r="C234" s="121" t="s">
        <v>3580</v>
      </c>
      <c r="D234" s="121" t="s">
        <v>3610</v>
      </c>
      <c r="E234" s="121" t="s">
        <v>3611</v>
      </c>
      <c r="F234" s="121" t="s">
        <v>2057</v>
      </c>
      <c r="G234" s="121" t="s">
        <v>419</v>
      </c>
      <c r="H234" s="121" t="s">
        <v>3024</v>
      </c>
      <c r="I234" s="121"/>
      <c r="J234" s="121" t="s">
        <v>3612</v>
      </c>
      <c r="K234" s="121" t="s">
        <v>3585</v>
      </c>
    </row>
    <row r="235" customFormat="false" ht="46.25" hidden="false" customHeight="false" outlineLevel="0" collapsed="false">
      <c r="A235" s="6" t="s">
        <v>2374</v>
      </c>
      <c r="B235" s="6" t="s">
        <v>2390</v>
      </c>
      <c r="C235" s="6" t="s">
        <v>3580</v>
      </c>
      <c r="D235" s="6" t="s">
        <v>3613</v>
      </c>
      <c r="E235" s="6" t="s">
        <v>3614</v>
      </c>
      <c r="F235" s="6" t="s">
        <v>2057</v>
      </c>
      <c r="G235" s="6" t="s">
        <v>419</v>
      </c>
      <c r="H235" s="6" t="s">
        <v>3024</v>
      </c>
      <c r="I235" s="6"/>
      <c r="J235" s="6" t="s">
        <v>3615</v>
      </c>
      <c r="K235" s="6" t="s">
        <v>3585</v>
      </c>
    </row>
    <row r="236" customFormat="false" ht="46.25" hidden="false" customHeight="false" outlineLevel="0" collapsed="false">
      <c r="A236" s="121" t="s">
        <v>2374</v>
      </c>
      <c r="B236" s="121" t="s">
        <v>2390</v>
      </c>
      <c r="C236" s="121" t="s">
        <v>3580</v>
      </c>
      <c r="D236" s="121" t="s">
        <v>3616</v>
      </c>
      <c r="E236" s="121" t="s">
        <v>3617</v>
      </c>
      <c r="F236" s="121" t="s">
        <v>944</v>
      </c>
      <c r="G236" s="121" t="s">
        <v>484</v>
      </c>
      <c r="H236" s="121" t="s">
        <v>3024</v>
      </c>
      <c r="I236" s="121"/>
      <c r="J236" s="121" t="s">
        <v>3618</v>
      </c>
      <c r="K236" s="121" t="s">
        <v>3585</v>
      </c>
    </row>
    <row r="237" customFormat="false" ht="46.25" hidden="false" customHeight="false" outlineLevel="0" collapsed="false">
      <c r="A237" s="6" t="s">
        <v>2374</v>
      </c>
      <c r="B237" s="6" t="s">
        <v>2390</v>
      </c>
      <c r="C237" s="6" t="s">
        <v>3580</v>
      </c>
      <c r="D237" s="6" t="s">
        <v>3619</v>
      </c>
      <c r="E237" s="6" t="s">
        <v>3620</v>
      </c>
      <c r="F237" s="6" t="s">
        <v>2234</v>
      </c>
      <c r="G237" s="6" t="s">
        <v>2242</v>
      </c>
      <c r="H237" s="6" t="s">
        <v>3024</v>
      </c>
      <c r="I237" s="6"/>
      <c r="J237" s="6" t="s">
        <v>3207</v>
      </c>
      <c r="K237" s="6" t="s">
        <v>3585</v>
      </c>
    </row>
    <row r="238" customFormat="false" ht="46.25" hidden="false" customHeight="false" outlineLevel="0" collapsed="false">
      <c r="A238" s="121" t="s">
        <v>2374</v>
      </c>
      <c r="B238" s="121" t="s">
        <v>2390</v>
      </c>
      <c r="C238" s="121" t="s">
        <v>3580</v>
      </c>
      <c r="D238" s="121" t="s">
        <v>3621</v>
      </c>
      <c r="E238" s="121" t="s">
        <v>3622</v>
      </c>
      <c r="F238" s="121" t="s">
        <v>2121</v>
      </c>
      <c r="G238" s="121" t="s">
        <v>2127</v>
      </c>
      <c r="H238" s="121" t="s">
        <v>3024</v>
      </c>
      <c r="I238" s="121"/>
      <c r="J238" s="121" t="s">
        <v>3623</v>
      </c>
      <c r="K238" s="121" t="s">
        <v>3585</v>
      </c>
    </row>
    <row r="239" customFormat="false" ht="46.25" hidden="false" customHeight="false" outlineLevel="0" collapsed="false">
      <c r="A239" s="6" t="s">
        <v>2374</v>
      </c>
      <c r="B239" s="6" t="s">
        <v>2390</v>
      </c>
      <c r="C239" s="6" t="s">
        <v>3580</v>
      </c>
      <c r="D239" s="6" t="s">
        <v>3624</v>
      </c>
      <c r="E239" s="6" t="s">
        <v>3625</v>
      </c>
      <c r="F239" s="6" t="s">
        <v>2041</v>
      </c>
      <c r="G239" s="6" t="s">
        <v>2048</v>
      </c>
      <c r="H239" s="6" t="s">
        <v>3024</v>
      </c>
      <c r="I239" s="6"/>
      <c r="J239" s="6" t="s">
        <v>3626</v>
      </c>
      <c r="K239" s="6" t="s">
        <v>3585</v>
      </c>
    </row>
    <row r="240" customFormat="false" ht="46.25" hidden="false" customHeight="false" outlineLevel="0" collapsed="false">
      <c r="A240" s="121" t="s">
        <v>2374</v>
      </c>
      <c r="B240" s="121" t="s">
        <v>2390</v>
      </c>
      <c r="C240" s="121" t="s">
        <v>3580</v>
      </c>
      <c r="D240" s="121" t="s">
        <v>3627</v>
      </c>
      <c r="E240" s="121" t="s">
        <v>3628</v>
      </c>
      <c r="F240" s="121" t="s">
        <v>3629</v>
      </c>
      <c r="G240" s="121" t="s">
        <v>3630</v>
      </c>
      <c r="H240" s="121" t="s">
        <v>3024</v>
      </c>
      <c r="I240" s="121"/>
      <c r="J240" s="121" t="s">
        <v>3631</v>
      </c>
      <c r="K240" s="121" t="s">
        <v>3585</v>
      </c>
    </row>
    <row r="241" customFormat="false" ht="46.25" hidden="false" customHeight="false" outlineLevel="0" collapsed="false">
      <c r="A241" s="6" t="s">
        <v>2374</v>
      </c>
      <c r="B241" s="6" t="s">
        <v>2390</v>
      </c>
      <c r="C241" s="6" t="s">
        <v>3580</v>
      </c>
      <c r="D241" s="6" t="s">
        <v>3632</v>
      </c>
      <c r="E241" s="6" t="s">
        <v>3633</v>
      </c>
      <c r="F241" s="6" t="s">
        <v>3634</v>
      </c>
      <c r="G241" s="6" t="s">
        <v>3635</v>
      </c>
      <c r="H241" s="6" t="s">
        <v>3024</v>
      </c>
      <c r="I241" s="6"/>
      <c r="J241" s="6" t="s">
        <v>3636</v>
      </c>
      <c r="K241" s="6" t="s">
        <v>3585</v>
      </c>
    </row>
    <row r="242" customFormat="false" ht="46.25" hidden="false" customHeight="false" outlineLevel="0" collapsed="false">
      <c r="A242" s="121" t="s">
        <v>2374</v>
      </c>
      <c r="B242" s="121" t="s">
        <v>2390</v>
      </c>
      <c r="C242" s="121" t="s">
        <v>3580</v>
      </c>
      <c r="D242" s="121" t="s">
        <v>3637</v>
      </c>
      <c r="E242" s="121" t="s">
        <v>3638</v>
      </c>
      <c r="F242" s="121" t="s">
        <v>1691</v>
      </c>
      <c r="G242" s="121" t="s">
        <v>1306</v>
      </c>
      <c r="H242" s="121" t="s">
        <v>3024</v>
      </c>
      <c r="I242" s="121"/>
      <c r="J242" s="121" t="s">
        <v>3639</v>
      </c>
      <c r="K242" s="121" t="s">
        <v>3585</v>
      </c>
    </row>
    <row r="243" customFormat="false" ht="46.25" hidden="false" customHeight="false" outlineLevel="0" collapsed="false">
      <c r="A243" s="6" t="s">
        <v>2374</v>
      </c>
      <c r="B243" s="6" t="s">
        <v>2390</v>
      </c>
      <c r="C243" s="6" t="s">
        <v>3580</v>
      </c>
      <c r="D243" s="6" t="s">
        <v>3640</v>
      </c>
      <c r="E243" s="6" t="s">
        <v>3641</v>
      </c>
      <c r="F243" s="6" t="s">
        <v>3642</v>
      </c>
      <c r="G243" s="6" t="s">
        <v>3643</v>
      </c>
      <c r="H243" s="6" t="s">
        <v>3024</v>
      </c>
      <c r="I243" s="6"/>
      <c r="J243" s="6" t="s">
        <v>3644</v>
      </c>
      <c r="K243" s="6" t="s">
        <v>3585</v>
      </c>
    </row>
    <row r="244" customFormat="false" ht="46.25" hidden="false" customHeight="false" outlineLevel="0" collapsed="false">
      <c r="A244" s="121" t="s">
        <v>2374</v>
      </c>
      <c r="B244" s="121" t="s">
        <v>2390</v>
      </c>
      <c r="C244" s="121" t="s">
        <v>3580</v>
      </c>
      <c r="D244" s="121" t="s">
        <v>3645</v>
      </c>
      <c r="E244" s="121" t="s">
        <v>3646</v>
      </c>
      <c r="F244" s="121" t="s">
        <v>1691</v>
      </c>
      <c r="G244" s="121" t="s">
        <v>1306</v>
      </c>
      <c r="H244" s="121" t="s">
        <v>3024</v>
      </c>
      <c r="I244" s="121"/>
      <c r="J244" s="121" t="s">
        <v>3647</v>
      </c>
      <c r="K244" s="121" t="s">
        <v>3585</v>
      </c>
    </row>
    <row r="245" customFormat="false" ht="46.25" hidden="false" customHeight="false" outlineLevel="0" collapsed="false">
      <c r="A245" s="6" t="s">
        <v>2374</v>
      </c>
      <c r="B245" s="6" t="s">
        <v>2390</v>
      </c>
      <c r="C245" s="6" t="s">
        <v>3580</v>
      </c>
      <c r="D245" s="6" t="s">
        <v>304</v>
      </c>
      <c r="E245" s="6" t="s">
        <v>3648</v>
      </c>
      <c r="F245" s="6" t="s">
        <v>3649</v>
      </c>
      <c r="G245" s="6" t="s">
        <v>3650</v>
      </c>
      <c r="H245" s="6" t="s">
        <v>3024</v>
      </c>
      <c r="I245" s="6"/>
      <c r="J245" s="6" t="s">
        <v>3651</v>
      </c>
      <c r="K245" s="6" t="s">
        <v>3585</v>
      </c>
    </row>
    <row r="246" customFormat="false" ht="46.25" hidden="false" customHeight="false" outlineLevel="0" collapsed="false">
      <c r="A246" s="121" t="s">
        <v>2374</v>
      </c>
      <c r="B246" s="121" t="s">
        <v>2390</v>
      </c>
      <c r="C246" s="121" t="s">
        <v>3580</v>
      </c>
      <c r="D246" s="121" t="s">
        <v>3652</v>
      </c>
      <c r="E246" s="121" t="s">
        <v>3653</v>
      </c>
      <c r="F246" s="121" t="s">
        <v>2071</v>
      </c>
      <c r="G246" s="121" t="s">
        <v>419</v>
      </c>
      <c r="H246" s="121" t="s">
        <v>3024</v>
      </c>
      <c r="I246" s="121"/>
      <c r="J246" s="121" t="s">
        <v>3654</v>
      </c>
      <c r="K246" s="121" t="s">
        <v>3585</v>
      </c>
    </row>
    <row r="247" customFormat="false" ht="46.25" hidden="false" customHeight="false" outlineLevel="0" collapsed="false">
      <c r="A247" s="6" t="s">
        <v>2374</v>
      </c>
      <c r="B247" s="6" t="s">
        <v>2390</v>
      </c>
      <c r="C247" s="6" t="s">
        <v>3580</v>
      </c>
      <c r="D247" s="6" t="s">
        <v>3655</v>
      </c>
      <c r="E247" s="6" t="s">
        <v>3656</v>
      </c>
      <c r="F247" s="6" t="s">
        <v>2234</v>
      </c>
      <c r="G247" s="6" t="s">
        <v>2242</v>
      </c>
      <c r="H247" s="6" t="s">
        <v>3024</v>
      </c>
      <c r="I247" s="6"/>
      <c r="J247" s="6" t="s">
        <v>3207</v>
      </c>
      <c r="K247" s="6" t="s">
        <v>3585</v>
      </c>
    </row>
    <row r="248" customFormat="false" ht="46.25" hidden="false" customHeight="false" outlineLevel="0" collapsed="false">
      <c r="A248" s="121" t="s">
        <v>2374</v>
      </c>
      <c r="B248" s="121" t="s">
        <v>2390</v>
      </c>
      <c r="C248" s="121" t="s">
        <v>3580</v>
      </c>
      <c r="D248" s="121" t="s">
        <v>3657</v>
      </c>
      <c r="E248" s="121" t="s">
        <v>3658</v>
      </c>
      <c r="F248" s="121" t="s">
        <v>2234</v>
      </c>
      <c r="G248" s="121" t="s">
        <v>2242</v>
      </c>
      <c r="H248" s="121" t="s">
        <v>3024</v>
      </c>
      <c r="I248" s="121"/>
      <c r="J248" s="121" t="s">
        <v>3207</v>
      </c>
      <c r="K248" s="121" t="s">
        <v>3585</v>
      </c>
    </row>
    <row r="249" customFormat="false" ht="46.25" hidden="false" customHeight="false" outlineLevel="0" collapsed="false">
      <c r="A249" s="6" t="s">
        <v>2374</v>
      </c>
      <c r="B249" s="6" t="s">
        <v>2390</v>
      </c>
      <c r="C249" s="6" t="s">
        <v>3580</v>
      </c>
      <c r="D249" s="6" t="s">
        <v>3659</v>
      </c>
      <c r="E249" s="6" t="s">
        <v>3660</v>
      </c>
      <c r="F249" s="6" t="s">
        <v>1904</v>
      </c>
      <c r="G249" s="6" t="s">
        <v>375</v>
      </c>
      <c r="H249" s="6" t="s">
        <v>3024</v>
      </c>
      <c r="I249" s="6"/>
      <c r="J249" s="6" t="s">
        <v>3202</v>
      </c>
      <c r="K249" s="6" t="s">
        <v>3585</v>
      </c>
    </row>
    <row r="250" customFormat="false" ht="46.25" hidden="false" customHeight="false" outlineLevel="0" collapsed="false">
      <c r="A250" s="121" t="s">
        <v>2374</v>
      </c>
      <c r="B250" s="121" t="s">
        <v>2390</v>
      </c>
      <c r="C250" s="121" t="s">
        <v>3580</v>
      </c>
      <c r="D250" s="121" t="s">
        <v>3661</v>
      </c>
      <c r="E250" s="121" t="s">
        <v>3662</v>
      </c>
      <c r="F250" s="121" t="s">
        <v>1919</v>
      </c>
      <c r="G250" s="121" t="s">
        <v>1925</v>
      </c>
      <c r="H250" s="121" t="s">
        <v>3024</v>
      </c>
      <c r="I250" s="121"/>
      <c r="J250" s="121" t="s">
        <v>3663</v>
      </c>
      <c r="K250" s="121" t="s">
        <v>3585</v>
      </c>
    </row>
    <row r="251" customFormat="false" ht="46.25" hidden="false" customHeight="false" outlineLevel="0" collapsed="false">
      <c r="A251" s="6" t="s">
        <v>2374</v>
      </c>
      <c r="B251" s="6" t="s">
        <v>2390</v>
      </c>
      <c r="C251" s="6" t="s">
        <v>3580</v>
      </c>
      <c r="D251" s="6" t="s">
        <v>3664</v>
      </c>
      <c r="E251" s="6" t="s">
        <v>3665</v>
      </c>
      <c r="F251" s="6" t="s">
        <v>1934</v>
      </c>
      <c r="G251" s="6" t="s">
        <v>1941</v>
      </c>
      <c r="H251" s="6" t="s">
        <v>3024</v>
      </c>
      <c r="I251" s="6"/>
      <c r="J251" s="6" t="s">
        <v>3666</v>
      </c>
      <c r="K251" s="6" t="s">
        <v>3585</v>
      </c>
    </row>
    <row r="252" customFormat="false" ht="46.25" hidden="false" customHeight="false" outlineLevel="0" collapsed="false">
      <c r="A252" s="121" t="s">
        <v>2374</v>
      </c>
      <c r="B252" s="121" t="s">
        <v>2390</v>
      </c>
      <c r="C252" s="121" t="s">
        <v>3580</v>
      </c>
      <c r="D252" s="121" t="s">
        <v>3667</v>
      </c>
      <c r="E252" s="121" t="s">
        <v>3668</v>
      </c>
      <c r="F252" s="121" t="s">
        <v>1691</v>
      </c>
      <c r="G252" s="121" t="s">
        <v>1306</v>
      </c>
      <c r="H252" s="121" t="s">
        <v>3024</v>
      </c>
      <c r="I252" s="121"/>
      <c r="J252" s="121" t="s">
        <v>3552</v>
      </c>
      <c r="K252" s="121" t="s">
        <v>3585</v>
      </c>
    </row>
    <row r="253" customFormat="false" ht="46.25" hidden="false" customHeight="false" outlineLevel="0" collapsed="false">
      <c r="A253" s="6" t="s">
        <v>2374</v>
      </c>
      <c r="B253" s="6" t="s">
        <v>2390</v>
      </c>
      <c r="C253" s="6" t="s">
        <v>3580</v>
      </c>
      <c r="D253" s="6" t="s">
        <v>3669</v>
      </c>
      <c r="E253" s="6" t="s">
        <v>3670</v>
      </c>
      <c r="F253" s="6" t="s">
        <v>1919</v>
      </c>
      <c r="G253" s="6" t="s">
        <v>1925</v>
      </c>
      <c r="H253" s="6" t="s">
        <v>3024</v>
      </c>
      <c r="I253" s="6"/>
      <c r="J253" s="6" t="s">
        <v>3663</v>
      </c>
      <c r="K253" s="6" t="s">
        <v>3585</v>
      </c>
    </row>
    <row r="254" customFormat="false" ht="46.25" hidden="false" customHeight="false" outlineLevel="0" collapsed="false">
      <c r="A254" s="121" t="s">
        <v>2374</v>
      </c>
      <c r="B254" s="121" t="s">
        <v>2390</v>
      </c>
      <c r="C254" s="121" t="s">
        <v>3580</v>
      </c>
      <c r="D254" s="121" t="s">
        <v>3671</v>
      </c>
      <c r="E254" s="121" t="s">
        <v>3672</v>
      </c>
      <c r="F254" s="121" t="s">
        <v>1919</v>
      </c>
      <c r="G254" s="121" t="s">
        <v>1925</v>
      </c>
      <c r="H254" s="121" t="s">
        <v>3024</v>
      </c>
      <c r="I254" s="121"/>
      <c r="J254" s="121" t="s">
        <v>3663</v>
      </c>
      <c r="K254" s="121" t="s">
        <v>3585</v>
      </c>
    </row>
    <row r="255" customFormat="false" ht="46.25" hidden="false" customHeight="false" outlineLevel="0" collapsed="false">
      <c r="A255" s="6" t="s">
        <v>2374</v>
      </c>
      <c r="B255" s="6" t="s">
        <v>2390</v>
      </c>
      <c r="C255" s="6" t="s">
        <v>3580</v>
      </c>
      <c r="D255" s="6" t="s">
        <v>3673</v>
      </c>
      <c r="E255" s="6" t="s">
        <v>3674</v>
      </c>
      <c r="F255" s="6" t="s">
        <v>1857</v>
      </c>
      <c r="G255" s="6" t="s">
        <v>1866</v>
      </c>
      <c r="H255" s="6" t="s">
        <v>3024</v>
      </c>
      <c r="I255" s="6"/>
      <c r="J255" s="6" t="s">
        <v>3675</v>
      </c>
      <c r="K255" s="6" t="s">
        <v>3585</v>
      </c>
    </row>
    <row r="256" customFormat="false" ht="46.25" hidden="false" customHeight="false" outlineLevel="0" collapsed="false">
      <c r="A256" s="121" t="s">
        <v>2374</v>
      </c>
      <c r="B256" s="121" t="s">
        <v>2390</v>
      </c>
      <c r="C256" s="121" t="s">
        <v>3580</v>
      </c>
      <c r="D256" s="121" t="s">
        <v>3676</v>
      </c>
      <c r="E256" s="121" t="s">
        <v>3677</v>
      </c>
      <c r="F256" s="121" t="s">
        <v>1934</v>
      </c>
      <c r="G256" s="121" t="s">
        <v>1941</v>
      </c>
      <c r="H256" s="121" t="s">
        <v>3024</v>
      </c>
      <c r="I256" s="121"/>
      <c r="J256" s="121" t="s">
        <v>3666</v>
      </c>
      <c r="K256" s="121" t="s">
        <v>3585</v>
      </c>
    </row>
    <row r="257" customFormat="false" ht="46.25" hidden="false" customHeight="false" outlineLevel="0" collapsed="false">
      <c r="A257" s="6" t="s">
        <v>2374</v>
      </c>
      <c r="B257" s="6" t="s">
        <v>2390</v>
      </c>
      <c r="C257" s="6" t="s">
        <v>3580</v>
      </c>
      <c r="D257" s="6" t="s">
        <v>3678</v>
      </c>
      <c r="E257" s="6" t="s">
        <v>3679</v>
      </c>
      <c r="F257" s="6" t="s">
        <v>2029</v>
      </c>
      <c r="G257" s="6" t="s">
        <v>2035</v>
      </c>
      <c r="H257" s="6" t="s">
        <v>3024</v>
      </c>
      <c r="I257" s="6"/>
      <c r="J257" s="6" t="s">
        <v>3207</v>
      </c>
      <c r="K257" s="6" t="s">
        <v>3585</v>
      </c>
    </row>
    <row r="258" customFormat="false" ht="46.25" hidden="false" customHeight="false" outlineLevel="0" collapsed="false">
      <c r="A258" s="121" t="s">
        <v>2374</v>
      </c>
      <c r="B258" s="121" t="s">
        <v>2390</v>
      </c>
      <c r="C258" s="121" t="s">
        <v>3580</v>
      </c>
      <c r="D258" s="121" t="s">
        <v>3680</v>
      </c>
      <c r="E258" s="121" t="s">
        <v>3681</v>
      </c>
      <c r="F258" s="121" t="s">
        <v>1710</v>
      </c>
      <c r="G258" s="121" t="s">
        <v>1719</v>
      </c>
      <c r="H258" s="121" t="s">
        <v>3024</v>
      </c>
      <c r="I258" s="121"/>
      <c r="J258" s="121" t="s">
        <v>3682</v>
      </c>
      <c r="K258" s="121" t="s">
        <v>3585</v>
      </c>
    </row>
    <row r="259" customFormat="false" ht="46.25" hidden="false" customHeight="false" outlineLevel="0" collapsed="false">
      <c r="A259" s="6" t="s">
        <v>2374</v>
      </c>
      <c r="B259" s="6" t="s">
        <v>2390</v>
      </c>
      <c r="C259" s="6" t="s">
        <v>3580</v>
      </c>
      <c r="D259" s="6" t="s">
        <v>3683</v>
      </c>
      <c r="E259" s="6" t="s">
        <v>3684</v>
      </c>
      <c r="F259" s="6" t="s">
        <v>1904</v>
      </c>
      <c r="G259" s="6" t="s">
        <v>375</v>
      </c>
      <c r="H259" s="6" t="s">
        <v>3024</v>
      </c>
      <c r="I259" s="6"/>
      <c r="J259" s="6" t="s">
        <v>3202</v>
      </c>
      <c r="K259" s="6" t="s">
        <v>3585</v>
      </c>
    </row>
    <row r="260" customFormat="false" ht="46.25" hidden="false" customHeight="false" outlineLevel="0" collapsed="false">
      <c r="A260" s="121" t="s">
        <v>2374</v>
      </c>
      <c r="B260" s="121" t="s">
        <v>2390</v>
      </c>
      <c r="C260" s="121" t="s">
        <v>3580</v>
      </c>
      <c r="D260" s="121" t="s">
        <v>3685</v>
      </c>
      <c r="E260" s="121" t="s">
        <v>3686</v>
      </c>
      <c r="F260" s="121" t="s">
        <v>1876</v>
      </c>
      <c r="G260" s="121" t="s">
        <v>1882</v>
      </c>
      <c r="H260" s="121" t="s">
        <v>3024</v>
      </c>
      <c r="I260" s="121"/>
      <c r="J260" s="121" t="s">
        <v>3687</v>
      </c>
      <c r="K260" s="121" t="s">
        <v>3585</v>
      </c>
    </row>
    <row r="261" customFormat="false" ht="46.25" hidden="false" customHeight="false" outlineLevel="0" collapsed="false">
      <c r="A261" s="6" t="s">
        <v>2374</v>
      </c>
      <c r="B261" s="6" t="s">
        <v>2390</v>
      </c>
      <c r="C261" s="6" t="s">
        <v>3580</v>
      </c>
      <c r="D261" s="6" t="s">
        <v>3688</v>
      </c>
      <c r="E261" s="6" t="s">
        <v>3689</v>
      </c>
      <c r="F261" s="6" t="s">
        <v>3690</v>
      </c>
      <c r="G261" s="6" t="s">
        <v>1896</v>
      </c>
      <c r="H261" s="6" t="s">
        <v>3024</v>
      </c>
      <c r="I261" s="6"/>
      <c r="J261" s="6" t="s">
        <v>3691</v>
      </c>
      <c r="K261" s="6" t="s">
        <v>3585</v>
      </c>
    </row>
    <row r="262" customFormat="false" ht="46.25" hidden="false" customHeight="false" outlineLevel="0" collapsed="false">
      <c r="A262" s="121" t="s">
        <v>2374</v>
      </c>
      <c r="B262" s="121" t="s">
        <v>2390</v>
      </c>
      <c r="C262" s="121" t="s">
        <v>3580</v>
      </c>
      <c r="D262" s="121" t="s">
        <v>3692</v>
      </c>
      <c r="E262" s="121" t="s">
        <v>3693</v>
      </c>
      <c r="F262" s="121" t="s">
        <v>1965</v>
      </c>
      <c r="G262" s="121" t="s">
        <v>1973</v>
      </c>
      <c r="H262" s="121" t="s">
        <v>3024</v>
      </c>
      <c r="I262" s="121"/>
      <c r="J262" s="121" t="s">
        <v>3654</v>
      </c>
      <c r="K262" s="121" t="s">
        <v>3585</v>
      </c>
    </row>
    <row r="263" customFormat="false" ht="46.25" hidden="false" customHeight="false" outlineLevel="0" collapsed="false">
      <c r="A263" s="6" t="s">
        <v>2374</v>
      </c>
      <c r="B263" s="6" t="s">
        <v>2390</v>
      </c>
      <c r="C263" s="6" t="s">
        <v>3580</v>
      </c>
      <c r="D263" s="6" t="s">
        <v>3694</v>
      </c>
      <c r="E263" s="6" t="s">
        <v>3695</v>
      </c>
      <c r="F263" s="6" t="s">
        <v>1950</v>
      </c>
      <c r="G263" s="6" t="s">
        <v>1957</v>
      </c>
      <c r="H263" s="6" t="s">
        <v>3024</v>
      </c>
      <c r="I263" s="6"/>
      <c r="J263" s="6" t="s">
        <v>3696</v>
      </c>
      <c r="K263" s="6" t="s">
        <v>3585</v>
      </c>
    </row>
    <row r="264" customFormat="false" ht="46.25" hidden="false" customHeight="false" outlineLevel="0" collapsed="false">
      <c r="A264" s="121" t="s">
        <v>2374</v>
      </c>
      <c r="B264" s="121" t="s">
        <v>2390</v>
      </c>
      <c r="C264" s="121" t="s">
        <v>3580</v>
      </c>
      <c r="D264" s="121" t="s">
        <v>3697</v>
      </c>
      <c r="E264" s="121" t="s">
        <v>3698</v>
      </c>
      <c r="F264" s="121" t="s">
        <v>1857</v>
      </c>
      <c r="G264" s="121" t="s">
        <v>1866</v>
      </c>
      <c r="H264" s="121" t="s">
        <v>3024</v>
      </c>
      <c r="I264" s="121"/>
      <c r="J264" s="121" t="s">
        <v>3699</v>
      </c>
      <c r="K264" s="121" t="s">
        <v>3585</v>
      </c>
    </row>
    <row r="265" customFormat="false" ht="46.25" hidden="false" customHeight="false" outlineLevel="0" collapsed="false">
      <c r="A265" s="6" t="s">
        <v>2374</v>
      </c>
      <c r="B265" s="6" t="s">
        <v>2390</v>
      </c>
      <c r="C265" s="6" t="s">
        <v>3580</v>
      </c>
      <c r="D265" s="6" t="s">
        <v>3700</v>
      </c>
      <c r="E265" s="6" t="s">
        <v>3701</v>
      </c>
      <c r="F265" s="6" t="s">
        <v>2029</v>
      </c>
      <c r="G265" s="6" t="s">
        <v>2035</v>
      </c>
      <c r="H265" s="6" t="s">
        <v>3024</v>
      </c>
      <c r="I265" s="6"/>
      <c r="J265" s="6" t="s">
        <v>3207</v>
      </c>
      <c r="K265" s="6" t="s">
        <v>3585</v>
      </c>
    </row>
    <row r="266" customFormat="false" ht="46.25" hidden="false" customHeight="false" outlineLevel="0" collapsed="false">
      <c r="A266" s="121" t="s">
        <v>2374</v>
      </c>
      <c r="B266" s="121" t="s">
        <v>2390</v>
      </c>
      <c r="C266" s="121" t="s">
        <v>3580</v>
      </c>
      <c r="D266" s="121" t="s">
        <v>3702</v>
      </c>
      <c r="E266" s="121" t="s">
        <v>3703</v>
      </c>
      <c r="F266" s="121" t="s">
        <v>1691</v>
      </c>
      <c r="G266" s="121" t="s">
        <v>1306</v>
      </c>
      <c r="H266" s="121" t="s">
        <v>3024</v>
      </c>
      <c r="I266" s="121"/>
      <c r="J266" s="121" t="s">
        <v>3552</v>
      </c>
      <c r="K266" s="121" t="s">
        <v>3585</v>
      </c>
    </row>
    <row r="267" customFormat="false" ht="46.25" hidden="false" customHeight="false" outlineLevel="0" collapsed="false">
      <c r="A267" s="6" t="s">
        <v>2374</v>
      </c>
      <c r="B267" s="6" t="s">
        <v>2390</v>
      </c>
      <c r="C267" s="6" t="s">
        <v>3580</v>
      </c>
      <c r="D267" s="6" t="s">
        <v>3704</v>
      </c>
      <c r="E267" s="6" t="s">
        <v>3705</v>
      </c>
      <c r="F267" s="6" t="s">
        <v>2029</v>
      </c>
      <c r="G267" s="6" t="s">
        <v>2035</v>
      </c>
      <c r="H267" s="6" t="s">
        <v>3024</v>
      </c>
      <c r="I267" s="6"/>
      <c r="J267" s="6" t="s">
        <v>3207</v>
      </c>
      <c r="K267" s="6" t="s">
        <v>3585</v>
      </c>
    </row>
    <row r="268" customFormat="false" ht="46.25" hidden="false" customHeight="false" outlineLevel="0" collapsed="false">
      <c r="A268" s="121" t="s">
        <v>2374</v>
      </c>
      <c r="B268" s="121" t="s">
        <v>2390</v>
      </c>
      <c r="C268" s="121" t="s">
        <v>3580</v>
      </c>
      <c r="D268" s="121" t="s">
        <v>3706</v>
      </c>
      <c r="E268" s="121" t="s">
        <v>3707</v>
      </c>
      <c r="F268" s="121" t="s">
        <v>1876</v>
      </c>
      <c r="G268" s="121" t="s">
        <v>1882</v>
      </c>
      <c r="H268" s="121" t="s">
        <v>3024</v>
      </c>
      <c r="I268" s="121"/>
      <c r="J268" s="121" t="s">
        <v>3687</v>
      </c>
      <c r="K268" s="121" t="s">
        <v>3585</v>
      </c>
    </row>
    <row r="269" customFormat="false" ht="46.25" hidden="false" customHeight="false" outlineLevel="0" collapsed="false">
      <c r="A269" s="6" t="s">
        <v>2374</v>
      </c>
      <c r="B269" s="6" t="s">
        <v>2390</v>
      </c>
      <c r="C269" s="6" t="s">
        <v>3580</v>
      </c>
      <c r="D269" s="6" t="s">
        <v>3708</v>
      </c>
      <c r="E269" s="6" t="s">
        <v>3709</v>
      </c>
      <c r="F269" s="6" t="s">
        <v>731</v>
      </c>
      <c r="G269" s="6" t="s">
        <v>2001</v>
      </c>
      <c r="H269" s="6" t="s">
        <v>3024</v>
      </c>
      <c r="I269" s="6"/>
      <c r="J269" s="6" t="s">
        <v>3562</v>
      </c>
      <c r="K269" s="6" t="s">
        <v>3585</v>
      </c>
    </row>
    <row r="270" customFormat="false" ht="46.25" hidden="false" customHeight="false" outlineLevel="0" collapsed="false">
      <c r="A270" s="121" t="s">
        <v>2374</v>
      </c>
      <c r="B270" s="121" t="s">
        <v>2390</v>
      </c>
      <c r="C270" s="121" t="s">
        <v>3580</v>
      </c>
      <c r="D270" s="121" t="s">
        <v>3710</v>
      </c>
      <c r="E270" s="121" t="s">
        <v>3711</v>
      </c>
      <c r="F270" s="121" t="s">
        <v>3712</v>
      </c>
      <c r="G270" s="121" t="s">
        <v>3713</v>
      </c>
      <c r="H270" s="121" t="s">
        <v>3024</v>
      </c>
      <c r="I270" s="121"/>
      <c r="J270" s="121" t="s">
        <v>3321</v>
      </c>
      <c r="K270" s="121" t="s">
        <v>3585</v>
      </c>
    </row>
    <row r="271" customFormat="false" ht="46.25" hidden="false" customHeight="false" outlineLevel="0" collapsed="false">
      <c r="A271" s="6" t="s">
        <v>2374</v>
      </c>
      <c r="B271" s="6" t="s">
        <v>2390</v>
      </c>
      <c r="C271" s="6" t="s">
        <v>3580</v>
      </c>
      <c r="D271" s="6" t="s">
        <v>3714</v>
      </c>
      <c r="E271" s="6" t="s">
        <v>3715</v>
      </c>
      <c r="F271" s="6" t="s">
        <v>2041</v>
      </c>
      <c r="G271" s="6" t="s">
        <v>2048</v>
      </c>
      <c r="H271" s="6" t="s">
        <v>3024</v>
      </c>
      <c r="I271" s="6"/>
      <c r="J271" s="6" t="s">
        <v>3565</v>
      </c>
      <c r="K271" s="6" t="s">
        <v>3585</v>
      </c>
    </row>
    <row r="272" customFormat="false" ht="46.25" hidden="false" customHeight="false" outlineLevel="0" collapsed="false">
      <c r="A272" s="121" t="s">
        <v>2374</v>
      </c>
      <c r="B272" s="121" t="s">
        <v>2390</v>
      </c>
      <c r="C272" s="121" t="s">
        <v>3580</v>
      </c>
      <c r="D272" s="121" t="s">
        <v>3716</v>
      </c>
      <c r="E272" s="121" t="s">
        <v>3717</v>
      </c>
      <c r="F272" s="121" t="s">
        <v>2041</v>
      </c>
      <c r="G272" s="121" t="s">
        <v>2048</v>
      </c>
      <c r="H272" s="121" t="s">
        <v>3024</v>
      </c>
      <c r="I272" s="121"/>
      <c r="J272" s="121" t="s">
        <v>3565</v>
      </c>
      <c r="K272" s="121" t="s">
        <v>3585</v>
      </c>
    </row>
    <row r="273" customFormat="false" ht="46.25" hidden="false" customHeight="false" outlineLevel="0" collapsed="false">
      <c r="A273" s="6" t="s">
        <v>2374</v>
      </c>
      <c r="B273" s="6" t="s">
        <v>2390</v>
      </c>
      <c r="C273" s="6" t="s">
        <v>3580</v>
      </c>
      <c r="D273" s="6" t="s">
        <v>3718</v>
      </c>
      <c r="E273" s="6" t="s">
        <v>3719</v>
      </c>
      <c r="F273" s="6" t="s">
        <v>3318</v>
      </c>
      <c r="G273" s="6" t="s">
        <v>3319</v>
      </c>
      <c r="H273" s="6" t="s">
        <v>3024</v>
      </c>
      <c r="I273" s="6"/>
      <c r="J273" s="6" t="s">
        <v>3720</v>
      </c>
      <c r="K273" s="6" t="s">
        <v>3585</v>
      </c>
    </row>
    <row r="274" customFormat="false" ht="46.25" hidden="false" customHeight="false" outlineLevel="0" collapsed="false">
      <c r="A274" s="121" t="s">
        <v>2374</v>
      </c>
      <c r="B274" s="121" t="s">
        <v>2390</v>
      </c>
      <c r="C274" s="121" t="s">
        <v>3580</v>
      </c>
      <c r="D274" s="121" t="s">
        <v>3721</v>
      </c>
      <c r="E274" s="121" t="s">
        <v>3722</v>
      </c>
      <c r="F274" s="121" t="s">
        <v>731</v>
      </c>
      <c r="G274" s="121" t="s">
        <v>2001</v>
      </c>
      <c r="H274" s="121" t="s">
        <v>3024</v>
      </c>
      <c r="I274" s="121"/>
      <c r="J274" s="121" t="s">
        <v>3562</v>
      </c>
      <c r="K274" s="121" t="s">
        <v>3585</v>
      </c>
    </row>
    <row r="275" customFormat="false" ht="46.25" hidden="false" customHeight="false" outlineLevel="0" collapsed="false">
      <c r="A275" s="6" t="s">
        <v>2374</v>
      </c>
      <c r="B275" s="6" t="s">
        <v>2390</v>
      </c>
      <c r="C275" s="6" t="s">
        <v>3580</v>
      </c>
      <c r="D275" s="6" t="s">
        <v>3723</v>
      </c>
      <c r="E275" s="6" t="s">
        <v>3724</v>
      </c>
      <c r="F275" s="6" t="s">
        <v>2104</v>
      </c>
      <c r="G275" s="6" t="s">
        <v>2112</v>
      </c>
      <c r="H275" s="6" t="s">
        <v>3024</v>
      </c>
      <c r="I275" s="6"/>
      <c r="J275" s="6" t="s">
        <v>3321</v>
      </c>
      <c r="K275" s="6" t="s">
        <v>3585</v>
      </c>
    </row>
    <row r="276" customFormat="false" ht="46.25" hidden="false" customHeight="false" outlineLevel="0" collapsed="false">
      <c r="A276" s="121" t="s">
        <v>2374</v>
      </c>
      <c r="B276" s="121" t="s">
        <v>2390</v>
      </c>
      <c r="C276" s="121" t="s">
        <v>3580</v>
      </c>
      <c r="D276" s="121" t="s">
        <v>3725</v>
      </c>
      <c r="E276" s="121" t="s">
        <v>3726</v>
      </c>
      <c r="F276" s="121" t="s">
        <v>2104</v>
      </c>
      <c r="G276" s="121" t="s">
        <v>2112</v>
      </c>
      <c r="H276" s="121" t="s">
        <v>3024</v>
      </c>
      <c r="I276" s="121"/>
      <c r="J276" s="121" t="s">
        <v>3321</v>
      </c>
      <c r="K276" s="121" t="s">
        <v>3585</v>
      </c>
    </row>
    <row r="277" customFormat="false" ht="46.25" hidden="false" customHeight="false" outlineLevel="0" collapsed="false">
      <c r="A277" s="6" t="s">
        <v>2374</v>
      </c>
      <c r="B277" s="6" t="s">
        <v>2390</v>
      </c>
      <c r="C277" s="6" t="s">
        <v>3580</v>
      </c>
      <c r="D277" s="6" t="s">
        <v>3727</v>
      </c>
      <c r="E277" s="6" t="s">
        <v>3728</v>
      </c>
      <c r="F277" s="6" t="s">
        <v>2088</v>
      </c>
      <c r="G277" s="6" t="s">
        <v>419</v>
      </c>
      <c r="H277" s="6" t="s">
        <v>3024</v>
      </c>
      <c r="I277" s="6"/>
      <c r="J277" s="6" t="s">
        <v>3562</v>
      </c>
      <c r="K277" s="6" t="s">
        <v>3585</v>
      </c>
    </row>
    <row r="278" customFormat="false" ht="46.25" hidden="false" customHeight="false" outlineLevel="0" collapsed="false">
      <c r="A278" s="121" t="s">
        <v>2374</v>
      </c>
      <c r="B278" s="121" t="s">
        <v>2390</v>
      </c>
      <c r="C278" s="121" t="s">
        <v>3580</v>
      </c>
      <c r="D278" s="121" t="s">
        <v>3729</v>
      </c>
      <c r="E278" s="121" t="s">
        <v>3730</v>
      </c>
      <c r="F278" s="121" t="s">
        <v>1950</v>
      </c>
      <c r="G278" s="121" t="s">
        <v>1957</v>
      </c>
      <c r="H278" s="121" t="s">
        <v>3024</v>
      </c>
      <c r="I278" s="121"/>
      <c r="J278" s="121" t="s">
        <v>3696</v>
      </c>
      <c r="K278" s="121" t="s">
        <v>3585</v>
      </c>
    </row>
    <row r="279" customFormat="false" ht="46.25" hidden="false" customHeight="false" outlineLevel="0" collapsed="false">
      <c r="A279" s="6" t="s">
        <v>2374</v>
      </c>
      <c r="B279" s="6" t="s">
        <v>2390</v>
      </c>
      <c r="C279" s="6" t="s">
        <v>3580</v>
      </c>
      <c r="D279" s="6" t="s">
        <v>3731</v>
      </c>
      <c r="E279" s="6" t="s">
        <v>3732</v>
      </c>
      <c r="F279" s="6" t="s">
        <v>2121</v>
      </c>
      <c r="G279" s="6" t="s">
        <v>2127</v>
      </c>
      <c r="H279" s="6" t="s">
        <v>3024</v>
      </c>
      <c r="I279" s="6"/>
      <c r="J279" s="6" t="s">
        <v>3579</v>
      </c>
      <c r="K279" s="6" t="s">
        <v>3585</v>
      </c>
    </row>
    <row r="280" customFormat="false" ht="46.25" hidden="false" customHeight="false" outlineLevel="0" collapsed="false">
      <c r="A280" s="121" t="s">
        <v>2374</v>
      </c>
      <c r="B280" s="121" t="s">
        <v>2391</v>
      </c>
      <c r="C280" s="121" t="s">
        <v>3733</v>
      </c>
      <c r="D280" s="121" t="s">
        <v>3734</v>
      </c>
      <c r="E280" s="121" t="s">
        <v>3735</v>
      </c>
      <c r="F280" s="121" t="s">
        <v>2057</v>
      </c>
      <c r="G280" s="121" t="s">
        <v>419</v>
      </c>
      <c r="H280" s="121" t="s">
        <v>3024</v>
      </c>
      <c r="I280" s="121"/>
      <c r="J280" s="121" t="s">
        <v>3736</v>
      </c>
      <c r="K280" s="121" t="s">
        <v>3585</v>
      </c>
    </row>
    <row r="281" customFormat="false" ht="46.25" hidden="false" customHeight="false" outlineLevel="0" collapsed="false">
      <c r="A281" s="6" t="s">
        <v>2374</v>
      </c>
      <c r="B281" s="6" t="s">
        <v>2391</v>
      </c>
      <c r="C281" s="6" t="s">
        <v>3733</v>
      </c>
      <c r="D281" s="6" t="s">
        <v>3737</v>
      </c>
      <c r="E281" s="6" t="s">
        <v>3738</v>
      </c>
      <c r="F281" s="6" t="s">
        <v>3739</v>
      </c>
      <c r="G281" s="6" t="s">
        <v>3740</v>
      </c>
      <c r="H281" s="6" t="s">
        <v>3024</v>
      </c>
      <c r="I281" s="6"/>
      <c r="J281" s="6" t="s">
        <v>3741</v>
      </c>
      <c r="K281" s="6" t="s">
        <v>3585</v>
      </c>
    </row>
    <row r="282" customFormat="false" ht="46.25" hidden="false" customHeight="false" outlineLevel="0" collapsed="false">
      <c r="A282" s="121" t="s">
        <v>2374</v>
      </c>
      <c r="B282" s="121" t="s">
        <v>2391</v>
      </c>
      <c r="C282" s="121" t="s">
        <v>3733</v>
      </c>
      <c r="D282" s="121" t="s">
        <v>3742</v>
      </c>
      <c r="E282" s="121" t="s">
        <v>3743</v>
      </c>
      <c r="F282" s="121" t="s">
        <v>3744</v>
      </c>
      <c r="G282" s="121" t="s">
        <v>3091</v>
      </c>
      <c r="H282" s="121" t="s">
        <v>3024</v>
      </c>
      <c r="I282" s="121"/>
      <c r="J282" s="121" t="s">
        <v>3745</v>
      </c>
      <c r="K282" s="121" t="s">
        <v>3585</v>
      </c>
    </row>
    <row r="283" customFormat="false" ht="46.25" hidden="false" customHeight="false" outlineLevel="0" collapsed="false">
      <c r="A283" s="6" t="s">
        <v>2374</v>
      </c>
      <c r="B283" s="6" t="s">
        <v>2391</v>
      </c>
      <c r="C283" s="6" t="s">
        <v>3733</v>
      </c>
      <c r="D283" s="6" t="s">
        <v>3746</v>
      </c>
      <c r="E283" s="6" t="s">
        <v>3747</v>
      </c>
      <c r="F283" s="6" t="s">
        <v>2071</v>
      </c>
      <c r="G283" s="6" t="s">
        <v>419</v>
      </c>
      <c r="H283" s="6" t="s">
        <v>3024</v>
      </c>
      <c r="I283" s="6"/>
      <c r="J283" s="6" t="s">
        <v>3441</v>
      </c>
      <c r="K283" s="6" t="s">
        <v>3585</v>
      </c>
    </row>
    <row r="284" customFormat="false" ht="46.25" hidden="false" customHeight="false" outlineLevel="0" collapsed="false">
      <c r="A284" s="121" t="s">
        <v>2374</v>
      </c>
      <c r="B284" s="121" t="s">
        <v>2391</v>
      </c>
      <c r="C284" s="121" t="s">
        <v>3733</v>
      </c>
      <c r="D284" s="121" t="s">
        <v>3748</v>
      </c>
      <c r="E284" s="121" t="s">
        <v>3749</v>
      </c>
      <c r="F284" s="121" t="s">
        <v>2057</v>
      </c>
      <c r="G284" s="121" t="s">
        <v>419</v>
      </c>
      <c r="H284" s="121" t="s">
        <v>3024</v>
      </c>
      <c r="I284" s="121"/>
      <c r="J284" s="121" t="s">
        <v>3736</v>
      </c>
      <c r="K284" s="121" t="s">
        <v>3585</v>
      </c>
    </row>
    <row r="285" customFormat="false" ht="46.25" hidden="false" customHeight="false" outlineLevel="0" collapsed="false">
      <c r="A285" s="6" t="s">
        <v>2374</v>
      </c>
      <c r="B285" s="6" t="s">
        <v>2391</v>
      </c>
      <c r="C285" s="6" t="s">
        <v>3733</v>
      </c>
      <c r="D285" s="6" t="s">
        <v>3750</v>
      </c>
      <c r="E285" s="6" t="s">
        <v>3751</v>
      </c>
      <c r="F285" s="6" t="s">
        <v>2041</v>
      </c>
      <c r="G285" s="6" t="s">
        <v>2048</v>
      </c>
      <c r="H285" s="6" t="s">
        <v>3024</v>
      </c>
      <c r="I285" s="6"/>
      <c r="J285" s="6" t="s">
        <v>3752</v>
      </c>
      <c r="K285" s="6" t="s">
        <v>3585</v>
      </c>
    </row>
    <row r="286" customFormat="false" ht="46.25" hidden="false" customHeight="false" outlineLevel="0" collapsed="false">
      <c r="A286" s="121" t="s">
        <v>2374</v>
      </c>
      <c r="B286" s="121" t="s">
        <v>2391</v>
      </c>
      <c r="C286" s="121" t="s">
        <v>3733</v>
      </c>
      <c r="D286" s="121" t="s">
        <v>3753</v>
      </c>
      <c r="E286" s="121" t="s">
        <v>3754</v>
      </c>
      <c r="F286" s="121" t="s">
        <v>3090</v>
      </c>
      <c r="G286" s="121" t="s">
        <v>3091</v>
      </c>
      <c r="H286" s="121" t="s">
        <v>3024</v>
      </c>
      <c r="I286" s="121"/>
      <c r="J286" s="121" t="s">
        <v>3755</v>
      </c>
      <c r="K286" s="121" t="s">
        <v>3585</v>
      </c>
    </row>
    <row r="287" customFormat="false" ht="46.25" hidden="false" customHeight="false" outlineLevel="0" collapsed="false">
      <c r="A287" s="6" t="s">
        <v>2374</v>
      </c>
      <c r="B287" s="6" t="s">
        <v>2391</v>
      </c>
      <c r="C287" s="6" t="s">
        <v>3733</v>
      </c>
      <c r="D287" s="6" t="s">
        <v>3756</v>
      </c>
      <c r="E287" s="6" t="s">
        <v>3757</v>
      </c>
      <c r="F287" s="6" t="s">
        <v>2088</v>
      </c>
      <c r="G287" s="6" t="s">
        <v>419</v>
      </c>
      <c r="H287" s="6" t="s">
        <v>3024</v>
      </c>
      <c r="I287" s="6"/>
      <c r="J287" s="6" t="s">
        <v>3419</v>
      </c>
      <c r="K287" s="6" t="s">
        <v>3585</v>
      </c>
    </row>
    <row r="288" customFormat="false" ht="46.25" hidden="false" customHeight="false" outlineLevel="0" collapsed="false">
      <c r="A288" s="121" t="s">
        <v>2374</v>
      </c>
      <c r="B288" s="121" t="s">
        <v>2391</v>
      </c>
      <c r="C288" s="121" t="s">
        <v>3733</v>
      </c>
      <c r="D288" s="121" t="s">
        <v>3758</v>
      </c>
      <c r="E288" s="121" t="s">
        <v>3759</v>
      </c>
      <c r="F288" s="121" t="s">
        <v>3760</v>
      </c>
      <c r="G288" s="121" t="s">
        <v>3118</v>
      </c>
      <c r="H288" s="121" t="s">
        <v>3024</v>
      </c>
      <c r="I288" s="121"/>
      <c r="J288" s="121" t="s">
        <v>3761</v>
      </c>
      <c r="K288" s="121" t="s">
        <v>3585</v>
      </c>
    </row>
    <row r="289" customFormat="false" ht="46.25" hidden="false" customHeight="false" outlineLevel="0" collapsed="false">
      <c r="A289" s="6" t="s">
        <v>2374</v>
      </c>
      <c r="B289" s="6" t="s">
        <v>2391</v>
      </c>
      <c r="C289" s="6" t="s">
        <v>3733</v>
      </c>
      <c r="D289" s="6" t="s">
        <v>3762</v>
      </c>
      <c r="E289" s="6" t="s">
        <v>3763</v>
      </c>
      <c r="F289" s="6" t="s">
        <v>2057</v>
      </c>
      <c r="G289" s="6" t="s">
        <v>419</v>
      </c>
      <c r="H289" s="6" t="s">
        <v>3024</v>
      </c>
      <c r="I289" s="6"/>
      <c r="J289" s="6" t="s">
        <v>3736</v>
      </c>
      <c r="K289" s="6" t="s">
        <v>3585</v>
      </c>
    </row>
    <row r="290" customFormat="false" ht="46.25" hidden="false" customHeight="false" outlineLevel="0" collapsed="false">
      <c r="A290" s="121" t="s">
        <v>2374</v>
      </c>
      <c r="B290" s="121" t="s">
        <v>2391</v>
      </c>
      <c r="C290" s="121" t="s">
        <v>3733</v>
      </c>
      <c r="D290" s="121" t="s">
        <v>3764</v>
      </c>
      <c r="E290" s="121" t="s">
        <v>3765</v>
      </c>
      <c r="F290" s="121" t="s">
        <v>3766</v>
      </c>
      <c r="G290" s="121" t="s">
        <v>3767</v>
      </c>
      <c r="H290" s="121" t="s">
        <v>3024</v>
      </c>
      <c r="I290" s="121"/>
      <c r="J290" s="121" t="s">
        <v>3768</v>
      </c>
      <c r="K290" s="121" t="s">
        <v>3585</v>
      </c>
    </row>
    <row r="291" customFormat="false" ht="46.25" hidden="false" customHeight="false" outlineLevel="0" collapsed="false">
      <c r="A291" s="6" t="s">
        <v>2374</v>
      </c>
      <c r="B291" s="6" t="s">
        <v>2391</v>
      </c>
      <c r="C291" s="6" t="s">
        <v>3733</v>
      </c>
      <c r="D291" s="6" t="s">
        <v>3769</v>
      </c>
      <c r="E291" s="6" t="s">
        <v>3770</v>
      </c>
      <c r="F291" s="6" t="s">
        <v>931</v>
      </c>
      <c r="G291" s="6" t="s">
        <v>1815</v>
      </c>
      <c r="H291" s="6" t="s">
        <v>3024</v>
      </c>
      <c r="I291" s="6"/>
      <c r="J291" s="6" t="s">
        <v>3368</v>
      </c>
      <c r="K291" s="6" t="s">
        <v>3585</v>
      </c>
    </row>
    <row r="292" customFormat="false" ht="46.25" hidden="false" customHeight="false" outlineLevel="0" collapsed="false">
      <c r="A292" s="121" t="s">
        <v>2374</v>
      </c>
      <c r="B292" s="121" t="s">
        <v>2391</v>
      </c>
      <c r="C292" s="121" t="s">
        <v>3733</v>
      </c>
      <c r="D292" s="121" t="s">
        <v>3771</v>
      </c>
      <c r="E292" s="121" t="s">
        <v>3772</v>
      </c>
      <c r="F292" s="121" t="s">
        <v>3773</v>
      </c>
      <c r="G292" s="121" t="s">
        <v>3774</v>
      </c>
      <c r="H292" s="121" t="s">
        <v>3024</v>
      </c>
      <c r="I292" s="121"/>
      <c r="J292" s="121" t="s">
        <v>3483</v>
      </c>
      <c r="K292" s="121" t="s">
        <v>3585</v>
      </c>
    </row>
    <row r="293" customFormat="false" ht="46.25" hidden="false" customHeight="false" outlineLevel="0" collapsed="false">
      <c r="A293" s="6" t="s">
        <v>2374</v>
      </c>
      <c r="B293" s="6" t="s">
        <v>2391</v>
      </c>
      <c r="C293" s="6" t="s">
        <v>3733</v>
      </c>
      <c r="D293" s="6" t="s">
        <v>3775</v>
      </c>
      <c r="E293" s="6" t="s">
        <v>3776</v>
      </c>
      <c r="F293" s="6" t="s">
        <v>3777</v>
      </c>
      <c r="G293" s="6" t="s">
        <v>3778</v>
      </c>
      <c r="H293" s="6" t="s">
        <v>3024</v>
      </c>
      <c r="I293" s="6"/>
      <c r="J293" s="6" t="s">
        <v>3779</v>
      </c>
      <c r="K293" s="6" t="s">
        <v>3585</v>
      </c>
    </row>
    <row r="294" customFormat="false" ht="46.25" hidden="false" customHeight="false" outlineLevel="0" collapsed="false">
      <c r="A294" s="121" t="s">
        <v>2374</v>
      </c>
      <c r="B294" s="121" t="s">
        <v>2391</v>
      </c>
      <c r="C294" s="121" t="s">
        <v>3733</v>
      </c>
      <c r="D294" s="121" t="s">
        <v>3780</v>
      </c>
      <c r="E294" s="121" t="s">
        <v>3781</v>
      </c>
      <c r="F294" s="121" t="s">
        <v>1691</v>
      </c>
      <c r="G294" s="121" t="s">
        <v>1306</v>
      </c>
      <c r="H294" s="121" t="s">
        <v>3024</v>
      </c>
      <c r="I294" s="121"/>
      <c r="J294" s="121" t="s">
        <v>3782</v>
      </c>
      <c r="K294" s="121" t="s">
        <v>3585</v>
      </c>
    </row>
    <row r="295" customFormat="false" ht="46.25" hidden="false" customHeight="false" outlineLevel="0" collapsed="false">
      <c r="A295" s="6" t="s">
        <v>2374</v>
      </c>
      <c r="B295" s="6" t="s">
        <v>2391</v>
      </c>
      <c r="C295" s="6" t="s">
        <v>3733</v>
      </c>
      <c r="D295" s="6" t="s">
        <v>3783</v>
      </c>
      <c r="E295" s="6" t="s">
        <v>3784</v>
      </c>
      <c r="F295" s="6" t="s">
        <v>2234</v>
      </c>
      <c r="G295" s="6" t="s">
        <v>2242</v>
      </c>
      <c r="H295" s="6" t="s">
        <v>3024</v>
      </c>
      <c r="I295" s="6"/>
      <c r="J295" s="6" t="s">
        <v>3474</v>
      </c>
      <c r="K295" s="6" t="s">
        <v>3585</v>
      </c>
    </row>
    <row r="296" customFormat="false" ht="46.25" hidden="false" customHeight="false" outlineLevel="0" collapsed="false">
      <c r="A296" s="121" t="s">
        <v>2374</v>
      </c>
      <c r="B296" s="121" t="s">
        <v>2391</v>
      </c>
      <c r="C296" s="121" t="s">
        <v>3733</v>
      </c>
      <c r="D296" s="121" t="s">
        <v>3785</v>
      </c>
      <c r="E296" s="121" t="s">
        <v>3786</v>
      </c>
      <c r="F296" s="121" t="s">
        <v>2104</v>
      </c>
      <c r="G296" s="121" t="s">
        <v>2112</v>
      </c>
      <c r="H296" s="121" t="s">
        <v>3024</v>
      </c>
      <c r="I296" s="121"/>
      <c r="J296" s="121" t="s">
        <v>3787</v>
      </c>
      <c r="K296" s="121" t="s">
        <v>3585</v>
      </c>
    </row>
    <row r="297" customFormat="false" ht="46.25" hidden="false" customHeight="false" outlineLevel="0" collapsed="false">
      <c r="A297" s="6" t="s">
        <v>2374</v>
      </c>
      <c r="B297" s="6" t="s">
        <v>2391</v>
      </c>
      <c r="C297" s="6" t="s">
        <v>3733</v>
      </c>
      <c r="D297" s="6" t="s">
        <v>2616</v>
      </c>
      <c r="E297" s="6" t="s">
        <v>3788</v>
      </c>
      <c r="F297" s="6" t="s">
        <v>3789</v>
      </c>
      <c r="G297" s="6" t="s">
        <v>3790</v>
      </c>
      <c r="H297" s="6" t="s">
        <v>3024</v>
      </c>
      <c r="I297" s="6"/>
      <c r="J297" s="6" t="s">
        <v>3791</v>
      </c>
      <c r="K297" s="6" t="s">
        <v>3585</v>
      </c>
    </row>
    <row r="298" customFormat="false" ht="46.25" hidden="false" customHeight="false" outlineLevel="0" collapsed="false">
      <c r="A298" s="121" t="s">
        <v>2374</v>
      </c>
      <c r="B298" s="121" t="s">
        <v>2391</v>
      </c>
      <c r="C298" s="121" t="s">
        <v>3733</v>
      </c>
      <c r="D298" s="121" t="s">
        <v>3792</v>
      </c>
      <c r="E298" s="121" t="s">
        <v>3793</v>
      </c>
      <c r="F298" s="121" t="s">
        <v>3239</v>
      </c>
      <c r="G298" s="121" t="s">
        <v>1925</v>
      </c>
      <c r="H298" s="121" t="s">
        <v>3024</v>
      </c>
      <c r="I298" s="121"/>
      <c r="J298" s="121" t="s">
        <v>3429</v>
      </c>
      <c r="K298" s="121" t="s">
        <v>3585</v>
      </c>
    </row>
    <row r="299" customFormat="false" ht="46.25" hidden="false" customHeight="false" outlineLevel="0" collapsed="false">
      <c r="A299" s="6" t="s">
        <v>2374</v>
      </c>
      <c r="B299" s="6" t="s">
        <v>2391</v>
      </c>
      <c r="C299" s="6" t="s">
        <v>3733</v>
      </c>
      <c r="D299" s="6" t="s">
        <v>3794</v>
      </c>
      <c r="E299" s="6" t="s">
        <v>3795</v>
      </c>
      <c r="F299" s="6" t="s">
        <v>1876</v>
      </c>
      <c r="G299" s="6" t="s">
        <v>1882</v>
      </c>
      <c r="H299" s="6" t="s">
        <v>3024</v>
      </c>
      <c r="I299" s="6"/>
      <c r="J299" s="6" t="s">
        <v>3796</v>
      </c>
      <c r="K299" s="6" t="s">
        <v>3585</v>
      </c>
    </row>
    <row r="300" customFormat="false" ht="46.25" hidden="false" customHeight="false" outlineLevel="0" collapsed="false">
      <c r="A300" s="121" t="s">
        <v>2374</v>
      </c>
      <c r="B300" s="121" t="s">
        <v>2391</v>
      </c>
      <c r="C300" s="121" t="s">
        <v>3733</v>
      </c>
      <c r="D300" s="121" t="s">
        <v>3797</v>
      </c>
      <c r="E300" s="121" t="s">
        <v>3798</v>
      </c>
      <c r="F300" s="121" t="s">
        <v>3086</v>
      </c>
      <c r="G300" s="121" t="s">
        <v>1882</v>
      </c>
      <c r="H300" s="121" t="s">
        <v>3024</v>
      </c>
      <c r="I300" s="121"/>
      <c r="J300" s="121" t="s">
        <v>3755</v>
      </c>
      <c r="K300" s="121" t="s">
        <v>3585</v>
      </c>
    </row>
    <row r="301" customFormat="false" ht="46.25" hidden="false" customHeight="false" outlineLevel="0" collapsed="false">
      <c r="A301" s="6" t="s">
        <v>2374</v>
      </c>
      <c r="B301" s="6" t="s">
        <v>2391</v>
      </c>
      <c r="C301" s="6" t="s">
        <v>3733</v>
      </c>
      <c r="D301" s="6" t="s">
        <v>3799</v>
      </c>
      <c r="E301" s="6" t="s">
        <v>3800</v>
      </c>
      <c r="F301" s="6" t="s">
        <v>3801</v>
      </c>
      <c r="G301" s="6" t="s">
        <v>3802</v>
      </c>
      <c r="H301" s="6" t="s">
        <v>3024</v>
      </c>
      <c r="I301" s="6"/>
      <c r="J301" s="6" t="s">
        <v>3803</v>
      </c>
      <c r="K301" s="6" t="s">
        <v>3585</v>
      </c>
    </row>
    <row r="302" customFormat="false" ht="46.25" hidden="false" customHeight="false" outlineLevel="0" collapsed="false">
      <c r="A302" s="121" t="s">
        <v>2374</v>
      </c>
      <c r="B302" s="121" t="s">
        <v>2391</v>
      </c>
      <c r="C302" s="121" t="s">
        <v>3733</v>
      </c>
      <c r="D302" s="121" t="s">
        <v>3804</v>
      </c>
      <c r="E302" s="121" t="s">
        <v>3805</v>
      </c>
      <c r="F302" s="121" t="s">
        <v>3114</v>
      </c>
      <c r="G302" s="121" t="s">
        <v>2347</v>
      </c>
      <c r="H302" s="121" t="s">
        <v>3024</v>
      </c>
      <c r="I302" s="121"/>
      <c r="J302" s="121" t="s">
        <v>3474</v>
      </c>
      <c r="K302" s="121" t="s">
        <v>3585</v>
      </c>
    </row>
    <row r="303" customFormat="false" ht="46.25" hidden="false" customHeight="false" outlineLevel="0" collapsed="false">
      <c r="A303" s="6" t="s">
        <v>2374</v>
      </c>
      <c r="B303" s="6" t="s">
        <v>2391</v>
      </c>
      <c r="C303" s="6" t="s">
        <v>3733</v>
      </c>
      <c r="D303" s="6" t="s">
        <v>3806</v>
      </c>
      <c r="E303" s="6" t="s">
        <v>3807</v>
      </c>
      <c r="F303" s="6" t="s">
        <v>1965</v>
      </c>
      <c r="G303" s="6" t="s">
        <v>1973</v>
      </c>
      <c r="H303" s="6" t="s">
        <v>3024</v>
      </c>
      <c r="I303" s="6"/>
      <c r="J303" s="6" t="s">
        <v>3441</v>
      </c>
      <c r="K303" s="6" t="s">
        <v>3585</v>
      </c>
    </row>
    <row r="304" customFormat="false" ht="46.25" hidden="false" customHeight="false" outlineLevel="0" collapsed="false">
      <c r="A304" s="121" t="s">
        <v>2374</v>
      </c>
      <c r="B304" s="121" t="s">
        <v>2391</v>
      </c>
      <c r="C304" s="121" t="s">
        <v>3733</v>
      </c>
      <c r="D304" s="121" t="s">
        <v>3808</v>
      </c>
      <c r="E304" s="121" t="s">
        <v>3809</v>
      </c>
      <c r="F304" s="121" t="s">
        <v>2029</v>
      </c>
      <c r="G304" s="121" t="s">
        <v>2035</v>
      </c>
      <c r="H304" s="121" t="s">
        <v>3024</v>
      </c>
      <c r="I304" s="121"/>
      <c r="J304" s="121" t="s">
        <v>3474</v>
      </c>
      <c r="K304" s="121" t="s">
        <v>3585</v>
      </c>
    </row>
    <row r="305" customFormat="false" ht="46.25" hidden="false" customHeight="false" outlineLevel="0" collapsed="false">
      <c r="A305" s="6" t="s">
        <v>2374</v>
      </c>
      <c r="B305" s="6" t="s">
        <v>2391</v>
      </c>
      <c r="C305" s="6" t="s">
        <v>3733</v>
      </c>
      <c r="D305" s="6" t="s">
        <v>3810</v>
      </c>
      <c r="E305" s="6" t="s">
        <v>3811</v>
      </c>
      <c r="F305" s="6" t="s">
        <v>2041</v>
      </c>
      <c r="G305" s="6" t="s">
        <v>2048</v>
      </c>
      <c r="H305" s="6" t="s">
        <v>3024</v>
      </c>
      <c r="I305" s="6"/>
      <c r="J305" s="6" t="s">
        <v>3752</v>
      </c>
      <c r="K305" s="6" t="s">
        <v>3585</v>
      </c>
    </row>
    <row r="306" customFormat="false" ht="46.25" hidden="false" customHeight="false" outlineLevel="0" collapsed="false">
      <c r="A306" s="121" t="s">
        <v>2374</v>
      </c>
      <c r="B306" s="121" t="s">
        <v>2391</v>
      </c>
      <c r="C306" s="121" t="s">
        <v>3733</v>
      </c>
      <c r="D306" s="121" t="s">
        <v>3812</v>
      </c>
      <c r="E306" s="121" t="s">
        <v>3813</v>
      </c>
      <c r="F306" s="121" t="s">
        <v>3814</v>
      </c>
      <c r="G306" s="121" t="s">
        <v>3815</v>
      </c>
      <c r="H306" s="121" t="s">
        <v>3024</v>
      </c>
      <c r="I306" s="121"/>
      <c r="J306" s="121" t="s">
        <v>3816</v>
      </c>
      <c r="K306" s="121" t="s">
        <v>3585</v>
      </c>
    </row>
    <row r="307" customFormat="false" ht="46.25" hidden="false" customHeight="false" outlineLevel="0" collapsed="false">
      <c r="A307" s="6" t="s">
        <v>2374</v>
      </c>
      <c r="B307" s="6" t="s">
        <v>2391</v>
      </c>
      <c r="C307" s="6" t="s">
        <v>3733</v>
      </c>
      <c r="D307" s="6" t="s">
        <v>3817</v>
      </c>
      <c r="E307" s="6" t="s">
        <v>3818</v>
      </c>
      <c r="F307" s="6" t="s">
        <v>1950</v>
      </c>
      <c r="G307" s="6" t="s">
        <v>1957</v>
      </c>
      <c r="H307" s="6" t="s">
        <v>3024</v>
      </c>
      <c r="I307" s="6"/>
      <c r="J307" s="6" t="s">
        <v>3819</v>
      </c>
      <c r="K307" s="6" t="s">
        <v>3585</v>
      </c>
    </row>
    <row r="308" customFormat="false" ht="46.25" hidden="false" customHeight="false" outlineLevel="0" collapsed="false">
      <c r="A308" s="121" t="s">
        <v>2374</v>
      </c>
      <c r="B308" s="121" t="s">
        <v>2391</v>
      </c>
      <c r="C308" s="121" t="s">
        <v>3733</v>
      </c>
      <c r="D308" s="121" t="s">
        <v>3820</v>
      </c>
      <c r="E308" s="121" t="s">
        <v>3821</v>
      </c>
      <c r="F308" s="121" t="s">
        <v>2152</v>
      </c>
      <c r="G308" s="121" t="s">
        <v>2160</v>
      </c>
      <c r="H308" s="121" t="s">
        <v>3024</v>
      </c>
      <c r="I308" s="121"/>
      <c r="J308" s="121" t="s">
        <v>3822</v>
      </c>
      <c r="K308" s="121" t="s">
        <v>3585</v>
      </c>
    </row>
    <row r="309" customFormat="false" ht="46.25" hidden="false" customHeight="false" outlineLevel="0" collapsed="false">
      <c r="A309" s="6" t="s">
        <v>2374</v>
      </c>
      <c r="B309" s="6" t="s">
        <v>2391</v>
      </c>
      <c r="C309" s="6" t="s">
        <v>3733</v>
      </c>
      <c r="D309" s="6" t="s">
        <v>2719</v>
      </c>
      <c r="E309" s="6" t="s">
        <v>3823</v>
      </c>
      <c r="F309" s="6" t="s">
        <v>3824</v>
      </c>
      <c r="G309" s="6" t="s">
        <v>3825</v>
      </c>
      <c r="H309" s="6" t="s">
        <v>3024</v>
      </c>
      <c r="I309" s="6"/>
      <c r="J309" s="6" t="s">
        <v>3826</v>
      </c>
      <c r="K309" s="6" t="s">
        <v>3585</v>
      </c>
    </row>
    <row r="310" customFormat="false" ht="46.25" hidden="false" customHeight="false" outlineLevel="0" collapsed="false">
      <c r="A310" s="121" t="s">
        <v>2374</v>
      </c>
      <c r="B310" s="121" t="s">
        <v>2391</v>
      </c>
      <c r="C310" s="121" t="s">
        <v>3733</v>
      </c>
      <c r="D310" s="121" t="s">
        <v>3827</v>
      </c>
      <c r="E310" s="121" t="s">
        <v>3828</v>
      </c>
      <c r="F310" s="121" t="s">
        <v>2011</v>
      </c>
      <c r="G310" s="121" t="s">
        <v>2019</v>
      </c>
      <c r="H310" s="121" t="s">
        <v>3024</v>
      </c>
      <c r="I310" s="121"/>
      <c r="J310" s="121" t="s">
        <v>3829</v>
      </c>
      <c r="K310" s="121" t="s">
        <v>3585</v>
      </c>
    </row>
    <row r="311" customFormat="false" ht="46.25" hidden="false" customHeight="false" outlineLevel="0" collapsed="false">
      <c r="A311" s="6" t="s">
        <v>2374</v>
      </c>
      <c r="B311" s="6" t="s">
        <v>2391</v>
      </c>
      <c r="C311" s="6" t="s">
        <v>3733</v>
      </c>
      <c r="D311" s="6" t="s">
        <v>3830</v>
      </c>
      <c r="E311" s="6" t="s">
        <v>3831</v>
      </c>
      <c r="F311" s="6" t="s">
        <v>1710</v>
      </c>
      <c r="G311" s="6" t="s">
        <v>1719</v>
      </c>
      <c r="H311" s="6" t="s">
        <v>3024</v>
      </c>
      <c r="I311" s="6"/>
      <c r="J311" s="6" t="s">
        <v>3457</v>
      </c>
      <c r="K311" s="6" t="s">
        <v>3585</v>
      </c>
    </row>
    <row r="312" customFormat="false" ht="46.25" hidden="false" customHeight="false" outlineLevel="0" collapsed="false">
      <c r="A312" s="121" t="s">
        <v>2375</v>
      </c>
      <c r="B312" s="121" t="s">
        <v>231</v>
      </c>
      <c r="C312" s="121" t="s">
        <v>3359</v>
      </c>
      <c r="D312" s="121" t="s">
        <v>3832</v>
      </c>
      <c r="E312" s="121" t="s">
        <v>3833</v>
      </c>
      <c r="F312" s="121" t="s">
        <v>931</v>
      </c>
      <c r="G312" s="121" t="s">
        <v>1815</v>
      </c>
      <c r="H312" s="121" t="s">
        <v>3024</v>
      </c>
      <c r="I312" s="121"/>
      <c r="J312" s="121" t="s">
        <v>3368</v>
      </c>
      <c r="K312" s="121" t="s">
        <v>3834</v>
      </c>
    </row>
    <row r="313" customFormat="false" ht="46.25" hidden="false" customHeight="false" outlineLevel="0" collapsed="false">
      <c r="A313" s="6" t="s">
        <v>2375</v>
      </c>
      <c r="B313" s="6" t="s">
        <v>231</v>
      </c>
      <c r="C313" s="6" t="s">
        <v>3359</v>
      </c>
      <c r="D313" s="6" t="s">
        <v>3394</v>
      </c>
      <c r="E313" s="6" t="s">
        <v>3835</v>
      </c>
      <c r="F313" s="6" t="s">
        <v>931</v>
      </c>
      <c r="G313" s="6" t="s">
        <v>1815</v>
      </c>
      <c r="H313" s="6" t="s">
        <v>3024</v>
      </c>
      <c r="I313" s="6"/>
      <c r="J313" s="6" t="s">
        <v>3368</v>
      </c>
      <c r="K313" s="6" t="s">
        <v>3834</v>
      </c>
    </row>
    <row r="314" customFormat="false" ht="46.25" hidden="false" customHeight="false" outlineLevel="0" collapsed="false">
      <c r="A314" s="121" t="s">
        <v>2375</v>
      </c>
      <c r="B314" s="121" t="s">
        <v>231</v>
      </c>
      <c r="C314" s="121" t="s">
        <v>3359</v>
      </c>
      <c r="D314" s="121" t="s">
        <v>3399</v>
      </c>
      <c r="E314" s="121" t="s">
        <v>3836</v>
      </c>
      <c r="F314" s="121" t="s">
        <v>3712</v>
      </c>
      <c r="G314" s="121" t="s">
        <v>3713</v>
      </c>
      <c r="H314" s="121" t="s">
        <v>3024</v>
      </c>
      <c r="I314" s="121"/>
      <c r="J314" s="121" t="s">
        <v>3787</v>
      </c>
      <c r="K314" s="121" t="s">
        <v>3834</v>
      </c>
    </row>
    <row r="315" customFormat="false" ht="46.25" hidden="false" customHeight="false" outlineLevel="0" collapsed="false">
      <c r="A315" s="6" t="s">
        <v>2375</v>
      </c>
      <c r="B315" s="6" t="s">
        <v>231</v>
      </c>
      <c r="C315" s="6" t="s">
        <v>3359</v>
      </c>
      <c r="D315" s="6" t="s">
        <v>3404</v>
      </c>
      <c r="E315" s="6" t="s">
        <v>3837</v>
      </c>
      <c r="F315" s="6" t="s">
        <v>931</v>
      </c>
      <c r="G315" s="6" t="s">
        <v>1815</v>
      </c>
      <c r="H315" s="6" t="s">
        <v>3024</v>
      </c>
      <c r="I315" s="6"/>
      <c r="J315" s="6" t="s">
        <v>3368</v>
      </c>
      <c r="K315" s="6" t="s">
        <v>3834</v>
      </c>
    </row>
    <row r="316" customFormat="false" ht="46.25" hidden="false" customHeight="false" outlineLevel="0" collapsed="false">
      <c r="A316" s="121" t="s">
        <v>2375</v>
      </c>
      <c r="B316" s="121" t="s">
        <v>231</v>
      </c>
      <c r="C316" s="121" t="s">
        <v>3359</v>
      </c>
      <c r="D316" s="121" t="s">
        <v>3407</v>
      </c>
      <c r="E316" s="121" t="s">
        <v>3838</v>
      </c>
      <c r="F316" s="121" t="s">
        <v>2305</v>
      </c>
      <c r="G316" s="121" t="s">
        <v>2312</v>
      </c>
      <c r="H316" s="121" t="s">
        <v>3024</v>
      </c>
      <c r="I316" s="121"/>
      <c r="J316" s="121" t="s">
        <v>3409</v>
      </c>
      <c r="K316" s="121" t="s">
        <v>3834</v>
      </c>
    </row>
    <row r="317" customFormat="false" ht="46.25" hidden="false" customHeight="false" outlineLevel="0" collapsed="false">
      <c r="A317" s="6" t="s">
        <v>2375</v>
      </c>
      <c r="B317" s="6" t="s">
        <v>231</v>
      </c>
      <c r="C317" s="6" t="s">
        <v>3359</v>
      </c>
      <c r="D317" s="6" t="s">
        <v>3839</v>
      </c>
      <c r="E317" s="6"/>
      <c r="F317" s="6" t="s">
        <v>287</v>
      </c>
      <c r="G317" s="6" t="s">
        <v>287</v>
      </c>
      <c r="H317" s="6" t="s">
        <v>3024</v>
      </c>
      <c r="I317" s="6"/>
      <c r="J317" s="6" t="s">
        <v>3365</v>
      </c>
      <c r="K317" s="6" t="s">
        <v>3834</v>
      </c>
    </row>
    <row r="318" customFormat="false" ht="46.25" hidden="false" customHeight="false" outlineLevel="0" collapsed="false">
      <c r="A318" s="121" t="s">
        <v>2375</v>
      </c>
      <c r="B318" s="121" t="s">
        <v>231</v>
      </c>
      <c r="C318" s="121" t="s">
        <v>3359</v>
      </c>
      <c r="D318" s="121" t="s">
        <v>3840</v>
      </c>
      <c r="E318" s="121"/>
      <c r="F318" s="121" t="s">
        <v>287</v>
      </c>
      <c r="G318" s="121" t="s">
        <v>287</v>
      </c>
      <c r="H318" s="121" t="s">
        <v>3024</v>
      </c>
      <c r="I318" s="121"/>
      <c r="J318" s="121" t="s">
        <v>3365</v>
      </c>
      <c r="K318" s="121" t="s">
        <v>3834</v>
      </c>
    </row>
    <row r="319" customFormat="false" ht="46.25" hidden="false" customHeight="false" outlineLevel="0" collapsed="false">
      <c r="A319" s="6" t="s">
        <v>2375</v>
      </c>
      <c r="B319" s="6" t="s">
        <v>231</v>
      </c>
      <c r="C319" s="6" t="s">
        <v>3359</v>
      </c>
      <c r="D319" s="6" t="s">
        <v>3841</v>
      </c>
      <c r="E319" s="6" t="s">
        <v>3842</v>
      </c>
      <c r="F319" s="6" t="s">
        <v>3843</v>
      </c>
      <c r="G319" s="6" t="s">
        <v>3844</v>
      </c>
      <c r="H319" s="6" t="s">
        <v>3024</v>
      </c>
      <c r="I319" s="6"/>
      <c r="J319" s="6" t="s">
        <v>3819</v>
      </c>
      <c r="K319" s="6" t="s">
        <v>3834</v>
      </c>
    </row>
    <row r="320" customFormat="false" ht="46.25" hidden="false" customHeight="false" outlineLevel="0" collapsed="false">
      <c r="A320" s="121" t="s">
        <v>2375</v>
      </c>
      <c r="B320" s="121" t="s">
        <v>231</v>
      </c>
      <c r="C320" s="121" t="s">
        <v>3359</v>
      </c>
      <c r="D320" s="121" t="s">
        <v>3845</v>
      </c>
      <c r="E320" s="121" t="s">
        <v>3846</v>
      </c>
      <c r="F320" s="121" t="s">
        <v>3847</v>
      </c>
      <c r="G320" s="121" t="s">
        <v>3848</v>
      </c>
      <c r="H320" s="121" t="s">
        <v>3024</v>
      </c>
      <c r="I320" s="121"/>
      <c r="J320" s="121" t="s">
        <v>3849</v>
      </c>
      <c r="K320" s="121" t="s">
        <v>3834</v>
      </c>
    </row>
    <row r="321" customFormat="false" ht="46.25" hidden="false" customHeight="false" outlineLevel="0" collapsed="false">
      <c r="A321" s="6" t="s">
        <v>2375</v>
      </c>
      <c r="B321" s="6" t="s">
        <v>231</v>
      </c>
      <c r="C321" s="6" t="s">
        <v>3359</v>
      </c>
      <c r="D321" s="6" t="s">
        <v>3850</v>
      </c>
      <c r="E321" s="6" t="s">
        <v>3851</v>
      </c>
      <c r="F321" s="6" t="s">
        <v>3852</v>
      </c>
      <c r="G321" s="6" t="s">
        <v>3189</v>
      </c>
      <c r="H321" s="6" t="s">
        <v>3024</v>
      </c>
      <c r="I321" s="6"/>
      <c r="J321" s="6" t="s">
        <v>3373</v>
      </c>
      <c r="K321" s="6" t="s">
        <v>3834</v>
      </c>
    </row>
    <row r="322" customFormat="false" ht="46.25" hidden="false" customHeight="false" outlineLevel="0" collapsed="false">
      <c r="A322" s="121" t="s">
        <v>2375</v>
      </c>
      <c r="B322" s="121" t="s">
        <v>231</v>
      </c>
      <c r="C322" s="121" t="s">
        <v>3359</v>
      </c>
      <c r="D322" s="121" t="s">
        <v>3853</v>
      </c>
      <c r="E322" s="121"/>
      <c r="F322" s="121" t="s">
        <v>287</v>
      </c>
      <c r="G322" s="121" t="s">
        <v>287</v>
      </c>
      <c r="H322" s="121" t="s">
        <v>3024</v>
      </c>
      <c r="I322" s="121"/>
      <c r="J322" s="121" t="s">
        <v>3365</v>
      </c>
      <c r="K322" s="121" t="s">
        <v>3834</v>
      </c>
    </row>
    <row r="323" customFormat="false" ht="46.25" hidden="false" customHeight="false" outlineLevel="0" collapsed="false">
      <c r="A323" s="6" t="s">
        <v>2375</v>
      </c>
      <c r="B323" s="6" t="s">
        <v>231</v>
      </c>
      <c r="C323" s="6" t="s">
        <v>3359</v>
      </c>
      <c r="D323" s="6" t="s">
        <v>3854</v>
      </c>
      <c r="E323" s="6" t="s">
        <v>3855</v>
      </c>
      <c r="F323" s="6" t="s">
        <v>3856</v>
      </c>
      <c r="G323" s="6" t="s">
        <v>3857</v>
      </c>
      <c r="H323" s="6" t="s">
        <v>3024</v>
      </c>
      <c r="I323" s="6"/>
      <c r="J323" s="6" t="s">
        <v>3858</v>
      </c>
      <c r="K323" s="6" t="s">
        <v>3834</v>
      </c>
    </row>
    <row r="324" customFormat="false" ht="46.25" hidden="false" customHeight="false" outlineLevel="0" collapsed="false">
      <c r="A324" s="121" t="s">
        <v>2375</v>
      </c>
      <c r="B324" s="121" t="s">
        <v>231</v>
      </c>
      <c r="C324" s="121" t="s">
        <v>3359</v>
      </c>
      <c r="D324" s="121" t="s">
        <v>3859</v>
      </c>
      <c r="E324" s="121" t="s">
        <v>3860</v>
      </c>
      <c r="F324" s="121" t="s">
        <v>608</v>
      </c>
      <c r="G324" s="121" t="s">
        <v>1896</v>
      </c>
      <c r="H324" s="121" t="s">
        <v>3024</v>
      </c>
      <c r="I324" s="121"/>
      <c r="J324" s="121" t="s">
        <v>3381</v>
      </c>
      <c r="K324" s="121" t="s">
        <v>3834</v>
      </c>
    </row>
    <row r="325" customFormat="false" ht="46.25" hidden="false" customHeight="false" outlineLevel="0" collapsed="false">
      <c r="A325" s="6" t="s">
        <v>2375</v>
      </c>
      <c r="B325" s="6" t="s">
        <v>231</v>
      </c>
      <c r="C325" s="6" t="s">
        <v>3359</v>
      </c>
      <c r="D325" s="6" t="s">
        <v>3861</v>
      </c>
      <c r="E325" s="6" t="s">
        <v>3862</v>
      </c>
      <c r="F325" s="6" t="s">
        <v>3863</v>
      </c>
      <c r="G325" s="6" t="s">
        <v>3864</v>
      </c>
      <c r="H325" s="6" t="s">
        <v>3024</v>
      </c>
      <c r="I325" s="6"/>
      <c r="J325" s="6" t="s">
        <v>3865</v>
      </c>
      <c r="K325" s="6" t="s">
        <v>3834</v>
      </c>
    </row>
    <row r="326" customFormat="false" ht="46.25" hidden="false" customHeight="false" outlineLevel="0" collapsed="false">
      <c r="A326" s="121" t="s">
        <v>2375</v>
      </c>
      <c r="B326" s="121" t="s">
        <v>231</v>
      </c>
      <c r="C326" s="121" t="s">
        <v>3359</v>
      </c>
      <c r="D326" s="121" t="s">
        <v>3866</v>
      </c>
      <c r="E326" s="121" t="s">
        <v>3867</v>
      </c>
      <c r="F326" s="121" t="s">
        <v>3868</v>
      </c>
      <c r="G326" s="121" t="s">
        <v>3869</v>
      </c>
      <c r="H326" s="121" t="s">
        <v>3024</v>
      </c>
      <c r="I326" s="121"/>
      <c r="J326" s="121" t="s">
        <v>3870</v>
      </c>
      <c r="K326" s="121" t="s">
        <v>3834</v>
      </c>
    </row>
    <row r="327" customFormat="false" ht="46.25" hidden="false" customHeight="false" outlineLevel="0" collapsed="false">
      <c r="A327" s="6" t="s">
        <v>2375</v>
      </c>
      <c r="B327" s="6" t="s">
        <v>231</v>
      </c>
      <c r="C327" s="6" t="s">
        <v>3359</v>
      </c>
      <c r="D327" s="6" t="s">
        <v>3871</v>
      </c>
      <c r="E327" s="6" t="s">
        <v>3872</v>
      </c>
      <c r="F327" s="6" t="s">
        <v>1857</v>
      </c>
      <c r="G327" s="6" t="s">
        <v>1866</v>
      </c>
      <c r="H327" s="6" t="s">
        <v>3024</v>
      </c>
      <c r="I327" s="6"/>
      <c r="J327" s="6" t="s">
        <v>3438</v>
      </c>
      <c r="K327" s="6" t="s">
        <v>3834</v>
      </c>
    </row>
    <row r="328" customFormat="false" ht="46.25" hidden="false" customHeight="false" outlineLevel="0" collapsed="false">
      <c r="A328" s="121" t="s">
        <v>2375</v>
      </c>
      <c r="B328" s="121" t="s">
        <v>231</v>
      </c>
      <c r="C328" s="121" t="s">
        <v>3359</v>
      </c>
      <c r="D328" s="121" t="s">
        <v>3873</v>
      </c>
      <c r="E328" s="121" t="s">
        <v>3874</v>
      </c>
      <c r="F328" s="121" t="s">
        <v>1857</v>
      </c>
      <c r="G328" s="121" t="s">
        <v>1866</v>
      </c>
      <c r="H328" s="121" t="s">
        <v>3024</v>
      </c>
      <c r="I328" s="121"/>
      <c r="J328" s="121" t="s">
        <v>3438</v>
      </c>
      <c r="K328" s="121" t="s">
        <v>3834</v>
      </c>
    </row>
    <row r="329" customFormat="false" ht="46.25" hidden="false" customHeight="false" outlineLevel="0" collapsed="false">
      <c r="A329" s="6" t="s">
        <v>2375</v>
      </c>
      <c r="B329" s="6" t="s">
        <v>231</v>
      </c>
      <c r="C329" s="6" t="s">
        <v>3359</v>
      </c>
      <c r="D329" s="6" t="s">
        <v>3875</v>
      </c>
      <c r="E329" s="6" t="s">
        <v>3876</v>
      </c>
      <c r="F329" s="6" t="s">
        <v>3877</v>
      </c>
      <c r="G329" s="6" t="s">
        <v>3878</v>
      </c>
      <c r="H329" s="6" t="s">
        <v>3024</v>
      </c>
      <c r="I329" s="6"/>
      <c r="J329" s="6" t="s">
        <v>3879</v>
      </c>
      <c r="K329" s="6" t="s">
        <v>3834</v>
      </c>
    </row>
    <row r="330" customFormat="false" ht="46.25" hidden="false" customHeight="false" outlineLevel="0" collapsed="false">
      <c r="A330" s="121" t="s">
        <v>2375</v>
      </c>
      <c r="B330" s="121" t="s">
        <v>231</v>
      </c>
      <c r="C330" s="121" t="s">
        <v>3359</v>
      </c>
      <c r="D330" s="121" t="s">
        <v>3880</v>
      </c>
      <c r="E330" s="121" t="s">
        <v>3881</v>
      </c>
      <c r="F330" s="121" t="s">
        <v>3882</v>
      </c>
      <c r="G330" s="121" t="s">
        <v>3319</v>
      </c>
      <c r="H330" s="121" t="s">
        <v>3024</v>
      </c>
      <c r="I330" s="121"/>
      <c r="J330" s="121" t="s">
        <v>3373</v>
      </c>
      <c r="K330" s="121" t="s">
        <v>3834</v>
      </c>
    </row>
    <row r="331" customFormat="false" ht="46.25" hidden="false" customHeight="false" outlineLevel="0" collapsed="false">
      <c r="A331" s="6" t="s">
        <v>2375</v>
      </c>
      <c r="B331" s="6" t="s">
        <v>231</v>
      </c>
      <c r="C331" s="6" t="s">
        <v>3359</v>
      </c>
      <c r="D331" s="6" t="s">
        <v>3883</v>
      </c>
      <c r="E331" s="6" t="s">
        <v>3884</v>
      </c>
      <c r="F331" s="6" t="s">
        <v>3885</v>
      </c>
      <c r="G331" s="6" t="s">
        <v>3886</v>
      </c>
      <c r="H331" s="6" t="s">
        <v>3024</v>
      </c>
      <c r="I331" s="6"/>
      <c r="J331" s="6" t="s">
        <v>3887</v>
      </c>
      <c r="K331" s="6" t="s">
        <v>3834</v>
      </c>
    </row>
    <row r="332" customFormat="false" ht="46.25" hidden="false" customHeight="false" outlineLevel="0" collapsed="false">
      <c r="A332" s="121" t="s">
        <v>2375</v>
      </c>
      <c r="B332" s="121" t="s">
        <v>231</v>
      </c>
      <c r="C332" s="121" t="s">
        <v>3359</v>
      </c>
      <c r="D332" s="121" t="s">
        <v>3888</v>
      </c>
      <c r="E332" s="121" t="s">
        <v>3889</v>
      </c>
      <c r="F332" s="121" t="s">
        <v>3890</v>
      </c>
      <c r="G332" s="121" t="s">
        <v>3319</v>
      </c>
      <c r="H332" s="121" t="s">
        <v>3024</v>
      </c>
      <c r="I332" s="121"/>
      <c r="J332" s="121" t="s">
        <v>3483</v>
      </c>
      <c r="K332" s="121" t="s">
        <v>3834</v>
      </c>
    </row>
    <row r="333" customFormat="false" ht="46.25" hidden="false" customHeight="false" outlineLevel="0" collapsed="false">
      <c r="A333" s="6" t="s">
        <v>2375</v>
      </c>
      <c r="B333" s="6" t="s">
        <v>231</v>
      </c>
      <c r="C333" s="6" t="s">
        <v>3359</v>
      </c>
      <c r="D333" s="6" t="s">
        <v>3891</v>
      </c>
      <c r="E333" s="6" t="s">
        <v>3892</v>
      </c>
      <c r="F333" s="6" t="s">
        <v>884</v>
      </c>
      <c r="G333" s="6" t="s">
        <v>1848</v>
      </c>
      <c r="H333" s="6" t="s">
        <v>3024</v>
      </c>
      <c r="I333" s="6"/>
      <c r="J333" s="6" t="s">
        <v>3416</v>
      </c>
      <c r="K333" s="6" t="s">
        <v>3834</v>
      </c>
    </row>
    <row r="334" customFormat="false" ht="46.25" hidden="false" customHeight="false" outlineLevel="0" collapsed="false">
      <c r="A334" s="121" t="s">
        <v>2375</v>
      </c>
      <c r="B334" s="121" t="s">
        <v>231</v>
      </c>
      <c r="C334" s="121" t="s">
        <v>3359</v>
      </c>
      <c r="D334" s="121" t="s">
        <v>3893</v>
      </c>
      <c r="E334" s="121" t="s">
        <v>3894</v>
      </c>
      <c r="F334" s="121" t="s">
        <v>3895</v>
      </c>
      <c r="G334" s="121" t="s">
        <v>1848</v>
      </c>
      <c r="H334" s="121" t="s">
        <v>3024</v>
      </c>
      <c r="I334" s="121"/>
      <c r="J334" s="121" t="s">
        <v>3879</v>
      </c>
      <c r="K334" s="121" t="s">
        <v>3834</v>
      </c>
    </row>
    <row r="335" customFormat="false" ht="46.25" hidden="false" customHeight="false" outlineLevel="0" collapsed="false">
      <c r="A335" s="6" t="s">
        <v>2375</v>
      </c>
      <c r="B335" s="6" t="s">
        <v>231</v>
      </c>
      <c r="C335" s="6" t="s">
        <v>3359</v>
      </c>
      <c r="D335" s="6" t="s">
        <v>3896</v>
      </c>
      <c r="E335" s="6" t="s">
        <v>3897</v>
      </c>
      <c r="F335" s="6" t="s">
        <v>670</v>
      </c>
      <c r="G335" s="6" t="s">
        <v>2176</v>
      </c>
      <c r="H335" s="6" t="s">
        <v>3024</v>
      </c>
      <c r="I335" s="6"/>
      <c r="J335" s="6" t="s">
        <v>3373</v>
      </c>
      <c r="K335" s="6" t="s">
        <v>3834</v>
      </c>
    </row>
    <row r="336" customFormat="false" ht="46.25" hidden="false" customHeight="false" outlineLevel="0" collapsed="false">
      <c r="A336" s="121" t="s">
        <v>2375</v>
      </c>
      <c r="B336" s="121" t="s">
        <v>231</v>
      </c>
      <c r="C336" s="121" t="s">
        <v>3359</v>
      </c>
      <c r="D336" s="121" t="s">
        <v>3898</v>
      </c>
      <c r="E336" s="121" t="s">
        <v>3899</v>
      </c>
      <c r="F336" s="121" t="s">
        <v>3900</v>
      </c>
      <c r="G336" s="121" t="s">
        <v>2176</v>
      </c>
      <c r="H336" s="121" t="s">
        <v>3024</v>
      </c>
      <c r="I336" s="121"/>
      <c r="J336" s="121" t="s">
        <v>3901</v>
      </c>
      <c r="K336" s="121" t="s">
        <v>3834</v>
      </c>
    </row>
    <row r="337" customFormat="false" ht="46.25" hidden="false" customHeight="false" outlineLevel="0" collapsed="false">
      <c r="A337" s="6" t="s">
        <v>2375</v>
      </c>
      <c r="B337" s="6" t="s">
        <v>231</v>
      </c>
      <c r="C337" s="6" t="s">
        <v>3359</v>
      </c>
      <c r="D337" s="6" t="s">
        <v>3902</v>
      </c>
      <c r="E337" s="6" t="s">
        <v>3903</v>
      </c>
      <c r="F337" s="6" t="s">
        <v>3904</v>
      </c>
      <c r="G337" s="6" t="s">
        <v>3905</v>
      </c>
      <c r="H337" s="6" t="s">
        <v>3024</v>
      </c>
      <c r="I337" s="6"/>
      <c r="J337" s="6" t="s">
        <v>3768</v>
      </c>
      <c r="K337" s="6" t="s">
        <v>3834</v>
      </c>
    </row>
    <row r="338" customFormat="false" ht="46.25" hidden="false" customHeight="false" outlineLevel="0" collapsed="false">
      <c r="A338" s="121" t="s">
        <v>2375</v>
      </c>
      <c r="B338" s="121" t="s">
        <v>231</v>
      </c>
      <c r="C338" s="121" t="s">
        <v>3359</v>
      </c>
      <c r="D338" s="121" t="s">
        <v>3906</v>
      </c>
      <c r="E338" s="121" t="s">
        <v>3907</v>
      </c>
      <c r="F338" s="121" t="s">
        <v>670</v>
      </c>
      <c r="G338" s="121" t="s">
        <v>2176</v>
      </c>
      <c r="H338" s="121" t="s">
        <v>3024</v>
      </c>
      <c r="I338" s="121"/>
      <c r="J338" s="121" t="s">
        <v>3373</v>
      </c>
      <c r="K338" s="121" t="s">
        <v>3834</v>
      </c>
    </row>
    <row r="339" customFormat="false" ht="46.25" hidden="false" customHeight="false" outlineLevel="0" collapsed="false">
      <c r="A339" s="6" t="s">
        <v>2375</v>
      </c>
      <c r="B339" s="6" t="s">
        <v>231</v>
      </c>
      <c r="C339" s="6" t="s">
        <v>3359</v>
      </c>
      <c r="D339" s="6" t="s">
        <v>3908</v>
      </c>
      <c r="E339" s="6" t="s">
        <v>3909</v>
      </c>
      <c r="F339" s="6" t="s">
        <v>449</v>
      </c>
      <c r="G339" s="6" t="s">
        <v>3910</v>
      </c>
      <c r="H339" s="6" t="s">
        <v>3024</v>
      </c>
      <c r="I339" s="6"/>
      <c r="J339" s="6" t="s">
        <v>3755</v>
      </c>
      <c r="K339" s="6" t="s">
        <v>3834</v>
      </c>
    </row>
    <row r="340" customFormat="false" ht="46.25" hidden="false" customHeight="false" outlineLevel="0" collapsed="false">
      <c r="A340" s="121" t="s">
        <v>2375</v>
      </c>
      <c r="B340" s="121" t="s">
        <v>231</v>
      </c>
      <c r="C340" s="121" t="s">
        <v>3359</v>
      </c>
      <c r="D340" s="121" t="s">
        <v>3911</v>
      </c>
      <c r="E340" s="121" t="s">
        <v>3912</v>
      </c>
      <c r="F340" s="121" t="s">
        <v>529</v>
      </c>
      <c r="G340" s="121" t="s">
        <v>2259</v>
      </c>
      <c r="H340" s="121" t="s">
        <v>3024</v>
      </c>
      <c r="I340" s="121"/>
      <c r="J340" s="121" t="s">
        <v>3913</v>
      </c>
      <c r="K340" s="121" t="s">
        <v>3834</v>
      </c>
    </row>
    <row r="341" customFormat="false" ht="46.25" hidden="false" customHeight="false" outlineLevel="0" collapsed="false">
      <c r="A341" s="6" t="s">
        <v>2375</v>
      </c>
      <c r="B341" s="6" t="s">
        <v>231</v>
      </c>
      <c r="C341" s="6" t="s">
        <v>3359</v>
      </c>
      <c r="D341" s="6" t="s">
        <v>3914</v>
      </c>
      <c r="E341" s="6" t="s">
        <v>3915</v>
      </c>
      <c r="F341" s="6" t="s">
        <v>529</v>
      </c>
      <c r="G341" s="6" t="s">
        <v>2259</v>
      </c>
      <c r="H341" s="6" t="s">
        <v>3024</v>
      </c>
      <c r="I341" s="6"/>
      <c r="J341" s="6" t="s">
        <v>3913</v>
      </c>
      <c r="K341" s="6" t="s">
        <v>3834</v>
      </c>
    </row>
    <row r="342" customFormat="false" ht="46.25" hidden="false" customHeight="false" outlineLevel="0" collapsed="false">
      <c r="A342" s="121" t="s">
        <v>2375</v>
      </c>
      <c r="B342" s="121" t="s">
        <v>231</v>
      </c>
      <c r="C342" s="121" t="s">
        <v>3359</v>
      </c>
      <c r="D342" s="121" t="s">
        <v>3916</v>
      </c>
      <c r="E342" s="121" t="s">
        <v>3917</v>
      </c>
      <c r="F342" s="121" t="s">
        <v>3918</v>
      </c>
      <c r="G342" s="121" t="s">
        <v>3180</v>
      </c>
      <c r="H342" s="121" t="s">
        <v>3024</v>
      </c>
      <c r="I342" s="121"/>
      <c r="J342" s="121" t="s">
        <v>3755</v>
      </c>
      <c r="K342" s="121" t="s">
        <v>3834</v>
      </c>
    </row>
    <row r="343" customFormat="false" ht="46.25" hidden="false" customHeight="false" outlineLevel="0" collapsed="false">
      <c r="A343" s="6" t="s">
        <v>2375</v>
      </c>
      <c r="B343" s="6" t="s">
        <v>231</v>
      </c>
      <c r="C343" s="6" t="s">
        <v>3359</v>
      </c>
      <c r="D343" s="6" t="s">
        <v>3919</v>
      </c>
      <c r="E343" s="6" t="s">
        <v>3920</v>
      </c>
      <c r="F343" s="6" t="s">
        <v>2353</v>
      </c>
      <c r="G343" s="6" t="s">
        <v>807</v>
      </c>
      <c r="H343" s="6" t="s">
        <v>3024</v>
      </c>
      <c r="I343" s="6"/>
      <c r="J343" s="6" t="s">
        <v>3409</v>
      </c>
      <c r="K343" s="6" t="s">
        <v>3834</v>
      </c>
    </row>
    <row r="344" customFormat="false" ht="46.25" hidden="false" customHeight="false" outlineLevel="0" collapsed="false">
      <c r="A344" s="121" t="s">
        <v>2375</v>
      </c>
      <c r="B344" s="121" t="s">
        <v>231</v>
      </c>
      <c r="C344" s="121" t="s">
        <v>3359</v>
      </c>
      <c r="D344" s="121" t="s">
        <v>3921</v>
      </c>
      <c r="E344" s="121" t="s">
        <v>3922</v>
      </c>
      <c r="F344" s="121" t="s">
        <v>3923</v>
      </c>
      <c r="G344" s="121" t="s">
        <v>3924</v>
      </c>
      <c r="H344" s="121" t="s">
        <v>3024</v>
      </c>
      <c r="I344" s="121"/>
      <c r="J344" s="121" t="s">
        <v>3925</v>
      </c>
      <c r="K344" s="121" t="s">
        <v>3834</v>
      </c>
    </row>
    <row r="345" customFormat="false" ht="46.25" hidden="false" customHeight="false" outlineLevel="0" collapsed="false">
      <c r="A345" s="6" t="s">
        <v>2375</v>
      </c>
      <c r="B345" s="6" t="s">
        <v>231</v>
      </c>
      <c r="C345" s="6" t="s">
        <v>3359</v>
      </c>
      <c r="D345" s="6" t="s">
        <v>3926</v>
      </c>
      <c r="E345" s="6" t="s">
        <v>3927</v>
      </c>
      <c r="F345" s="6" t="s">
        <v>3401</v>
      </c>
      <c r="G345" s="6" t="s">
        <v>3402</v>
      </c>
      <c r="H345" s="6" t="s">
        <v>3024</v>
      </c>
      <c r="I345" s="6"/>
      <c r="J345" s="6" t="s">
        <v>3403</v>
      </c>
      <c r="K345" s="6" t="s">
        <v>3834</v>
      </c>
    </row>
    <row r="346" customFormat="false" ht="46.25" hidden="false" customHeight="false" outlineLevel="0" collapsed="false">
      <c r="A346" s="121" t="s">
        <v>2375</v>
      </c>
      <c r="B346" s="121" t="s">
        <v>231</v>
      </c>
      <c r="C346" s="121" t="s">
        <v>3359</v>
      </c>
      <c r="D346" s="121" t="s">
        <v>3928</v>
      </c>
      <c r="E346" s="121" t="s">
        <v>3929</v>
      </c>
      <c r="F346" s="121" t="s">
        <v>2217</v>
      </c>
      <c r="G346" s="121" t="s">
        <v>2224</v>
      </c>
      <c r="H346" s="121" t="s">
        <v>3024</v>
      </c>
      <c r="I346" s="121"/>
      <c r="J346" s="121" t="s">
        <v>3498</v>
      </c>
      <c r="K346" s="121" t="s">
        <v>3834</v>
      </c>
    </row>
    <row r="347" customFormat="false" ht="46.25" hidden="false" customHeight="false" outlineLevel="0" collapsed="false">
      <c r="A347" s="6" t="s">
        <v>2375</v>
      </c>
      <c r="B347" s="6" t="s">
        <v>231</v>
      </c>
      <c r="C347" s="6" t="s">
        <v>3359</v>
      </c>
      <c r="D347" s="6" t="s">
        <v>3930</v>
      </c>
      <c r="E347" s="6" t="s">
        <v>3931</v>
      </c>
      <c r="F347" s="6" t="s">
        <v>2217</v>
      </c>
      <c r="G347" s="6" t="s">
        <v>2224</v>
      </c>
      <c r="H347" s="6" t="s">
        <v>3024</v>
      </c>
      <c r="I347" s="6"/>
      <c r="J347" s="6" t="s">
        <v>3498</v>
      </c>
      <c r="K347" s="6" t="s">
        <v>3834</v>
      </c>
    </row>
    <row r="348" customFormat="false" ht="46.25" hidden="false" customHeight="false" outlineLevel="0" collapsed="false">
      <c r="A348" s="121" t="s">
        <v>2375</v>
      </c>
      <c r="B348" s="121" t="s">
        <v>231</v>
      </c>
      <c r="C348" s="121" t="s">
        <v>3359</v>
      </c>
      <c r="D348" s="121" t="s">
        <v>3932</v>
      </c>
      <c r="E348" s="121"/>
      <c r="F348" s="121" t="s">
        <v>287</v>
      </c>
      <c r="G348" s="121" t="s">
        <v>287</v>
      </c>
      <c r="H348" s="121" t="s">
        <v>3024</v>
      </c>
      <c r="I348" s="121"/>
      <c r="J348" s="121" t="s">
        <v>3365</v>
      </c>
      <c r="K348" s="121" t="s">
        <v>3834</v>
      </c>
    </row>
    <row r="349" customFormat="false" ht="46.25" hidden="false" customHeight="false" outlineLevel="0" collapsed="false">
      <c r="A349" s="6" t="s">
        <v>2375</v>
      </c>
      <c r="B349" s="6" t="s">
        <v>231</v>
      </c>
      <c r="C349" s="6" t="s">
        <v>3359</v>
      </c>
      <c r="D349" s="6" t="s">
        <v>3933</v>
      </c>
      <c r="E349" s="6"/>
      <c r="F349" s="6" t="s">
        <v>287</v>
      </c>
      <c r="G349" s="6" t="s">
        <v>287</v>
      </c>
      <c r="H349" s="6" t="s">
        <v>3024</v>
      </c>
      <c r="I349" s="6"/>
      <c r="J349" s="6" t="s">
        <v>3365</v>
      </c>
      <c r="K349" s="6" t="s">
        <v>3834</v>
      </c>
    </row>
    <row r="350" customFormat="false" ht="46.25" hidden="false" customHeight="false" outlineLevel="0" collapsed="false">
      <c r="A350" s="121" t="s">
        <v>2375</v>
      </c>
      <c r="B350" s="121" t="s">
        <v>231</v>
      </c>
      <c r="C350" s="121" t="s">
        <v>3359</v>
      </c>
      <c r="D350" s="121" t="s">
        <v>3934</v>
      </c>
      <c r="E350" s="121"/>
      <c r="F350" s="121" t="s">
        <v>287</v>
      </c>
      <c r="G350" s="121" t="s">
        <v>287</v>
      </c>
      <c r="H350" s="121" t="s">
        <v>3024</v>
      </c>
      <c r="I350" s="121"/>
      <c r="J350" s="121" t="s">
        <v>3365</v>
      </c>
      <c r="K350" s="121" t="s">
        <v>3834</v>
      </c>
    </row>
    <row r="351" customFormat="false" ht="46.25" hidden="false" customHeight="false" outlineLevel="0" collapsed="false">
      <c r="A351" s="6" t="s">
        <v>2375</v>
      </c>
      <c r="B351" s="6" t="s">
        <v>231</v>
      </c>
      <c r="C351" s="6" t="s">
        <v>3359</v>
      </c>
      <c r="D351" s="6" t="s">
        <v>3935</v>
      </c>
      <c r="E351" s="6" t="s">
        <v>3936</v>
      </c>
      <c r="F351" s="6" t="s">
        <v>2321</v>
      </c>
      <c r="G351" s="6" t="s">
        <v>2329</v>
      </c>
      <c r="H351" s="6" t="s">
        <v>3024</v>
      </c>
      <c r="I351" s="6"/>
      <c r="J351" s="6" t="s">
        <v>3393</v>
      </c>
      <c r="K351" s="6" t="s">
        <v>3834</v>
      </c>
    </row>
    <row r="352" customFormat="false" ht="46.25" hidden="false" customHeight="false" outlineLevel="0" collapsed="false">
      <c r="A352" s="121" t="s">
        <v>2375</v>
      </c>
      <c r="B352" s="121" t="s">
        <v>231</v>
      </c>
      <c r="C352" s="121" t="s">
        <v>3359</v>
      </c>
      <c r="D352" s="121" t="s">
        <v>3937</v>
      </c>
      <c r="E352" s="121"/>
      <c r="F352" s="121" t="s">
        <v>287</v>
      </c>
      <c r="G352" s="121" t="s">
        <v>287</v>
      </c>
      <c r="H352" s="121" t="s">
        <v>3024</v>
      </c>
      <c r="I352" s="121"/>
      <c r="J352" s="121" t="s">
        <v>3365</v>
      </c>
      <c r="K352" s="121" t="s">
        <v>3834</v>
      </c>
    </row>
    <row r="353" customFormat="false" ht="46.25" hidden="false" customHeight="false" outlineLevel="0" collapsed="false">
      <c r="A353" s="6" t="s">
        <v>2375</v>
      </c>
      <c r="B353" s="6" t="s">
        <v>231</v>
      </c>
      <c r="C353" s="6" t="s">
        <v>3359</v>
      </c>
      <c r="D353" s="6" t="s">
        <v>3938</v>
      </c>
      <c r="E353" s="6"/>
      <c r="F353" s="6" t="s">
        <v>287</v>
      </c>
      <c r="G353" s="6" t="s">
        <v>287</v>
      </c>
      <c r="H353" s="6" t="s">
        <v>3024</v>
      </c>
      <c r="I353" s="6"/>
      <c r="J353" s="6" t="s">
        <v>3365</v>
      </c>
      <c r="K353" s="6" t="s">
        <v>3834</v>
      </c>
    </row>
    <row r="354" customFormat="false" ht="46.25" hidden="false" customHeight="false" outlineLevel="0" collapsed="false">
      <c r="A354" s="121" t="s">
        <v>2375</v>
      </c>
      <c r="B354" s="121" t="s">
        <v>231</v>
      </c>
      <c r="C354" s="121" t="s">
        <v>3359</v>
      </c>
      <c r="D354" s="121" t="s">
        <v>3939</v>
      </c>
      <c r="E354" s="121"/>
      <c r="F354" s="121" t="s">
        <v>287</v>
      </c>
      <c r="G354" s="121" t="s">
        <v>287</v>
      </c>
      <c r="H354" s="121" t="s">
        <v>3024</v>
      </c>
      <c r="I354" s="121"/>
      <c r="J354" s="121" t="s">
        <v>3365</v>
      </c>
      <c r="K354" s="121" t="s">
        <v>3834</v>
      </c>
    </row>
    <row r="355" customFormat="false" ht="46.25" hidden="false" customHeight="false" outlineLevel="0" collapsed="false">
      <c r="A355" s="6" t="s">
        <v>2375</v>
      </c>
      <c r="B355" s="6" t="s">
        <v>231</v>
      </c>
      <c r="C355" s="6" t="s">
        <v>3359</v>
      </c>
      <c r="D355" s="6" t="s">
        <v>3940</v>
      </c>
      <c r="E355" s="6"/>
      <c r="F355" s="6" t="s">
        <v>287</v>
      </c>
      <c r="G355" s="6" t="s">
        <v>287</v>
      </c>
      <c r="H355" s="6" t="s">
        <v>3024</v>
      </c>
      <c r="I355" s="6"/>
      <c r="J355" s="6" t="s">
        <v>3365</v>
      </c>
      <c r="K355" s="6" t="s">
        <v>3834</v>
      </c>
    </row>
    <row r="356" customFormat="false" ht="46.25" hidden="false" customHeight="false" outlineLevel="0" collapsed="false">
      <c r="A356" s="121" t="s">
        <v>2375</v>
      </c>
      <c r="B356" s="121" t="s">
        <v>231</v>
      </c>
      <c r="C356" s="121" t="s">
        <v>3359</v>
      </c>
      <c r="D356" s="121" t="s">
        <v>3941</v>
      </c>
      <c r="E356" s="121" t="s">
        <v>3942</v>
      </c>
      <c r="F356" s="121" t="s">
        <v>670</v>
      </c>
      <c r="G356" s="121" t="s">
        <v>2176</v>
      </c>
      <c r="H356" s="121" t="s">
        <v>3024</v>
      </c>
      <c r="I356" s="121"/>
      <c r="J356" s="121" t="s">
        <v>3373</v>
      </c>
      <c r="K356" s="121" t="s">
        <v>3834</v>
      </c>
    </row>
    <row r="357" customFormat="false" ht="46.25" hidden="false" customHeight="false" outlineLevel="0" collapsed="false">
      <c r="A357" s="6" t="s">
        <v>2375</v>
      </c>
      <c r="B357" s="6" t="s">
        <v>231</v>
      </c>
      <c r="C357" s="6" t="s">
        <v>3359</v>
      </c>
      <c r="D357" s="6" t="s">
        <v>3943</v>
      </c>
      <c r="E357" s="6"/>
      <c r="F357" s="6" t="s">
        <v>287</v>
      </c>
      <c r="G357" s="6" t="s">
        <v>287</v>
      </c>
      <c r="H357" s="6" t="s">
        <v>3024</v>
      </c>
      <c r="I357" s="6"/>
      <c r="J357" s="6" t="s">
        <v>3365</v>
      </c>
      <c r="K357" s="6" t="s">
        <v>3834</v>
      </c>
    </row>
    <row r="358" customFormat="false" ht="46.25" hidden="false" customHeight="false" outlineLevel="0" collapsed="false">
      <c r="A358" s="121" t="s">
        <v>2375</v>
      </c>
      <c r="B358" s="121" t="s">
        <v>231</v>
      </c>
      <c r="C358" s="121" t="s">
        <v>3359</v>
      </c>
      <c r="D358" s="121" t="s">
        <v>3439</v>
      </c>
      <c r="E358" s="121"/>
      <c r="F358" s="121" t="s">
        <v>287</v>
      </c>
      <c r="G358" s="121" t="s">
        <v>287</v>
      </c>
      <c r="H358" s="121" t="s">
        <v>3024</v>
      </c>
      <c r="I358" s="121"/>
      <c r="J358" s="121" t="s">
        <v>3365</v>
      </c>
      <c r="K358" s="121" t="s">
        <v>3834</v>
      </c>
    </row>
    <row r="359" customFormat="false" ht="46.25" hidden="false" customHeight="false" outlineLevel="0" collapsed="false">
      <c r="A359" s="6" t="s">
        <v>2375</v>
      </c>
      <c r="B359" s="6" t="s">
        <v>231</v>
      </c>
      <c r="C359" s="6" t="s">
        <v>3359</v>
      </c>
      <c r="D359" s="6" t="s">
        <v>3442</v>
      </c>
      <c r="E359" s="6"/>
      <c r="F359" s="6" t="s">
        <v>287</v>
      </c>
      <c r="G359" s="6" t="s">
        <v>287</v>
      </c>
      <c r="H359" s="6" t="s">
        <v>3024</v>
      </c>
      <c r="I359" s="6"/>
      <c r="J359" s="6" t="s">
        <v>3365</v>
      </c>
      <c r="K359" s="6" t="s">
        <v>3834</v>
      </c>
    </row>
    <row r="360" customFormat="false" ht="46.25" hidden="false" customHeight="false" outlineLevel="0" collapsed="false">
      <c r="A360" s="121" t="s">
        <v>2375</v>
      </c>
      <c r="B360" s="121" t="s">
        <v>231</v>
      </c>
      <c r="C360" s="121" t="s">
        <v>3359</v>
      </c>
      <c r="D360" s="121" t="s">
        <v>3444</v>
      </c>
      <c r="E360" s="121"/>
      <c r="F360" s="121" t="s">
        <v>287</v>
      </c>
      <c r="G360" s="121" t="s">
        <v>287</v>
      </c>
      <c r="H360" s="121" t="s">
        <v>3024</v>
      </c>
      <c r="I360" s="121"/>
      <c r="J360" s="121" t="s">
        <v>3365</v>
      </c>
      <c r="K360" s="121" t="s">
        <v>3834</v>
      </c>
    </row>
    <row r="361" customFormat="false" ht="46.25" hidden="false" customHeight="false" outlineLevel="0" collapsed="false">
      <c r="A361" s="6" t="s">
        <v>2375</v>
      </c>
      <c r="B361" s="6" t="s">
        <v>231</v>
      </c>
      <c r="C361" s="6" t="s">
        <v>3359</v>
      </c>
      <c r="D361" s="6" t="s">
        <v>3446</v>
      </c>
      <c r="E361" s="6"/>
      <c r="F361" s="6" t="s">
        <v>287</v>
      </c>
      <c r="G361" s="6" t="s">
        <v>287</v>
      </c>
      <c r="H361" s="6" t="s">
        <v>3024</v>
      </c>
      <c r="I361" s="6"/>
      <c r="J361" s="6" t="s">
        <v>3365</v>
      </c>
      <c r="K361" s="6" t="s">
        <v>3834</v>
      </c>
    </row>
    <row r="362" customFormat="false" ht="46.25" hidden="false" customHeight="false" outlineLevel="0" collapsed="false">
      <c r="A362" s="121" t="s">
        <v>2375</v>
      </c>
      <c r="B362" s="121" t="s">
        <v>231</v>
      </c>
      <c r="C362" s="121" t="s">
        <v>3359</v>
      </c>
      <c r="D362" s="121" t="s">
        <v>3451</v>
      </c>
      <c r="E362" s="121"/>
      <c r="F362" s="121" t="s">
        <v>287</v>
      </c>
      <c r="G362" s="121" t="s">
        <v>287</v>
      </c>
      <c r="H362" s="121" t="s">
        <v>3024</v>
      </c>
      <c r="I362" s="121"/>
      <c r="J362" s="121" t="s">
        <v>3365</v>
      </c>
      <c r="K362" s="121" t="s">
        <v>3834</v>
      </c>
    </row>
    <row r="363" customFormat="false" ht="46.25" hidden="false" customHeight="false" outlineLevel="0" collapsed="false">
      <c r="A363" s="6" t="s">
        <v>2375</v>
      </c>
      <c r="B363" s="6" t="s">
        <v>231</v>
      </c>
      <c r="C363" s="6" t="s">
        <v>3359</v>
      </c>
      <c r="D363" s="6" t="s">
        <v>3944</v>
      </c>
      <c r="E363" s="6"/>
      <c r="F363" s="6" t="s">
        <v>287</v>
      </c>
      <c r="G363" s="6" t="s">
        <v>287</v>
      </c>
      <c r="H363" s="6" t="s">
        <v>3024</v>
      </c>
      <c r="I363" s="6"/>
      <c r="J363" s="6" t="s">
        <v>3365</v>
      </c>
      <c r="K363" s="6" t="s">
        <v>3834</v>
      </c>
    </row>
    <row r="364" customFormat="false" ht="46.25" hidden="false" customHeight="false" outlineLevel="0" collapsed="false">
      <c r="A364" s="121" t="s">
        <v>2375</v>
      </c>
      <c r="B364" s="121" t="s">
        <v>231</v>
      </c>
      <c r="C364" s="121" t="s">
        <v>3359</v>
      </c>
      <c r="D364" s="121" t="s">
        <v>3945</v>
      </c>
      <c r="E364" s="121"/>
      <c r="F364" s="121" t="s">
        <v>287</v>
      </c>
      <c r="G364" s="121" t="s">
        <v>287</v>
      </c>
      <c r="H364" s="121" t="s">
        <v>3024</v>
      </c>
      <c r="I364" s="121"/>
      <c r="J364" s="121" t="s">
        <v>3365</v>
      </c>
      <c r="K364" s="121" t="s">
        <v>3834</v>
      </c>
    </row>
    <row r="365" customFormat="false" ht="46.25" hidden="false" customHeight="false" outlineLevel="0" collapsed="false">
      <c r="A365" s="6" t="s">
        <v>2375</v>
      </c>
      <c r="B365" s="6" t="s">
        <v>231</v>
      </c>
      <c r="C365" s="6" t="s">
        <v>3359</v>
      </c>
      <c r="D365" s="6" t="s">
        <v>3946</v>
      </c>
      <c r="E365" s="6"/>
      <c r="F365" s="6" t="s">
        <v>287</v>
      </c>
      <c r="G365" s="6" t="s">
        <v>287</v>
      </c>
      <c r="H365" s="6" t="s">
        <v>3024</v>
      </c>
      <c r="I365" s="6"/>
      <c r="J365" s="6" t="s">
        <v>3365</v>
      </c>
      <c r="K365" s="6" t="s">
        <v>3834</v>
      </c>
    </row>
    <row r="366" customFormat="false" ht="46.25" hidden="false" customHeight="false" outlineLevel="0" collapsed="false">
      <c r="A366" s="121" t="s">
        <v>2375</v>
      </c>
      <c r="B366" s="121" t="s">
        <v>231</v>
      </c>
      <c r="C366" s="121" t="s">
        <v>3359</v>
      </c>
      <c r="D366" s="121" t="s">
        <v>3947</v>
      </c>
      <c r="E366" s="121"/>
      <c r="F366" s="121" t="s">
        <v>287</v>
      </c>
      <c r="G366" s="121" t="s">
        <v>287</v>
      </c>
      <c r="H366" s="121" t="s">
        <v>3024</v>
      </c>
      <c r="I366" s="121"/>
      <c r="J366" s="121" t="s">
        <v>3365</v>
      </c>
      <c r="K366" s="121" t="s">
        <v>3834</v>
      </c>
    </row>
    <row r="367" customFormat="false" ht="46.25" hidden="false" customHeight="false" outlineLevel="0" collapsed="false">
      <c r="A367" s="6" t="s">
        <v>2375</v>
      </c>
      <c r="B367" s="6" t="s">
        <v>231</v>
      </c>
      <c r="C367" s="6" t="s">
        <v>3359</v>
      </c>
      <c r="D367" s="6" t="s">
        <v>3948</v>
      </c>
      <c r="E367" s="6"/>
      <c r="F367" s="6" t="s">
        <v>287</v>
      </c>
      <c r="G367" s="6" t="s">
        <v>287</v>
      </c>
      <c r="H367" s="6" t="s">
        <v>3024</v>
      </c>
      <c r="I367" s="6"/>
      <c r="J367" s="6" t="s">
        <v>3365</v>
      </c>
      <c r="K367" s="6" t="s">
        <v>3834</v>
      </c>
    </row>
    <row r="368" customFormat="false" ht="46.25" hidden="false" customHeight="false" outlineLevel="0" collapsed="false">
      <c r="A368" s="121" t="s">
        <v>2375</v>
      </c>
      <c r="B368" s="121" t="s">
        <v>231</v>
      </c>
      <c r="C368" s="121" t="s">
        <v>3359</v>
      </c>
      <c r="D368" s="121" t="s">
        <v>3949</v>
      </c>
      <c r="E368" s="121"/>
      <c r="F368" s="121" t="s">
        <v>287</v>
      </c>
      <c r="G368" s="121" t="s">
        <v>287</v>
      </c>
      <c r="H368" s="121" t="s">
        <v>3024</v>
      </c>
      <c r="I368" s="121"/>
      <c r="J368" s="121" t="s">
        <v>3365</v>
      </c>
      <c r="K368" s="121" t="s">
        <v>3834</v>
      </c>
    </row>
    <row r="369" customFormat="false" ht="46.25" hidden="false" customHeight="false" outlineLevel="0" collapsed="false">
      <c r="A369" s="6" t="s">
        <v>2375</v>
      </c>
      <c r="B369" s="6" t="s">
        <v>231</v>
      </c>
      <c r="C369" s="6" t="s">
        <v>3359</v>
      </c>
      <c r="D369" s="6" t="s">
        <v>3950</v>
      </c>
      <c r="E369" s="6"/>
      <c r="F369" s="6" t="s">
        <v>287</v>
      </c>
      <c r="G369" s="6" t="s">
        <v>287</v>
      </c>
      <c r="H369" s="6" t="s">
        <v>3024</v>
      </c>
      <c r="I369" s="6"/>
      <c r="J369" s="6" t="s">
        <v>3365</v>
      </c>
      <c r="K369" s="6" t="s">
        <v>3834</v>
      </c>
    </row>
    <row r="370" customFormat="false" ht="46.25" hidden="false" customHeight="false" outlineLevel="0" collapsed="false">
      <c r="A370" s="121" t="s">
        <v>2375</v>
      </c>
      <c r="B370" s="121" t="s">
        <v>231</v>
      </c>
      <c r="C370" s="121" t="s">
        <v>3359</v>
      </c>
      <c r="D370" s="121" t="s">
        <v>3951</v>
      </c>
      <c r="E370" s="121"/>
      <c r="F370" s="121" t="s">
        <v>287</v>
      </c>
      <c r="G370" s="121" t="s">
        <v>287</v>
      </c>
      <c r="H370" s="121" t="s">
        <v>3024</v>
      </c>
      <c r="I370" s="121"/>
      <c r="J370" s="121" t="s">
        <v>3365</v>
      </c>
      <c r="K370" s="121" t="s">
        <v>3834</v>
      </c>
    </row>
    <row r="371" customFormat="false" ht="46.25" hidden="false" customHeight="false" outlineLevel="0" collapsed="false">
      <c r="A371" s="6" t="s">
        <v>2375</v>
      </c>
      <c r="B371" s="6" t="s">
        <v>231</v>
      </c>
      <c r="C371" s="6" t="s">
        <v>3359</v>
      </c>
      <c r="D371" s="6" t="s">
        <v>3952</v>
      </c>
      <c r="E371" s="6"/>
      <c r="F371" s="6" t="s">
        <v>287</v>
      </c>
      <c r="G371" s="6" t="s">
        <v>287</v>
      </c>
      <c r="H371" s="6" t="s">
        <v>3024</v>
      </c>
      <c r="I371" s="6"/>
      <c r="J371" s="6" t="s">
        <v>3365</v>
      </c>
      <c r="K371" s="6" t="s">
        <v>3834</v>
      </c>
    </row>
    <row r="372" customFormat="false" ht="46.25" hidden="false" customHeight="false" outlineLevel="0" collapsed="false">
      <c r="A372" s="121" t="s">
        <v>2375</v>
      </c>
      <c r="B372" s="121" t="s">
        <v>231</v>
      </c>
      <c r="C372" s="121" t="s">
        <v>3359</v>
      </c>
      <c r="D372" s="121" t="s">
        <v>3453</v>
      </c>
      <c r="E372" s="121" t="s">
        <v>3953</v>
      </c>
      <c r="F372" s="121" t="s">
        <v>1876</v>
      </c>
      <c r="G372" s="121" t="s">
        <v>1882</v>
      </c>
      <c r="H372" s="121" t="s">
        <v>3024</v>
      </c>
      <c r="I372" s="121"/>
      <c r="J372" s="121" t="s">
        <v>3796</v>
      </c>
      <c r="K372" s="121" t="s">
        <v>3834</v>
      </c>
    </row>
    <row r="373" customFormat="false" ht="46.25" hidden="false" customHeight="false" outlineLevel="0" collapsed="false">
      <c r="A373" s="6" t="s">
        <v>2375</v>
      </c>
      <c r="B373" s="6" t="s">
        <v>231</v>
      </c>
      <c r="C373" s="6" t="s">
        <v>3359</v>
      </c>
      <c r="D373" s="6" t="s">
        <v>3458</v>
      </c>
      <c r="E373" s="6" t="s">
        <v>3954</v>
      </c>
      <c r="F373" s="6" t="s">
        <v>3955</v>
      </c>
      <c r="G373" s="6" t="s">
        <v>3956</v>
      </c>
      <c r="H373" s="6" t="s">
        <v>3024</v>
      </c>
      <c r="I373" s="6"/>
      <c r="J373" s="6" t="s">
        <v>3957</v>
      </c>
      <c r="K373" s="6" t="s">
        <v>3834</v>
      </c>
    </row>
    <row r="374" customFormat="false" ht="46.25" hidden="false" customHeight="false" outlineLevel="0" collapsed="false">
      <c r="A374" s="121" t="s">
        <v>2375</v>
      </c>
      <c r="B374" s="121" t="s">
        <v>231</v>
      </c>
      <c r="C374" s="121" t="s">
        <v>3359</v>
      </c>
      <c r="D374" s="121" t="s">
        <v>3463</v>
      </c>
      <c r="E374" s="121" t="s">
        <v>3958</v>
      </c>
      <c r="F374" s="121" t="s">
        <v>3959</v>
      </c>
      <c r="G374" s="121" t="s">
        <v>3960</v>
      </c>
      <c r="H374" s="121" t="s">
        <v>3024</v>
      </c>
      <c r="I374" s="121"/>
      <c r="J374" s="121" t="s">
        <v>3362</v>
      </c>
      <c r="K374" s="121" t="s">
        <v>3834</v>
      </c>
    </row>
    <row r="375" customFormat="false" ht="46.25" hidden="false" customHeight="false" outlineLevel="0" collapsed="false">
      <c r="A375" s="6" t="s">
        <v>2375</v>
      </c>
      <c r="B375" s="6" t="s">
        <v>231</v>
      </c>
      <c r="C375" s="6" t="s">
        <v>3359</v>
      </c>
      <c r="D375" s="6" t="s">
        <v>3465</v>
      </c>
      <c r="E375" s="6" t="s">
        <v>3961</v>
      </c>
      <c r="F375" s="6" t="s">
        <v>1857</v>
      </c>
      <c r="G375" s="6" t="s">
        <v>1866</v>
      </c>
      <c r="H375" s="6" t="s">
        <v>3024</v>
      </c>
      <c r="I375" s="6"/>
      <c r="J375" s="6" t="s">
        <v>3438</v>
      </c>
      <c r="K375" s="6" t="s">
        <v>3834</v>
      </c>
    </row>
    <row r="376" customFormat="false" ht="46.25" hidden="false" customHeight="false" outlineLevel="0" collapsed="false">
      <c r="A376" s="121" t="s">
        <v>2375</v>
      </c>
      <c r="B376" s="121" t="s">
        <v>231</v>
      </c>
      <c r="C376" s="121" t="s">
        <v>3359</v>
      </c>
      <c r="D376" s="121" t="s">
        <v>3962</v>
      </c>
      <c r="E376" s="121" t="s">
        <v>3963</v>
      </c>
      <c r="F376" s="121" t="s">
        <v>3076</v>
      </c>
      <c r="G376" s="121" t="s">
        <v>3077</v>
      </c>
      <c r="H376" s="121" t="s">
        <v>3024</v>
      </c>
      <c r="I376" s="121"/>
      <c r="J376" s="121" t="s">
        <v>3438</v>
      </c>
      <c r="K376" s="121" t="s">
        <v>3834</v>
      </c>
    </row>
    <row r="377" customFormat="false" ht="46.25" hidden="false" customHeight="false" outlineLevel="0" collapsed="false">
      <c r="A377" s="6" t="s">
        <v>2375</v>
      </c>
      <c r="B377" s="6" t="s">
        <v>231</v>
      </c>
      <c r="C377" s="6" t="s">
        <v>3359</v>
      </c>
      <c r="D377" s="6" t="s">
        <v>3964</v>
      </c>
      <c r="E377" s="6" t="s">
        <v>3965</v>
      </c>
      <c r="F377" s="6" t="s">
        <v>1950</v>
      </c>
      <c r="G377" s="6" t="s">
        <v>1957</v>
      </c>
      <c r="H377" s="6" t="s">
        <v>3024</v>
      </c>
      <c r="I377" s="6"/>
      <c r="J377" s="6" t="s">
        <v>3819</v>
      </c>
      <c r="K377" s="6" t="s">
        <v>3834</v>
      </c>
    </row>
    <row r="378" customFormat="false" ht="46.25" hidden="false" customHeight="false" outlineLevel="0" collapsed="false">
      <c r="A378" s="121" t="s">
        <v>2375</v>
      </c>
      <c r="B378" s="121" t="s">
        <v>231</v>
      </c>
      <c r="C378" s="121" t="s">
        <v>3359</v>
      </c>
      <c r="D378" s="121" t="s">
        <v>3966</v>
      </c>
      <c r="E378" s="121" t="s">
        <v>3967</v>
      </c>
      <c r="F378" s="121" t="s">
        <v>3968</v>
      </c>
      <c r="G378" s="121" t="s">
        <v>3969</v>
      </c>
      <c r="H378" s="121" t="s">
        <v>3024</v>
      </c>
      <c r="I378" s="121"/>
      <c r="J378" s="121" t="s">
        <v>3378</v>
      </c>
      <c r="K378" s="121" t="s">
        <v>3834</v>
      </c>
    </row>
    <row r="379" customFormat="false" ht="46.25" hidden="false" customHeight="false" outlineLevel="0" collapsed="false">
      <c r="A379" s="6" t="s">
        <v>2375</v>
      </c>
      <c r="B379" s="6" t="s">
        <v>231</v>
      </c>
      <c r="C379" s="6" t="s">
        <v>3359</v>
      </c>
      <c r="D379" s="6" t="s">
        <v>3970</v>
      </c>
      <c r="E379" s="6" t="s">
        <v>3971</v>
      </c>
      <c r="F379" s="6" t="s">
        <v>3251</v>
      </c>
      <c r="G379" s="6" t="s">
        <v>3252</v>
      </c>
      <c r="H379" s="6" t="s">
        <v>3024</v>
      </c>
      <c r="I379" s="6"/>
      <c r="J379" s="6" t="s">
        <v>3450</v>
      </c>
      <c r="K379" s="6" t="s">
        <v>3834</v>
      </c>
    </row>
    <row r="380" customFormat="false" ht="46.25" hidden="false" customHeight="false" outlineLevel="0" collapsed="false">
      <c r="A380" s="121" t="s">
        <v>2375</v>
      </c>
      <c r="B380" s="121" t="s">
        <v>231</v>
      </c>
      <c r="C380" s="121" t="s">
        <v>3359</v>
      </c>
      <c r="D380" s="121" t="s">
        <v>3972</v>
      </c>
      <c r="E380" s="121" t="s">
        <v>3973</v>
      </c>
      <c r="F380" s="121" t="s">
        <v>3974</v>
      </c>
      <c r="G380" s="121" t="s">
        <v>3975</v>
      </c>
      <c r="H380" s="121" t="s">
        <v>3024</v>
      </c>
      <c r="I380" s="121"/>
      <c r="J380" s="121" t="s">
        <v>3976</v>
      </c>
      <c r="K380" s="121" t="s">
        <v>3834</v>
      </c>
    </row>
    <row r="381" customFormat="false" ht="46.25" hidden="false" customHeight="false" outlineLevel="0" collapsed="false">
      <c r="A381" s="6" t="s">
        <v>2375</v>
      </c>
      <c r="B381" s="6" t="s">
        <v>231</v>
      </c>
      <c r="C381" s="6" t="s">
        <v>3359</v>
      </c>
      <c r="D381" s="6" t="s">
        <v>3977</v>
      </c>
      <c r="E381" s="6" t="s">
        <v>3978</v>
      </c>
      <c r="F381" s="6" t="s">
        <v>3979</v>
      </c>
      <c r="G381" s="6" t="s">
        <v>3975</v>
      </c>
      <c r="H381" s="6" t="s">
        <v>3024</v>
      </c>
      <c r="I381" s="6"/>
      <c r="J381" s="6" t="s">
        <v>3980</v>
      </c>
      <c r="K381" s="6" t="s">
        <v>3834</v>
      </c>
    </row>
    <row r="382" customFormat="false" ht="46.25" hidden="false" customHeight="false" outlineLevel="0" collapsed="false">
      <c r="A382" s="121" t="s">
        <v>2375</v>
      </c>
      <c r="B382" s="121" t="s">
        <v>231</v>
      </c>
      <c r="C382" s="121" t="s">
        <v>3359</v>
      </c>
      <c r="D382" s="121" t="s">
        <v>3981</v>
      </c>
      <c r="E382" s="121" t="s">
        <v>3982</v>
      </c>
      <c r="F382" s="121" t="s">
        <v>3983</v>
      </c>
      <c r="G382" s="121" t="s">
        <v>3984</v>
      </c>
      <c r="H382" s="121" t="s">
        <v>3024</v>
      </c>
      <c r="I382" s="121"/>
      <c r="J382" s="121" t="s">
        <v>3985</v>
      </c>
      <c r="K382" s="121" t="s">
        <v>3834</v>
      </c>
    </row>
    <row r="383" customFormat="false" ht="46.25" hidden="false" customHeight="false" outlineLevel="0" collapsed="false">
      <c r="A383" s="6" t="s">
        <v>2375</v>
      </c>
      <c r="B383" s="6" t="s">
        <v>231</v>
      </c>
      <c r="C383" s="6" t="s">
        <v>3359</v>
      </c>
      <c r="D383" s="6" t="s">
        <v>3986</v>
      </c>
      <c r="E383" s="6" t="s">
        <v>3987</v>
      </c>
      <c r="F383" s="6" t="s">
        <v>529</v>
      </c>
      <c r="G383" s="6" t="s">
        <v>2259</v>
      </c>
      <c r="H383" s="6" t="s">
        <v>3024</v>
      </c>
      <c r="I383" s="6"/>
      <c r="J383" s="6" t="s">
        <v>3913</v>
      </c>
      <c r="K383" s="6" t="s">
        <v>3834</v>
      </c>
    </row>
    <row r="384" customFormat="false" ht="46.25" hidden="false" customHeight="false" outlineLevel="0" collapsed="false">
      <c r="A384" s="121" t="s">
        <v>2375</v>
      </c>
      <c r="B384" s="121" t="s">
        <v>231</v>
      </c>
      <c r="C384" s="121" t="s">
        <v>3359</v>
      </c>
      <c r="D384" s="121" t="s">
        <v>3988</v>
      </c>
      <c r="E384" s="121" t="s">
        <v>3989</v>
      </c>
      <c r="F384" s="121" t="s">
        <v>529</v>
      </c>
      <c r="G384" s="121" t="s">
        <v>2259</v>
      </c>
      <c r="H384" s="121" t="s">
        <v>3024</v>
      </c>
      <c r="I384" s="121"/>
      <c r="J384" s="121" t="s">
        <v>3913</v>
      </c>
      <c r="K384" s="121" t="s">
        <v>3834</v>
      </c>
    </row>
    <row r="385" customFormat="false" ht="46.25" hidden="false" customHeight="false" outlineLevel="0" collapsed="false">
      <c r="A385" s="6" t="s">
        <v>2375</v>
      </c>
      <c r="B385" s="6" t="s">
        <v>231</v>
      </c>
      <c r="C385" s="6" t="s">
        <v>3359</v>
      </c>
      <c r="D385" s="6" t="s">
        <v>3990</v>
      </c>
      <c r="E385" s="6" t="s">
        <v>3991</v>
      </c>
      <c r="F385" s="6" t="s">
        <v>3269</v>
      </c>
      <c r="G385" s="6" t="s">
        <v>3270</v>
      </c>
      <c r="H385" s="6" t="s">
        <v>3024</v>
      </c>
      <c r="I385" s="6"/>
      <c r="J385" s="6" t="s">
        <v>3992</v>
      </c>
      <c r="K385" s="6" t="s">
        <v>3834</v>
      </c>
    </row>
    <row r="386" customFormat="false" ht="46.25" hidden="false" customHeight="false" outlineLevel="0" collapsed="false">
      <c r="A386" s="121" t="s">
        <v>2375</v>
      </c>
      <c r="B386" s="121" t="s">
        <v>231</v>
      </c>
      <c r="C386" s="121" t="s">
        <v>3359</v>
      </c>
      <c r="D386" s="121" t="s">
        <v>3993</v>
      </c>
      <c r="E386" s="121" t="s">
        <v>3994</v>
      </c>
      <c r="F386" s="121" t="s">
        <v>3995</v>
      </c>
      <c r="G386" s="121" t="s">
        <v>3996</v>
      </c>
      <c r="H386" s="121" t="s">
        <v>3024</v>
      </c>
      <c r="I386" s="121"/>
      <c r="J386" s="121" t="s">
        <v>3997</v>
      </c>
      <c r="K386" s="121" t="s">
        <v>3834</v>
      </c>
    </row>
    <row r="387" customFormat="false" ht="46.25" hidden="false" customHeight="false" outlineLevel="0" collapsed="false">
      <c r="A387" s="6" t="s">
        <v>2375</v>
      </c>
      <c r="B387" s="6" t="s">
        <v>231</v>
      </c>
      <c r="C387" s="6" t="s">
        <v>3359</v>
      </c>
      <c r="D387" s="6" t="s">
        <v>3998</v>
      </c>
      <c r="E387" s="6" t="s">
        <v>3999</v>
      </c>
      <c r="F387" s="6" t="s">
        <v>569</v>
      </c>
      <c r="G387" s="6" t="s">
        <v>1755</v>
      </c>
      <c r="H387" s="6" t="s">
        <v>3024</v>
      </c>
      <c r="I387" s="6"/>
      <c r="J387" s="6" t="s">
        <v>4000</v>
      </c>
      <c r="K387" s="6" t="s">
        <v>3834</v>
      </c>
    </row>
    <row r="388" customFormat="false" ht="46.25" hidden="false" customHeight="false" outlineLevel="0" collapsed="false">
      <c r="A388" s="121" t="s">
        <v>2375</v>
      </c>
      <c r="B388" s="121" t="s">
        <v>231</v>
      </c>
      <c r="C388" s="121" t="s">
        <v>3359</v>
      </c>
      <c r="D388" s="121" t="s">
        <v>4001</v>
      </c>
      <c r="E388" s="121"/>
      <c r="F388" s="121" t="s">
        <v>287</v>
      </c>
      <c r="G388" s="121" t="s">
        <v>287</v>
      </c>
      <c r="H388" s="121" t="s">
        <v>3024</v>
      </c>
      <c r="I388" s="121"/>
      <c r="J388" s="121" t="s">
        <v>3365</v>
      </c>
      <c r="K388" s="121" t="s">
        <v>3834</v>
      </c>
    </row>
    <row r="389" customFormat="false" ht="46.25" hidden="false" customHeight="false" outlineLevel="0" collapsed="false">
      <c r="A389" s="6" t="s">
        <v>2375</v>
      </c>
      <c r="B389" s="6" t="s">
        <v>231</v>
      </c>
      <c r="C389" s="6" t="s">
        <v>3359</v>
      </c>
      <c r="D389" s="6" t="s">
        <v>4002</v>
      </c>
      <c r="E389" s="6" t="s">
        <v>4003</v>
      </c>
      <c r="F389" s="6" t="s">
        <v>730</v>
      </c>
      <c r="G389" s="6" t="s">
        <v>3118</v>
      </c>
      <c r="H389" s="6" t="s">
        <v>3024</v>
      </c>
      <c r="I389" s="6"/>
      <c r="J389" s="6" t="s">
        <v>4004</v>
      </c>
      <c r="K389" s="6" t="s">
        <v>3834</v>
      </c>
    </row>
    <row r="390" customFormat="false" ht="46.25" hidden="false" customHeight="false" outlineLevel="0" collapsed="false">
      <c r="A390" s="121" t="s">
        <v>2375</v>
      </c>
      <c r="B390" s="121" t="s">
        <v>231</v>
      </c>
      <c r="C390" s="121" t="s">
        <v>3359</v>
      </c>
      <c r="D390" s="121" t="s">
        <v>4005</v>
      </c>
      <c r="E390" s="121" t="s">
        <v>4006</v>
      </c>
      <c r="F390" s="121" t="s">
        <v>2121</v>
      </c>
      <c r="G390" s="121" t="s">
        <v>2127</v>
      </c>
      <c r="H390" s="121" t="s">
        <v>3024</v>
      </c>
      <c r="I390" s="121"/>
      <c r="J390" s="121" t="s">
        <v>4007</v>
      </c>
      <c r="K390" s="121" t="s">
        <v>3834</v>
      </c>
    </row>
    <row r="391" customFormat="false" ht="46.25" hidden="false" customHeight="false" outlineLevel="0" collapsed="false">
      <c r="A391" s="6" t="s">
        <v>2375</v>
      </c>
      <c r="B391" s="6" t="s">
        <v>231</v>
      </c>
      <c r="C391" s="6" t="s">
        <v>3359</v>
      </c>
      <c r="D391" s="6" t="s">
        <v>4008</v>
      </c>
      <c r="E391" s="6"/>
      <c r="F391" s="6" t="s">
        <v>287</v>
      </c>
      <c r="G391" s="6" t="s">
        <v>287</v>
      </c>
      <c r="H391" s="6" t="s">
        <v>3024</v>
      </c>
      <c r="I391" s="6"/>
      <c r="J391" s="6" t="s">
        <v>3365</v>
      </c>
      <c r="K391" s="6" t="s">
        <v>3834</v>
      </c>
    </row>
    <row r="392" customFormat="false" ht="46.25" hidden="false" customHeight="false" outlineLevel="0" collapsed="false">
      <c r="A392" s="121" t="s">
        <v>2375</v>
      </c>
      <c r="B392" s="121" t="s">
        <v>231</v>
      </c>
      <c r="C392" s="121" t="s">
        <v>3359</v>
      </c>
      <c r="D392" s="121" t="s">
        <v>4009</v>
      </c>
      <c r="E392" s="121" t="s">
        <v>4010</v>
      </c>
      <c r="F392" s="121" t="s">
        <v>4011</v>
      </c>
      <c r="G392" s="121" t="s">
        <v>4012</v>
      </c>
      <c r="H392" s="121" t="s">
        <v>3024</v>
      </c>
      <c r="I392" s="121"/>
      <c r="J392" s="121" t="s">
        <v>4013</v>
      </c>
      <c r="K392" s="121" t="s">
        <v>3834</v>
      </c>
    </row>
    <row r="393" customFormat="false" ht="46.25" hidden="false" customHeight="false" outlineLevel="0" collapsed="false">
      <c r="A393" s="6" t="s">
        <v>2375</v>
      </c>
      <c r="B393" s="6" t="s">
        <v>231</v>
      </c>
      <c r="C393" s="6" t="s">
        <v>3359</v>
      </c>
      <c r="D393" s="6" t="s">
        <v>4014</v>
      </c>
      <c r="E393" s="6" t="s">
        <v>4015</v>
      </c>
      <c r="F393" s="6" t="s">
        <v>4016</v>
      </c>
      <c r="G393" s="6" t="s">
        <v>1786</v>
      </c>
      <c r="H393" s="6" t="s">
        <v>3024</v>
      </c>
      <c r="I393" s="6"/>
      <c r="J393" s="6" t="s">
        <v>3450</v>
      </c>
      <c r="K393" s="6" t="s">
        <v>3834</v>
      </c>
    </row>
    <row r="394" customFormat="false" ht="46.25" hidden="false" customHeight="false" outlineLevel="0" collapsed="false">
      <c r="A394" s="121" t="s">
        <v>2375</v>
      </c>
      <c r="B394" s="121" t="s">
        <v>231</v>
      </c>
      <c r="C394" s="121" t="s">
        <v>3359</v>
      </c>
      <c r="D394" s="121" t="s">
        <v>4017</v>
      </c>
      <c r="E394" s="121" t="s">
        <v>4018</v>
      </c>
      <c r="F394" s="121" t="s">
        <v>3744</v>
      </c>
      <c r="G394" s="121" t="s">
        <v>3091</v>
      </c>
      <c r="H394" s="121" t="s">
        <v>3024</v>
      </c>
      <c r="I394" s="121"/>
      <c r="J394" s="121" t="s">
        <v>3745</v>
      </c>
      <c r="K394" s="121" t="s">
        <v>3834</v>
      </c>
    </row>
    <row r="395" customFormat="false" ht="46.25" hidden="false" customHeight="false" outlineLevel="0" collapsed="false">
      <c r="A395" s="6" t="s">
        <v>2375</v>
      </c>
      <c r="B395" s="6" t="s">
        <v>231</v>
      </c>
      <c r="C395" s="6" t="s">
        <v>3359</v>
      </c>
      <c r="D395" s="6" t="s">
        <v>4019</v>
      </c>
      <c r="E395" s="6" t="s">
        <v>4020</v>
      </c>
      <c r="F395" s="6" t="s">
        <v>4021</v>
      </c>
      <c r="G395" s="6" t="s">
        <v>2143</v>
      </c>
      <c r="H395" s="6" t="s">
        <v>3024</v>
      </c>
      <c r="I395" s="6"/>
      <c r="J395" s="6" t="s">
        <v>4022</v>
      </c>
      <c r="K395" s="6" t="s">
        <v>3834</v>
      </c>
    </row>
    <row r="396" customFormat="false" ht="46.25" hidden="false" customHeight="false" outlineLevel="0" collapsed="false">
      <c r="A396" s="121" t="s">
        <v>2375</v>
      </c>
      <c r="B396" s="121" t="s">
        <v>231</v>
      </c>
      <c r="C396" s="121" t="s">
        <v>3359</v>
      </c>
      <c r="D396" s="121" t="s">
        <v>4023</v>
      </c>
      <c r="E396" s="121" t="s">
        <v>4024</v>
      </c>
      <c r="F396" s="121" t="s">
        <v>4025</v>
      </c>
      <c r="G396" s="121" t="s">
        <v>4026</v>
      </c>
      <c r="H396" s="121" t="s">
        <v>3024</v>
      </c>
      <c r="I396" s="121"/>
      <c r="J396" s="121" t="s">
        <v>4027</v>
      </c>
      <c r="K396" s="121" t="s">
        <v>3834</v>
      </c>
    </row>
    <row r="397" customFormat="false" ht="46.25" hidden="false" customHeight="false" outlineLevel="0" collapsed="false">
      <c r="A397" s="6" t="s">
        <v>2375</v>
      </c>
      <c r="B397" s="6" t="s">
        <v>231</v>
      </c>
      <c r="C397" s="6" t="s">
        <v>3359</v>
      </c>
      <c r="D397" s="6" t="s">
        <v>4028</v>
      </c>
      <c r="E397" s="6" t="s">
        <v>4029</v>
      </c>
      <c r="F397" s="6" t="s">
        <v>4030</v>
      </c>
      <c r="G397" s="6" t="s">
        <v>4031</v>
      </c>
      <c r="H397" s="6" t="s">
        <v>3024</v>
      </c>
      <c r="I397" s="6"/>
      <c r="J397" s="6" t="s">
        <v>4032</v>
      </c>
      <c r="K397" s="6" t="s">
        <v>3834</v>
      </c>
    </row>
    <row r="398" customFormat="false" ht="46.25" hidden="false" customHeight="false" outlineLevel="0" collapsed="false">
      <c r="A398" s="121" t="s">
        <v>2375</v>
      </c>
      <c r="B398" s="121" t="s">
        <v>231</v>
      </c>
      <c r="C398" s="121" t="s">
        <v>3359</v>
      </c>
      <c r="D398" s="121" t="s">
        <v>4033</v>
      </c>
      <c r="E398" s="121" t="s">
        <v>4034</v>
      </c>
      <c r="F398" s="121" t="s">
        <v>4035</v>
      </c>
      <c r="G398" s="121" t="s">
        <v>4036</v>
      </c>
      <c r="H398" s="121" t="s">
        <v>3024</v>
      </c>
      <c r="I398" s="121"/>
      <c r="J398" s="121" t="s">
        <v>4037</v>
      </c>
      <c r="K398" s="121" t="s">
        <v>3834</v>
      </c>
    </row>
    <row r="399" customFormat="false" ht="46.25" hidden="false" customHeight="false" outlineLevel="0" collapsed="false">
      <c r="A399" s="6" t="s">
        <v>2375</v>
      </c>
      <c r="B399" s="6" t="s">
        <v>231</v>
      </c>
      <c r="C399" s="6" t="s">
        <v>3359</v>
      </c>
      <c r="D399" s="6" t="s">
        <v>4038</v>
      </c>
      <c r="E399" s="6" t="s">
        <v>4039</v>
      </c>
      <c r="F399" s="6" t="s">
        <v>4040</v>
      </c>
      <c r="G399" s="6" t="s">
        <v>3063</v>
      </c>
      <c r="H399" s="6" t="s">
        <v>3024</v>
      </c>
      <c r="I399" s="6"/>
      <c r="J399" s="6" t="s">
        <v>4041</v>
      </c>
      <c r="K399" s="6" t="s">
        <v>3834</v>
      </c>
    </row>
    <row r="400" customFormat="false" ht="46.25" hidden="false" customHeight="false" outlineLevel="0" collapsed="false">
      <c r="A400" s="121" t="s">
        <v>2375</v>
      </c>
      <c r="B400" s="121" t="s">
        <v>231</v>
      </c>
      <c r="C400" s="121" t="s">
        <v>3359</v>
      </c>
      <c r="D400" s="121" t="s">
        <v>4042</v>
      </c>
      <c r="E400" s="121" t="s">
        <v>4043</v>
      </c>
      <c r="F400" s="121" t="s">
        <v>2104</v>
      </c>
      <c r="G400" s="121" t="s">
        <v>2112</v>
      </c>
      <c r="H400" s="121" t="s">
        <v>3024</v>
      </c>
      <c r="I400" s="121"/>
      <c r="J400" s="121" t="s">
        <v>3787</v>
      </c>
      <c r="K400" s="121" t="s">
        <v>3834</v>
      </c>
    </row>
    <row r="401" customFormat="false" ht="46.25" hidden="false" customHeight="false" outlineLevel="0" collapsed="false">
      <c r="A401" s="6" t="s">
        <v>2375</v>
      </c>
      <c r="B401" s="6" t="s">
        <v>231</v>
      </c>
      <c r="C401" s="6" t="s">
        <v>3359</v>
      </c>
      <c r="D401" s="6" t="s">
        <v>4044</v>
      </c>
      <c r="E401" s="6" t="s">
        <v>4045</v>
      </c>
      <c r="F401" s="6" t="s">
        <v>4046</v>
      </c>
      <c r="G401" s="6" t="s">
        <v>4047</v>
      </c>
      <c r="H401" s="6" t="s">
        <v>3024</v>
      </c>
      <c r="I401" s="6"/>
      <c r="J401" s="6" t="s">
        <v>4007</v>
      </c>
      <c r="K401" s="6" t="s">
        <v>3834</v>
      </c>
    </row>
    <row r="402" customFormat="false" ht="46.25" hidden="false" customHeight="false" outlineLevel="0" collapsed="false">
      <c r="A402" s="121" t="s">
        <v>2375</v>
      </c>
      <c r="B402" s="121" t="s">
        <v>231</v>
      </c>
      <c r="C402" s="121" t="s">
        <v>3359</v>
      </c>
      <c r="D402" s="121" t="s">
        <v>4048</v>
      </c>
      <c r="E402" s="121" t="s">
        <v>4049</v>
      </c>
      <c r="F402" s="121" t="s">
        <v>4050</v>
      </c>
      <c r="G402" s="121" t="s">
        <v>4051</v>
      </c>
      <c r="H402" s="121" t="s">
        <v>3024</v>
      </c>
      <c r="I402" s="121"/>
      <c r="J402" s="121" t="s">
        <v>3826</v>
      </c>
      <c r="K402" s="121" t="s">
        <v>3834</v>
      </c>
    </row>
    <row r="403" customFormat="false" ht="46.25" hidden="false" customHeight="false" outlineLevel="0" collapsed="false">
      <c r="A403" s="6" t="s">
        <v>2375</v>
      </c>
      <c r="B403" s="6" t="s">
        <v>231</v>
      </c>
      <c r="C403" s="6" t="s">
        <v>3359</v>
      </c>
      <c r="D403" s="6" t="s">
        <v>4052</v>
      </c>
      <c r="E403" s="6" t="s">
        <v>4053</v>
      </c>
      <c r="F403" s="6" t="s">
        <v>4054</v>
      </c>
      <c r="G403" s="6" t="s">
        <v>4055</v>
      </c>
      <c r="H403" s="6" t="s">
        <v>3024</v>
      </c>
      <c r="I403" s="6"/>
      <c r="J403" s="6" t="s">
        <v>3826</v>
      </c>
      <c r="K403" s="6" t="s">
        <v>3834</v>
      </c>
    </row>
    <row r="404" customFormat="false" ht="46.25" hidden="false" customHeight="false" outlineLevel="0" collapsed="false">
      <c r="A404" s="121" t="s">
        <v>2375</v>
      </c>
      <c r="B404" s="121" t="s">
        <v>231</v>
      </c>
      <c r="C404" s="121" t="s">
        <v>3359</v>
      </c>
      <c r="D404" s="121" t="s">
        <v>4056</v>
      </c>
      <c r="E404" s="121"/>
      <c r="F404" s="121" t="s">
        <v>287</v>
      </c>
      <c r="G404" s="121" t="s">
        <v>287</v>
      </c>
      <c r="H404" s="121" t="s">
        <v>3024</v>
      </c>
      <c r="I404" s="121"/>
      <c r="J404" s="121" t="s">
        <v>3365</v>
      </c>
      <c r="K404" s="121" t="s">
        <v>3834</v>
      </c>
    </row>
    <row r="405" customFormat="false" ht="46.25" hidden="false" customHeight="false" outlineLevel="0" collapsed="false">
      <c r="A405" s="6" t="s">
        <v>2375</v>
      </c>
      <c r="B405" s="6" t="s">
        <v>2394</v>
      </c>
      <c r="C405" s="6" t="s">
        <v>3485</v>
      </c>
      <c r="D405" s="6" t="s">
        <v>3487</v>
      </c>
      <c r="E405" s="6" t="s">
        <v>4057</v>
      </c>
      <c r="F405" s="6" t="s">
        <v>2200</v>
      </c>
      <c r="G405" s="6" t="s">
        <v>2207</v>
      </c>
      <c r="H405" s="6" t="s">
        <v>3024</v>
      </c>
      <c r="I405" s="6"/>
      <c r="J405" s="6" t="s">
        <v>3489</v>
      </c>
      <c r="K405" s="6" t="s">
        <v>3834</v>
      </c>
    </row>
    <row r="406" customFormat="false" ht="46.25" hidden="false" customHeight="false" outlineLevel="0" collapsed="false">
      <c r="A406" s="121" t="s">
        <v>2375</v>
      </c>
      <c r="B406" s="121" t="s">
        <v>2394</v>
      </c>
      <c r="C406" s="121" t="s">
        <v>3485</v>
      </c>
      <c r="D406" s="121" t="s">
        <v>3490</v>
      </c>
      <c r="E406" s="121" t="s">
        <v>4058</v>
      </c>
      <c r="F406" s="121" t="s">
        <v>2200</v>
      </c>
      <c r="G406" s="121" t="s">
        <v>2207</v>
      </c>
      <c r="H406" s="121" t="s">
        <v>3024</v>
      </c>
      <c r="I406" s="121"/>
      <c r="J406" s="121" t="s">
        <v>3489</v>
      </c>
      <c r="K406" s="121" t="s">
        <v>3834</v>
      </c>
    </row>
    <row r="407" customFormat="false" ht="46.25" hidden="false" customHeight="false" outlineLevel="0" collapsed="false">
      <c r="A407" s="6" t="s">
        <v>2375</v>
      </c>
      <c r="B407" s="6" t="s">
        <v>2394</v>
      </c>
      <c r="C407" s="6" t="s">
        <v>3485</v>
      </c>
      <c r="D407" s="6" t="s">
        <v>2620</v>
      </c>
      <c r="E407" s="6" t="s">
        <v>3499</v>
      </c>
      <c r="F407" s="6" t="s">
        <v>2217</v>
      </c>
      <c r="G407" s="6" t="s">
        <v>2224</v>
      </c>
      <c r="H407" s="6" t="s">
        <v>3024</v>
      </c>
      <c r="I407" s="6"/>
      <c r="J407" s="6" t="s">
        <v>3498</v>
      </c>
      <c r="K407" s="6" t="s">
        <v>3834</v>
      </c>
    </row>
    <row r="408" customFormat="false" ht="46.25" hidden="false" customHeight="false" outlineLevel="0" collapsed="false">
      <c r="A408" s="121" t="s">
        <v>2376</v>
      </c>
      <c r="B408" s="121" t="s">
        <v>236</v>
      </c>
      <c r="C408" s="121" t="s">
        <v>4059</v>
      </c>
      <c r="D408" s="121" t="s">
        <v>4060</v>
      </c>
      <c r="E408" s="121" t="s">
        <v>4061</v>
      </c>
      <c r="F408" s="121" t="s">
        <v>3918</v>
      </c>
      <c r="G408" s="121" t="s">
        <v>3180</v>
      </c>
      <c r="H408" s="121" t="s">
        <v>3024</v>
      </c>
      <c r="I408" s="121"/>
      <c r="J408" s="121" t="s">
        <v>3755</v>
      </c>
      <c r="K408" s="121" t="s">
        <v>4062</v>
      </c>
    </row>
    <row r="409" customFormat="false" ht="46.25" hidden="false" customHeight="false" outlineLevel="0" collapsed="false">
      <c r="A409" s="6" t="s">
        <v>2376</v>
      </c>
      <c r="B409" s="6" t="s">
        <v>236</v>
      </c>
      <c r="C409" s="6" t="s">
        <v>4059</v>
      </c>
      <c r="D409" s="6" t="s">
        <v>4063</v>
      </c>
      <c r="E409" s="6" t="s">
        <v>4064</v>
      </c>
      <c r="F409" s="6" t="s">
        <v>848</v>
      </c>
      <c r="G409" s="6" t="s">
        <v>2207</v>
      </c>
      <c r="H409" s="6" t="s">
        <v>3024</v>
      </c>
      <c r="I409" s="6"/>
      <c r="J409" s="6" t="s">
        <v>3887</v>
      </c>
      <c r="K409" s="6" t="s">
        <v>4062</v>
      </c>
    </row>
    <row r="410" customFormat="false" ht="46.25" hidden="false" customHeight="false" outlineLevel="0" collapsed="false">
      <c r="A410" s="121" t="s">
        <v>2376</v>
      </c>
      <c r="B410" s="121" t="s">
        <v>236</v>
      </c>
      <c r="C410" s="121" t="s">
        <v>4059</v>
      </c>
      <c r="D410" s="121" t="s">
        <v>4065</v>
      </c>
      <c r="E410" s="121" t="s">
        <v>4066</v>
      </c>
      <c r="F410" s="121" t="s">
        <v>4067</v>
      </c>
      <c r="G410" s="121" t="s">
        <v>4068</v>
      </c>
      <c r="H410" s="121" t="s">
        <v>3024</v>
      </c>
      <c r="I410" s="121"/>
      <c r="J410" s="121" t="s">
        <v>3752</v>
      </c>
      <c r="K410" s="121" t="s">
        <v>4062</v>
      </c>
    </row>
    <row r="411" customFormat="false" ht="46.25" hidden="false" customHeight="false" outlineLevel="0" collapsed="false">
      <c r="A411" s="6" t="s">
        <v>2376</v>
      </c>
      <c r="B411" s="6" t="s">
        <v>236</v>
      </c>
      <c r="C411" s="6" t="s">
        <v>4059</v>
      </c>
      <c r="D411" s="6" t="s">
        <v>4069</v>
      </c>
      <c r="E411" s="6" t="s">
        <v>4070</v>
      </c>
      <c r="F411" s="6" t="s">
        <v>3188</v>
      </c>
      <c r="G411" s="6" t="s">
        <v>3189</v>
      </c>
      <c r="H411" s="6" t="s">
        <v>3024</v>
      </c>
      <c r="I411" s="6"/>
      <c r="J411" s="6" t="s">
        <v>3362</v>
      </c>
      <c r="K411" s="6" t="s">
        <v>4062</v>
      </c>
    </row>
    <row r="412" customFormat="false" ht="46.25" hidden="false" customHeight="false" outlineLevel="0" collapsed="false">
      <c r="A412" s="121" t="s">
        <v>2376</v>
      </c>
      <c r="B412" s="121" t="s">
        <v>236</v>
      </c>
      <c r="C412" s="121" t="s">
        <v>4059</v>
      </c>
      <c r="D412" s="121" t="s">
        <v>4071</v>
      </c>
      <c r="E412" s="121" t="s">
        <v>4072</v>
      </c>
      <c r="F412" s="121" t="s">
        <v>2217</v>
      </c>
      <c r="G412" s="121" t="s">
        <v>2224</v>
      </c>
      <c r="H412" s="121" t="s">
        <v>3024</v>
      </c>
      <c r="I412" s="121"/>
      <c r="J412" s="121" t="s">
        <v>3498</v>
      </c>
      <c r="K412" s="121" t="s">
        <v>4062</v>
      </c>
    </row>
    <row r="413" customFormat="false" ht="46.25" hidden="false" customHeight="false" outlineLevel="0" collapsed="false">
      <c r="A413" s="6" t="s">
        <v>2376</v>
      </c>
      <c r="B413" s="6" t="s">
        <v>236</v>
      </c>
      <c r="C413" s="6" t="s">
        <v>4059</v>
      </c>
      <c r="D413" s="6" t="s">
        <v>4073</v>
      </c>
      <c r="E413" s="6" t="s">
        <v>4074</v>
      </c>
      <c r="F413" s="6" t="s">
        <v>4075</v>
      </c>
      <c r="G413" s="6" t="s">
        <v>3319</v>
      </c>
      <c r="H413" s="6" t="s">
        <v>3024</v>
      </c>
      <c r="I413" s="6"/>
      <c r="J413" s="6" t="s">
        <v>4076</v>
      </c>
      <c r="K413" s="6" t="s">
        <v>4062</v>
      </c>
    </row>
    <row r="414" customFormat="false" ht="46.25" hidden="false" customHeight="false" outlineLevel="0" collapsed="false">
      <c r="A414" s="121" t="s">
        <v>2376</v>
      </c>
      <c r="B414" s="121" t="s">
        <v>236</v>
      </c>
      <c r="C414" s="121" t="s">
        <v>4059</v>
      </c>
      <c r="D414" s="121" t="s">
        <v>4077</v>
      </c>
      <c r="E414" s="121" t="s">
        <v>4078</v>
      </c>
      <c r="F414" s="121" t="s">
        <v>4079</v>
      </c>
      <c r="G414" s="121" t="s">
        <v>4080</v>
      </c>
      <c r="H414" s="121" t="s">
        <v>3024</v>
      </c>
      <c r="I414" s="121"/>
      <c r="J414" s="121" t="s">
        <v>4081</v>
      </c>
      <c r="K414" s="121" t="s">
        <v>4062</v>
      </c>
    </row>
    <row r="415" customFormat="false" ht="46.25" hidden="false" customHeight="false" outlineLevel="0" collapsed="false">
      <c r="A415" s="6" t="s">
        <v>2376</v>
      </c>
      <c r="B415" s="6" t="s">
        <v>236</v>
      </c>
      <c r="C415" s="6" t="s">
        <v>4059</v>
      </c>
      <c r="D415" s="6" t="s">
        <v>4082</v>
      </c>
      <c r="E415" s="6" t="s">
        <v>4083</v>
      </c>
      <c r="F415" s="6" t="s">
        <v>4084</v>
      </c>
      <c r="G415" s="6" t="s">
        <v>4085</v>
      </c>
      <c r="H415" s="6" t="s">
        <v>3024</v>
      </c>
      <c r="I415" s="6"/>
      <c r="J415" s="6" t="s">
        <v>4086</v>
      </c>
      <c r="K415" s="6" t="s">
        <v>4062</v>
      </c>
    </row>
    <row r="416" customFormat="false" ht="46.25" hidden="false" customHeight="false" outlineLevel="0" collapsed="false">
      <c r="A416" s="121" t="s">
        <v>2376</v>
      </c>
      <c r="B416" s="121" t="s">
        <v>236</v>
      </c>
      <c r="C416" s="121" t="s">
        <v>4059</v>
      </c>
      <c r="D416" s="121" t="s">
        <v>4087</v>
      </c>
      <c r="E416" s="121" t="s">
        <v>4088</v>
      </c>
      <c r="F416" s="121" t="s">
        <v>3169</v>
      </c>
      <c r="G416" s="121" t="s">
        <v>3170</v>
      </c>
      <c r="H416" s="121" t="s">
        <v>3024</v>
      </c>
      <c r="I416" s="121"/>
      <c r="J416" s="121" t="s">
        <v>3925</v>
      </c>
      <c r="K416" s="121" t="s">
        <v>4062</v>
      </c>
    </row>
    <row r="417" customFormat="false" ht="46.25" hidden="false" customHeight="false" outlineLevel="0" collapsed="false">
      <c r="A417" s="6" t="s">
        <v>2376</v>
      </c>
      <c r="B417" s="6" t="s">
        <v>236</v>
      </c>
      <c r="C417" s="6" t="s">
        <v>4059</v>
      </c>
      <c r="D417" s="6" t="s">
        <v>4089</v>
      </c>
      <c r="E417" s="6" t="s">
        <v>4090</v>
      </c>
      <c r="F417" s="6" t="s">
        <v>4091</v>
      </c>
      <c r="G417" s="6" t="s">
        <v>4092</v>
      </c>
      <c r="H417" s="6" t="s">
        <v>3024</v>
      </c>
      <c r="I417" s="6"/>
      <c r="J417" s="6" t="s">
        <v>4093</v>
      </c>
      <c r="K417" s="6" t="s">
        <v>4062</v>
      </c>
    </row>
    <row r="418" customFormat="false" ht="46.25" hidden="false" customHeight="false" outlineLevel="0" collapsed="false">
      <c r="A418" s="121" t="s">
        <v>2376</v>
      </c>
      <c r="B418" s="121" t="s">
        <v>236</v>
      </c>
      <c r="C418" s="121" t="s">
        <v>4059</v>
      </c>
      <c r="D418" s="121" t="s">
        <v>4094</v>
      </c>
      <c r="E418" s="121" t="s">
        <v>4095</v>
      </c>
      <c r="F418" s="121" t="s">
        <v>2321</v>
      </c>
      <c r="G418" s="121" t="s">
        <v>2329</v>
      </c>
      <c r="H418" s="121" t="s">
        <v>3024</v>
      </c>
      <c r="I418" s="121"/>
      <c r="J418" s="121" t="s">
        <v>3393</v>
      </c>
      <c r="K418" s="121" t="s">
        <v>4062</v>
      </c>
    </row>
    <row r="419" customFormat="false" ht="68.65" hidden="false" customHeight="false" outlineLevel="0" collapsed="false">
      <c r="A419" s="6" t="s">
        <v>2376</v>
      </c>
      <c r="B419" s="6" t="s">
        <v>236</v>
      </c>
      <c r="C419" s="6" t="s">
        <v>4059</v>
      </c>
      <c r="D419" s="6" t="s">
        <v>4096</v>
      </c>
      <c r="E419" s="6" t="s">
        <v>4097</v>
      </c>
      <c r="F419" s="6" t="s">
        <v>4098</v>
      </c>
      <c r="G419" s="6" t="s">
        <v>4099</v>
      </c>
      <c r="H419" s="6" t="s">
        <v>3024</v>
      </c>
      <c r="I419" s="6"/>
      <c r="J419" s="6" t="s">
        <v>4100</v>
      </c>
      <c r="K419" s="6" t="s">
        <v>4062</v>
      </c>
    </row>
    <row r="420" customFormat="false" ht="46.25" hidden="false" customHeight="false" outlineLevel="0" collapsed="false">
      <c r="A420" s="121" t="s">
        <v>2376</v>
      </c>
      <c r="B420" s="121" t="s">
        <v>236</v>
      </c>
      <c r="C420" s="121" t="s">
        <v>4059</v>
      </c>
      <c r="D420" s="121" t="s">
        <v>4101</v>
      </c>
      <c r="E420" s="121" t="s">
        <v>4102</v>
      </c>
      <c r="F420" s="121" t="s">
        <v>4103</v>
      </c>
      <c r="G420" s="121" t="s">
        <v>4104</v>
      </c>
      <c r="H420" s="121" t="s">
        <v>3024</v>
      </c>
      <c r="I420" s="121"/>
      <c r="J420" s="121" t="s">
        <v>4105</v>
      </c>
      <c r="K420" s="121" t="s">
        <v>4062</v>
      </c>
    </row>
    <row r="421" customFormat="false" ht="46.25" hidden="false" customHeight="false" outlineLevel="0" collapsed="false">
      <c r="A421" s="6" t="s">
        <v>2376</v>
      </c>
      <c r="B421" s="6" t="s">
        <v>236</v>
      </c>
      <c r="C421" s="6" t="s">
        <v>4059</v>
      </c>
      <c r="D421" s="6" t="s">
        <v>4106</v>
      </c>
      <c r="E421" s="6" t="s">
        <v>4107</v>
      </c>
      <c r="F421" s="6" t="s">
        <v>4108</v>
      </c>
      <c r="G421" s="6" t="s">
        <v>3389</v>
      </c>
      <c r="H421" s="6" t="s">
        <v>3024</v>
      </c>
      <c r="I421" s="6"/>
      <c r="J421" s="6" t="s">
        <v>4109</v>
      </c>
      <c r="K421" s="6" t="s">
        <v>4062</v>
      </c>
    </row>
    <row r="422" customFormat="false" ht="46.25" hidden="false" customHeight="false" outlineLevel="0" collapsed="false">
      <c r="A422" s="121" t="s">
        <v>2376</v>
      </c>
      <c r="B422" s="121" t="s">
        <v>236</v>
      </c>
      <c r="C422" s="121" t="s">
        <v>4059</v>
      </c>
      <c r="D422" s="121" t="s">
        <v>4110</v>
      </c>
      <c r="E422" s="121" t="s">
        <v>4111</v>
      </c>
      <c r="F422" s="121" t="s">
        <v>4112</v>
      </c>
      <c r="G422" s="121" t="s">
        <v>4113</v>
      </c>
      <c r="H422" s="121" t="s">
        <v>3024</v>
      </c>
      <c r="I422" s="121"/>
      <c r="J422" s="121" t="s">
        <v>4114</v>
      </c>
      <c r="K422" s="121" t="s">
        <v>4062</v>
      </c>
    </row>
    <row r="423" customFormat="false" ht="46.25" hidden="false" customHeight="false" outlineLevel="0" collapsed="false">
      <c r="A423" s="6" t="s">
        <v>2376</v>
      </c>
      <c r="B423" s="6" t="s">
        <v>236</v>
      </c>
      <c r="C423" s="6" t="s">
        <v>4059</v>
      </c>
      <c r="D423" s="6" t="s">
        <v>4115</v>
      </c>
      <c r="E423" s="6" t="s">
        <v>4116</v>
      </c>
      <c r="F423" s="6" t="s">
        <v>3900</v>
      </c>
      <c r="G423" s="6" t="s">
        <v>2176</v>
      </c>
      <c r="H423" s="6" t="s">
        <v>3024</v>
      </c>
      <c r="I423" s="6"/>
      <c r="J423" s="6" t="s">
        <v>3901</v>
      </c>
      <c r="K423" s="6" t="s">
        <v>4062</v>
      </c>
    </row>
    <row r="424" customFormat="false" ht="46.25" hidden="false" customHeight="false" outlineLevel="0" collapsed="false">
      <c r="A424" s="121" t="s">
        <v>2376</v>
      </c>
      <c r="B424" s="121" t="s">
        <v>236</v>
      </c>
      <c r="C424" s="121" t="s">
        <v>4059</v>
      </c>
      <c r="D424" s="121" t="s">
        <v>4117</v>
      </c>
      <c r="E424" s="121" t="s">
        <v>4118</v>
      </c>
      <c r="F424" s="121" t="s">
        <v>3904</v>
      </c>
      <c r="G424" s="121" t="s">
        <v>3905</v>
      </c>
      <c r="H424" s="121" t="s">
        <v>3024</v>
      </c>
      <c r="I424" s="121"/>
      <c r="J424" s="121" t="s">
        <v>3768</v>
      </c>
      <c r="K424" s="121" t="s">
        <v>4062</v>
      </c>
    </row>
    <row r="425" customFormat="false" ht="46.25" hidden="false" customHeight="false" outlineLevel="0" collapsed="false">
      <c r="A425" s="6" t="s">
        <v>2376</v>
      </c>
      <c r="B425" s="6" t="s">
        <v>236</v>
      </c>
      <c r="C425" s="6" t="s">
        <v>4059</v>
      </c>
      <c r="D425" s="6" t="s">
        <v>4119</v>
      </c>
      <c r="E425" s="6" t="s">
        <v>4120</v>
      </c>
      <c r="F425" s="6" t="s">
        <v>670</v>
      </c>
      <c r="G425" s="6" t="s">
        <v>2176</v>
      </c>
      <c r="H425" s="6" t="s">
        <v>3024</v>
      </c>
      <c r="I425" s="6"/>
      <c r="J425" s="6" t="s">
        <v>3373</v>
      </c>
      <c r="K425" s="6" t="s">
        <v>4062</v>
      </c>
    </row>
    <row r="426" customFormat="false" ht="46.25" hidden="false" customHeight="false" outlineLevel="0" collapsed="false">
      <c r="A426" s="121" t="s">
        <v>2376</v>
      </c>
      <c r="B426" s="121" t="s">
        <v>236</v>
      </c>
      <c r="C426" s="121" t="s">
        <v>4059</v>
      </c>
      <c r="D426" s="121" t="s">
        <v>4121</v>
      </c>
      <c r="E426" s="121" t="s">
        <v>4122</v>
      </c>
      <c r="F426" s="121" t="s">
        <v>3460</v>
      </c>
      <c r="G426" s="121" t="s">
        <v>3461</v>
      </c>
      <c r="H426" s="121" t="s">
        <v>3024</v>
      </c>
      <c r="I426" s="121"/>
      <c r="J426" s="121" t="s">
        <v>3462</v>
      </c>
      <c r="K426" s="121" t="s">
        <v>4062</v>
      </c>
    </row>
    <row r="427" customFormat="false" ht="46.25" hidden="false" customHeight="false" outlineLevel="0" collapsed="false">
      <c r="A427" s="6" t="s">
        <v>2376</v>
      </c>
      <c r="B427" s="6" t="s">
        <v>236</v>
      </c>
      <c r="C427" s="6" t="s">
        <v>4059</v>
      </c>
      <c r="D427" s="6" t="s">
        <v>4123</v>
      </c>
      <c r="E427" s="6" t="s">
        <v>4124</v>
      </c>
      <c r="F427" s="6" t="s">
        <v>3904</v>
      </c>
      <c r="G427" s="6" t="s">
        <v>3905</v>
      </c>
      <c r="H427" s="6" t="s">
        <v>3024</v>
      </c>
      <c r="I427" s="6"/>
      <c r="J427" s="6" t="s">
        <v>3768</v>
      </c>
      <c r="K427" s="6" t="s">
        <v>4062</v>
      </c>
    </row>
    <row r="428" customFormat="false" ht="46.25" hidden="false" customHeight="false" outlineLevel="0" collapsed="false">
      <c r="A428" s="121" t="s">
        <v>2376</v>
      </c>
      <c r="B428" s="121" t="s">
        <v>236</v>
      </c>
      <c r="C428" s="121" t="s">
        <v>4059</v>
      </c>
      <c r="D428" s="121" t="s">
        <v>4125</v>
      </c>
      <c r="E428" s="121" t="s">
        <v>4126</v>
      </c>
      <c r="F428" s="121" t="s">
        <v>4127</v>
      </c>
      <c r="G428" s="121" t="s">
        <v>4128</v>
      </c>
      <c r="H428" s="121" t="s">
        <v>3024</v>
      </c>
      <c r="I428" s="121"/>
      <c r="J428" s="121" t="s">
        <v>3925</v>
      </c>
      <c r="K428" s="121" t="s">
        <v>4062</v>
      </c>
    </row>
    <row r="429" customFormat="false" ht="46.25" hidden="false" customHeight="false" outlineLevel="0" collapsed="false">
      <c r="A429" s="6" t="s">
        <v>2376</v>
      </c>
      <c r="B429" s="6" t="s">
        <v>236</v>
      </c>
      <c r="C429" s="6" t="s">
        <v>4059</v>
      </c>
      <c r="D429" s="6" t="s">
        <v>4129</v>
      </c>
      <c r="E429" s="6"/>
      <c r="F429" s="6" t="s">
        <v>287</v>
      </c>
      <c r="G429" s="6" t="s">
        <v>287</v>
      </c>
      <c r="H429" s="6" t="s">
        <v>3024</v>
      </c>
      <c r="I429" s="6"/>
      <c r="J429" s="6" t="s">
        <v>3365</v>
      </c>
      <c r="K429" s="6" t="s">
        <v>4062</v>
      </c>
    </row>
    <row r="430" customFormat="false" ht="46.25" hidden="false" customHeight="false" outlineLevel="0" collapsed="false">
      <c r="A430" s="121" t="s">
        <v>2376</v>
      </c>
      <c r="B430" s="121" t="s">
        <v>237</v>
      </c>
      <c r="C430" s="121" t="s">
        <v>237</v>
      </c>
      <c r="D430" s="121" t="s">
        <v>4130</v>
      </c>
      <c r="E430" s="121" t="s">
        <v>4131</v>
      </c>
      <c r="F430" s="121" t="s">
        <v>4132</v>
      </c>
      <c r="G430" s="121" t="s">
        <v>1798</v>
      </c>
      <c r="H430" s="121" t="s">
        <v>3024</v>
      </c>
      <c r="I430" s="121"/>
      <c r="J430" s="121" t="s">
        <v>3741</v>
      </c>
      <c r="K430" s="121" t="s">
        <v>4133</v>
      </c>
    </row>
    <row r="431" customFormat="false" ht="46.25" hidden="false" customHeight="false" outlineLevel="0" collapsed="false">
      <c r="A431" s="6" t="s">
        <v>2376</v>
      </c>
      <c r="B431" s="6" t="s">
        <v>237</v>
      </c>
      <c r="C431" s="6" t="s">
        <v>237</v>
      </c>
      <c r="D431" s="6" t="s">
        <v>4134</v>
      </c>
      <c r="E431" s="6" t="s">
        <v>4135</v>
      </c>
      <c r="F431" s="6" t="s">
        <v>4136</v>
      </c>
      <c r="G431" s="6" t="s">
        <v>4137</v>
      </c>
      <c r="H431" s="6" t="s">
        <v>3024</v>
      </c>
      <c r="I431" s="6"/>
      <c r="J431" s="6" t="s">
        <v>3378</v>
      </c>
      <c r="K431" s="6" t="s">
        <v>4133</v>
      </c>
    </row>
    <row r="432" customFormat="false" ht="57.45" hidden="false" customHeight="false" outlineLevel="0" collapsed="false">
      <c r="A432" s="121" t="s">
        <v>2376</v>
      </c>
      <c r="B432" s="121" t="s">
        <v>237</v>
      </c>
      <c r="C432" s="121" t="s">
        <v>237</v>
      </c>
      <c r="D432" s="121" t="s">
        <v>837</v>
      </c>
      <c r="E432" s="121" t="s">
        <v>4138</v>
      </c>
      <c r="F432" s="121" t="s">
        <v>4139</v>
      </c>
      <c r="G432" s="121" t="s">
        <v>4140</v>
      </c>
      <c r="H432" s="121" t="s">
        <v>3024</v>
      </c>
      <c r="I432" s="121"/>
      <c r="J432" s="121" t="s">
        <v>4141</v>
      </c>
      <c r="K432" s="121" t="s">
        <v>4133</v>
      </c>
    </row>
    <row r="433" customFormat="false" ht="46.25" hidden="false" customHeight="false" outlineLevel="0" collapsed="false">
      <c r="A433" s="6" t="s">
        <v>2376</v>
      </c>
      <c r="B433" s="6" t="s">
        <v>237</v>
      </c>
      <c r="C433" s="6" t="s">
        <v>237</v>
      </c>
      <c r="D433" s="6" t="s">
        <v>4142</v>
      </c>
      <c r="E433" s="6" t="s">
        <v>4143</v>
      </c>
      <c r="F433" s="6" t="s">
        <v>4144</v>
      </c>
      <c r="G433" s="6" t="s">
        <v>4012</v>
      </c>
      <c r="H433" s="6" t="s">
        <v>3024</v>
      </c>
      <c r="I433" s="6"/>
      <c r="J433" s="6" t="s">
        <v>3925</v>
      </c>
      <c r="K433" s="6" t="s">
        <v>4133</v>
      </c>
    </row>
    <row r="434" customFormat="false" ht="46.25" hidden="false" customHeight="false" outlineLevel="0" collapsed="false">
      <c r="A434" s="121" t="s">
        <v>2376</v>
      </c>
      <c r="B434" s="121" t="s">
        <v>237</v>
      </c>
      <c r="C434" s="121" t="s">
        <v>237</v>
      </c>
      <c r="D434" s="121" t="s">
        <v>4145</v>
      </c>
      <c r="E434" s="121" t="s">
        <v>4146</v>
      </c>
      <c r="F434" s="121" t="s">
        <v>3110</v>
      </c>
      <c r="G434" s="121" t="s">
        <v>3111</v>
      </c>
      <c r="H434" s="121" t="s">
        <v>3024</v>
      </c>
      <c r="I434" s="121"/>
      <c r="J434" s="121" t="s">
        <v>4147</v>
      </c>
      <c r="K434" s="121" t="s">
        <v>4133</v>
      </c>
    </row>
    <row r="435" customFormat="false" ht="46.25" hidden="false" customHeight="false" outlineLevel="0" collapsed="false">
      <c r="A435" s="6" t="s">
        <v>2376</v>
      </c>
      <c r="B435" s="6" t="s">
        <v>237</v>
      </c>
      <c r="C435" s="6" t="s">
        <v>237</v>
      </c>
      <c r="D435" s="6" t="s">
        <v>4148</v>
      </c>
      <c r="E435" s="6" t="s">
        <v>4149</v>
      </c>
      <c r="F435" s="6" t="s">
        <v>4150</v>
      </c>
      <c r="G435" s="6" t="s">
        <v>4151</v>
      </c>
      <c r="H435" s="6" t="s">
        <v>3024</v>
      </c>
      <c r="I435" s="6"/>
      <c r="J435" s="6" t="s">
        <v>4152</v>
      </c>
      <c r="K435" s="6" t="s">
        <v>4133</v>
      </c>
    </row>
    <row r="436" customFormat="false" ht="46.25" hidden="false" customHeight="false" outlineLevel="0" collapsed="false">
      <c r="A436" s="121" t="s">
        <v>2376</v>
      </c>
      <c r="B436" s="121" t="s">
        <v>237</v>
      </c>
      <c r="C436" s="121" t="s">
        <v>237</v>
      </c>
      <c r="D436" s="121" t="s">
        <v>4153</v>
      </c>
      <c r="E436" s="121" t="s">
        <v>4154</v>
      </c>
      <c r="F436" s="121" t="s">
        <v>3968</v>
      </c>
      <c r="G436" s="121" t="s">
        <v>3969</v>
      </c>
      <c r="H436" s="121" t="s">
        <v>3024</v>
      </c>
      <c r="I436" s="121"/>
      <c r="J436" s="121" t="s">
        <v>3378</v>
      </c>
      <c r="K436" s="121" t="s">
        <v>4133</v>
      </c>
    </row>
    <row r="437" customFormat="false" ht="46.25" hidden="false" customHeight="false" outlineLevel="0" collapsed="false">
      <c r="A437" s="6" t="s">
        <v>2376</v>
      </c>
      <c r="B437" s="6" t="s">
        <v>237</v>
      </c>
      <c r="C437" s="6" t="s">
        <v>237</v>
      </c>
      <c r="D437" s="6" t="s">
        <v>577</v>
      </c>
      <c r="E437" s="6" t="s">
        <v>4155</v>
      </c>
      <c r="F437" s="6" t="s">
        <v>3269</v>
      </c>
      <c r="G437" s="6" t="s">
        <v>3270</v>
      </c>
      <c r="H437" s="6" t="s">
        <v>3024</v>
      </c>
      <c r="I437" s="6"/>
      <c r="J437" s="6" t="s">
        <v>3992</v>
      </c>
      <c r="K437" s="6" t="s">
        <v>4133</v>
      </c>
    </row>
    <row r="438" customFormat="false" ht="46.25" hidden="false" customHeight="false" outlineLevel="0" collapsed="false">
      <c r="A438" s="121" t="s">
        <v>2376</v>
      </c>
      <c r="B438" s="121" t="s">
        <v>237</v>
      </c>
      <c r="C438" s="121" t="s">
        <v>237</v>
      </c>
      <c r="D438" s="121" t="s">
        <v>4156</v>
      </c>
      <c r="E438" s="121" t="s">
        <v>4157</v>
      </c>
      <c r="F438" s="121" t="s">
        <v>4158</v>
      </c>
      <c r="G438" s="121" t="s">
        <v>4159</v>
      </c>
      <c r="H438" s="121" t="s">
        <v>3024</v>
      </c>
      <c r="I438" s="121"/>
      <c r="J438" s="121" t="s">
        <v>4160</v>
      </c>
      <c r="K438" s="121" t="s">
        <v>4133</v>
      </c>
    </row>
    <row r="439" customFormat="false" ht="46.25" hidden="false" customHeight="false" outlineLevel="0" collapsed="false">
      <c r="A439" s="6" t="s">
        <v>2376</v>
      </c>
      <c r="B439" s="6" t="s">
        <v>237</v>
      </c>
      <c r="C439" s="6" t="s">
        <v>237</v>
      </c>
      <c r="D439" s="6" t="s">
        <v>4161</v>
      </c>
      <c r="E439" s="6" t="s">
        <v>4162</v>
      </c>
      <c r="F439" s="6" t="s">
        <v>1950</v>
      </c>
      <c r="G439" s="6" t="s">
        <v>1957</v>
      </c>
      <c r="H439" s="6" t="s">
        <v>3024</v>
      </c>
      <c r="I439" s="6"/>
      <c r="J439" s="6" t="s">
        <v>3819</v>
      </c>
      <c r="K439" s="6" t="s">
        <v>4133</v>
      </c>
    </row>
    <row r="440" customFormat="false" ht="46.25" hidden="false" customHeight="false" outlineLevel="0" collapsed="false">
      <c r="A440" s="121" t="s">
        <v>2376</v>
      </c>
      <c r="B440" s="121" t="s">
        <v>237</v>
      </c>
      <c r="C440" s="121" t="s">
        <v>237</v>
      </c>
      <c r="D440" s="121" t="s">
        <v>537</v>
      </c>
      <c r="E440" s="121" t="s">
        <v>4163</v>
      </c>
      <c r="F440" s="121" t="s">
        <v>529</v>
      </c>
      <c r="G440" s="121" t="s">
        <v>2259</v>
      </c>
      <c r="H440" s="121" t="s">
        <v>3024</v>
      </c>
      <c r="I440" s="121"/>
      <c r="J440" s="121" t="s">
        <v>3913</v>
      </c>
      <c r="K440" s="121" t="s">
        <v>4133</v>
      </c>
    </row>
    <row r="441" customFormat="false" ht="46.25" hidden="false" customHeight="false" outlineLevel="0" collapsed="false">
      <c r="A441" s="6" t="s">
        <v>2376</v>
      </c>
      <c r="B441" s="6" t="s">
        <v>237</v>
      </c>
      <c r="C441" s="6" t="s">
        <v>237</v>
      </c>
      <c r="D441" s="6" t="s">
        <v>4164</v>
      </c>
      <c r="E441" s="6" t="s">
        <v>4165</v>
      </c>
      <c r="F441" s="6" t="s">
        <v>4011</v>
      </c>
      <c r="G441" s="6" t="s">
        <v>4012</v>
      </c>
      <c r="H441" s="6" t="s">
        <v>3024</v>
      </c>
      <c r="I441" s="6"/>
      <c r="J441" s="6" t="s">
        <v>4013</v>
      </c>
      <c r="K441" s="6" t="s">
        <v>4133</v>
      </c>
    </row>
    <row r="442" customFormat="false" ht="46.25" hidden="false" customHeight="false" outlineLevel="0" collapsed="false">
      <c r="A442" s="121" t="s">
        <v>2376</v>
      </c>
      <c r="B442" s="121" t="s">
        <v>237</v>
      </c>
      <c r="C442" s="121" t="s">
        <v>237</v>
      </c>
      <c r="D442" s="121" t="s">
        <v>4166</v>
      </c>
      <c r="E442" s="121" t="s">
        <v>4167</v>
      </c>
      <c r="F442" s="121" t="s">
        <v>4168</v>
      </c>
      <c r="G442" s="121" t="s">
        <v>4169</v>
      </c>
      <c r="H442" s="121" t="s">
        <v>3024</v>
      </c>
      <c r="I442" s="121"/>
      <c r="J442" s="121" t="s">
        <v>4170</v>
      </c>
      <c r="K442" s="121" t="s">
        <v>4133</v>
      </c>
    </row>
    <row r="443" customFormat="false" ht="46.25" hidden="false" customHeight="false" outlineLevel="0" collapsed="false">
      <c r="A443" s="6" t="s">
        <v>2376</v>
      </c>
      <c r="B443" s="6" t="s">
        <v>237</v>
      </c>
      <c r="C443" s="6" t="s">
        <v>237</v>
      </c>
      <c r="D443" s="6" t="s">
        <v>657</v>
      </c>
      <c r="E443" s="6" t="s">
        <v>4171</v>
      </c>
      <c r="F443" s="6" t="s">
        <v>2321</v>
      </c>
      <c r="G443" s="6" t="s">
        <v>2329</v>
      </c>
      <c r="H443" s="6" t="s">
        <v>3024</v>
      </c>
      <c r="I443" s="6"/>
      <c r="J443" s="6" t="s">
        <v>3393</v>
      </c>
      <c r="K443" s="6" t="s">
        <v>4133</v>
      </c>
    </row>
    <row r="444" customFormat="false" ht="46.25" hidden="false" customHeight="false" outlineLevel="0" collapsed="false">
      <c r="A444" s="121" t="s">
        <v>2376</v>
      </c>
      <c r="B444" s="121" t="s">
        <v>237</v>
      </c>
      <c r="C444" s="121" t="s">
        <v>237</v>
      </c>
      <c r="D444" s="121" t="s">
        <v>875</v>
      </c>
      <c r="E444" s="121" t="s">
        <v>4172</v>
      </c>
      <c r="F444" s="121" t="s">
        <v>4173</v>
      </c>
      <c r="G444" s="121" t="s">
        <v>3319</v>
      </c>
      <c r="H444" s="121" t="s">
        <v>3024</v>
      </c>
      <c r="I444" s="121"/>
      <c r="J444" s="121" t="s">
        <v>4174</v>
      </c>
      <c r="K444" s="121" t="s">
        <v>4133</v>
      </c>
    </row>
    <row r="445" customFormat="false" ht="46.25" hidden="false" customHeight="false" outlineLevel="0" collapsed="false">
      <c r="A445" s="6" t="s">
        <v>2376</v>
      </c>
      <c r="B445" s="6" t="s">
        <v>237</v>
      </c>
      <c r="C445" s="6" t="s">
        <v>237</v>
      </c>
      <c r="D445" s="6" t="s">
        <v>556</v>
      </c>
      <c r="E445" s="6" t="s">
        <v>4175</v>
      </c>
      <c r="F445" s="6" t="s">
        <v>4176</v>
      </c>
      <c r="G445" s="6" t="s">
        <v>4177</v>
      </c>
      <c r="H445" s="6" t="s">
        <v>3024</v>
      </c>
      <c r="I445" s="6"/>
      <c r="J445" s="6" t="s">
        <v>4178</v>
      </c>
      <c r="K445" s="6" t="s">
        <v>4133</v>
      </c>
    </row>
    <row r="446" customFormat="false" ht="46.25" hidden="false" customHeight="false" outlineLevel="0" collapsed="false">
      <c r="A446" s="121" t="s">
        <v>2376</v>
      </c>
      <c r="B446" s="121" t="s">
        <v>237</v>
      </c>
      <c r="C446" s="121" t="s">
        <v>237</v>
      </c>
      <c r="D446" s="121" t="s">
        <v>4179</v>
      </c>
      <c r="E446" s="121" t="s">
        <v>4180</v>
      </c>
      <c r="F446" s="121" t="s">
        <v>4181</v>
      </c>
      <c r="G446" s="121" t="s">
        <v>4182</v>
      </c>
      <c r="H446" s="121" t="s">
        <v>3024</v>
      </c>
      <c r="I446" s="121"/>
      <c r="J446" s="121" t="s">
        <v>3782</v>
      </c>
      <c r="K446" s="121" t="s">
        <v>4133</v>
      </c>
    </row>
    <row r="447" customFormat="false" ht="46.25" hidden="false" customHeight="false" outlineLevel="0" collapsed="false">
      <c r="A447" s="6" t="s">
        <v>2376</v>
      </c>
      <c r="B447" s="6" t="s">
        <v>237</v>
      </c>
      <c r="C447" s="6" t="s">
        <v>237</v>
      </c>
      <c r="D447" s="6" t="s">
        <v>4183</v>
      </c>
      <c r="E447" s="6" t="s">
        <v>4184</v>
      </c>
      <c r="F447" s="6" t="s">
        <v>2152</v>
      </c>
      <c r="G447" s="6" t="s">
        <v>2160</v>
      </c>
      <c r="H447" s="6" t="s">
        <v>3024</v>
      </c>
      <c r="I447" s="6"/>
      <c r="J447" s="6" t="s">
        <v>3822</v>
      </c>
      <c r="K447" s="6" t="s">
        <v>4133</v>
      </c>
    </row>
    <row r="448" customFormat="false" ht="46.25" hidden="false" customHeight="false" outlineLevel="0" collapsed="false">
      <c r="A448" s="121" t="s">
        <v>2376</v>
      </c>
      <c r="B448" s="121" t="s">
        <v>238</v>
      </c>
      <c r="C448" s="121" t="s">
        <v>4185</v>
      </c>
      <c r="D448" s="121" t="s">
        <v>4186</v>
      </c>
      <c r="E448" s="121"/>
      <c r="F448" s="121" t="s">
        <v>287</v>
      </c>
      <c r="G448" s="121" t="s">
        <v>287</v>
      </c>
      <c r="H448" s="121" t="s">
        <v>3024</v>
      </c>
      <c r="I448" s="121"/>
      <c r="J448" s="121" t="s">
        <v>3365</v>
      </c>
      <c r="K448" s="121" t="s">
        <v>4187</v>
      </c>
    </row>
    <row r="449" customFormat="false" ht="46.25" hidden="false" customHeight="false" outlineLevel="0" collapsed="false">
      <c r="A449" s="6" t="s">
        <v>2376</v>
      </c>
      <c r="B449" s="6" t="s">
        <v>238</v>
      </c>
      <c r="C449" s="6" t="s">
        <v>4185</v>
      </c>
      <c r="D449" s="6" t="s">
        <v>4188</v>
      </c>
      <c r="E449" s="6"/>
      <c r="F449" s="6" t="s">
        <v>287</v>
      </c>
      <c r="G449" s="6" t="s">
        <v>287</v>
      </c>
      <c r="H449" s="6" t="s">
        <v>3024</v>
      </c>
      <c r="I449" s="6"/>
      <c r="J449" s="6" t="s">
        <v>3365</v>
      </c>
      <c r="K449" s="6" t="s">
        <v>4187</v>
      </c>
    </row>
    <row r="450" customFormat="false" ht="46.25" hidden="false" customHeight="false" outlineLevel="0" collapsed="false">
      <c r="A450" s="121" t="s">
        <v>2376</v>
      </c>
      <c r="B450" s="121" t="s">
        <v>238</v>
      </c>
      <c r="C450" s="121" t="s">
        <v>4185</v>
      </c>
      <c r="D450" s="121" t="s">
        <v>4189</v>
      </c>
      <c r="E450" s="121" t="s">
        <v>4190</v>
      </c>
      <c r="F450" s="121" t="s">
        <v>931</v>
      </c>
      <c r="G450" s="121" t="s">
        <v>1815</v>
      </c>
      <c r="H450" s="121" t="s">
        <v>3024</v>
      </c>
      <c r="I450" s="121"/>
      <c r="J450" s="121" t="s">
        <v>3368</v>
      </c>
      <c r="K450" s="121" t="s">
        <v>4187</v>
      </c>
    </row>
    <row r="451" customFormat="false" ht="46.25" hidden="false" customHeight="false" outlineLevel="0" collapsed="false">
      <c r="A451" s="6" t="s">
        <v>2376</v>
      </c>
      <c r="B451" s="6" t="s">
        <v>238</v>
      </c>
      <c r="C451" s="6" t="s">
        <v>4185</v>
      </c>
      <c r="D451" s="6" t="s">
        <v>4191</v>
      </c>
      <c r="E451" s="6" t="s">
        <v>3493</v>
      </c>
      <c r="F451" s="6" t="s">
        <v>2321</v>
      </c>
      <c r="G451" s="6" t="s">
        <v>2329</v>
      </c>
      <c r="H451" s="6" t="s">
        <v>3024</v>
      </c>
      <c r="I451" s="6"/>
      <c r="J451" s="6" t="s">
        <v>3393</v>
      </c>
      <c r="K451" s="6" t="s">
        <v>4187</v>
      </c>
    </row>
    <row r="452" customFormat="false" ht="46.25" hidden="false" customHeight="false" outlineLevel="0" collapsed="false">
      <c r="A452" s="121" t="s">
        <v>2376</v>
      </c>
      <c r="B452" s="121" t="s">
        <v>238</v>
      </c>
      <c r="C452" s="121" t="s">
        <v>4185</v>
      </c>
      <c r="D452" s="121" t="s">
        <v>4192</v>
      </c>
      <c r="E452" s="121"/>
      <c r="F452" s="121" t="s">
        <v>287</v>
      </c>
      <c r="G452" s="121" t="s">
        <v>287</v>
      </c>
      <c r="H452" s="121" t="s">
        <v>3024</v>
      </c>
      <c r="I452" s="121"/>
      <c r="J452" s="121" t="s">
        <v>3365</v>
      </c>
      <c r="K452" s="121" t="s">
        <v>4187</v>
      </c>
    </row>
    <row r="453" customFormat="false" ht="46.25" hidden="false" customHeight="false" outlineLevel="0" collapsed="false">
      <c r="A453" s="6" t="s">
        <v>2376</v>
      </c>
      <c r="B453" s="6" t="s">
        <v>238</v>
      </c>
      <c r="C453" s="6" t="s">
        <v>4185</v>
      </c>
      <c r="D453" s="6" t="s">
        <v>4193</v>
      </c>
      <c r="E453" s="6"/>
      <c r="F453" s="6" t="s">
        <v>287</v>
      </c>
      <c r="G453" s="6" t="s">
        <v>287</v>
      </c>
      <c r="H453" s="6" t="s">
        <v>3024</v>
      </c>
      <c r="I453" s="6"/>
      <c r="J453" s="6" t="s">
        <v>3365</v>
      </c>
      <c r="K453" s="6" t="s">
        <v>4187</v>
      </c>
    </row>
    <row r="454" customFormat="false" ht="46.25" hidden="false" customHeight="false" outlineLevel="0" collapsed="false">
      <c r="A454" s="121" t="s">
        <v>2376</v>
      </c>
      <c r="B454" s="121" t="s">
        <v>238</v>
      </c>
      <c r="C454" s="121" t="s">
        <v>4185</v>
      </c>
      <c r="D454" s="121" t="s">
        <v>4194</v>
      </c>
      <c r="E454" s="121" t="s">
        <v>4195</v>
      </c>
      <c r="F454" s="121" t="s">
        <v>3201</v>
      </c>
      <c r="G454" s="121" t="s">
        <v>1815</v>
      </c>
      <c r="H454" s="121" t="s">
        <v>3024</v>
      </c>
      <c r="I454" s="121"/>
      <c r="J454" s="121" t="s">
        <v>3489</v>
      </c>
      <c r="K454" s="121" t="s">
        <v>4187</v>
      </c>
    </row>
    <row r="455" customFormat="false" ht="46.25" hidden="false" customHeight="false" outlineLevel="0" collapsed="false">
      <c r="A455" s="6" t="s">
        <v>2376</v>
      </c>
      <c r="B455" s="6" t="s">
        <v>238</v>
      </c>
      <c r="C455" s="6" t="s">
        <v>4185</v>
      </c>
      <c r="D455" s="6" t="s">
        <v>4196</v>
      </c>
      <c r="E455" s="6" t="s">
        <v>4197</v>
      </c>
      <c r="F455" s="6" t="s">
        <v>2305</v>
      </c>
      <c r="G455" s="6" t="s">
        <v>2312</v>
      </c>
      <c r="H455" s="6" t="s">
        <v>3024</v>
      </c>
      <c r="I455" s="6"/>
      <c r="J455" s="6" t="s">
        <v>3409</v>
      </c>
      <c r="K455" s="6" t="s">
        <v>4187</v>
      </c>
    </row>
    <row r="456" customFormat="false" ht="46.25" hidden="false" customHeight="false" outlineLevel="0" collapsed="false">
      <c r="A456" s="121" t="s">
        <v>2376</v>
      </c>
      <c r="B456" s="121" t="s">
        <v>238</v>
      </c>
      <c r="C456" s="121" t="s">
        <v>4185</v>
      </c>
      <c r="D456" s="121" t="s">
        <v>4198</v>
      </c>
      <c r="E456" s="121" t="s">
        <v>4199</v>
      </c>
      <c r="F456" s="121" t="s">
        <v>848</v>
      </c>
      <c r="G456" s="121" t="s">
        <v>2207</v>
      </c>
      <c r="H456" s="121" t="s">
        <v>3024</v>
      </c>
      <c r="I456" s="121"/>
      <c r="J456" s="121" t="s">
        <v>3887</v>
      </c>
      <c r="K456" s="121" t="s">
        <v>4187</v>
      </c>
    </row>
    <row r="457" customFormat="false" ht="46.25" hidden="false" customHeight="false" outlineLevel="0" collapsed="false">
      <c r="A457" s="6" t="s">
        <v>2376</v>
      </c>
      <c r="B457" s="6" t="s">
        <v>238</v>
      </c>
      <c r="C457" s="6" t="s">
        <v>4185</v>
      </c>
      <c r="D457" s="6" t="s">
        <v>4200</v>
      </c>
      <c r="E457" s="6" t="s">
        <v>4201</v>
      </c>
      <c r="F457" s="6" t="s">
        <v>4202</v>
      </c>
      <c r="G457" s="6" t="s">
        <v>3229</v>
      </c>
      <c r="H457" s="6" t="s">
        <v>3024</v>
      </c>
      <c r="I457" s="6"/>
      <c r="J457" s="6" t="s">
        <v>3429</v>
      </c>
      <c r="K457" s="6" t="s">
        <v>4187</v>
      </c>
    </row>
    <row r="458" customFormat="false" ht="46.25" hidden="false" customHeight="false" outlineLevel="0" collapsed="false">
      <c r="A458" s="121" t="s">
        <v>2376</v>
      </c>
      <c r="B458" s="121" t="s">
        <v>238</v>
      </c>
      <c r="C458" s="121" t="s">
        <v>4185</v>
      </c>
      <c r="D458" s="121" t="s">
        <v>4203</v>
      </c>
      <c r="E458" s="121"/>
      <c r="F458" s="121" t="s">
        <v>287</v>
      </c>
      <c r="G458" s="121" t="s">
        <v>287</v>
      </c>
      <c r="H458" s="121" t="s">
        <v>3024</v>
      </c>
      <c r="I458" s="121"/>
      <c r="J458" s="121" t="s">
        <v>3365</v>
      </c>
      <c r="K458" s="121" t="s">
        <v>4187</v>
      </c>
    </row>
    <row r="459" customFormat="false" ht="46.25" hidden="false" customHeight="false" outlineLevel="0" collapsed="false">
      <c r="A459" s="6" t="s">
        <v>2376</v>
      </c>
      <c r="B459" s="6" t="s">
        <v>238</v>
      </c>
      <c r="C459" s="6" t="s">
        <v>4185</v>
      </c>
      <c r="D459" s="6" t="s">
        <v>4204</v>
      </c>
      <c r="E459" s="6" t="s">
        <v>4205</v>
      </c>
      <c r="F459" s="6" t="s">
        <v>548</v>
      </c>
      <c r="G459" s="6" t="s">
        <v>2143</v>
      </c>
      <c r="H459" s="6" t="s">
        <v>3024</v>
      </c>
      <c r="I459" s="6"/>
      <c r="J459" s="6" t="s">
        <v>4206</v>
      </c>
      <c r="K459" s="6" t="s">
        <v>4187</v>
      </c>
    </row>
    <row r="460" customFormat="false" ht="46.25" hidden="false" customHeight="false" outlineLevel="0" collapsed="false">
      <c r="A460" s="121" t="s">
        <v>2376</v>
      </c>
      <c r="B460" s="121" t="s">
        <v>238</v>
      </c>
      <c r="C460" s="121" t="s">
        <v>4185</v>
      </c>
      <c r="D460" s="121" t="s">
        <v>4207</v>
      </c>
      <c r="E460" s="121" t="s">
        <v>4208</v>
      </c>
      <c r="F460" s="121" t="s">
        <v>3169</v>
      </c>
      <c r="G460" s="121" t="s">
        <v>3170</v>
      </c>
      <c r="H460" s="121" t="s">
        <v>3024</v>
      </c>
      <c r="I460" s="121"/>
      <c r="J460" s="121" t="s">
        <v>3925</v>
      </c>
      <c r="K460" s="121" t="s">
        <v>4187</v>
      </c>
    </row>
    <row r="461" customFormat="false" ht="46.25" hidden="false" customHeight="false" outlineLevel="0" collapsed="false">
      <c r="A461" s="6" t="s">
        <v>2376</v>
      </c>
      <c r="B461" s="6" t="s">
        <v>238</v>
      </c>
      <c r="C461" s="6" t="s">
        <v>4185</v>
      </c>
      <c r="D461" s="6" t="s">
        <v>4209</v>
      </c>
      <c r="E461" s="6" t="s">
        <v>4210</v>
      </c>
      <c r="F461" s="6" t="s">
        <v>2217</v>
      </c>
      <c r="G461" s="6" t="s">
        <v>2224</v>
      </c>
      <c r="H461" s="6" t="s">
        <v>3024</v>
      </c>
      <c r="I461" s="6"/>
      <c r="J461" s="6" t="s">
        <v>3498</v>
      </c>
      <c r="K461" s="6" t="s">
        <v>4187</v>
      </c>
    </row>
    <row r="462" customFormat="false" ht="46.25" hidden="false" customHeight="false" outlineLevel="0" collapsed="false">
      <c r="A462" s="121" t="s">
        <v>2376</v>
      </c>
      <c r="B462" s="121" t="s">
        <v>238</v>
      </c>
      <c r="C462" s="121" t="s">
        <v>4185</v>
      </c>
      <c r="D462" s="121" t="s">
        <v>4211</v>
      </c>
      <c r="E462" s="121"/>
      <c r="F462" s="121" t="s">
        <v>287</v>
      </c>
      <c r="G462" s="121" t="s">
        <v>287</v>
      </c>
      <c r="H462" s="121" t="s">
        <v>3024</v>
      </c>
      <c r="I462" s="121"/>
      <c r="J462" s="121" t="s">
        <v>3365</v>
      </c>
      <c r="K462" s="121" t="s">
        <v>4187</v>
      </c>
    </row>
    <row r="463" customFormat="false" ht="46.25" hidden="false" customHeight="false" outlineLevel="0" collapsed="false">
      <c r="A463" s="6" t="s">
        <v>2376</v>
      </c>
      <c r="B463" s="6" t="s">
        <v>238</v>
      </c>
      <c r="C463" s="6" t="s">
        <v>4185</v>
      </c>
      <c r="D463" s="6" t="s">
        <v>4212</v>
      </c>
      <c r="E463" s="6"/>
      <c r="F463" s="6" t="s">
        <v>287</v>
      </c>
      <c r="G463" s="6" t="s">
        <v>287</v>
      </c>
      <c r="H463" s="6" t="s">
        <v>3024</v>
      </c>
      <c r="I463" s="6"/>
      <c r="J463" s="6" t="s">
        <v>3365</v>
      </c>
      <c r="K463" s="6" t="s">
        <v>4187</v>
      </c>
    </row>
    <row r="464" customFormat="false" ht="46.25" hidden="false" customHeight="false" outlineLevel="0" collapsed="false">
      <c r="A464" s="121" t="s">
        <v>2376</v>
      </c>
      <c r="B464" s="121" t="s">
        <v>238</v>
      </c>
      <c r="C464" s="121" t="s">
        <v>4185</v>
      </c>
      <c r="D464" s="121" t="s">
        <v>4213</v>
      </c>
      <c r="E464" s="121" t="s">
        <v>4214</v>
      </c>
      <c r="F464" s="121" t="s">
        <v>3188</v>
      </c>
      <c r="G464" s="121" t="s">
        <v>3189</v>
      </c>
      <c r="H464" s="121" t="s">
        <v>3024</v>
      </c>
      <c r="I464" s="121"/>
      <c r="J464" s="121" t="s">
        <v>3362</v>
      </c>
      <c r="K464" s="121" t="s">
        <v>4187</v>
      </c>
    </row>
    <row r="465" customFormat="false" ht="46.25" hidden="false" customHeight="false" outlineLevel="0" collapsed="false">
      <c r="A465" s="6" t="s">
        <v>2376</v>
      </c>
      <c r="B465" s="6" t="s">
        <v>238</v>
      </c>
      <c r="C465" s="6" t="s">
        <v>4185</v>
      </c>
      <c r="D465" s="6" t="s">
        <v>4215</v>
      </c>
      <c r="E465" s="6" t="s">
        <v>4216</v>
      </c>
      <c r="F465" s="6" t="s">
        <v>4217</v>
      </c>
      <c r="G465" s="6" t="s">
        <v>4218</v>
      </c>
      <c r="H465" s="6" t="s">
        <v>3024</v>
      </c>
      <c r="I465" s="6"/>
      <c r="J465" s="6" t="s">
        <v>4219</v>
      </c>
      <c r="K465" s="6" t="s">
        <v>4187</v>
      </c>
    </row>
    <row r="466" customFormat="false" ht="46.25" hidden="false" customHeight="false" outlineLevel="0" collapsed="false">
      <c r="A466" s="121" t="s">
        <v>2376</v>
      </c>
      <c r="B466" s="121" t="s">
        <v>238</v>
      </c>
      <c r="C466" s="121" t="s">
        <v>4185</v>
      </c>
      <c r="D466" s="121" t="s">
        <v>4220</v>
      </c>
      <c r="E466" s="121" t="s">
        <v>4221</v>
      </c>
      <c r="F466" s="121" t="s">
        <v>4222</v>
      </c>
      <c r="G466" s="121" t="s">
        <v>4223</v>
      </c>
      <c r="H466" s="121" t="s">
        <v>3024</v>
      </c>
      <c r="I466" s="121"/>
      <c r="J466" s="121" t="s">
        <v>3761</v>
      </c>
      <c r="K466" s="121" t="s">
        <v>4187</v>
      </c>
    </row>
    <row r="467" customFormat="false" ht="46.25" hidden="false" customHeight="false" outlineLevel="0" collapsed="false">
      <c r="A467" s="6" t="s">
        <v>2376</v>
      </c>
      <c r="B467" s="6" t="s">
        <v>238</v>
      </c>
      <c r="C467" s="6" t="s">
        <v>4185</v>
      </c>
      <c r="D467" s="6" t="s">
        <v>4224</v>
      </c>
      <c r="E467" s="6" t="s">
        <v>4225</v>
      </c>
      <c r="F467" s="6" t="s">
        <v>4226</v>
      </c>
      <c r="G467" s="6" t="s">
        <v>3098</v>
      </c>
      <c r="H467" s="6" t="s">
        <v>3024</v>
      </c>
      <c r="I467" s="6"/>
      <c r="J467" s="6" t="s">
        <v>4227</v>
      </c>
      <c r="K467" s="6" t="s">
        <v>4187</v>
      </c>
    </row>
    <row r="468" customFormat="false" ht="46.25" hidden="false" customHeight="false" outlineLevel="0" collapsed="false">
      <c r="A468" s="121" t="s">
        <v>2376</v>
      </c>
      <c r="B468" s="121" t="s">
        <v>238</v>
      </c>
      <c r="C468" s="121" t="s">
        <v>4185</v>
      </c>
      <c r="D468" s="121" t="s">
        <v>4228</v>
      </c>
      <c r="E468" s="121"/>
      <c r="F468" s="121" t="s">
        <v>287</v>
      </c>
      <c r="G468" s="121" t="s">
        <v>287</v>
      </c>
      <c r="H468" s="121" t="s">
        <v>3024</v>
      </c>
      <c r="I468" s="121"/>
      <c r="J468" s="121" t="s">
        <v>3365</v>
      </c>
      <c r="K468" s="121" t="s">
        <v>4187</v>
      </c>
    </row>
    <row r="469" customFormat="false" ht="46.25" hidden="false" customHeight="false" outlineLevel="0" collapsed="false">
      <c r="A469" s="6" t="s">
        <v>2376</v>
      </c>
      <c r="B469" s="6" t="s">
        <v>238</v>
      </c>
      <c r="C469" s="6" t="s">
        <v>4185</v>
      </c>
      <c r="D469" s="6" t="s">
        <v>4229</v>
      </c>
      <c r="E469" s="6"/>
      <c r="F469" s="6" t="s">
        <v>287</v>
      </c>
      <c r="G469" s="6" t="s">
        <v>287</v>
      </c>
      <c r="H469" s="6" t="s">
        <v>3024</v>
      </c>
      <c r="I469" s="6"/>
      <c r="J469" s="6" t="s">
        <v>3365</v>
      </c>
      <c r="K469" s="6" t="s">
        <v>4187</v>
      </c>
    </row>
    <row r="470" customFormat="false" ht="46.25" hidden="false" customHeight="false" outlineLevel="0" collapsed="false">
      <c r="A470" s="121" t="s">
        <v>2376</v>
      </c>
      <c r="B470" s="121" t="s">
        <v>238</v>
      </c>
      <c r="C470" s="121" t="s">
        <v>4185</v>
      </c>
      <c r="D470" s="121" t="s">
        <v>4230</v>
      </c>
      <c r="E470" s="121" t="s">
        <v>4231</v>
      </c>
      <c r="F470" s="121" t="s">
        <v>4232</v>
      </c>
      <c r="G470" s="121" t="s">
        <v>4233</v>
      </c>
      <c r="H470" s="121" t="s">
        <v>3024</v>
      </c>
      <c r="I470" s="121"/>
      <c r="J470" s="121" t="s">
        <v>3980</v>
      </c>
      <c r="K470" s="121" t="s">
        <v>4187</v>
      </c>
    </row>
    <row r="471" customFormat="false" ht="46.25" hidden="false" customHeight="false" outlineLevel="0" collapsed="false">
      <c r="A471" s="6" t="s">
        <v>2376</v>
      </c>
      <c r="B471" s="6" t="s">
        <v>238</v>
      </c>
      <c r="C471" s="6" t="s">
        <v>4185</v>
      </c>
      <c r="D471" s="6" t="s">
        <v>4234</v>
      </c>
      <c r="E471" s="6" t="s">
        <v>4235</v>
      </c>
      <c r="F471" s="6" t="s">
        <v>3983</v>
      </c>
      <c r="G471" s="6" t="s">
        <v>3984</v>
      </c>
      <c r="H471" s="6" t="s">
        <v>3024</v>
      </c>
      <c r="I471" s="6"/>
      <c r="J471" s="6" t="s">
        <v>3985</v>
      </c>
      <c r="K471" s="6" t="s">
        <v>4187</v>
      </c>
    </row>
    <row r="472" customFormat="false" ht="46.25" hidden="false" customHeight="false" outlineLevel="0" collapsed="false">
      <c r="A472" s="121" t="s">
        <v>2376</v>
      </c>
      <c r="B472" s="121" t="s">
        <v>238</v>
      </c>
      <c r="C472" s="121" t="s">
        <v>4185</v>
      </c>
      <c r="D472" s="121" t="s">
        <v>4236</v>
      </c>
      <c r="E472" s="121" t="s">
        <v>4237</v>
      </c>
      <c r="F472" s="121" t="s">
        <v>4238</v>
      </c>
      <c r="G472" s="121" t="s">
        <v>4239</v>
      </c>
      <c r="H472" s="121" t="s">
        <v>3024</v>
      </c>
      <c r="I472" s="121"/>
      <c r="J472" s="121" t="s">
        <v>3378</v>
      </c>
      <c r="K472" s="121" t="s">
        <v>4187</v>
      </c>
    </row>
    <row r="473" customFormat="false" ht="46.25" hidden="false" customHeight="false" outlineLevel="0" collapsed="false">
      <c r="A473" s="6" t="s">
        <v>2376</v>
      </c>
      <c r="B473" s="6" t="s">
        <v>238</v>
      </c>
      <c r="C473" s="6" t="s">
        <v>4185</v>
      </c>
      <c r="D473" s="6" t="s">
        <v>4240</v>
      </c>
      <c r="E473" s="6" t="s">
        <v>4241</v>
      </c>
      <c r="F473" s="6" t="s">
        <v>3968</v>
      </c>
      <c r="G473" s="6" t="s">
        <v>3969</v>
      </c>
      <c r="H473" s="6" t="s">
        <v>3024</v>
      </c>
      <c r="I473" s="6"/>
      <c r="J473" s="6" t="s">
        <v>3378</v>
      </c>
      <c r="K473" s="6" t="s">
        <v>4187</v>
      </c>
    </row>
    <row r="474" customFormat="false" ht="46.25" hidden="false" customHeight="false" outlineLevel="0" collapsed="false">
      <c r="A474" s="121" t="s">
        <v>2376</v>
      </c>
      <c r="B474" s="121" t="s">
        <v>238</v>
      </c>
      <c r="C474" s="121" t="s">
        <v>4185</v>
      </c>
      <c r="D474" s="121" t="s">
        <v>4242</v>
      </c>
      <c r="E474" s="121" t="s">
        <v>4243</v>
      </c>
      <c r="F474" s="121" t="s">
        <v>4244</v>
      </c>
      <c r="G474" s="121" t="s">
        <v>4245</v>
      </c>
      <c r="H474" s="121" t="s">
        <v>3024</v>
      </c>
      <c r="I474" s="121"/>
      <c r="J474" s="121" t="s">
        <v>4246</v>
      </c>
      <c r="K474" s="121" t="s">
        <v>4187</v>
      </c>
    </row>
    <row r="475" customFormat="false" ht="46.25" hidden="false" customHeight="false" outlineLevel="0" collapsed="false">
      <c r="A475" s="6" t="s">
        <v>2376</v>
      </c>
      <c r="B475" s="6" t="s">
        <v>238</v>
      </c>
      <c r="C475" s="6" t="s">
        <v>4185</v>
      </c>
      <c r="D475" s="6" t="s">
        <v>4247</v>
      </c>
      <c r="E475" s="6" t="s">
        <v>4248</v>
      </c>
      <c r="F475" s="6" t="s">
        <v>3900</v>
      </c>
      <c r="G475" s="6" t="s">
        <v>2176</v>
      </c>
      <c r="H475" s="6" t="s">
        <v>3024</v>
      </c>
      <c r="I475" s="6"/>
      <c r="J475" s="6" t="s">
        <v>3901</v>
      </c>
      <c r="K475" s="6" t="s">
        <v>4187</v>
      </c>
    </row>
    <row r="476" customFormat="false" ht="46.25" hidden="false" customHeight="false" outlineLevel="0" collapsed="false">
      <c r="A476" s="121" t="s">
        <v>2376</v>
      </c>
      <c r="B476" s="121" t="s">
        <v>238</v>
      </c>
      <c r="C476" s="121" t="s">
        <v>4185</v>
      </c>
      <c r="D476" s="121" t="s">
        <v>4249</v>
      </c>
      <c r="E476" s="121" t="s">
        <v>4250</v>
      </c>
      <c r="F476" s="121" t="s">
        <v>3904</v>
      </c>
      <c r="G476" s="121" t="s">
        <v>3905</v>
      </c>
      <c r="H476" s="121" t="s">
        <v>3024</v>
      </c>
      <c r="I476" s="121"/>
      <c r="J476" s="121" t="s">
        <v>3768</v>
      </c>
      <c r="K476" s="121" t="s">
        <v>4187</v>
      </c>
    </row>
    <row r="477" customFormat="false" ht="46.25" hidden="false" customHeight="false" outlineLevel="0" collapsed="false">
      <c r="A477" s="6" t="s">
        <v>2376</v>
      </c>
      <c r="B477" s="6" t="s">
        <v>238</v>
      </c>
      <c r="C477" s="6" t="s">
        <v>4185</v>
      </c>
      <c r="D477" s="6" t="s">
        <v>4251</v>
      </c>
      <c r="E477" s="6" t="s">
        <v>4252</v>
      </c>
      <c r="F477" s="6" t="s">
        <v>670</v>
      </c>
      <c r="G477" s="6" t="s">
        <v>2176</v>
      </c>
      <c r="H477" s="6" t="s">
        <v>3024</v>
      </c>
      <c r="I477" s="6"/>
      <c r="J477" s="6" t="s">
        <v>3373</v>
      </c>
      <c r="K477" s="6" t="s">
        <v>4187</v>
      </c>
    </row>
    <row r="478" customFormat="false" ht="46.25" hidden="false" customHeight="false" outlineLevel="0" collapsed="false">
      <c r="A478" s="121" t="s">
        <v>2376</v>
      </c>
      <c r="B478" s="121" t="s">
        <v>238</v>
      </c>
      <c r="C478" s="121" t="s">
        <v>4185</v>
      </c>
      <c r="D478" s="121" t="s">
        <v>4253</v>
      </c>
      <c r="E478" s="121" t="s">
        <v>4049</v>
      </c>
      <c r="F478" s="121" t="s">
        <v>4254</v>
      </c>
      <c r="G478" s="121" t="s">
        <v>4255</v>
      </c>
      <c r="H478" s="121" t="s">
        <v>3024</v>
      </c>
      <c r="I478" s="121"/>
      <c r="J478" s="121" t="s">
        <v>4256</v>
      </c>
      <c r="K478" s="121" t="s">
        <v>4187</v>
      </c>
    </row>
    <row r="479" customFormat="false" ht="46.25" hidden="false" customHeight="false" outlineLevel="0" collapsed="false">
      <c r="A479" s="6" t="s">
        <v>2376</v>
      </c>
      <c r="B479" s="6" t="s">
        <v>238</v>
      </c>
      <c r="C479" s="6" t="s">
        <v>4185</v>
      </c>
      <c r="D479" s="6" t="s">
        <v>4257</v>
      </c>
      <c r="E479" s="6" t="s">
        <v>4258</v>
      </c>
      <c r="F479" s="6" t="s">
        <v>4259</v>
      </c>
      <c r="G479" s="6" t="s">
        <v>4260</v>
      </c>
      <c r="H479" s="6" t="s">
        <v>3024</v>
      </c>
      <c r="I479" s="6"/>
      <c r="J479" s="6" t="s">
        <v>3787</v>
      </c>
      <c r="K479" s="6" t="s">
        <v>4187</v>
      </c>
    </row>
    <row r="480" customFormat="false" ht="46.25" hidden="false" customHeight="false" outlineLevel="0" collapsed="false">
      <c r="A480" s="121" t="s">
        <v>2376</v>
      </c>
      <c r="B480" s="121" t="s">
        <v>238</v>
      </c>
      <c r="C480" s="121" t="s">
        <v>4185</v>
      </c>
      <c r="D480" s="121" t="s">
        <v>4261</v>
      </c>
      <c r="E480" s="121" t="s">
        <v>4262</v>
      </c>
      <c r="F480" s="121" t="s">
        <v>4173</v>
      </c>
      <c r="G480" s="121" t="s">
        <v>3319</v>
      </c>
      <c r="H480" s="121" t="s">
        <v>3024</v>
      </c>
      <c r="I480" s="121"/>
      <c r="J480" s="121" t="s">
        <v>4174</v>
      </c>
      <c r="K480" s="121" t="s">
        <v>4187</v>
      </c>
    </row>
    <row r="481" customFormat="false" ht="46.25" hidden="false" customHeight="false" outlineLevel="0" collapsed="false">
      <c r="A481" s="6" t="s">
        <v>2376</v>
      </c>
      <c r="B481" s="6" t="s">
        <v>238</v>
      </c>
      <c r="C481" s="6" t="s">
        <v>4185</v>
      </c>
      <c r="D481" s="6" t="s">
        <v>953</v>
      </c>
      <c r="E481" s="6" t="s">
        <v>4263</v>
      </c>
      <c r="F481" s="6" t="s">
        <v>3076</v>
      </c>
      <c r="G481" s="6" t="s">
        <v>3077</v>
      </c>
      <c r="H481" s="6" t="s">
        <v>3024</v>
      </c>
      <c r="I481" s="6"/>
      <c r="J481" s="6" t="s">
        <v>3438</v>
      </c>
      <c r="K481" s="6" t="s">
        <v>4187</v>
      </c>
    </row>
    <row r="482" customFormat="false" ht="46.25" hidden="false" customHeight="false" outlineLevel="0" collapsed="false">
      <c r="A482" s="121" t="s">
        <v>2376</v>
      </c>
      <c r="B482" s="121" t="s">
        <v>238</v>
      </c>
      <c r="C482" s="121" t="s">
        <v>4185</v>
      </c>
      <c r="D482" s="121" t="s">
        <v>4264</v>
      </c>
      <c r="E482" s="121" t="s">
        <v>4265</v>
      </c>
      <c r="F482" s="121" t="s">
        <v>529</v>
      </c>
      <c r="G482" s="121" t="s">
        <v>2259</v>
      </c>
      <c r="H482" s="121" t="s">
        <v>3024</v>
      </c>
      <c r="I482" s="121"/>
      <c r="J482" s="121" t="s">
        <v>3913</v>
      </c>
      <c r="K482" s="121" t="s">
        <v>4187</v>
      </c>
    </row>
    <row r="483" customFormat="false" ht="46.25" hidden="false" customHeight="false" outlineLevel="0" collapsed="false">
      <c r="A483" s="6" t="s">
        <v>2376</v>
      </c>
      <c r="B483" s="6" t="s">
        <v>238</v>
      </c>
      <c r="C483" s="6" t="s">
        <v>4185</v>
      </c>
      <c r="D483" s="6" t="s">
        <v>4266</v>
      </c>
      <c r="E483" s="6" t="s">
        <v>4267</v>
      </c>
      <c r="F483" s="6" t="s">
        <v>529</v>
      </c>
      <c r="G483" s="6" t="s">
        <v>2259</v>
      </c>
      <c r="H483" s="6" t="s">
        <v>3024</v>
      </c>
      <c r="I483" s="6"/>
      <c r="J483" s="6" t="s">
        <v>3913</v>
      </c>
      <c r="K483" s="6" t="s">
        <v>4187</v>
      </c>
    </row>
    <row r="484" customFormat="false" ht="46.25" hidden="false" customHeight="false" outlineLevel="0" collapsed="false">
      <c r="A484" s="121" t="s">
        <v>2376</v>
      </c>
      <c r="B484" s="121" t="s">
        <v>238</v>
      </c>
      <c r="C484" s="121" t="s">
        <v>4185</v>
      </c>
      <c r="D484" s="121" t="s">
        <v>4268</v>
      </c>
      <c r="E484" s="121" t="s">
        <v>4269</v>
      </c>
      <c r="F484" s="121" t="s">
        <v>4270</v>
      </c>
      <c r="G484" s="121" t="s">
        <v>4271</v>
      </c>
      <c r="H484" s="121" t="s">
        <v>3024</v>
      </c>
      <c r="I484" s="121"/>
      <c r="J484" s="121" t="s">
        <v>3980</v>
      </c>
      <c r="K484" s="121" t="s">
        <v>4187</v>
      </c>
    </row>
    <row r="485" customFormat="false" ht="46.25" hidden="false" customHeight="false" outlineLevel="0" collapsed="false">
      <c r="A485" s="6" t="s">
        <v>2376</v>
      </c>
      <c r="B485" s="6" t="s">
        <v>238</v>
      </c>
      <c r="C485" s="6" t="s">
        <v>4185</v>
      </c>
      <c r="D485" s="6" t="s">
        <v>4272</v>
      </c>
      <c r="E485" s="6" t="s">
        <v>4273</v>
      </c>
      <c r="F485" s="6" t="s">
        <v>4274</v>
      </c>
      <c r="G485" s="6" t="s">
        <v>4275</v>
      </c>
      <c r="H485" s="6" t="s">
        <v>3024</v>
      </c>
      <c r="I485" s="6"/>
      <c r="J485" s="6" t="s">
        <v>3741</v>
      </c>
      <c r="K485" s="6" t="s">
        <v>4187</v>
      </c>
    </row>
    <row r="486" customFormat="false" ht="46.25" hidden="false" customHeight="false" outlineLevel="0" collapsed="false">
      <c r="A486" s="121" t="s">
        <v>2376</v>
      </c>
      <c r="B486" s="121" t="s">
        <v>238</v>
      </c>
      <c r="C486" s="121" t="s">
        <v>4185</v>
      </c>
      <c r="D486" s="121" t="s">
        <v>4276</v>
      </c>
      <c r="E486" s="121"/>
      <c r="F486" s="121" t="s">
        <v>287</v>
      </c>
      <c r="G486" s="121" t="s">
        <v>287</v>
      </c>
      <c r="H486" s="121" t="s">
        <v>3024</v>
      </c>
      <c r="I486" s="121"/>
      <c r="J486" s="121" t="s">
        <v>3365</v>
      </c>
      <c r="K486" s="121" t="s">
        <v>4187</v>
      </c>
    </row>
    <row r="487" customFormat="false" ht="46.25" hidden="false" customHeight="false" outlineLevel="0" collapsed="false">
      <c r="A487" s="6" t="s">
        <v>2376</v>
      </c>
      <c r="B487" s="6" t="s">
        <v>238</v>
      </c>
      <c r="C487" s="6" t="s">
        <v>4185</v>
      </c>
      <c r="D487" s="6" t="s">
        <v>4277</v>
      </c>
      <c r="E487" s="6" t="s">
        <v>4278</v>
      </c>
      <c r="F487" s="6" t="s">
        <v>3239</v>
      </c>
      <c r="G487" s="6" t="s">
        <v>1925</v>
      </c>
      <c r="H487" s="6" t="s">
        <v>3024</v>
      </c>
      <c r="I487" s="6"/>
      <c r="J487" s="6" t="s">
        <v>3429</v>
      </c>
      <c r="K487" s="6" t="s">
        <v>4187</v>
      </c>
    </row>
    <row r="488" customFormat="false" ht="46.25" hidden="false" customHeight="false" outlineLevel="0" collapsed="false">
      <c r="A488" s="121" t="s">
        <v>2376</v>
      </c>
      <c r="B488" s="121" t="s">
        <v>238</v>
      </c>
      <c r="C488" s="121" t="s">
        <v>4185</v>
      </c>
      <c r="D488" s="121" t="s">
        <v>4279</v>
      </c>
      <c r="E488" s="121" t="s">
        <v>4280</v>
      </c>
      <c r="F488" s="121" t="s">
        <v>2234</v>
      </c>
      <c r="G488" s="121" t="s">
        <v>2242</v>
      </c>
      <c r="H488" s="121" t="s">
        <v>3024</v>
      </c>
      <c r="I488" s="121"/>
      <c r="J488" s="121" t="s">
        <v>3474</v>
      </c>
      <c r="K488" s="121" t="s">
        <v>4187</v>
      </c>
    </row>
    <row r="489" customFormat="false" ht="46.25" hidden="false" customHeight="false" outlineLevel="0" collapsed="false">
      <c r="A489" s="6" t="s">
        <v>2376</v>
      </c>
      <c r="B489" s="6" t="s">
        <v>238</v>
      </c>
      <c r="C489" s="6" t="s">
        <v>4185</v>
      </c>
      <c r="D489" s="6" t="s">
        <v>4281</v>
      </c>
      <c r="E489" s="6" t="s">
        <v>4282</v>
      </c>
      <c r="F489" s="6" t="s">
        <v>4283</v>
      </c>
      <c r="G489" s="6" t="s">
        <v>4284</v>
      </c>
      <c r="H489" s="6" t="s">
        <v>3024</v>
      </c>
      <c r="I489" s="6"/>
      <c r="J489" s="6" t="s">
        <v>4022</v>
      </c>
      <c r="K489" s="6" t="s">
        <v>4187</v>
      </c>
    </row>
    <row r="490" customFormat="false" ht="46.25" hidden="false" customHeight="false" outlineLevel="0" collapsed="false">
      <c r="A490" s="121" t="s">
        <v>2376</v>
      </c>
      <c r="B490" s="121" t="s">
        <v>238</v>
      </c>
      <c r="C490" s="121" t="s">
        <v>4185</v>
      </c>
      <c r="D490" s="121" t="s">
        <v>4285</v>
      </c>
      <c r="E490" s="121" t="s">
        <v>4286</v>
      </c>
      <c r="F490" s="121" t="s">
        <v>2029</v>
      </c>
      <c r="G490" s="121" t="s">
        <v>2035</v>
      </c>
      <c r="H490" s="121" t="s">
        <v>3024</v>
      </c>
      <c r="I490" s="121"/>
      <c r="J490" s="121" t="s">
        <v>3474</v>
      </c>
      <c r="K490" s="121" t="s">
        <v>4187</v>
      </c>
    </row>
    <row r="491" customFormat="false" ht="46.25" hidden="false" customHeight="false" outlineLevel="0" collapsed="false">
      <c r="A491" s="6" t="s">
        <v>2376</v>
      </c>
      <c r="B491" s="6" t="s">
        <v>238</v>
      </c>
      <c r="C491" s="6" t="s">
        <v>4185</v>
      </c>
      <c r="D491" s="6" t="s">
        <v>4287</v>
      </c>
      <c r="E491" s="6" t="s">
        <v>4288</v>
      </c>
      <c r="F491" s="6" t="s">
        <v>1825</v>
      </c>
      <c r="G491" s="6" t="s">
        <v>1834</v>
      </c>
      <c r="H491" s="6" t="s">
        <v>3024</v>
      </c>
      <c r="I491" s="6"/>
      <c r="J491" s="6" t="s">
        <v>4289</v>
      </c>
      <c r="K491" s="6" t="s">
        <v>4187</v>
      </c>
    </row>
    <row r="492" customFormat="false" ht="46.25" hidden="false" customHeight="false" outlineLevel="0" collapsed="false">
      <c r="A492" s="121" t="s">
        <v>2376</v>
      </c>
      <c r="B492" s="121" t="s">
        <v>238</v>
      </c>
      <c r="C492" s="121" t="s">
        <v>4185</v>
      </c>
      <c r="D492" s="121" t="s">
        <v>4290</v>
      </c>
      <c r="E492" s="121"/>
      <c r="F492" s="121" t="s">
        <v>287</v>
      </c>
      <c r="G492" s="121" t="s">
        <v>287</v>
      </c>
      <c r="H492" s="121" t="s">
        <v>3024</v>
      </c>
      <c r="I492" s="121"/>
      <c r="J492" s="121" t="s">
        <v>3365</v>
      </c>
      <c r="K492" s="121" t="s">
        <v>4187</v>
      </c>
    </row>
    <row r="493" customFormat="false" ht="46.25" hidden="false" customHeight="false" outlineLevel="0" collapsed="false">
      <c r="A493" s="6" t="s">
        <v>2376</v>
      </c>
      <c r="B493" s="6" t="s">
        <v>238</v>
      </c>
      <c r="C493" s="6" t="s">
        <v>4185</v>
      </c>
      <c r="D493" s="6" t="s">
        <v>4291</v>
      </c>
      <c r="E493" s="6" t="s">
        <v>4292</v>
      </c>
      <c r="F493" s="6" t="s">
        <v>1825</v>
      </c>
      <c r="G493" s="6" t="s">
        <v>1834</v>
      </c>
      <c r="H493" s="6" t="s">
        <v>3024</v>
      </c>
      <c r="I493" s="6"/>
      <c r="J493" s="6" t="s">
        <v>4289</v>
      </c>
      <c r="K493" s="6" t="s">
        <v>4187</v>
      </c>
    </row>
    <row r="494" customFormat="false" ht="46.25" hidden="false" customHeight="false" outlineLevel="0" collapsed="false">
      <c r="A494" s="121" t="s">
        <v>2376</v>
      </c>
      <c r="B494" s="121" t="s">
        <v>238</v>
      </c>
      <c r="C494" s="121" t="s">
        <v>4185</v>
      </c>
      <c r="D494" s="121" t="s">
        <v>4293</v>
      </c>
      <c r="E494" s="121"/>
      <c r="F494" s="121" t="s">
        <v>287</v>
      </c>
      <c r="G494" s="121" t="s">
        <v>287</v>
      </c>
      <c r="H494" s="121" t="s">
        <v>3024</v>
      </c>
      <c r="I494" s="121"/>
      <c r="J494" s="121" t="s">
        <v>3365</v>
      </c>
      <c r="K494" s="121" t="s">
        <v>4187</v>
      </c>
    </row>
    <row r="495" customFormat="false" ht="46.25" hidden="false" customHeight="false" outlineLevel="0" collapsed="false">
      <c r="A495" s="6" t="s">
        <v>2376</v>
      </c>
      <c r="B495" s="6" t="s">
        <v>238</v>
      </c>
      <c r="C495" s="6" t="s">
        <v>4185</v>
      </c>
      <c r="D495" s="6" t="s">
        <v>4294</v>
      </c>
      <c r="E495" s="6" t="s">
        <v>4295</v>
      </c>
      <c r="F495" s="6" t="s">
        <v>1825</v>
      </c>
      <c r="G495" s="6" t="s">
        <v>1834</v>
      </c>
      <c r="H495" s="6" t="s">
        <v>3024</v>
      </c>
      <c r="I495" s="6"/>
      <c r="J495" s="6" t="s">
        <v>4289</v>
      </c>
      <c r="K495" s="6" t="s">
        <v>4187</v>
      </c>
    </row>
    <row r="496" customFormat="false" ht="46.25" hidden="false" customHeight="false" outlineLevel="0" collapsed="false">
      <c r="A496" s="121" t="s">
        <v>2376</v>
      </c>
      <c r="B496" s="121" t="s">
        <v>238</v>
      </c>
      <c r="C496" s="121" t="s">
        <v>4185</v>
      </c>
      <c r="D496" s="121" t="s">
        <v>4296</v>
      </c>
      <c r="E496" s="121" t="s">
        <v>4297</v>
      </c>
      <c r="F496" s="121" t="s">
        <v>4298</v>
      </c>
      <c r="G496" s="121" t="s">
        <v>1834</v>
      </c>
      <c r="H496" s="121" t="s">
        <v>3024</v>
      </c>
      <c r="I496" s="121"/>
      <c r="J496" s="121" t="s">
        <v>3992</v>
      </c>
      <c r="K496" s="121" t="s">
        <v>4187</v>
      </c>
    </row>
    <row r="497" customFormat="false" ht="46.25" hidden="false" customHeight="false" outlineLevel="0" collapsed="false">
      <c r="A497" s="6" t="s">
        <v>2376</v>
      </c>
      <c r="B497" s="6" t="s">
        <v>238</v>
      </c>
      <c r="C497" s="6" t="s">
        <v>4185</v>
      </c>
      <c r="D497" s="6" t="s">
        <v>4299</v>
      </c>
      <c r="E497" s="6"/>
      <c r="F497" s="6" t="s">
        <v>287</v>
      </c>
      <c r="G497" s="6" t="s">
        <v>287</v>
      </c>
      <c r="H497" s="6" t="s">
        <v>3024</v>
      </c>
      <c r="I497" s="6"/>
      <c r="J497" s="6" t="s">
        <v>3365</v>
      </c>
      <c r="K497" s="6" t="s">
        <v>4187</v>
      </c>
    </row>
    <row r="498" customFormat="false" ht="46.25" hidden="false" customHeight="false" outlineLevel="0" collapsed="false">
      <c r="A498" s="121" t="s">
        <v>2376</v>
      </c>
      <c r="B498" s="121" t="s">
        <v>238</v>
      </c>
      <c r="C498" s="121" t="s">
        <v>4185</v>
      </c>
      <c r="D498" s="121" t="s">
        <v>4300</v>
      </c>
      <c r="E498" s="121" t="s">
        <v>4301</v>
      </c>
      <c r="F498" s="121" t="s">
        <v>1825</v>
      </c>
      <c r="G498" s="121" t="s">
        <v>1834</v>
      </c>
      <c r="H498" s="121" t="s">
        <v>3024</v>
      </c>
      <c r="I498" s="121"/>
      <c r="J498" s="121" t="s">
        <v>4289</v>
      </c>
      <c r="K498" s="121" t="s">
        <v>4187</v>
      </c>
    </row>
    <row r="499" customFormat="false" ht="46.25" hidden="false" customHeight="false" outlineLevel="0" collapsed="false">
      <c r="A499" s="6" t="s">
        <v>2376</v>
      </c>
      <c r="B499" s="6" t="s">
        <v>238</v>
      </c>
      <c r="C499" s="6" t="s">
        <v>4185</v>
      </c>
      <c r="D499" s="6" t="s">
        <v>4302</v>
      </c>
      <c r="E499" s="6"/>
      <c r="F499" s="6" t="s">
        <v>287</v>
      </c>
      <c r="G499" s="6" t="s">
        <v>287</v>
      </c>
      <c r="H499" s="6" t="s">
        <v>3024</v>
      </c>
      <c r="I499" s="6"/>
      <c r="J499" s="6" t="s">
        <v>3365</v>
      </c>
      <c r="K499" s="6" t="s">
        <v>4187</v>
      </c>
    </row>
    <row r="500" customFormat="false" ht="46.25" hidden="false" customHeight="false" outlineLevel="0" collapsed="false">
      <c r="A500" s="121" t="s">
        <v>2376</v>
      </c>
      <c r="B500" s="121" t="s">
        <v>238</v>
      </c>
      <c r="C500" s="121" t="s">
        <v>4185</v>
      </c>
      <c r="D500" s="121" t="s">
        <v>4303</v>
      </c>
      <c r="E500" s="121"/>
      <c r="F500" s="121" t="s">
        <v>287</v>
      </c>
      <c r="G500" s="121" t="s">
        <v>287</v>
      </c>
      <c r="H500" s="121" t="s">
        <v>3024</v>
      </c>
      <c r="I500" s="121"/>
      <c r="J500" s="121" t="s">
        <v>3365</v>
      </c>
      <c r="K500" s="121" t="s">
        <v>4187</v>
      </c>
    </row>
    <row r="501" customFormat="false" ht="46.25" hidden="false" customHeight="false" outlineLevel="0" collapsed="false">
      <c r="A501" s="6" t="s">
        <v>2376</v>
      </c>
      <c r="B501" s="6" t="s">
        <v>238</v>
      </c>
      <c r="C501" s="6" t="s">
        <v>4185</v>
      </c>
      <c r="D501" s="6" t="s">
        <v>4304</v>
      </c>
      <c r="E501" s="6"/>
      <c r="F501" s="6" t="s">
        <v>287</v>
      </c>
      <c r="G501" s="6" t="s">
        <v>287</v>
      </c>
      <c r="H501" s="6" t="s">
        <v>3024</v>
      </c>
      <c r="I501" s="6"/>
      <c r="J501" s="6" t="s">
        <v>3365</v>
      </c>
      <c r="K501" s="6" t="s">
        <v>4187</v>
      </c>
    </row>
    <row r="502" customFormat="false" ht="46.25" hidden="false" customHeight="false" outlineLevel="0" collapsed="false">
      <c r="A502" s="121" t="s">
        <v>2376</v>
      </c>
      <c r="B502" s="121" t="s">
        <v>238</v>
      </c>
      <c r="C502" s="121" t="s">
        <v>4185</v>
      </c>
      <c r="D502" s="121" t="s">
        <v>4305</v>
      </c>
      <c r="E502" s="121"/>
      <c r="F502" s="121" t="s">
        <v>287</v>
      </c>
      <c r="G502" s="121" t="s">
        <v>287</v>
      </c>
      <c r="H502" s="121" t="s">
        <v>3024</v>
      </c>
      <c r="I502" s="121"/>
      <c r="J502" s="121" t="s">
        <v>3365</v>
      </c>
      <c r="K502" s="121" t="s">
        <v>4187</v>
      </c>
    </row>
    <row r="503" customFormat="false" ht="46.25" hidden="false" customHeight="false" outlineLevel="0" collapsed="false">
      <c r="A503" s="6" t="s">
        <v>2376</v>
      </c>
      <c r="B503" s="6" t="s">
        <v>238</v>
      </c>
      <c r="C503" s="6" t="s">
        <v>4185</v>
      </c>
      <c r="D503" s="6" t="s">
        <v>4306</v>
      </c>
      <c r="E503" s="6"/>
      <c r="F503" s="6" t="s">
        <v>287</v>
      </c>
      <c r="G503" s="6" t="s">
        <v>287</v>
      </c>
      <c r="H503" s="6" t="s">
        <v>3024</v>
      </c>
      <c r="I503" s="6"/>
      <c r="J503" s="6" t="s">
        <v>3365</v>
      </c>
      <c r="K503" s="6" t="s">
        <v>4187</v>
      </c>
    </row>
    <row r="504" customFormat="false" ht="46.25" hidden="false" customHeight="false" outlineLevel="0" collapsed="false">
      <c r="A504" s="121" t="s">
        <v>2376</v>
      </c>
      <c r="B504" s="121" t="s">
        <v>238</v>
      </c>
      <c r="C504" s="121" t="s">
        <v>4185</v>
      </c>
      <c r="D504" s="121" t="s">
        <v>4307</v>
      </c>
      <c r="E504" s="121"/>
      <c r="F504" s="121" t="s">
        <v>287</v>
      </c>
      <c r="G504" s="121" t="s">
        <v>287</v>
      </c>
      <c r="H504" s="121" t="s">
        <v>3024</v>
      </c>
      <c r="I504" s="121"/>
      <c r="J504" s="121" t="s">
        <v>3365</v>
      </c>
      <c r="K504" s="121" t="s">
        <v>4187</v>
      </c>
    </row>
    <row r="505" customFormat="false" ht="46.25" hidden="false" customHeight="false" outlineLevel="0" collapsed="false">
      <c r="A505" s="6" t="s">
        <v>2376</v>
      </c>
      <c r="B505" s="6" t="s">
        <v>238</v>
      </c>
      <c r="C505" s="6" t="s">
        <v>4185</v>
      </c>
      <c r="D505" s="6" t="s">
        <v>4308</v>
      </c>
      <c r="E505" s="6"/>
      <c r="F505" s="6" t="s">
        <v>287</v>
      </c>
      <c r="G505" s="6" t="s">
        <v>287</v>
      </c>
      <c r="H505" s="6" t="s">
        <v>3024</v>
      </c>
      <c r="I505" s="6"/>
      <c r="J505" s="6" t="s">
        <v>3365</v>
      </c>
      <c r="K505" s="6" t="s">
        <v>4187</v>
      </c>
    </row>
    <row r="506" customFormat="false" ht="46.25" hidden="false" customHeight="false" outlineLevel="0" collapsed="false">
      <c r="A506" s="121" t="s">
        <v>2376</v>
      </c>
      <c r="B506" s="121" t="s">
        <v>238</v>
      </c>
      <c r="C506" s="121" t="s">
        <v>4185</v>
      </c>
      <c r="D506" s="121" t="s">
        <v>4309</v>
      </c>
      <c r="E506" s="121"/>
      <c r="F506" s="121" t="s">
        <v>287</v>
      </c>
      <c r="G506" s="121" t="s">
        <v>287</v>
      </c>
      <c r="H506" s="121" t="s">
        <v>3024</v>
      </c>
      <c r="I506" s="121"/>
      <c r="J506" s="121" t="s">
        <v>3365</v>
      </c>
      <c r="K506" s="121" t="s">
        <v>4187</v>
      </c>
    </row>
    <row r="507" customFormat="false" ht="46.25" hidden="false" customHeight="false" outlineLevel="0" collapsed="false">
      <c r="A507" s="6" t="s">
        <v>2376</v>
      </c>
      <c r="B507" s="6" t="s">
        <v>238</v>
      </c>
      <c r="C507" s="6" t="s">
        <v>4185</v>
      </c>
      <c r="D507" s="6" t="s">
        <v>4310</v>
      </c>
      <c r="E507" s="6"/>
      <c r="F507" s="6" t="s">
        <v>287</v>
      </c>
      <c r="G507" s="6" t="s">
        <v>287</v>
      </c>
      <c r="H507" s="6" t="s">
        <v>3024</v>
      </c>
      <c r="I507" s="6"/>
      <c r="J507" s="6" t="s">
        <v>3365</v>
      </c>
      <c r="K507" s="6" t="s">
        <v>4187</v>
      </c>
    </row>
    <row r="508" customFormat="false" ht="46.25" hidden="false" customHeight="false" outlineLevel="0" collapsed="false">
      <c r="A508" s="121" t="s">
        <v>2376</v>
      </c>
      <c r="B508" s="121" t="s">
        <v>238</v>
      </c>
      <c r="C508" s="121" t="s">
        <v>4185</v>
      </c>
      <c r="D508" s="121" t="s">
        <v>4311</v>
      </c>
      <c r="E508" s="121"/>
      <c r="F508" s="121" t="s">
        <v>287</v>
      </c>
      <c r="G508" s="121" t="s">
        <v>287</v>
      </c>
      <c r="H508" s="121" t="s">
        <v>3024</v>
      </c>
      <c r="I508" s="121"/>
      <c r="J508" s="121" t="s">
        <v>3365</v>
      </c>
      <c r="K508" s="121" t="s">
        <v>4187</v>
      </c>
    </row>
    <row r="509" customFormat="false" ht="57.45" hidden="false" customHeight="false" outlineLevel="0" collapsed="false">
      <c r="A509" s="6" t="s">
        <v>2377</v>
      </c>
      <c r="B509" s="6" t="s">
        <v>2405</v>
      </c>
      <c r="C509" s="6" t="s">
        <v>4312</v>
      </c>
      <c r="D509" s="6" t="s">
        <v>4313</v>
      </c>
      <c r="E509" s="6" t="s">
        <v>4314</v>
      </c>
      <c r="F509" s="6" t="s">
        <v>849</v>
      </c>
      <c r="G509" s="6" t="s">
        <v>1798</v>
      </c>
      <c r="H509" s="6" t="s">
        <v>3024</v>
      </c>
      <c r="I509" s="6" t="s">
        <v>287</v>
      </c>
      <c r="J509" s="6" t="s">
        <v>4315</v>
      </c>
      <c r="K509" s="6" t="s">
        <v>4316</v>
      </c>
    </row>
    <row r="510" customFormat="false" ht="57.45" hidden="false" customHeight="false" outlineLevel="0" collapsed="false">
      <c r="A510" s="121" t="s">
        <v>2377</v>
      </c>
      <c r="B510" s="121" t="s">
        <v>2405</v>
      </c>
      <c r="C510" s="121" t="s">
        <v>4312</v>
      </c>
      <c r="D510" s="121" t="s">
        <v>4317</v>
      </c>
      <c r="E510" s="121" t="s">
        <v>4318</v>
      </c>
      <c r="F510" s="121" t="s">
        <v>4319</v>
      </c>
      <c r="G510" s="121" t="s">
        <v>4320</v>
      </c>
      <c r="H510" s="121" t="s">
        <v>3024</v>
      </c>
      <c r="I510" s="121" t="s">
        <v>1525</v>
      </c>
      <c r="J510" s="121" t="s">
        <v>4321</v>
      </c>
      <c r="K510" s="121" t="s">
        <v>4316</v>
      </c>
    </row>
    <row r="511" customFormat="false" ht="57.45" hidden="false" customHeight="false" outlineLevel="0" collapsed="false">
      <c r="A511" s="6" t="s">
        <v>2377</v>
      </c>
      <c r="B511" s="6" t="s">
        <v>2405</v>
      </c>
      <c r="C511" s="6" t="s">
        <v>4312</v>
      </c>
      <c r="D511" s="6" t="s">
        <v>4322</v>
      </c>
      <c r="E511" s="6" t="s">
        <v>4323</v>
      </c>
      <c r="F511" s="6" t="s">
        <v>4324</v>
      </c>
      <c r="G511" s="6" t="s">
        <v>4325</v>
      </c>
      <c r="H511" s="6" t="s">
        <v>3024</v>
      </c>
      <c r="I511" s="6" t="s">
        <v>1525</v>
      </c>
      <c r="J511" s="6" t="s">
        <v>4326</v>
      </c>
      <c r="K511" s="6" t="s">
        <v>4316</v>
      </c>
    </row>
    <row r="512" customFormat="false" ht="57.45" hidden="false" customHeight="false" outlineLevel="0" collapsed="false">
      <c r="A512" s="121" t="s">
        <v>2377</v>
      </c>
      <c r="B512" s="121" t="s">
        <v>2405</v>
      </c>
      <c r="C512" s="121" t="s">
        <v>4312</v>
      </c>
      <c r="D512" s="121" t="s">
        <v>2523</v>
      </c>
      <c r="E512" s="121" t="s">
        <v>4327</v>
      </c>
      <c r="F512" s="121" t="s">
        <v>4328</v>
      </c>
      <c r="G512" s="121" t="s">
        <v>4329</v>
      </c>
      <c r="H512" s="121" t="s">
        <v>3024</v>
      </c>
      <c r="I512" s="121" t="s">
        <v>2960</v>
      </c>
      <c r="J512" s="121" t="s">
        <v>4330</v>
      </c>
      <c r="K512" s="121" t="s">
        <v>4316</v>
      </c>
    </row>
    <row r="513" customFormat="false" ht="57.45" hidden="false" customHeight="false" outlineLevel="0" collapsed="false">
      <c r="A513" s="6" t="s">
        <v>2377</v>
      </c>
      <c r="B513" s="6" t="s">
        <v>2405</v>
      </c>
      <c r="C513" s="6" t="s">
        <v>4312</v>
      </c>
      <c r="D513" s="6" t="s">
        <v>2626</v>
      </c>
      <c r="E513" s="6" t="s">
        <v>2464</v>
      </c>
      <c r="F513" s="6" t="s">
        <v>4331</v>
      </c>
      <c r="G513" s="6" t="s">
        <v>4332</v>
      </c>
      <c r="H513" s="6" t="s">
        <v>3024</v>
      </c>
      <c r="I513" s="6" t="s">
        <v>2960</v>
      </c>
      <c r="J513" s="6" t="s">
        <v>4333</v>
      </c>
      <c r="K513" s="6" t="s">
        <v>4316</v>
      </c>
    </row>
    <row r="514" customFormat="false" ht="79.85" hidden="false" customHeight="false" outlineLevel="0" collapsed="false">
      <c r="A514" s="121" t="s">
        <v>2379</v>
      </c>
      <c r="B514" s="121" t="s">
        <v>2411</v>
      </c>
      <c r="C514" s="121" t="s">
        <v>4334</v>
      </c>
      <c r="D514" s="121" t="s">
        <v>2575</v>
      </c>
      <c r="E514" s="121" t="s">
        <v>4335</v>
      </c>
      <c r="F514" s="121" t="s">
        <v>4336</v>
      </c>
      <c r="G514" s="121" t="s">
        <v>4320</v>
      </c>
      <c r="H514" s="121" t="s">
        <v>3024</v>
      </c>
      <c r="I514" s="121"/>
      <c r="J514" s="121" t="s">
        <v>4337</v>
      </c>
      <c r="K514" s="121" t="s">
        <v>4338</v>
      </c>
    </row>
    <row r="515" customFormat="false" ht="57.45" hidden="false" customHeight="false" outlineLevel="0" collapsed="false">
      <c r="A515" s="6" t="s">
        <v>2379</v>
      </c>
      <c r="B515" s="6" t="s">
        <v>2411</v>
      </c>
      <c r="C515" s="6" t="s">
        <v>4334</v>
      </c>
      <c r="D515" s="6" t="s">
        <v>4339</v>
      </c>
      <c r="E515" s="6" t="s">
        <v>4340</v>
      </c>
      <c r="F515" s="6" t="s">
        <v>2287</v>
      </c>
      <c r="G515" s="6" t="s">
        <v>2295</v>
      </c>
      <c r="H515" s="6" t="s">
        <v>3024</v>
      </c>
      <c r="I515" s="6"/>
      <c r="J515" s="6" t="s">
        <v>4341</v>
      </c>
      <c r="K515" s="6" t="s">
        <v>4338</v>
      </c>
    </row>
    <row r="516" customFormat="false" ht="68.65" hidden="false" customHeight="false" outlineLevel="0" collapsed="false">
      <c r="A516" s="121" t="s">
        <v>2379</v>
      </c>
      <c r="B516" s="121" t="s">
        <v>2411</v>
      </c>
      <c r="C516" s="121" t="s">
        <v>4334</v>
      </c>
      <c r="D516" s="121" t="s">
        <v>2632</v>
      </c>
      <c r="E516" s="121" t="s">
        <v>4342</v>
      </c>
      <c r="F516" s="121" t="s">
        <v>3460</v>
      </c>
      <c r="G516" s="121" t="s">
        <v>3461</v>
      </c>
      <c r="H516" s="121" t="s">
        <v>3024</v>
      </c>
      <c r="I516" s="121"/>
      <c r="J516" s="121" t="s">
        <v>4343</v>
      </c>
      <c r="K516" s="121" t="s">
        <v>4338</v>
      </c>
    </row>
    <row r="517" customFormat="false" ht="46.25" hidden="false" customHeight="false" outlineLevel="0" collapsed="false">
      <c r="A517" s="6" t="s">
        <v>2379</v>
      </c>
      <c r="B517" s="6" t="s">
        <v>2411</v>
      </c>
      <c r="C517" s="6" t="s">
        <v>4334</v>
      </c>
      <c r="D517" s="6" t="s">
        <v>4344</v>
      </c>
      <c r="E517" s="6" t="s">
        <v>4345</v>
      </c>
      <c r="F517" s="6" t="s">
        <v>1729</v>
      </c>
      <c r="G517" s="6" t="s">
        <v>464</v>
      </c>
      <c r="H517" s="6" t="s">
        <v>3024</v>
      </c>
      <c r="I517" s="6"/>
      <c r="J517" s="6" t="s">
        <v>4346</v>
      </c>
      <c r="K517" s="6" t="s">
        <v>4338</v>
      </c>
    </row>
    <row r="518" customFormat="false" ht="46.25" hidden="false" customHeight="false" outlineLevel="0" collapsed="false">
      <c r="A518" s="121" t="s">
        <v>2379</v>
      </c>
      <c r="B518" s="121" t="s">
        <v>2411</v>
      </c>
      <c r="C518" s="121" t="s">
        <v>4334</v>
      </c>
      <c r="D518" s="121" t="s">
        <v>2441</v>
      </c>
      <c r="E518" s="121" t="s">
        <v>4347</v>
      </c>
      <c r="F518" s="121" t="s">
        <v>4274</v>
      </c>
      <c r="G518" s="121" t="s">
        <v>4275</v>
      </c>
      <c r="H518" s="121" t="s">
        <v>3024</v>
      </c>
      <c r="I518" s="121"/>
      <c r="J518" s="121" t="s">
        <v>4348</v>
      </c>
      <c r="K518" s="121" t="s">
        <v>4338</v>
      </c>
    </row>
    <row r="519" customFormat="false" ht="46.25" hidden="false" customHeight="false" outlineLevel="0" collapsed="false">
      <c r="A519" s="6" t="s">
        <v>2379</v>
      </c>
      <c r="B519" s="6" t="s">
        <v>2411</v>
      </c>
      <c r="C519" s="6" t="s">
        <v>4334</v>
      </c>
      <c r="D519" s="6" t="s">
        <v>4349</v>
      </c>
      <c r="E519" s="6" t="s">
        <v>4350</v>
      </c>
      <c r="F519" s="6" t="s">
        <v>1825</v>
      </c>
      <c r="G519" s="6" t="s">
        <v>1834</v>
      </c>
      <c r="H519" s="6" t="s">
        <v>3024</v>
      </c>
      <c r="I519" s="6"/>
      <c r="J519" s="6" t="s">
        <v>4351</v>
      </c>
      <c r="K519" s="6" t="s">
        <v>4338</v>
      </c>
    </row>
    <row r="520" customFormat="false" ht="46.25" hidden="false" customHeight="false" outlineLevel="0" collapsed="false">
      <c r="A520" s="121" t="s">
        <v>2379</v>
      </c>
      <c r="B520" s="121" t="s">
        <v>2411</v>
      </c>
      <c r="C520" s="121" t="s">
        <v>4334</v>
      </c>
      <c r="D520" s="121" t="s">
        <v>2603</v>
      </c>
      <c r="E520" s="121" t="s">
        <v>4352</v>
      </c>
      <c r="F520" s="121" t="s">
        <v>884</v>
      </c>
      <c r="G520" s="121" t="s">
        <v>1848</v>
      </c>
      <c r="H520" s="121" t="s">
        <v>3024</v>
      </c>
      <c r="I520" s="121"/>
      <c r="J520" s="121" t="s">
        <v>4353</v>
      </c>
      <c r="K520" s="121" t="s">
        <v>4338</v>
      </c>
    </row>
    <row r="521" customFormat="false" ht="46.25" hidden="false" customHeight="false" outlineLevel="0" collapsed="false">
      <c r="A521" s="6" t="s">
        <v>2379</v>
      </c>
      <c r="B521" s="6" t="s">
        <v>2411</v>
      </c>
      <c r="C521" s="6" t="s">
        <v>4354</v>
      </c>
      <c r="D521" s="6" t="s">
        <v>2575</v>
      </c>
      <c r="E521" s="6" t="s">
        <v>4355</v>
      </c>
      <c r="F521" s="6" t="s">
        <v>4336</v>
      </c>
      <c r="G521" s="6" t="s">
        <v>4320</v>
      </c>
      <c r="H521" s="6" t="s">
        <v>3024</v>
      </c>
      <c r="I521" s="6"/>
      <c r="J521" s="6" t="s">
        <v>4356</v>
      </c>
      <c r="K521" s="6" t="s">
        <v>4338</v>
      </c>
    </row>
    <row r="522" customFormat="false" ht="57.45" hidden="false" customHeight="false" outlineLevel="0" collapsed="false">
      <c r="A522" s="121" t="s">
        <v>2379</v>
      </c>
      <c r="B522" s="121" t="s">
        <v>2411</v>
      </c>
      <c r="C522" s="121" t="s">
        <v>4354</v>
      </c>
      <c r="D522" s="121" t="s">
        <v>4339</v>
      </c>
      <c r="E522" s="121" t="s">
        <v>4357</v>
      </c>
      <c r="F522" s="121" t="s">
        <v>2287</v>
      </c>
      <c r="G522" s="121" t="s">
        <v>2295</v>
      </c>
      <c r="H522" s="121" t="s">
        <v>3024</v>
      </c>
      <c r="I522" s="121"/>
      <c r="J522" s="121" t="s">
        <v>4358</v>
      </c>
      <c r="K522" s="121" t="s">
        <v>4338</v>
      </c>
    </row>
    <row r="523" customFormat="false" ht="46.25" hidden="false" customHeight="false" outlineLevel="0" collapsed="false">
      <c r="A523" s="6" t="s">
        <v>2379</v>
      </c>
      <c r="B523" s="6" t="s">
        <v>2411</v>
      </c>
      <c r="C523" s="6" t="s">
        <v>4354</v>
      </c>
      <c r="D523" s="6" t="s">
        <v>2632</v>
      </c>
      <c r="E523" s="6" t="s">
        <v>4359</v>
      </c>
      <c r="F523" s="6" t="s">
        <v>3460</v>
      </c>
      <c r="G523" s="6" t="s">
        <v>3461</v>
      </c>
      <c r="H523" s="6" t="s">
        <v>3024</v>
      </c>
      <c r="I523" s="6"/>
      <c r="J523" s="6" t="s">
        <v>4360</v>
      </c>
      <c r="K523" s="6" t="s">
        <v>4338</v>
      </c>
    </row>
    <row r="524" customFormat="false" ht="46.25" hidden="false" customHeight="false" outlineLevel="0" collapsed="false">
      <c r="A524" s="121" t="s">
        <v>2379</v>
      </c>
      <c r="B524" s="121" t="s">
        <v>2411</v>
      </c>
      <c r="C524" s="121" t="s">
        <v>4354</v>
      </c>
      <c r="D524" s="121" t="s">
        <v>4344</v>
      </c>
      <c r="E524" s="121" t="s">
        <v>4361</v>
      </c>
      <c r="F524" s="121" t="s">
        <v>1729</v>
      </c>
      <c r="G524" s="121" t="s">
        <v>464</v>
      </c>
      <c r="H524" s="121" t="s">
        <v>3024</v>
      </c>
      <c r="I524" s="121"/>
      <c r="J524" s="121" t="s">
        <v>4362</v>
      </c>
      <c r="K524" s="121" t="s">
        <v>4338</v>
      </c>
    </row>
    <row r="525" customFormat="false" ht="46.25" hidden="false" customHeight="false" outlineLevel="0" collapsed="false">
      <c r="A525" s="6" t="s">
        <v>2379</v>
      </c>
      <c r="B525" s="6" t="s">
        <v>2411</v>
      </c>
      <c r="C525" s="6" t="s">
        <v>4354</v>
      </c>
      <c r="D525" s="6" t="s">
        <v>2441</v>
      </c>
      <c r="E525" s="6" t="s">
        <v>4363</v>
      </c>
      <c r="F525" s="6" t="s">
        <v>4274</v>
      </c>
      <c r="G525" s="6" t="s">
        <v>4275</v>
      </c>
      <c r="H525" s="6" t="s">
        <v>3024</v>
      </c>
      <c r="I525" s="6"/>
      <c r="J525" s="6" t="s">
        <v>4364</v>
      </c>
      <c r="K525" s="6" t="s">
        <v>4338</v>
      </c>
    </row>
    <row r="526" customFormat="false" ht="46.25" hidden="false" customHeight="false" outlineLevel="0" collapsed="false">
      <c r="A526" s="121" t="s">
        <v>2379</v>
      </c>
      <c r="B526" s="121" t="s">
        <v>2411</v>
      </c>
      <c r="C526" s="121" t="s">
        <v>4354</v>
      </c>
      <c r="D526" s="121" t="s">
        <v>4349</v>
      </c>
      <c r="E526" s="121" t="s">
        <v>4365</v>
      </c>
      <c r="F526" s="121" t="s">
        <v>1825</v>
      </c>
      <c r="G526" s="121" t="s">
        <v>1834</v>
      </c>
      <c r="H526" s="121" t="s">
        <v>3024</v>
      </c>
      <c r="I526" s="121"/>
      <c r="J526" s="121" t="s">
        <v>4366</v>
      </c>
      <c r="K526" s="121" t="s">
        <v>4338</v>
      </c>
    </row>
    <row r="527" customFormat="false" ht="46.25" hidden="false" customHeight="false" outlineLevel="0" collapsed="false">
      <c r="A527" s="6" t="s">
        <v>2379</v>
      </c>
      <c r="B527" s="6" t="s">
        <v>2411</v>
      </c>
      <c r="C527" s="6" t="s">
        <v>4354</v>
      </c>
      <c r="D527" s="6" t="s">
        <v>2603</v>
      </c>
      <c r="E527" s="6" t="s">
        <v>4367</v>
      </c>
      <c r="F527" s="6" t="s">
        <v>884</v>
      </c>
      <c r="G527" s="6" t="s">
        <v>1848</v>
      </c>
      <c r="H527" s="6" t="s">
        <v>3024</v>
      </c>
      <c r="I527" s="6"/>
      <c r="J527" s="6" t="s">
        <v>4368</v>
      </c>
      <c r="K527" s="6" t="s">
        <v>4338</v>
      </c>
    </row>
    <row r="528" customFormat="false" ht="46.25" hidden="false" customHeight="false" outlineLevel="0" collapsed="false">
      <c r="A528" s="121" t="s">
        <v>2374</v>
      </c>
      <c r="B528" s="121" t="s">
        <v>2392</v>
      </c>
      <c r="C528" s="121" t="s">
        <v>4369</v>
      </c>
      <c r="D528" s="121" t="s">
        <v>4370</v>
      </c>
      <c r="E528" s="121" t="s">
        <v>4371</v>
      </c>
      <c r="F528" s="121" t="s">
        <v>4372</v>
      </c>
      <c r="G528" s="121" t="s">
        <v>2112</v>
      </c>
      <c r="H528" s="121" t="s">
        <v>3024</v>
      </c>
      <c r="I528" s="121"/>
      <c r="J528" s="121" t="s">
        <v>4373</v>
      </c>
      <c r="K528" s="121" t="s">
        <v>4374</v>
      </c>
    </row>
    <row r="529" customFormat="false" ht="46.25" hidden="false" customHeight="false" outlineLevel="0" collapsed="false">
      <c r="A529" s="6" t="s">
        <v>2374</v>
      </c>
      <c r="B529" s="6" t="s">
        <v>2392</v>
      </c>
      <c r="C529" s="6" t="s">
        <v>4369</v>
      </c>
      <c r="D529" s="6" t="s">
        <v>4375</v>
      </c>
      <c r="E529" s="6" t="s">
        <v>4376</v>
      </c>
      <c r="F529" s="6" t="s">
        <v>4377</v>
      </c>
      <c r="G529" s="6" t="s">
        <v>4378</v>
      </c>
      <c r="H529" s="6" t="s">
        <v>3024</v>
      </c>
      <c r="I529" s="6"/>
      <c r="J529" s="6" t="s">
        <v>4379</v>
      </c>
      <c r="K529" s="6" t="s">
        <v>4374</v>
      </c>
    </row>
    <row r="530" customFormat="false" ht="46.25" hidden="false" customHeight="false" outlineLevel="0" collapsed="false">
      <c r="A530" s="121" t="s">
        <v>2374</v>
      </c>
      <c r="B530" s="121" t="s">
        <v>2392</v>
      </c>
      <c r="C530" s="121" t="s">
        <v>4369</v>
      </c>
      <c r="D530" s="121" t="s">
        <v>4380</v>
      </c>
      <c r="E530" s="121" t="s">
        <v>4381</v>
      </c>
      <c r="F530" s="121" t="s">
        <v>4382</v>
      </c>
      <c r="G530" s="121" t="s">
        <v>4378</v>
      </c>
      <c r="H530" s="121" t="s">
        <v>3024</v>
      </c>
      <c r="I530" s="121"/>
      <c r="J530" s="121" t="s">
        <v>4383</v>
      </c>
      <c r="K530" s="121" t="s">
        <v>4374</v>
      </c>
    </row>
    <row r="531" customFormat="false" ht="46.25" hidden="false" customHeight="false" outlineLevel="0" collapsed="false">
      <c r="A531" s="6" t="s">
        <v>2374</v>
      </c>
      <c r="B531" s="6" t="s">
        <v>2392</v>
      </c>
      <c r="C531" s="6" t="s">
        <v>4369</v>
      </c>
      <c r="D531" s="6" t="s">
        <v>2720</v>
      </c>
      <c r="E531" s="6" t="s">
        <v>4384</v>
      </c>
      <c r="F531" s="6" t="s">
        <v>3076</v>
      </c>
      <c r="G531" s="6" t="s">
        <v>3077</v>
      </c>
      <c r="H531" s="6" t="s">
        <v>3024</v>
      </c>
      <c r="I531" s="6"/>
      <c r="J531" s="6" t="s">
        <v>4385</v>
      </c>
      <c r="K531" s="6" t="s">
        <v>4374</v>
      </c>
    </row>
    <row r="532" customFormat="false" ht="46.25" hidden="false" customHeight="false" outlineLevel="0" collapsed="false">
      <c r="A532" s="121" t="s">
        <v>2374</v>
      </c>
      <c r="B532" s="121" t="s">
        <v>2392</v>
      </c>
      <c r="C532" s="121" t="s">
        <v>4369</v>
      </c>
      <c r="D532" s="121" t="s">
        <v>4386</v>
      </c>
      <c r="E532" s="121" t="s">
        <v>4387</v>
      </c>
      <c r="F532" s="121" t="s">
        <v>4388</v>
      </c>
      <c r="G532" s="121" t="s">
        <v>4389</v>
      </c>
      <c r="H532" s="121" t="s">
        <v>3024</v>
      </c>
      <c r="I532" s="121"/>
      <c r="J532" s="121" t="s">
        <v>4390</v>
      </c>
      <c r="K532" s="121" t="s">
        <v>4374</v>
      </c>
    </row>
    <row r="533" customFormat="false" ht="46.25" hidden="false" customHeight="false" outlineLevel="0" collapsed="false">
      <c r="A533" s="6" t="s">
        <v>2374</v>
      </c>
      <c r="B533" s="6" t="s">
        <v>2392</v>
      </c>
      <c r="C533" s="6" t="s">
        <v>4369</v>
      </c>
      <c r="D533" s="6" t="s">
        <v>2912</v>
      </c>
      <c r="E533" s="6" t="s">
        <v>4391</v>
      </c>
      <c r="F533" s="6" t="s">
        <v>4392</v>
      </c>
      <c r="G533" s="6" t="s">
        <v>4393</v>
      </c>
      <c r="H533" s="6" t="s">
        <v>3024</v>
      </c>
      <c r="I533" s="6"/>
      <c r="J533" s="6" t="s">
        <v>4394</v>
      </c>
      <c r="K533" s="6" t="s">
        <v>4374</v>
      </c>
    </row>
    <row r="534" customFormat="false" ht="46.25" hidden="false" customHeight="false" outlineLevel="0" collapsed="false">
      <c r="A534" s="121" t="s">
        <v>2374</v>
      </c>
      <c r="B534" s="121" t="s">
        <v>2392</v>
      </c>
      <c r="C534" s="121" t="s">
        <v>4369</v>
      </c>
      <c r="D534" s="121" t="s">
        <v>4395</v>
      </c>
      <c r="E534" s="121" t="s">
        <v>4396</v>
      </c>
      <c r="F534" s="121" t="s">
        <v>4397</v>
      </c>
      <c r="G534" s="121" t="s">
        <v>3082</v>
      </c>
      <c r="H534" s="121" t="s">
        <v>3024</v>
      </c>
      <c r="I534" s="121"/>
      <c r="J534" s="121" t="s">
        <v>4398</v>
      </c>
      <c r="K534" s="121" t="s">
        <v>4374</v>
      </c>
    </row>
    <row r="535" customFormat="false" ht="46.25" hidden="false" customHeight="false" outlineLevel="0" collapsed="false">
      <c r="A535" s="6" t="s">
        <v>2374</v>
      </c>
      <c r="B535" s="6" t="s">
        <v>2392</v>
      </c>
      <c r="C535" s="6" t="s">
        <v>4369</v>
      </c>
      <c r="D535" s="6" t="s">
        <v>4399</v>
      </c>
      <c r="E535" s="6" t="s">
        <v>4400</v>
      </c>
      <c r="F535" s="6" t="s">
        <v>4401</v>
      </c>
      <c r="G535" s="6" t="s">
        <v>4402</v>
      </c>
      <c r="H535" s="6" t="s">
        <v>3024</v>
      </c>
      <c r="I535" s="6"/>
      <c r="J535" s="6" t="s">
        <v>4403</v>
      </c>
      <c r="K535" s="6" t="s">
        <v>4374</v>
      </c>
    </row>
    <row r="536" customFormat="false" ht="46.25" hidden="false" customHeight="false" outlineLevel="0" collapsed="false">
      <c r="A536" s="121" t="s">
        <v>2374</v>
      </c>
      <c r="B536" s="121" t="s">
        <v>2392</v>
      </c>
      <c r="C536" s="121" t="s">
        <v>4369</v>
      </c>
      <c r="D536" s="121" t="s">
        <v>4404</v>
      </c>
      <c r="E536" s="121" t="s">
        <v>4405</v>
      </c>
      <c r="F536" s="121" t="s">
        <v>4397</v>
      </c>
      <c r="G536" s="121" t="s">
        <v>3082</v>
      </c>
      <c r="H536" s="121" t="s">
        <v>3024</v>
      </c>
      <c r="I536" s="121"/>
      <c r="J536" s="121" t="s">
        <v>4406</v>
      </c>
      <c r="K536" s="121" t="s">
        <v>4374</v>
      </c>
    </row>
    <row r="537" customFormat="false" ht="46.25" hidden="false" customHeight="false" outlineLevel="0" collapsed="false">
      <c r="A537" s="6" t="s">
        <v>2374</v>
      </c>
      <c r="B537" s="6" t="s">
        <v>2392</v>
      </c>
      <c r="C537" s="6" t="s">
        <v>4369</v>
      </c>
      <c r="D537" s="6" t="s">
        <v>4407</v>
      </c>
      <c r="E537" s="6" t="s">
        <v>4408</v>
      </c>
      <c r="F537" s="6" t="s">
        <v>4382</v>
      </c>
      <c r="G537" s="6" t="s">
        <v>4378</v>
      </c>
      <c r="H537" s="6" t="s">
        <v>3024</v>
      </c>
      <c r="I537" s="6"/>
      <c r="J537" s="6" t="s">
        <v>4409</v>
      </c>
      <c r="K537" s="6" t="s">
        <v>4374</v>
      </c>
    </row>
    <row r="538" customFormat="false" ht="46.25" hidden="false" customHeight="false" outlineLevel="0" collapsed="false">
      <c r="A538" s="121" t="s">
        <v>2374</v>
      </c>
      <c r="B538" s="121" t="s">
        <v>2392</v>
      </c>
      <c r="C538" s="121" t="s">
        <v>4369</v>
      </c>
      <c r="D538" s="121" t="s">
        <v>4410</v>
      </c>
      <c r="E538" s="121" t="s">
        <v>4411</v>
      </c>
      <c r="F538" s="121" t="s">
        <v>4412</v>
      </c>
      <c r="G538" s="121" t="s">
        <v>4413</v>
      </c>
      <c r="H538" s="121" t="s">
        <v>3024</v>
      </c>
      <c r="I538" s="121"/>
      <c r="J538" s="121" t="s">
        <v>4414</v>
      </c>
      <c r="K538" s="121" t="s">
        <v>4374</v>
      </c>
    </row>
    <row r="539" customFormat="false" ht="46.25" hidden="false" customHeight="false" outlineLevel="0" collapsed="false">
      <c r="A539" s="6" t="s">
        <v>2374</v>
      </c>
      <c r="B539" s="6" t="s">
        <v>2392</v>
      </c>
      <c r="C539" s="6" t="s">
        <v>4369</v>
      </c>
      <c r="D539" s="6" t="s">
        <v>4415</v>
      </c>
      <c r="E539" s="6" t="s">
        <v>4371</v>
      </c>
      <c r="F539" s="6" t="s">
        <v>4372</v>
      </c>
      <c r="G539" s="6" t="s">
        <v>2112</v>
      </c>
      <c r="H539" s="6" t="s">
        <v>3024</v>
      </c>
      <c r="I539" s="6"/>
      <c r="J539" s="6" t="s">
        <v>4416</v>
      </c>
      <c r="K539" s="6" t="s">
        <v>4374</v>
      </c>
    </row>
    <row r="540" customFormat="false" ht="46.25" hidden="false" customHeight="false" outlineLevel="0" collapsed="false">
      <c r="A540" s="121" t="s">
        <v>2374</v>
      </c>
      <c r="B540" s="121" t="s">
        <v>2392</v>
      </c>
      <c r="C540" s="121" t="s">
        <v>4369</v>
      </c>
      <c r="D540" s="121" t="s">
        <v>2696</v>
      </c>
      <c r="E540" s="121" t="s">
        <v>4417</v>
      </c>
      <c r="F540" s="121" t="s">
        <v>4418</v>
      </c>
      <c r="G540" s="121" t="s">
        <v>3036</v>
      </c>
      <c r="H540" s="121" t="s">
        <v>3024</v>
      </c>
      <c r="I540" s="121"/>
      <c r="J540" s="121" t="s">
        <v>4419</v>
      </c>
      <c r="K540" s="121" t="s">
        <v>4374</v>
      </c>
    </row>
    <row r="541" customFormat="false" ht="46.25" hidden="false" customHeight="false" outlineLevel="0" collapsed="false">
      <c r="A541" s="6" t="s">
        <v>2374</v>
      </c>
      <c r="B541" s="6" t="s">
        <v>2392</v>
      </c>
      <c r="C541" s="6" t="s">
        <v>4369</v>
      </c>
      <c r="D541" s="6" t="s">
        <v>4420</v>
      </c>
      <c r="E541" s="6" t="s">
        <v>4421</v>
      </c>
      <c r="F541" s="6" t="s">
        <v>3739</v>
      </c>
      <c r="G541" s="6" t="s">
        <v>3740</v>
      </c>
      <c r="H541" s="6" t="s">
        <v>3024</v>
      </c>
      <c r="I541" s="6"/>
      <c r="J541" s="6" t="s">
        <v>4422</v>
      </c>
      <c r="K541" s="6" t="s">
        <v>4374</v>
      </c>
    </row>
    <row r="542" customFormat="false" ht="46.25" hidden="false" customHeight="false" outlineLevel="0" collapsed="false">
      <c r="A542" s="121" t="s">
        <v>2374</v>
      </c>
      <c r="B542" s="121" t="s">
        <v>2392</v>
      </c>
      <c r="C542" s="121" t="s">
        <v>4369</v>
      </c>
      <c r="D542" s="121" t="s">
        <v>4423</v>
      </c>
      <c r="E542" s="121" t="s">
        <v>4424</v>
      </c>
      <c r="F542" s="121" t="s">
        <v>4425</v>
      </c>
      <c r="G542" s="121" t="s">
        <v>4426</v>
      </c>
      <c r="H542" s="121" t="s">
        <v>3024</v>
      </c>
      <c r="I542" s="121"/>
      <c r="J542" s="121" t="s">
        <v>4422</v>
      </c>
      <c r="K542" s="121" t="s">
        <v>4374</v>
      </c>
    </row>
    <row r="543" customFormat="false" ht="46.25" hidden="false" customHeight="false" outlineLevel="0" collapsed="false">
      <c r="A543" s="6" t="s">
        <v>2374</v>
      </c>
      <c r="B543" s="6" t="s">
        <v>2392</v>
      </c>
      <c r="C543" s="6" t="s">
        <v>4369</v>
      </c>
      <c r="D543" s="6" t="s">
        <v>4427</v>
      </c>
      <c r="E543" s="6" t="s">
        <v>4428</v>
      </c>
      <c r="F543" s="6" t="s">
        <v>4425</v>
      </c>
      <c r="G543" s="6" t="s">
        <v>4426</v>
      </c>
      <c r="H543" s="6" t="s">
        <v>3024</v>
      </c>
      <c r="I543" s="6"/>
      <c r="J543" s="6" t="s">
        <v>4429</v>
      </c>
      <c r="K543" s="6" t="s">
        <v>4374</v>
      </c>
    </row>
    <row r="544" customFormat="false" ht="46.25" hidden="false" customHeight="false" outlineLevel="0" collapsed="false">
      <c r="A544" s="121" t="s">
        <v>2374</v>
      </c>
      <c r="B544" s="121" t="s">
        <v>2392</v>
      </c>
      <c r="C544" s="121" t="s">
        <v>4369</v>
      </c>
      <c r="D544" s="121" t="s">
        <v>4430</v>
      </c>
      <c r="E544" s="121" t="s">
        <v>4431</v>
      </c>
      <c r="F544" s="121" t="s">
        <v>4432</v>
      </c>
      <c r="G544" s="121" t="s">
        <v>4055</v>
      </c>
      <c r="H544" s="121" t="s">
        <v>3024</v>
      </c>
      <c r="I544" s="121"/>
      <c r="J544" s="121" t="s">
        <v>4422</v>
      </c>
      <c r="K544" s="121" t="s">
        <v>4374</v>
      </c>
    </row>
    <row r="545" customFormat="false" ht="46.25" hidden="false" customHeight="false" outlineLevel="0" collapsed="false">
      <c r="A545" s="6" t="s">
        <v>2374</v>
      </c>
      <c r="B545" s="6" t="s">
        <v>2392</v>
      </c>
      <c r="C545" s="6" t="s">
        <v>4369</v>
      </c>
      <c r="D545" s="6" t="s">
        <v>4433</v>
      </c>
      <c r="E545" s="6" t="s">
        <v>4434</v>
      </c>
      <c r="F545" s="6" t="s">
        <v>3058</v>
      </c>
      <c r="G545" s="6" t="s">
        <v>1941</v>
      </c>
      <c r="H545" s="6" t="s">
        <v>3024</v>
      </c>
      <c r="I545" s="6"/>
      <c r="J545" s="6" t="s">
        <v>4435</v>
      </c>
      <c r="K545" s="6" t="s">
        <v>4374</v>
      </c>
    </row>
    <row r="546" customFormat="false" ht="46.25" hidden="false" customHeight="false" outlineLevel="0" collapsed="false">
      <c r="A546" s="121" t="s">
        <v>2374</v>
      </c>
      <c r="B546" s="121" t="s">
        <v>2392</v>
      </c>
      <c r="C546" s="121" t="s">
        <v>4369</v>
      </c>
      <c r="D546" s="121" t="s">
        <v>4436</v>
      </c>
      <c r="E546" s="121" t="s">
        <v>4437</v>
      </c>
      <c r="F546" s="121" t="s">
        <v>4438</v>
      </c>
      <c r="G546" s="121" t="s">
        <v>4439</v>
      </c>
      <c r="H546" s="121" t="s">
        <v>3024</v>
      </c>
      <c r="I546" s="121"/>
      <c r="J546" s="121" t="s">
        <v>4440</v>
      </c>
      <c r="K546" s="121" t="s">
        <v>4374</v>
      </c>
    </row>
    <row r="547" customFormat="false" ht="46.25" hidden="false" customHeight="false" outlineLevel="0" collapsed="false">
      <c r="A547" s="6" t="s">
        <v>2374</v>
      </c>
      <c r="B547" s="6" t="s">
        <v>2392</v>
      </c>
      <c r="C547" s="6" t="s">
        <v>4369</v>
      </c>
      <c r="D547" s="6" t="s">
        <v>4441</v>
      </c>
      <c r="E547" s="6" t="s">
        <v>4442</v>
      </c>
      <c r="F547" s="6" t="s">
        <v>4443</v>
      </c>
      <c r="G547" s="6" t="s">
        <v>4055</v>
      </c>
      <c r="H547" s="6" t="s">
        <v>3024</v>
      </c>
      <c r="I547" s="6"/>
      <c r="J547" s="6" t="s">
        <v>4444</v>
      </c>
      <c r="K547" s="6" t="s">
        <v>4374</v>
      </c>
    </row>
    <row r="548" customFormat="false" ht="46.25" hidden="false" customHeight="false" outlineLevel="0" collapsed="false">
      <c r="A548" s="121" t="s">
        <v>2374</v>
      </c>
      <c r="B548" s="121" t="s">
        <v>2392</v>
      </c>
      <c r="C548" s="121" t="s">
        <v>4369</v>
      </c>
      <c r="D548" s="121" t="s">
        <v>4445</v>
      </c>
      <c r="E548" s="121" t="s">
        <v>4446</v>
      </c>
      <c r="F548" s="121" t="s">
        <v>4447</v>
      </c>
      <c r="G548" s="121" t="s">
        <v>4448</v>
      </c>
      <c r="H548" s="121" t="s">
        <v>3024</v>
      </c>
      <c r="I548" s="121"/>
      <c r="J548" s="121" t="s">
        <v>4449</v>
      </c>
      <c r="K548" s="121" t="s">
        <v>4374</v>
      </c>
    </row>
    <row r="549" customFormat="false" ht="46.25" hidden="false" customHeight="false" outlineLevel="0" collapsed="false">
      <c r="A549" s="6" t="s">
        <v>2374</v>
      </c>
      <c r="B549" s="6" t="s">
        <v>2392</v>
      </c>
      <c r="C549" s="6" t="s">
        <v>4369</v>
      </c>
      <c r="D549" s="6" t="s">
        <v>4450</v>
      </c>
      <c r="E549" s="6" t="s">
        <v>4451</v>
      </c>
      <c r="F549" s="6" t="s">
        <v>4452</v>
      </c>
      <c r="G549" s="6" t="s">
        <v>4453</v>
      </c>
      <c r="H549" s="6" t="s">
        <v>3024</v>
      </c>
      <c r="I549" s="6"/>
      <c r="J549" s="6" t="s">
        <v>4454</v>
      </c>
      <c r="K549" s="6" t="s">
        <v>4374</v>
      </c>
    </row>
    <row r="550" customFormat="false" ht="46.25" hidden="false" customHeight="false" outlineLevel="0" collapsed="false">
      <c r="A550" s="121" t="s">
        <v>2374</v>
      </c>
      <c r="B550" s="121" t="s">
        <v>2392</v>
      </c>
      <c r="C550" s="121" t="s">
        <v>4369</v>
      </c>
      <c r="D550" s="121" t="s">
        <v>4455</v>
      </c>
      <c r="E550" s="121" t="s">
        <v>4456</v>
      </c>
      <c r="F550" s="121" t="s">
        <v>4372</v>
      </c>
      <c r="G550" s="121" t="s">
        <v>2112</v>
      </c>
      <c r="H550" s="121" t="s">
        <v>3024</v>
      </c>
      <c r="I550" s="121"/>
      <c r="J550" s="121" t="s">
        <v>4457</v>
      </c>
      <c r="K550" s="121" t="s">
        <v>4374</v>
      </c>
    </row>
    <row r="551" customFormat="false" ht="46.25" hidden="false" customHeight="false" outlineLevel="0" collapsed="false">
      <c r="A551" s="6" t="s">
        <v>2374</v>
      </c>
      <c r="B551" s="6" t="s">
        <v>2392</v>
      </c>
      <c r="C551" s="6" t="s">
        <v>4458</v>
      </c>
      <c r="D551" s="6" t="s">
        <v>4459</v>
      </c>
      <c r="E551" s="6"/>
      <c r="F551" s="6" t="s">
        <v>4460</v>
      </c>
      <c r="G551" s="6" t="s">
        <v>4461</v>
      </c>
      <c r="H551" s="6" t="s">
        <v>3024</v>
      </c>
      <c r="I551" s="6"/>
      <c r="J551" s="6"/>
      <c r="K551" s="6" t="s">
        <v>4374</v>
      </c>
    </row>
    <row r="552" customFormat="false" ht="46.25" hidden="false" customHeight="false" outlineLevel="0" collapsed="false">
      <c r="A552" s="121" t="s">
        <v>2374</v>
      </c>
      <c r="B552" s="121" t="s">
        <v>2392</v>
      </c>
      <c r="C552" s="121" t="s">
        <v>4458</v>
      </c>
      <c r="D552" s="121" t="s">
        <v>4462</v>
      </c>
      <c r="E552" s="121"/>
      <c r="F552" s="121" t="s">
        <v>2152</v>
      </c>
      <c r="G552" s="121" t="s">
        <v>2160</v>
      </c>
      <c r="H552" s="121" t="s">
        <v>3024</v>
      </c>
      <c r="I552" s="121"/>
      <c r="J552" s="121"/>
      <c r="K552" s="121" t="s">
        <v>4374</v>
      </c>
    </row>
    <row r="553" customFormat="false" ht="46.25" hidden="false" customHeight="false" outlineLevel="0" collapsed="false">
      <c r="A553" s="6" t="s">
        <v>2374</v>
      </c>
      <c r="B553" s="6" t="s">
        <v>2392</v>
      </c>
      <c r="C553" s="6" t="s">
        <v>4458</v>
      </c>
      <c r="D553" s="6" t="s">
        <v>4463</v>
      </c>
      <c r="E553" s="6" t="s">
        <v>4464</v>
      </c>
      <c r="F553" s="6" t="s">
        <v>287</v>
      </c>
      <c r="G553" s="6" t="s">
        <v>287</v>
      </c>
      <c r="H553" s="6" t="s">
        <v>3024</v>
      </c>
      <c r="I553" s="6"/>
      <c r="J553" s="6"/>
      <c r="K553" s="6" t="s">
        <v>4374</v>
      </c>
    </row>
    <row r="554" customFormat="false" ht="57.45" hidden="false" customHeight="false" outlineLevel="0" collapsed="false">
      <c r="A554" s="121" t="s">
        <v>2375</v>
      </c>
      <c r="B554" s="121" t="s">
        <v>2398</v>
      </c>
      <c r="C554" s="121" t="s">
        <v>4465</v>
      </c>
      <c r="D554" s="121" t="s">
        <v>4466</v>
      </c>
      <c r="E554" s="121" t="s">
        <v>4467</v>
      </c>
      <c r="F554" s="121" t="s">
        <v>287</v>
      </c>
      <c r="G554" s="121" t="s">
        <v>287</v>
      </c>
      <c r="H554" s="121" t="s">
        <v>3024</v>
      </c>
      <c r="I554" s="121"/>
      <c r="J554" s="121" t="s">
        <v>4468</v>
      </c>
      <c r="K554" s="121" t="s">
        <v>4469</v>
      </c>
    </row>
    <row r="555" customFormat="false" ht="57.45" hidden="false" customHeight="false" outlineLevel="0" collapsed="false">
      <c r="A555" s="6" t="s">
        <v>2375</v>
      </c>
      <c r="B555" s="6" t="s">
        <v>2398</v>
      </c>
      <c r="C555" s="6" t="s">
        <v>4465</v>
      </c>
      <c r="D555" s="6" t="s">
        <v>4470</v>
      </c>
      <c r="E555" s="6" t="s">
        <v>4470</v>
      </c>
      <c r="F555" s="6" t="s">
        <v>849</v>
      </c>
      <c r="G555" s="6" t="s">
        <v>1798</v>
      </c>
      <c r="H555" s="6" t="s">
        <v>3024</v>
      </c>
      <c r="I555" s="6"/>
      <c r="J555" s="6"/>
      <c r="K555" s="6" t="s">
        <v>4469</v>
      </c>
    </row>
    <row r="556" customFormat="false" ht="57.45" hidden="false" customHeight="false" outlineLevel="0" collapsed="false">
      <c r="A556" s="121" t="s">
        <v>2375</v>
      </c>
      <c r="B556" s="121" t="s">
        <v>2398</v>
      </c>
      <c r="C556" s="121" t="s">
        <v>4465</v>
      </c>
      <c r="D556" s="121" t="s">
        <v>2565</v>
      </c>
      <c r="E556" s="121" t="s">
        <v>2565</v>
      </c>
      <c r="F556" s="121" t="s">
        <v>2339</v>
      </c>
      <c r="G556" s="121" t="s">
        <v>2347</v>
      </c>
      <c r="H556" s="121" t="s">
        <v>3024</v>
      </c>
      <c r="I556" s="121"/>
      <c r="J556" s="121"/>
      <c r="K556" s="121" t="s">
        <v>4469</v>
      </c>
    </row>
    <row r="557" customFormat="false" ht="57.45" hidden="false" customHeight="false" outlineLevel="0" collapsed="false">
      <c r="A557" s="6" t="s">
        <v>2375</v>
      </c>
      <c r="B557" s="6" t="s">
        <v>2398</v>
      </c>
      <c r="C557" s="6" t="s">
        <v>4465</v>
      </c>
      <c r="D557" s="6" t="s">
        <v>2430</v>
      </c>
      <c r="E557" s="6" t="s">
        <v>2430</v>
      </c>
      <c r="F557" s="6" t="s">
        <v>4471</v>
      </c>
      <c r="G557" s="6" t="s">
        <v>4472</v>
      </c>
      <c r="H557" s="6" t="s">
        <v>3024</v>
      </c>
      <c r="I557" s="6"/>
      <c r="J557" s="6"/>
      <c r="K557" s="6" t="s">
        <v>4469</v>
      </c>
    </row>
    <row r="558" customFormat="false" ht="57.45" hidden="false" customHeight="false" outlineLevel="0" collapsed="false">
      <c r="A558" s="121" t="s">
        <v>2375</v>
      </c>
      <c r="B558" s="121" t="s">
        <v>2398</v>
      </c>
      <c r="C558" s="121" t="s">
        <v>4465</v>
      </c>
      <c r="D558" s="121" t="s">
        <v>4473</v>
      </c>
      <c r="E558" s="121" t="s">
        <v>4473</v>
      </c>
      <c r="F558" s="121" t="s">
        <v>2321</v>
      </c>
      <c r="G558" s="121" t="s">
        <v>2329</v>
      </c>
      <c r="H558" s="121" t="s">
        <v>3024</v>
      </c>
      <c r="I558" s="121"/>
      <c r="J558" s="121"/>
      <c r="K558" s="121" t="s">
        <v>4469</v>
      </c>
    </row>
    <row r="559" customFormat="false" ht="57.45" hidden="false" customHeight="false" outlineLevel="0" collapsed="false">
      <c r="A559" s="6" t="s">
        <v>2375</v>
      </c>
      <c r="B559" s="6" t="s">
        <v>2398</v>
      </c>
      <c r="C559" s="6" t="s">
        <v>4465</v>
      </c>
      <c r="D559" s="6" t="s">
        <v>2622</v>
      </c>
      <c r="E559" s="6" t="s">
        <v>2622</v>
      </c>
      <c r="F559" s="6" t="s">
        <v>3133</v>
      </c>
      <c r="G559" s="6" t="s">
        <v>3134</v>
      </c>
      <c r="H559" s="6" t="s">
        <v>3024</v>
      </c>
      <c r="I559" s="6"/>
      <c r="J559" s="6"/>
      <c r="K559" s="6" t="s">
        <v>4469</v>
      </c>
    </row>
    <row r="560" customFormat="false" ht="57.45" hidden="false" customHeight="false" outlineLevel="0" collapsed="false">
      <c r="A560" s="121" t="s">
        <v>2375</v>
      </c>
      <c r="B560" s="121" t="s">
        <v>2398</v>
      </c>
      <c r="C560" s="121" t="s">
        <v>4465</v>
      </c>
      <c r="D560" s="121" t="s">
        <v>4474</v>
      </c>
      <c r="E560" s="121" t="s">
        <v>4475</v>
      </c>
      <c r="F560" s="121" t="s">
        <v>2200</v>
      </c>
      <c r="G560" s="121" t="s">
        <v>2207</v>
      </c>
      <c r="H560" s="121" t="s">
        <v>3024</v>
      </c>
      <c r="I560" s="121"/>
      <c r="J560" s="121"/>
      <c r="K560" s="121" t="s">
        <v>4469</v>
      </c>
    </row>
    <row r="561" customFormat="false" ht="57.45" hidden="false" customHeight="false" outlineLevel="0" collapsed="false">
      <c r="A561" s="6" t="s">
        <v>2375</v>
      </c>
      <c r="B561" s="6" t="s">
        <v>2396</v>
      </c>
      <c r="C561" s="6" t="s">
        <v>4476</v>
      </c>
      <c r="D561" s="6" t="s">
        <v>4477</v>
      </c>
      <c r="E561" s="6" t="s">
        <v>4478</v>
      </c>
      <c r="F561" s="6" t="s">
        <v>2287</v>
      </c>
      <c r="G561" s="6" t="s">
        <v>2295</v>
      </c>
      <c r="H561" s="6" t="s">
        <v>3024</v>
      </c>
      <c r="I561" s="6"/>
      <c r="J561" s="6"/>
      <c r="K561" s="6" t="s">
        <v>4469</v>
      </c>
    </row>
    <row r="562" customFormat="false" ht="57.45" hidden="false" customHeight="false" outlineLevel="0" collapsed="false">
      <c r="A562" s="121" t="s">
        <v>2375</v>
      </c>
      <c r="B562" s="121" t="s">
        <v>2396</v>
      </c>
      <c r="C562" s="121" t="s">
        <v>4476</v>
      </c>
      <c r="D562" s="121" t="s">
        <v>4479</v>
      </c>
      <c r="E562" s="121" t="s">
        <v>4480</v>
      </c>
      <c r="F562" s="121" t="s">
        <v>287</v>
      </c>
      <c r="G562" s="121" t="s">
        <v>287</v>
      </c>
      <c r="H562" s="121" t="s">
        <v>3024</v>
      </c>
      <c r="I562" s="121"/>
      <c r="J562" s="121" t="s">
        <v>4481</v>
      </c>
      <c r="K562" s="121" t="s">
        <v>4469</v>
      </c>
    </row>
    <row r="563" customFormat="false" ht="57.45" hidden="false" customHeight="false" outlineLevel="0" collapsed="false">
      <c r="A563" s="6" t="s">
        <v>2375</v>
      </c>
      <c r="B563" s="6" t="s">
        <v>2396</v>
      </c>
      <c r="C563" s="6" t="s">
        <v>4476</v>
      </c>
      <c r="D563" s="6" t="s">
        <v>4482</v>
      </c>
      <c r="E563" s="6" t="s">
        <v>4482</v>
      </c>
      <c r="F563" s="6" t="s">
        <v>2287</v>
      </c>
      <c r="G563" s="6" t="s">
        <v>2295</v>
      </c>
      <c r="H563" s="6" t="s">
        <v>3024</v>
      </c>
      <c r="I563" s="6"/>
      <c r="J563" s="6"/>
      <c r="K563" s="6" t="s">
        <v>4469</v>
      </c>
    </row>
    <row r="564" customFormat="false" ht="57.45" hidden="false" customHeight="false" outlineLevel="0" collapsed="false">
      <c r="A564" s="121" t="s">
        <v>2375</v>
      </c>
      <c r="B564" s="121" t="s">
        <v>2396</v>
      </c>
      <c r="C564" s="121" t="s">
        <v>4476</v>
      </c>
      <c r="D564" s="121" t="s">
        <v>2457</v>
      </c>
      <c r="E564" s="121" t="s">
        <v>4483</v>
      </c>
      <c r="F564" s="121" t="s">
        <v>3228</v>
      </c>
      <c r="G564" s="121" t="s">
        <v>3229</v>
      </c>
      <c r="H564" s="121" t="s">
        <v>3024</v>
      </c>
      <c r="I564" s="121"/>
      <c r="J564" s="121"/>
      <c r="K564" s="121" t="s">
        <v>4469</v>
      </c>
    </row>
    <row r="565" customFormat="false" ht="57.45" hidden="false" customHeight="false" outlineLevel="0" collapsed="false">
      <c r="A565" s="6" t="s">
        <v>2375</v>
      </c>
      <c r="B565" s="6" t="s">
        <v>2396</v>
      </c>
      <c r="C565" s="6" t="s">
        <v>4476</v>
      </c>
      <c r="D565" s="6" t="s">
        <v>2594</v>
      </c>
      <c r="E565" s="6" t="s">
        <v>2594</v>
      </c>
      <c r="F565" s="6" t="s">
        <v>4484</v>
      </c>
      <c r="G565" s="6" t="s">
        <v>4485</v>
      </c>
      <c r="H565" s="6" t="s">
        <v>3024</v>
      </c>
      <c r="I565" s="6"/>
      <c r="J565" s="6"/>
      <c r="K565" s="6" t="s">
        <v>4469</v>
      </c>
    </row>
    <row r="566" customFormat="false" ht="57.45" hidden="false" customHeight="false" outlineLevel="0" collapsed="false">
      <c r="A566" s="121" t="s">
        <v>2375</v>
      </c>
      <c r="B566" s="121" t="s">
        <v>2396</v>
      </c>
      <c r="C566" s="121" t="s">
        <v>4476</v>
      </c>
      <c r="D566" s="121" t="s">
        <v>4486</v>
      </c>
      <c r="E566" s="121" t="s">
        <v>4487</v>
      </c>
      <c r="F566" s="121" t="s">
        <v>4488</v>
      </c>
      <c r="G566" s="121" t="s">
        <v>2295</v>
      </c>
      <c r="H566" s="121" t="s">
        <v>3024</v>
      </c>
      <c r="I566" s="121"/>
      <c r="J566" s="121"/>
      <c r="K566" s="121" t="s">
        <v>4469</v>
      </c>
    </row>
    <row r="567" customFormat="false" ht="57.45" hidden="false" customHeight="false" outlineLevel="0" collapsed="false">
      <c r="A567" s="6" t="s">
        <v>2375</v>
      </c>
      <c r="B567" s="6" t="s">
        <v>2396</v>
      </c>
      <c r="C567" s="6" t="s">
        <v>4476</v>
      </c>
      <c r="D567" s="6" t="s">
        <v>2726</v>
      </c>
      <c r="E567" s="6" t="s">
        <v>2726</v>
      </c>
      <c r="F567" s="6" t="s">
        <v>4489</v>
      </c>
      <c r="G567" s="6" t="s">
        <v>4490</v>
      </c>
      <c r="H567" s="6" t="s">
        <v>3024</v>
      </c>
      <c r="I567" s="6"/>
      <c r="J567" s="6"/>
      <c r="K567" s="6" t="s">
        <v>4469</v>
      </c>
    </row>
    <row r="568" customFormat="false" ht="57.45" hidden="false" customHeight="false" outlineLevel="0" collapsed="false">
      <c r="A568" s="121" t="s">
        <v>2375</v>
      </c>
      <c r="B568" s="121" t="s">
        <v>2396</v>
      </c>
      <c r="C568" s="121" t="s">
        <v>4476</v>
      </c>
      <c r="D568" s="121" t="s">
        <v>4491</v>
      </c>
      <c r="E568" s="121" t="s">
        <v>4492</v>
      </c>
      <c r="F568" s="121" t="s">
        <v>2287</v>
      </c>
      <c r="G568" s="121" t="s">
        <v>2295</v>
      </c>
      <c r="H568" s="121" t="s">
        <v>3024</v>
      </c>
      <c r="I568" s="121"/>
      <c r="J568" s="121"/>
      <c r="K568" s="121" t="s">
        <v>4469</v>
      </c>
    </row>
    <row r="569" customFormat="false" ht="57.45" hidden="false" customHeight="false" outlineLevel="0" collapsed="false">
      <c r="A569" s="6" t="s">
        <v>2375</v>
      </c>
      <c r="B569" s="6" t="s">
        <v>2396</v>
      </c>
      <c r="C569" s="6" t="s">
        <v>4476</v>
      </c>
      <c r="D569" s="6" t="s">
        <v>4493</v>
      </c>
      <c r="E569" s="6" t="s">
        <v>4493</v>
      </c>
      <c r="F569" s="6" t="s">
        <v>2287</v>
      </c>
      <c r="G569" s="6" t="s">
        <v>2295</v>
      </c>
      <c r="H569" s="6" t="s">
        <v>3024</v>
      </c>
      <c r="I569" s="6"/>
      <c r="J569" s="6"/>
      <c r="K569" s="6" t="s">
        <v>4469</v>
      </c>
    </row>
    <row r="570" customFormat="false" ht="57.45" hidden="false" customHeight="false" outlineLevel="0" collapsed="false">
      <c r="A570" s="121" t="s">
        <v>2375</v>
      </c>
      <c r="B570" s="121" t="s">
        <v>2397</v>
      </c>
      <c r="C570" s="121" t="s">
        <v>4494</v>
      </c>
      <c r="D570" s="121" t="s">
        <v>4495</v>
      </c>
      <c r="E570" s="121" t="s">
        <v>4495</v>
      </c>
      <c r="F570" s="121" t="s">
        <v>287</v>
      </c>
      <c r="G570" s="121" t="s">
        <v>287</v>
      </c>
      <c r="H570" s="121" t="s">
        <v>3024</v>
      </c>
      <c r="I570" s="121"/>
      <c r="J570" s="121" t="s">
        <v>4496</v>
      </c>
      <c r="K570" s="121" t="s">
        <v>4469</v>
      </c>
    </row>
    <row r="571" customFormat="false" ht="57.45" hidden="false" customHeight="false" outlineLevel="0" collapsed="false">
      <c r="A571" s="6" t="s">
        <v>2375</v>
      </c>
      <c r="B571" s="6" t="s">
        <v>2397</v>
      </c>
      <c r="C571" s="6" t="s">
        <v>4494</v>
      </c>
      <c r="D571" s="6" t="s">
        <v>4497</v>
      </c>
      <c r="E571" s="6" t="s">
        <v>4498</v>
      </c>
      <c r="F571" s="6" t="s">
        <v>2217</v>
      </c>
      <c r="G571" s="6" t="s">
        <v>2224</v>
      </c>
      <c r="H571" s="6" t="s">
        <v>3024</v>
      </c>
      <c r="I571" s="6"/>
      <c r="J571" s="6"/>
      <c r="K571" s="6" t="s">
        <v>4469</v>
      </c>
    </row>
    <row r="572" customFormat="false" ht="57.45" hidden="false" customHeight="false" outlineLevel="0" collapsed="false">
      <c r="A572" s="121" t="s">
        <v>2375</v>
      </c>
      <c r="B572" s="121" t="s">
        <v>2397</v>
      </c>
      <c r="C572" s="121" t="s">
        <v>4494</v>
      </c>
      <c r="D572" s="121" t="s">
        <v>4499</v>
      </c>
      <c r="E572" s="121" t="s">
        <v>4499</v>
      </c>
      <c r="F572" s="121" t="s">
        <v>849</v>
      </c>
      <c r="G572" s="121" t="s">
        <v>1798</v>
      </c>
      <c r="H572" s="121" t="s">
        <v>3024</v>
      </c>
      <c r="I572" s="121"/>
      <c r="J572" s="121"/>
      <c r="K572" s="121" t="s">
        <v>4469</v>
      </c>
    </row>
    <row r="573" customFormat="false" ht="57.45" hidden="false" customHeight="false" outlineLevel="0" collapsed="false">
      <c r="A573" s="6" t="s">
        <v>2375</v>
      </c>
      <c r="B573" s="6" t="s">
        <v>2397</v>
      </c>
      <c r="C573" s="6" t="s">
        <v>4494</v>
      </c>
      <c r="D573" s="6" t="s">
        <v>2595</v>
      </c>
      <c r="E573" s="6" t="s">
        <v>4500</v>
      </c>
      <c r="F573" s="6" t="s">
        <v>4501</v>
      </c>
      <c r="G573" s="6" t="s">
        <v>4502</v>
      </c>
      <c r="H573" s="6" t="s">
        <v>3024</v>
      </c>
      <c r="I573" s="6"/>
      <c r="J573" s="6"/>
      <c r="K573" s="6" t="s">
        <v>4469</v>
      </c>
    </row>
    <row r="574" customFormat="false" ht="57.45" hidden="false" customHeight="false" outlineLevel="0" collapsed="false">
      <c r="A574" s="121" t="s">
        <v>2375</v>
      </c>
      <c r="B574" s="121" t="s">
        <v>2397</v>
      </c>
      <c r="C574" s="121" t="s">
        <v>4494</v>
      </c>
      <c r="D574" s="121" t="s">
        <v>4503</v>
      </c>
      <c r="E574" s="121" t="s">
        <v>4503</v>
      </c>
      <c r="F574" s="121" t="s">
        <v>2217</v>
      </c>
      <c r="G574" s="121" t="s">
        <v>2224</v>
      </c>
      <c r="H574" s="121" t="s">
        <v>3024</v>
      </c>
      <c r="I574" s="121"/>
      <c r="J574" s="121"/>
      <c r="K574" s="121" t="s">
        <v>4469</v>
      </c>
    </row>
    <row r="575" customFormat="false" ht="57.45" hidden="false" customHeight="false" outlineLevel="0" collapsed="false">
      <c r="A575" s="6" t="s">
        <v>2375</v>
      </c>
      <c r="B575" s="6" t="s">
        <v>2395</v>
      </c>
      <c r="C575" s="6" t="s">
        <v>4504</v>
      </c>
      <c r="D575" s="6" t="s">
        <v>2456</v>
      </c>
      <c r="E575" s="6" t="s">
        <v>4505</v>
      </c>
      <c r="F575" s="6" t="s">
        <v>931</v>
      </c>
      <c r="G575" s="6" t="s">
        <v>1815</v>
      </c>
      <c r="H575" s="6" t="s">
        <v>3024</v>
      </c>
      <c r="I575" s="6"/>
      <c r="J575" s="6"/>
      <c r="K575" s="6" t="s">
        <v>4469</v>
      </c>
    </row>
    <row r="576" customFormat="false" ht="57.45" hidden="false" customHeight="false" outlineLevel="0" collapsed="false">
      <c r="A576" s="121" t="s">
        <v>2375</v>
      </c>
      <c r="B576" s="121" t="s">
        <v>2395</v>
      </c>
      <c r="C576" s="121" t="s">
        <v>4504</v>
      </c>
      <c r="D576" s="121" t="s">
        <v>4506</v>
      </c>
      <c r="E576" s="121" t="s">
        <v>4507</v>
      </c>
      <c r="F576" s="121" t="s">
        <v>287</v>
      </c>
      <c r="G576" s="121" t="s">
        <v>287</v>
      </c>
      <c r="H576" s="121" t="s">
        <v>3024</v>
      </c>
      <c r="I576" s="121"/>
      <c r="J576" s="121" t="s">
        <v>4508</v>
      </c>
      <c r="K576" s="121" t="s">
        <v>4469</v>
      </c>
    </row>
    <row r="577" customFormat="false" ht="57.45" hidden="false" customHeight="false" outlineLevel="0" collapsed="false">
      <c r="A577" s="6" t="s">
        <v>2375</v>
      </c>
      <c r="B577" s="6" t="s">
        <v>2395</v>
      </c>
      <c r="C577" s="6" t="s">
        <v>4504</v>
      </c>
      <c r="D577" s="6" t="s">
        <v>4509</v>
      </c>
      <c r="E577" s="6" t="s">
        <v>4510</v>
      </c>
      <c r="F577" s="6" t="s">
        <v>287</v>
      </c>
      <c r="G577" s="6" t="s">
        <v>287</v>
      </c>
      <c r="H577" s="6" t="s">
        <v>3024</v>
      </c>
      <c r="I577" s="6"/>
      <c r="J577" s="6" t="s">
        <v>4511</v>
      </c>
      <c r="K577" s="6" t="s">
        <v>4469</v>
      </c>
    </row>
    <row r="578" customFormat="false" ht="57.45" hidden="false" customHeight="false" outlineLevel="0" collapsed="false">
      <c r="A578" s="121" t="s">
        <v>2375</v>
      </c>
      <c r="B578" s="121" t="s">
        <v>2395</v>
      </c>
      <c r="C578" s="121" t="s">
        <v>4504</v>
      </c>
      <c r="D578" s="121" t="s">
        <v>4512</v>
      </c>
      <c r="E578" s="121" t="s">
        <v>4513</v>
      </c>
      <c r="F578" s="121" t="s">
        <v>287</v>
      </c>
      <c r="G578" s="121" t="s">
        <v>287</v>
      </c>
      <c r="H578" s="121" t="s">
        <v>3024</v>
      </c>
      <c r="I578" s="121"/>
      <c r="J578" s="121" t="s">
        <v>4514</v>
      </c>
      <c r="K578" s="121" t="s">
        <v>4469</v>
      </c>
    </row>
    <row r="579" customFormat="false" ht="57.45" hidden="false" customHeight="false" outlineLevel="0" collapsed="false">
      <c r="A579" s="6" t="s">
        <v>2375</v>
      </c>
      <c r="B579" s="6" t="s">
        <v>2399</v>
      </c>
      <c r="C579" s="6" t="s">
        <v>4515</v>
      </c>
      <c r="D579" s="6" t="s">
        <v>4516</v>
      </c>
      <c r="E579" s="6" t="s">
        <v>4517</v>
      </c>
      <c r="F579" s="6" t="s">
        <v>4518</v>
      </c>
      <c r="G579" s="6" t="s">
        <v>4519</v>
      </c>
      <c r="H579" s="6" t="s">
        <v>3024</v>
      </c>
      <c r="I579" s="6"/>
      <c r="J579" s="6"/>
      <c r="K579" s="6" t="s">
        <v>4469</v>
      </c>
    </row>
    <row r="580" customFormat="false" ht="57.45" hidden="false" customHeight="false" outlineLevel="0" collapsed="false">
      <c r="A580" s="121" t="s">
        <v>2375</v>
      </c>
      <c r="B580" s="121" t="s">
        <v>2399</v>
      </c>
      <c r="C580" s="121" t="s">
        <v>4515</v>
      </c>
      <c r="D580" s="121" t="s">
        <v>2431</v>
      </c>
      <c r="E580" s="121" t="s">
        <v>2431</v>
      </c>
      <c r="F580" s="121" t="s">
        <v>4520</v>
      </c>
      <c r="G580" s="121" t="s">
        <v>3975</v>
      </c>
      <c r="H580" s="121" t="s">
        <v>3024</v>
      </c>
      <c r="I580" s="121"/>
      <c r="J580" s="121"/>
      <c r="K580" s="121" t="s">
        <v>4469</v>
      </c>
    </row>
    <row r="581" customFormat="false" ht="57.45" hidden="false" customHeight="false" outlineLevel="0" collapsed="false">
      <c r="A581" s="6" t="s">
        <v>2375</v>
      </c>
      <c r="B581" s="6" t="s">
        <v>2399</v>
      </c>
      <c r="C581" s="6" t="s">
        <v>4515</v>
      </c>
      <c r="D581" s="6" t="s">
        <v>4521</v>
      </c>
      <c r="E581" s="6" t="s">
        <v>4522</v>
      </c>
      <c r="F581" s="6" t="s">
        <v>3455</v>
      </c>
      <c r="G581" s="6" t="s">
        <v>3456</v>
      </c>
      <c r="H581" s="6" t="s">
        <v>3024</v>
      </c>
      <c r="I581" s="6"/>
      <c r="J581" s="6"/>
      <c r="K581" s="6" t="s">
        <v>4469</v>
      </c>
    </row>
    <row r="582" customFormat="false" ht="57.45" hidden="false" customHeight="false" outlineLevel="0" collapsed="false">
      <c r="A582" s="121" t="s">
        <v>2375</v>
      </c>
      <c r="B582" s="121" t="s">
        <v>2399</v>
      </c>
      <c r="C582" s="121" t="s">
        <v>4515</v>
      </c>
      <c r="D582" s="121" t="s">
        <v>4523</v>
      </c>
      <c r="E582" s="121" t="s">
        <v>4524</v>
      </c>
      <c r="F582" s="121" t="s">
        <v>3455</v>
      </c>
      <c r="G582" s="121" t="s">
        <v>3456</v>
      </c>
      <c r="H582" s="121" t="s">
        <v>3024</v>
      </c>
      <c r="I582" s="121"/>
      <c r="J582" s="121"/>
      <c r="K582" s="121" t="s">
        <v>4469</v>
      </c>
    </row>
    <row r="583" customFormat="false" ht="57.45" hidden="false" customHeight="false" outlineLevel="0" collapsed="false">
      <c r="A583" s="6" t="s">
        <v>2375</v>
      </c>
      <c r="B583" s="6" t="s">
        <v>2399</v>
      </c>
      <c r="C583" s="6" t="s">
        <v>4515</v>
      </c>
      <c r="D583" s="6" t="s">
        <v>2682</v>
      </c>
      <c r="E583" s="6" t="s">
        <v>4525</v>
      </c>
      <c r="F583" s="6" t="s">
        <v>4526</v>
      </c>
      <c r="G583" s="6" t="s">
        <v>4527</v>
      </c>
      <c r="H583" s="6" t="s">
        <v>3024</v>
      </c>
      <c r="I583" s="6"/>
      <c r="J583" s="6"/>
      <c r="K583" s="6" t="s">
        <v>4469</v>
      </c>
    </row>
    <row r="584" customFormat="false" ht="57.45" hidden="false" customHeight="false" outlineLevel="0" collapsed="false">
      <c r="A584" s="121" t="s">
        <v>2375</v>
      </c>
      <c r="B584" s="121" t="s">
        <v>2399</v>
      </c>
      <c r="C584" s="121" t="s">
        <v>4515</v>
      </c>
      <c r="D584" s="121" t="s">
        <v>4528</v>
      </c>
      <c r="E584" s="121" t="s">
        <v>4528</v>
      </c>
      <c r="F584" s="121" t="s">
        <v>3062</v>
      </c>
      <c r="G584" s="121" t="s">
        <v>3063</v>
      </c>
      <c r="H584" s="121" t="s">
        <v>3024</v>
      </c>
      <c r="I584" s="121"/>
      <c r="J584" s="121"/>
      <c r="K584" s="121" t="s">
        <v>4469</v>
      </c>
    </row>
    <row r="585" customFormat="false" ht="57.45" hidden="false" customHeight="false" outlineLevel="0" collapsed="false">
      <c r="A585" s="6" t="s">
        <v>2375</v>
      </c>
      <c r="B585" s="6" t="s">
        <v>2399</v>
      </c>
      <c r="C585" s="6" t="s">
        <v>4515</v>
      </c>
      <c r="D585" s="6" t="s">
        <v>4529</v>
      </c>
      <c r="E585" s="6" t="s">
        <v>4529</v>
      </c>
      <c r="F585" s="6" t="s">
        <v>287</v>
      </c>
      <c r="G585" s="6" t="s">
        <v>287</v>
      </c>
      <c r="H585" s="6" t="s">
        <v>3024</v>
      </c>
      <c r="I585" s="6"/>
      <c r="J585" s="6" t="s">
        <v>4530</v>
      </c>
      <c r="K585" s="6" t="s">
        <v>4469</v>
      </c>
    </row>
    <row r="586" customFormat="false" ht="57.45" hidden="false" customHeight="false" outlineLevel="0" collapsed="false">
      <c r="A586" s="121" t="s">
        <v>2375</v>
      </c>
      <c r="B586" s="121" t="s">
        <v>2400</v>
      </c>
      <c r="C586" s="121" t="s">
        <v>4531</v>
      </c>
      <c r="D586" s="121" t="s">
        <v>2652</v>
      </c>
      <c r="E586" s="121" t="s">
        <v>4532</v>
      </c>
      <c r="F586" s="121" t="s">
        <v>884</v>
      </c>
      <c r="G586" s="121" t="s">
        <v>1848</v>
      </c>
      <c r="H586" s="121" t="s">
        <v>3024</v>
      </c>
      <c r="I586" s="121"/>
      <c r="J586" s="121"/>
      <c r="K586" s="121" t="s">
        <v>4469</v>
      </c>
    </row>
    <row r="587" customFormat="false" ht="57.45" hidden="false" customHeight="false" outlineLevel="0" collapsed="false">
      <c r="A587" s="6" t="s">
        <v>2375</v>
      </c>
      <c r="B587" s="6" t="s">
        <v>2400</v>
      </c>
      <c r="C587" s="6" t="s">
        <v>4531</v>
      </c>
      <c r="D587" s="6" t="s">
        <v>2875</v>
      </c>
      <c r="E587" s="6" t="s">
        <v>4533</v>
      </c>
      <c r="F587" s="6" t="s">
        <v>4534</v>
      </c>
      <c r="G587" s="6" t="s">
        <v>4535</v>
      </c>
      <c r="H587" s="6" t="s">
        <v>3024</v>
      </c>
      <c r="I587" s="6"/>
      <c r="J587" s="6"/>
      <c r="K587" s="6" t="s">
        <v>4469</v>
      </c>
    </row>
    <row r="588" customFormat="false" ht="57.45" hidden="false" customHeight="false" outlineLevel="0" collapsed="false">
      <c r="A588" s="121" t="s">
        <v>2375</v>
      </c>
      <c r="B588" s="121" t="s">
        <v>2400</v>
      </c>
      <c r="C588" s="121" t="s">
        <v>4531</v>
      </c>
      <c r="D588" s="121" t="s">
        <v>4536</v>
      </c>
      <c r="E588" s="121" t="s">
        <v>4536</v>
      </c>
      <c r="F588" s="121" t="s">
        <v>1919</v>
      </c>
      <c r="G588" s="121" t="s">
        <v>1925</v>
      </c>
      <c r="H588" s="121" t="s">
        <v>3024</v>
      </c>
      <c r="I588" s="121"/>
      <c r="J588" s="121"/>
      <c r="K588" s="121" t="s">
        <v>4469</v>
      </c>
    </row>
    <row r="589" customFormat="false" ht="57.45" hidden="false" customHeight="false" outlineLevel="0" collapsed="false">
      <c r="A589" s="6" t="s">
        <v>2375</v>
      </c>
      <c r="B589" s="6" t="s">
        <v>2400</v>
      </c>
      <c r="C589" s="6" t="s">
        <v>4531</v>
      </c>
      <c r="D589" s="6" t="s">
        <v>2432</v>
      </c>
      <c r="E589" s="6" t="s">
        <v>2432</v>
      </c>
      <c r="F589" s="6" t="s">
        <v>4054</v>
      </c>
      <c r="G589" s="6" t="s">
        <v>4055</v>
      </c>
      <c r="H589" s="6" t="s">
        <v>3024</v>
      </c>
      <c r="I589" s="6"/>
      <c r="J589" s="6"/>
      <c r="K589" s="6" t="s">
        <v>4469</v>
      </c>
    </row>
    <row r="590" customFormat="false" ht="57.45" hidden="false" customHeight="false" outlineLevel="0" collapsed="false">
      <c r="A590" s="121" t="s">
        <v>2375</v>
      </c>
      <c r="B590" s="121" t="s">
        <v>2400</v>
      </c>
      <c r="C590" s="121" t="s">
        <v>4531</v>
      </c>
      <c r="D590" s="121" t="s">
        <v>2728</v>
      </c>
      <c r="E590" s="121" t="s">
        <v>4537</v>
      </c>
      <c r="F590" s="121" t="s">
        <v>3062</v>
      </c>
      <c r="G590" s="121" t="s">
        <v>3063</v>
      </c>
      <c r="H590" s="121" t="s">
        <v>3024</v>
      </c>
      <c r="I590" s="121"/>
      <c r="J590" s="121"/>
      <c r="K590" s="121" t="s">
        <v>4469</v>
      </c>
    </row>
    <row r="591" customFormat="false" ht="57.45" hidden="false" customHeight="false" outlineLevel="0" collapsed="false">
      <c r="A591" s="6" t="s">
        <v>2375</v>
      </c>
      <c r="B591" s="6" t="s">
        <v>2400</v>
      </c>
      <c r="C591" s="6" t="s">
        <v>4531</v>
      </c>
      <c r="D591" s="6" t="s">
        <v>4538</v>
      </c>
      <c r="E591" s="6" t="s">
        <v>4538</v>
      </c>
      <c r="F591" s="6" t="s">
        <v>2152</v>
      </c>
      <c r="G591" s="6" t="s">
        <v>2160</v>
      </c>
      <c r="H591" s="6" t="s">
        <v>3024</v>
      </c>
      <c r="I591" s="6"/>
      <c r="J591" s="6"/>
      <c r="K591" s="6" t="s">
        <v>4469</v>
      </c>
    </row>
    <row r="592" customFormat="false" ht="57.45" hidden="false" customHeight="false" outlineLevel="0" collapsed="false">
      <c r="A592" s="121" t="s">
        <v>2375</v>
      </c>
      <c r="B592" s="121" t="s">
        <v>2400</v>
      </c>
      <c r="C592" s="121" t="s">
        <v>4531</v>
      </c>
      <c r="D592" s="121" t="s">
        <v>2623</v>
      </c>
      <c r="E592" s="121" t="s">
        <v>4539</v>
      </c>
      <c r="F592" s="121" t="s">
        <v>4540</v>
      </c>
      <c r="G592" s="121" t="s">
        <v>4541</v>
      </c>
      <c r="H592" s="121" t="s">
        <v>3024</v>
      </c>
      <c r="I592" s="121"/>
      <c r="J592" s="121"/>
      <c r="K592" s="121" t="s">
        <v>4469</v>
      </c>
    </row>
    <row r="593" customFormat="false" ht="57.45" hidden="false" customHeight="false" outlineLevel="0" collapsed="false">
      <c r="A593" s="6" t="s">
        <v>2375</v>
      </c>
      <c r="B593" s="6" t="s">
        <v>2400</v>
      </c>
      <c r="C593" s="6" t="s">
        <v>4531</v>
      </c>
      <c r="D593" s="6" t="s">
        <v>4542</v>
      </c>
      <c r="E593" s="6" t="s">
        <v>4542</v>
      </c>
      <c r="F593" s="6" t="s">
        <v>4543</v>
      </c>
      <c r="G593" s="6" t="s">
        <v>4544</v>
      </c>
      <c r="H593" s="6" t="s">
        <v>3024</v>
      </c>
      <c r="I593" s="6"/>
      <c r="J593" s="6"/>
      <c r="K593" s="6" t="s">
        <v>4469</v>
      </c>
    </row>
    <row r="594" customFormat="false" ht="57.45" hidden="false" customHeight="false" outlineLevel="0" collapsed="false">
      <c r="A594" s="121" t="s">
        <v>2375</v>
      </c>
      <c r="B594" s="121" t="s">
        <v>2401</v>
      </c>
      <c r="C594" s="121" t="s">
        <v>4545</v>
      </c>
      <c r="D594" s="121" t="s">
        <v>4546</v>
      </c>
      <c r="E594" s="121" t="s">
        <v>4547</v>
      </c>
      <c r="F594" s="121" t="s">
        <v>287</v>
      </c>
      <c r="G594" s="121" t="s">
        <v>287</v>
      </c>
      <c r="H594" s="121" t="s">
        <v>3024</v>
      </c>
      <c r="I594" s="121"/>
      <c r="J594" s="121" t="s">
        <v>4548</v>
      </c>
      <c r="K594" s="121" t="s">
        <v>4469</v>
      </c>
    </row>
    <row r="595" customFormat="false" ht="57.45" hidden="false" customHeight="false" outlineLevel="0" collapsed="false">
      <c r="A595" s="6" t="s">
        <v>2375</v>
      </c>
      <c r="B595" s="6" t="s">
        <v>2401</v>
      </c>
      <c r="C595" s="6" t="s">
        <v>4545</v>
      </c>
      <c r="D595" s="6" t="s">
        <v>2433</v>
      </c>
      <c r="E595" s="6" t="s">
        <v>4549</v>
      </c>
      <c r="F595" s="6" t="s">
        <v>4054</v>
      </c>
      <c r="G595" s="6" t="s">
        <v>4055</v>
      </c>
      <c r="H595" s="6" t="s">
        <v>3024</v>
      </c>
      <c r="I595" s="6"/>
      <c r="J595" s="6"/>
      <c r="K595" s="6" t="s">
        <v>4469</v>
      </c>
    </row>
    <row r="596" customFormat="false" ht="57.45" hidden="false" customHeight="false" outlineLevel="0" collapsed="false">
      <c r="A596" s="121" t="s">
        <v>2375</v>
      </c>
      <c r="B596" s="121" t="s">
        <v>2401</v>
      </c>
      <c r="C596" s="121" t="s">
        <v>4545</v>
      </c>
      <c r="D596" s="121" t="s">
        <v>2568</v>
      </c>
      <c r="E596" s="121" t="s">
        <v>4550</v>
      </c>
      <c r="F596" s="121" t="s">
        <v>4551</v>
      </c>
      <c r="G596" s="121" t="s">
        <v>4378</v>
      </c>
      <c r="H596" s="121" t="s">
        <v>3024</v>
      </c>
      <c r="I596" s="121"/>
      <c r="J596" s="121"/>
      <c r="K596" s="121" t="s">
        <v>4469</v>
      </c>
    </row>
    <row r="597" customFormat="false" ht="57.45" hidden="false" customHeight="false" outlineLevel="0" collapsed="false">
      <c r="A597" s="6" t="s">
        <v>2375</v>
      </c>
      <c r="B597" s="6" t="s">
        <v>2401</v>
      </c>
      <c r="C597" s="6" t="s">
        <v>4545</v>
      </c>
      <c r="D597" s="6" t="s">
        <v>2885</v>
      </c>
      <c r="E597" s="6" t="s">
        <v>4552</v>
      </c>
      <c r="F597" s="6" t="s">
        <v>4553</v>
      </c>
      <c r="G597" s="6" t="s">
        <v>4554</v>
      </c>
      <c r="H597" s="6" t="s">
        <v>3024</v>
      </c>
      <c r="I597" s="6"/>
      <c r="J597" s="6"/>
      <c r="K597" s="6" t="s">
        <v>4469</v>
      </c>
    </row>
    <row r="598" customFormat="false" ht="57.45" hidden="false" customHeight="false" outlineLevel="0" collapsed="false">
      <c r="A598" s="121" t="s">
        <v>2375</v>
      </c>
      <c r="B598" s="121" t="s">
        <v>2402</v>
      </c>
      <c r="C598" s="121" t="s">
        <v>4555</v>
      </c>
      <c r="D598" s="121" t="s">
        <v>4556</v>
      </c>
      <c r="E598" s="121" t="s">
        <v>4556</v>
      </c>
      <c r="F598" s="121" t="s">
        <v>287</v>
      </c>
      <c r="G598" s="121" t="s">
        <v>287</v>
      </c>
      <c r="H598" s="121" t="s">
        <v>3024</v>
      </c>
      <c r="I598" s="121"/>
      <c r="J598" s="121" t="s">
        <v>4557</v>
      </c>
      <c r="K598" s="121" t="s">
        <v>4469</v>
      </c>
    </row>
    <row r="599" customFormat="false" ht="57.45" hidden="false" customHeight="false" outlineLevel="0" collapsed="false">
      <c r="A599" s="6" t="s">
        <v>2375</v>
      </c>
      <c r="B599" s="6" t="s">
        <v>2402</v>
      </c>
      <c r="C599" s="6" t="s">
        <v>4555</v>
      </c>
      <c r="D599" s="6" t="s">
        <v>2519</v>
      </c>
      <c r="E599" s="6" t="s">
        <v>4558</v>
      </c>
      <c r="F599" s="6" t="s">
        <v>4559</v>
      </c>
      <c r="G599" s="6" t="s">
        <v>4560</v>
      </c>
      <c r="H599" s="6" t="s">
        <v>3024</v>
      </c>
      <c r="I599" s="6"/>
      <c r="J599" s="6"/>
      <c r="K599" s="6" t="s">
        <v>4469</v>
      </c>
    </row>
    <row r="600" customFormat="false" ht="57.45" hidden="false" customHeight="false" outlineLevel="0" collapsed="false">
      <c r="A600" s="121" t="s">
        <v>2375</v>
      </c>
      <c r="B600" s="121" t="s">
        <v>2402</v>
      </c>
      <c r="C600" s="121" t="s">
        <v>4555</v>
      </c>
      <c r="D600" s="121" t="s">
        <v>4561</v>
      </c>
      <c r="E600" s="121" t="s">
        <v>4562</v>
      </c>
      <c r="F600" s="121" t="s">
        <v>287</v>
      </c>
      <c r="G600" s="121" t="s">
        <v>287</v>
      </c>
      <c r="H600" s="121" t="s">
        <v>3024</v>
      </c>
      <c r="I600" s="121"/>
      <c r="J600" s="121" t="s">
        <v>4563</v>
      </c>
      <c r="K600" s="121" t="s">
        <v>4469</v>
      </c>
    </row>
    <row r="601" customFormat="false" ht="57.45" hidden="false" customHeight="false" outlineLevel="0" collapsed="false">
      <c r="A601" s="6" t="s">
        <v>2375</v>
      </c>
      <c r="B601" s="6" t="s">
        <v>2402</v>
      </c>
      <c r="C601" s="6" t="s">
        <v>4555</v>
      </c>
      <c r="D601" s="6" t="s">
        <v>4564</v>
      </c>
      <c r="E601" s="6" t="s">
        <v>4565</v>
      </c>
      <c r="F601" s="6" t="s">
        <v>287</v>
      </c>
      <c r="G601" s="6" t="s">
        <v>287</v>
      </c>
      <c r="H601" s="6" t="s">
        <v>3024</v>
      </c>
      <c r="I601" s="6"/>
      <c r="J601" s="6" t="s">
        <v>4566</v>
      </c>
      <c r="K601" s="6" t="s">
        <v>4469</v>
      </c>
    </row>
    <row r="602" customFormat="false" ht="57.45" hidden="false" customHeight="false" outlineLevel="0" collapsed="false">
      <c r="A602" s="121" t="s">
        <v>2375</v>
      </c>
      <c r="B602" s="121" t="s">
        <v>2403</v>
      </c>
      <c r="C602" s="121" t="s">
        <v>4567</v>
      </c>
      <c r="D602" s="121" t="s">
        <v>2434</v>
      </c>
      <c r="E602" s="121" t="s">
        <v>4568</v>
      </c>
      <c r="F602" s="121" t="s">
        <v>4054</v>
      </c>
      <c r="G602" s="121" t="s">
        <v>4055</v>
      </c>
      <c r="H602" s="121" t="s">
        <v>3024</v>
      </c>
      <c r="I602" s="121"/>
      <c r="J602" s="121"/>
      <c r="K602" s="121" t="s">
        <v>4469</v>
      </c>
    </row>
    <row r="603" customFormat="false" ht="57.45" hidden="false" customHeight="false" outlineLevel="0" collapsed="false">
      <c r="A603" s="6" t="s">
        <v>2375</v>
      </c>
      <c r="B603" s="6" t="s">
        <v>2403</v>
      </c>
      <c r="C603" s="6" t="s">
        <v>4567</v>
      </c>
      <c r="D603" s="6" t="s">
        <v>2520</v>
      </c>
      <c r="E603" s="6" t="s">
        <v>4569</v>
      </c>
      <c r="F603" s="6" t="s">
        <v>3239</v>
      </c>
      <c r="G603" s="6" t="s">
        <v>1925</v>
      </c>
      <c r="H603" s="6" t="s">
        <v>3024</v>
      </c>
      <c r="I603" s="6"/>
      <c r="J603" s="6"/>
      <c r="K603" s="6" t="s">
        <v>4469</v>
      </c>
    </row>
    <row r="604" customFormat="false" ht="57.45" hidden="false" customHeight="false" outlineLevel="0" collapsed="false">
      <c r="A604" s="121" t="s">
        <v>2375</v>
      </c>
      <c r="B604" s="121" t="s">
        <v>2403</v>
      </c>
      <c r="C604" s="121" t="s">
        <v>4567</v>
      </c>
      <c r="D604" s="121" t="s">
        <v>4570</v>
      </c>
      <c r="E604" s="121" t="s">
        <v>4571</v>
      </c>
      <c r="F604" s="121" t="s">
        <v>287</v>
      </c>
      <c r="G604" s="121" t="s">
        <v>287</v>
      </c>
      <c r="H604" s="121" t="s">
        <v>3024</v>
      </c>
      <c r="I604" s="121"/>
      <c r="J604" s="121" t="s">
        <v>4572</v>
      </c>
      <c r="K604" s="121" t="s">
        <v>4469</v>
      </c>
    </row>
    <row r="605" customFormat="false" ht="57.45" hidden="false" customHeight="false" outlineLevel="0" collapsed="false">
      <c r="A605" s="6" t="s">
        <v>2375</v>
      </c>
      <c r="B605" s="6" t="s">
        <v>2403</v>
      </c>
      <c r="C605" s="6" t="s">
        <v>4567</v>
      </c>
      <c r="D605" s="6" t="s">
        <v>2653</v>
      </c>
      <c r="E605" s="6" t="s">
        <v>4573</v>
      </c>
      <c r="F605" s="6" t="s">
        <v>4574</v>
      </c>
      <c r="G605" s="6" t="s">
        <v>3767</v>
      </c>
      <c r="H605" s="6" t="s">
        <v>3024</v>
      </c>
      <c r="I605" s="6"/>
      <c r="J605" s="6"/>
      <c r="K605" s="6" t="s">
        <v>4469</v>
      </c>
    </row>
    <row r="606" customFormat="false" ht="57.45" hidden="false" customHeight="false" outlineLevel="0" collapsed="false">
      <c r="A606" s="121" t="s">
        <v>2375</v>
      </c>
      <c r="B606" s="121" t="s">
        <v>2403</v>
      </c>
      <c r="C606" s="121" t="s">
        <v>4567</v>
      </c>
      <c r="D606" s="121" t="s">
        <v>4575</v>
      </c>
      <c r="E606" s="121" t="s">
        <v>4576</v>
      </c>
      <c r="F606" s="121" t="s">
        <v>287</v>
      </c>
      <c r="G606" s="121" t="s">
        <v>287</v>
      </c>
      <c r="H606" s="121" t="s">
        <v>3024</v>
      </c>
      <c r="I606" s="121"/>
      <c r="J606" s="121" t="s">
        <v>4577</v>
      </c>
      <c r="K606" s="121" t="s">
        <v>4469</v>
      </c>
    </row>
    <row r="607" customFormat="false" ht="57.45" hidden="false" customHeight="false" outlineLevel="0" collapsed="false">
      <c r="A607" s="6" t="s">
        <v>2375</v>
      </c>
      <c r="B607" s="6" t="s">
        <v>2403</v>
      </c>
      <c r="C607" s="6" t="s">
        <v>4567</v>
      </c>
      <c r="D607" s="6" t="s">
        <v>4578</v>
      </c>
      <c r="E607" s="6" t="s">
        <v>4579</v>
      </c>
      <c r="F607" s="6" t="s">
        <v>2071</v>
      </c>
      <c r="G607" s="6" t="s">
        <v>419</v>
      </c>
      <c r="H607" s="6" t="s">
        <v>3024</v>
      </c>
      <c r="I607" s="6"/>
      <c r="J607" s="6"/>
      <c r="K607" s="6" t="s">
        <v>4469</v>
      </c>
    </row>
    <row r="608" customFormat="false" ht="57.45" hidden="false" customHeight="false" outlineLevel="0" collapsed="false">
      <c r="A608" s="121" t="s">
        <v>2375</v>
      </c>
      <c r="B608" s="121" t="s">
        <v>2403</v>
      </c>
      <c r="C608" s="121" t="s">
        <v>4567</v>
      </c>
      <c r="D608" s="121" t="s">
        <v>4580</v>
      </c>
      <c r="E608" s="121" t="s">
        <v>4581</v>
      </c>
      <c r="F608" s="121" t="s">
        <v>287</v>
      </c>
      <c r="G608" s="121" t="s">
        <v>287</v>
      </c>
      <c r="H608" s="121" t="s">
        <v>3024</v>
      </c>
      <c r="I608" s="121"/>
      <c r="J608" s="121" t="s">
        <v>4582</v>
      </c>
      <c r="K608" s="121" t="s">
        <v>4469</v>
      </c>
    </row>
    <row r="609" customFormat="false" ht="57.45" hidden="false" customHeight="false" outlineLevel="0" collapsed="false">
      <c r="A609" s="6" t="s">
        <v>2377</v>
      </c>
      <c r="B609" s="6" t="s">
        <v>2406</v>
      </c>
      <c r="C609" s="6" t="s">
        <v>4583</v>
      </c>
      <c r="D609" s="6" t="s">
        <v>2685</v>
      </c>
      <c r="E609" s="6" t="s">
        <v>2685</v>
      </c>
      <c r="F609" s="6" t="s">
        <v>4526</v>
      </c>
      <c r="G609" s="6" t="s">
        <v>4527</v>
      </c>
      <c r="H609" s="6" t="s">
        <v>3024</v>
      </c>
      <c r="I609" s="6" t="s">
        <v>2960</v>
      </c>
      <c r="J609" s="6" t="s">
        <v>4584</v>
      </c>
      <c r="K609" s="6" t="s">
        <v>4585</v>
      </c>
    </row>
    <row r="610" customFormat="false" ht="57.45" hidden="false" customHeight="false" outlineLevel="0" collapsed="false">
      <c r="A610" s="121" t="s">
        <v>2377</v>
      </c>
      <c r="B610" s="121" t="s">
        <v>2406</v>
      </c>
      <c r="C610" s="121" t="s">
        <v>4583</v>
      </c>
      <c r="D610" s="121" t="s">
        <v>2524</v>
      </c>
      <c r="E610" s="121" t="s">
        <v>2524</v>
      </c>
      <c r="F610" s="121" t="s">
        <v>4586</v>
      </c>
      <c r="G610" s="121" t="s">
        <v>4587</v>
      </c>
      <c r="H610" s="121" t="s">
        <v>3024</v>
      </c>
      <c r="I610" s="121" t="s">
        <v>2960</v>
      </c>
      <c r="J610" s="121" t="s">
        <v>4588</v>
      </c>
      <c r="K610" s="121" t="s">
        <v>4585</v>
      </c>
    </row>
    <row r="611" customFormat="false" ht="57.45" hidden="false" customHeight="false" outlineLevel="0" collapsed="false">
      <c r="A611" s="6" t="s">
        <v>2377</v>
      </c>
      <c r="B611" s="6" t="s">
        <v>2406</v>
      </c>
      <c r="C611" s="6" t="s">
        <v>4583</v>
      </c>
      <c r="D611" s="6" t="s">
        <v>2437</v>
      </c>
      <c r="E611" s="6" t="s">
        <v>2437</v>
      </c>
      <c r="F611" s="6" t="s">
        <v>4471</v>
      </c>
      <c r="G611" s="6" t="s">
        <v>4472</v>
      </c>
      <c r="H611" s="6" t="s">
        <v>3024</v>
      </c>
      <c r="I611" s="6" t="s">
        <v>2960</v>
      </c>
      <c r="J611" s="6" t="s">
        <v>4589</v>
      </c>
      <c r="K611" s="6" t="s">
        <v>4585</v>
      </c>
    </row>
    <row r="612" customFormat="false" ht="57.45" hidden="false" customHeight="false" outlineLevel="0" collapsed="false">
      <c r="A612" s="121" t="s">
        <v>2377</v>
      </c>
      <c r="B612" s="121" t="s">
        <v>2406</v>
      </c>
      <c r="C612" s="121" t="s">
        <v>4583</v>
      </c>
      <c r="D612" s="121" t="s">
        <v>4590</v>
      </c>
      <c r="E612" s="121" t="s">
        <v>4590</v>
      </c>
      <c r="F612" s="121" t="s">
        <v>4591</v>
      </c>
      <c r="G612" s="121" t="s">
        <v>3176</v>
      </c>
      <c r="H612" s="121" t="s">
        <v>3024</v>
      </c>
      <c r="I612" s="121" t="s">
        <v>1525</v>
      </c>
      <c r="J612" s="121" t="s">
        <v>4592</v>
      </c>
      <c r="K612" s="121" t="s">
        <v>4585</v>
      </c>
    </row>
    <row r="613" customFormat="false" ht="57.45" hidden="false" customHeight="false" outlineLevel="0" collapsed="false">
      <c r="A613" s="6" t="s">
        <v>2377</v>
      </c>
      <c r="B613" s="6" t="s">
        <v>2406</v>
      </c>
      <c r="C613" s="6" t="s">
        <v>4583</v>
      </c>
      <c r="D613" s="6" t="s">
        <v>4593</v>
      </c>
      <c r="E613" s="6" t="s">
        <v>4593</v>
      </c>
      <c r="F613" s="6" t="s">
        <v>2269</v>
      </c>
      <c r="G613" s="6" t="s">
        <v>2277</v>
      </c>
      <c r="H613" s="6" t="s">
        <v>3024</v>
      </c>
      <c r="I613" s="6" t="s">
        <v>1525</v>
      </c>
      <c r="J613" s="6" t="s">
        <v>4594</v>
      </c>
      <c r="K613" s="6" t="s">
        <v>4585</v>
      </c>
    </row>
    <row r="614" customFormat="false" ht="57.45" hidden="false" customHeight="false" outlineLevel="0" collapsed="false">
      <c r="A614" s="121" t="s">
        <v>2377</v>
      </c>
      <c r="B614" s="121" t="s">
        <v>2406</v>
      </c>
      <c r="C614" s="121" t="s">
        <v>4583</v>
      </c>
      <c r="D614" s="121" t="s">
        <v>4595</v>
      </c>
      <c r="E614" s="121" t="s">
        <v>4595</v>
      </c>
      <c r="F614" s="121" t="s">
        <v>287</v>
      </c>
      <c r="G614" s="121" t="s">
        <v>287</v>
      </c>
      <c r="H614" s="121" t="s">
        <v>3024</v>
      </c>
      <c r="I614" s="121" t="s">
        <v>287</v>
      </c>
      <c r="J614" s="121" t="s">
        <v>4596</v>
      </c>
      <c r="K614" s="121" t="s">
        <v>4585</v>
      </c>
    </row>
    <row r="615" customFormat="false" ht="57.45" hidden="false" customHeight="false" outlineLevel="0" collapsed="false">
      <c r="A615" s="6" t="s">
        <v>2377</v>
      </c>
      <c r="B615" s="6" t="s">
        <v>2406</v>
      </c>
      <c r="C615" s="6" t="s">
        <v>4583</v>
      </c>
      <c r="D615" s="6" t="s">
        <v>2464</v>
      </c>
      <c r="E615" s="6" t="s">
        <v>2464</v>
      </c>
      <c r="F615" s="6" t="s">
        <v>4597</v>
      </c>
      <c r="G615" s="6" t="s">
        <v>4332</v>
      </c>
      <c r="H615" s="6" t="s">
        <v>3024</v>
      </c>
      <c r="I615" s="6" t="s">
        <v>2960</v>
      </c>
      <c r="J615" s="6" t="s">
        <v>4598</v>
      </c>
      <c r="K615" s="6" t="s">
        <v>4585</v>
      </c>
    </row>
    <row r="616" customFormat="false" ht="57.45" hidden="false" customHeight="false" outlineLevel="0" collapsed="false">
      <c r="A616" s="121" t="s">
        <v>2377</v>
      </c>
      <c r="B616" s="121" t="s">
        <v>2407</v>
      </c>
      <c r="C616" s="121" t="s">
        <v>4599</v>
      </c>
      <c r="D616" s="121" t="s">
        <v>4600</v>
      </c>
      <c r="E616" s="121"/>
      <c r="F616" s="121" t="s">
        <v>4601</v>
      </c>
      <c r="G616" s="121" t="s">
        <v>3229</v>
      </c>
      <c r="H616" s="121" t="s">
        <v>3024</v>
      </c>
      <c r="I616" s="121" t="s">
        <v>1525</v>
      </c>
      <c r="J616" s="121"/>
      <c r="K616" s="121" t="s">
        <v>4585</v>
      </c>
    </row>
    <row r="617" customFormat="false" ht="57.45" hidden="false" customHeight="false" outlineLevel="0" collapsed="false">
      <c r="A617" s="6" t="s">
        <v>2377</v>
      </c>
      <c r="B617" s="6" t="s">
        <v>2407</v>
      </c>
      <c r="C617" s="6" t="s">
        <v>4599</v>
      </c>
      <c r="D617" s="6" t="s">
        <v>2525</v>
      </c>
      <c r="E617" s="6"/>
      <c r="F617" s="6" t="s">
        <v>4602</v>
      </c>
      <c r="G617" s="6" t="s">
        <v>4603</v>
      </c>
      <c r="H617" s="6" t="s">
        <v>3024</v>
      </c>
      <c r="I617" s="6" t="s">
        <v>2960</v>
      </c>
      <c r="J617" s="6"/>
      <c r="K617" s="6" t="s">
        <v>4585</v>
      </c>
    </row>
    <row r="618" customFormat="false" ht="57.45" hidden="false" customHeight="false" outlineLevel="0" collapsed="false">
      <c r="A618" s="121" t="s">
        <v>2377</v>
      </c>
      <c r="B618" s="121" t="s">
        <v>2407</v>
      </c>
      <c r="C618" s="121" t="s">
        <v>4599</v>
      </c>
      <c r="D618" s="121" t="s">
        <v>2438</v>
      </c>
      <c r="E618" s="121"/>
      <c r="F618" s="121" t="s">
        <v>4520</v>
      </c>
      <c r="G618" s="121" t="s">
        <v>3975</v>
      </c>
      <c r="H618" s="121" t="s">
        <v>3024</v>
      </c>
      <c r="I618" s="121" t="s">
        <v>2960</v>
      </c>
      <c r="J618" s="121"/>
      <c r="K618" s="121" t="s">
        <v>4585</v>
      </c>
    </row>
    <row r="619" customFormat="false" ht="57.45" hidden="false" customHeight="false" outlineLevel="0" collapsed="false">
      <c r="A619" s="6" t="s">
        <v>2377</v>
      </c>
      <c r="B619" s="6" t="s">
        <v>2407</v>
      </c>
      <c r="C619" s="6" t="s">
        <v>4599</v>
      </c>
      <c r="D619" s="6" t="s">
        <v>4604</v>
      </c>
      <c r="E619" s="6"/>
      <c r="F619" s="6" t="s">
        <v>4605</v>
      </c>
      <c r="G619" s="6" t="s">
        <v>4606</v>
      </c>
      <c r="H619" s="6" t="s">
        <v>3024</v>
      </c>
      <c r="I619" s="6" t="s">
        <v>1525</v>
      </c>
      <c r="J619" s="6"/>
      <c r="K619" s="6" t="s">
        <v>4585</v>
      </c>
    </row>
    <row r="620" customFormat="false" ht="57.45" hidden="false" customHeight="false" outlineLevel="0" collapsed="false">
      <c r="A620" s="121" t="s">
        <v>2377</v>
      </c>
      <c r="B620" s="121" t="s">
        <v>2407</v>
      </c>
      <c r="C620" s="121" t="s">
        <v>4599</v>
      </c>
      <c r="D620" s="121" t="s">
        <v>4607</v>
      </c>
      <c r="E620" s="121"/>
      <c r="F620" s="121" t="s">
        <v>4608</v>
      </c>
      <c r="G620" s="121" t="s">
        <v>4609</v>
      </c>
      <c r="H620" s="121" t="s">
        <v>3024</v>
      </c>
      <c r="I620" s="121" t="s">
        <v>2960</v>
      </c>
      <c r="J620" s="121"/>
      <c r="K620" s="121" t="s">
        <v>4585</v>
      </c>
    </row>
    <row r="621" customFormat="false" ht="57.45" hidden="false" customHeight="false" outlineLevel="0" collapsed="false">
      <c r="A621" s="6" t="s">
        <v>2377</v>
      </c>
      <c r="B621" s="6" t="s">
        <v>2407</v>
      </c>
      <c r="C621" s="6" t="s">
        <v>4599</v>
      </c>
      <c r="D621" s="6" t="s">
        <v>4323</v>
      </c>
      <c r="E621" s="6"/>
      <c r="F621" s="6" t="s">
        <v>3455</v>
      </c>
      <c r="G621" s="6" t="s">
        <v>3456</v>
      </c>
      <c r="H621" s="6" t="s">
        <v>3024</v>
      </c>
      <c r="I621" s="6" t="s">
        <v>1525</v>
      </c>
      <c r="J621" s="6"/>
      <c r="K621" s="6" t="s">
        <v>4585</v>
      </c>
    </row>
    <row r="622" customFormat="false" ht="57.45" hidden="false" customHeight="false" outlineLevel="0" collapsed="false">
      <c r="A622" s="121" t="s">
        <v>2377</v>
      </c>
      <c r="B622" s="121" t="s">
        <v>2407</v>
      </c>
      <c r="C622" s="121" t="s">
        <v>4599</v>
      </c>
      <c r="D622" s="121" t="s">
        <v>4610</v>
      </c>
      <c r="E622" s="121"/>
      <c r="F622" s="121" t="s">
        <v>3114</v>
      </c>
      <c r="G622" s="121" t="s">
        <v>2347</v>
      </c>
      <c r="H622" s="121" t="s">
        <v>3024</v>
      </c>
      <c r="I622" s="121" t="s">
        <v>2960</v>
      </c>
      <c r="J622" s="121"/>
      <c r="K622" s="121" t="s">
        <v>4585</v>
      </c>
    </row>
    <row r="623" customFormat="false" ht="57.45" hidden="false" customHeight="false" outlineLevel="0" collapsed="false">
      <c r="A623" s="6" t="s">
        <v>2377</v>
      </c>
      <c r="B623" s="6" t="s">
        <v>2407</v>
      </c>
      <c r="C623" s="6" t="s">
        <v>4599</v>
      </c>
      <c r="D623" s="6" t="s">
        <v>4611</v>
      </c>
      <c r="E623" s="6" t="s">
        <v>287</v>
      </c>
      <c r="F623" s="6" t="s">
        <v>287</v>
      </c>
      <c r="G623" s="6" t="s">
        <v>287</v>
      </c>
      <c r="H623" s="6" t="s">
        <v>3024</v>
      </c>
      <c r="I623" s="6" t="s">
        <v>287</v>
      </c>
      <c r="J623" s="6"/>
      <c r="K623" s="6" t="s">
        <v>4585</v>
      </c>
    </row>
    <row r="624" customFormat="false" ht="57.45" hidden="false" customHeight="false" outlineLevel="0" collapsed="false">
      <c r="A624" s="121" t="s">
        <v>2377</v>
      </c>
      <c r="B624" s="121" t="s">
        <v>2407</v>
      </c>
      <c r="C624" s="121" t="s">
        <v>4599</v>
      </c>
      <c r="D624" s="121" t="s">
        <v>4612</v>
      </c>
      <c r="E624" s="121"/>
      <c r="F624" s="121" t="s">
        <v>2321</v>
      </c>
      <c r="G624" s="121" t="s">
        <v>2329</v>
      </c>
      <c r="H624" s="121" t="s">
        <v>3024</v>
      </c>
      <c r="I624" s="121" t="s">
        <v>2960</v>
      </c>
      <c r="J624" s="121"/>
      <c r="K624" s="121" t="s">
        <v>4585</v>
      </c>
    </row>
    <row r="625" customFormat="false" ht="57.45" hidden="false" customHeight="false" outlineLevel="0" collapsed="false">
      <c r="A625" s="6" t="s">
        <v>2377</v>
      </c>
      <c r="B625" s="6" t="s">
        <v>2407</v>
      </c>
      <c r="C625" s="6" t="s">
        <v>4599</v>
      </c>
      <c r="D625" s="6" t="s">
        <v>4613</v>
      </c>
      <c r="E625" s="6"/>
      <c r="F625" s="6" t="s">
        <v>2269</v>
      </c>
      <c r="G625" s="6" t="s">
        <v>2277</v>
      </c>
      <c r="H625" s="6" t="s">
        <v>3024</v>
      </c>
      <c r="I625" s="6" t="s">
        <v>1525</v>
      </c>
      <c r="J625" s="6"/>
      <c r="K625" s="6" t="s">
        <v>4585</v>
      </c>
    </row>
    <row r="626" customFormat="false" ht="79.85" hidden="false" customHeight="false" outlineLevel="0" collapsed="false">
      <c r="A626" s="121" t="s">
        <v>2377</v>
      </c>
      <c r="B626" s="121" t="s">
        <v>2408</v>
      </c>
      <c r="C626" s="121" t="s">
        <v>4614</v>
      </c>
      <c r="D626" s="121" t="s">
        <v>2526</v>
      </c>
      <c r="E626" s="121" t="s">
        <v>4615</v>
      </c>
      <c r="F626" s="121" t="s">
        <v>4616</v>
      </c>
      <c r="G626" s="121" t="s">
        <v>4617</v>
      </c>
      <c r="H626" s="121" t="s">
        <v>3024</v>
      </c>
      <c r="I626" s="121" t="s">
        <v>4618</v>
      </c>
      <c r="J626" s="121" t="s">
        <v>4619</v>
      </c>
      <c r="K626" s="121" t="s">
        <v>4585</v>
      </c>
    </row>
    <row r="627" customFormat="false" ht="169.4" hidden="false" customHeight="false" outlineLevel="0" collapsed="false">
      <c r="A627" s="6" t="s">
        <v>2377</v>
      </c>
      <c r="B627" s="6" t="s">
        <v>2408</v>
      </c>
      <c r="C627" s="6" t="s">
        <v>4614</v>
      </c>
      <c r="D627" s="6" t="s">
        <v>2629</v>
      </c>
      <c r="E627" s="6" t="s">
        <v>4620</v>
      </c>
      <c r="F627" s="6" t="s">
        <v>4621</v>
      </c>
      <c r="G627" s="6" t="s">
        <v>3176</v>
      </c>
      <c r="H627" s="6" t="s">
        <v>3024</v>
      </c>
      <c r="I627" s="6" t="s">
        <v>4622</v>
      </c>
      <c r="J627" s="6" t="s">
        <v>4623</v>
      </c>
      <c r="K627" s="6" t="s">
        <v>4585</v>
      </c>
    </row>
    <row r="628" customFormat="false" ht="57.45" hidden="false" customHeight="false" outlineLevel="0" collapsed="false">
      <c r="A628" s="121" t="s">
        <v>2377</v>
      </c>
      <c r="B628" s="121" t="s">
        <v>2408</v>
      </c>
      <c r="C628" s="121" t="s">
        <v>4614</v>
      </c>
      <c r="D628" s="121" t="s">
        <v>2439</v>
      </c>
      <c r="E628" s="121" t="s">
        <v>4624</v>
      </c>
      <c r="F628" s="121" t="s">
        <v>4625</v>
      </c>
      <c r="G628" s="121" t="s">
        <v>4626</v>
      </c>
      <c r="H628" s="121" t="s">
        <v>3024</v>
      </c>
      <c r="I628" s="121" t="s">
        <v>1525</v>
      </c>
      <c r="J628" s="121" t="s">
        <v>4627</v>
      </c>
      <c r="K628" s="121" t="s">
        <v>4585</v>
      </c>
    </row>
    <row r="629" customFormat="false" ht="57.45" hidden="false" customHeight="false" outlineLevel="0" collapsed="false">
      <c r="A629" s="6" t="s">
        <v>2377</v>
      </c>
      <c r="B629" s="6" t="s">
        <v>2408</v>
      </c>
      <c r="C629" s="6" t="s">
        <v>4614</v>
      </c>
      <c r="D629" s="6" t="s">
        <v>4628</v>
      </c>
      <c r="E629" s="6" t="s">
        <v>4629</v>
      </c>
      <c r="F629" s="6" t="s">
        <v>2269</v>
      </c>
      <c r="G629" s="6" t="s">
        <v>2277</v>
      </c>
      <c r="H629" s="6" t="s">
        <v>3024</v>
      </c>
      <c r="I629" s="6" t="s">
        <v>2960</v>
      </c>
      <c r="J629" s="6" t="s">
        <v>4630</v>
      </c>
      <c r="K629" s="6" t="s">
        <v>4585</v>
      </c>
    </row>
    <row r="630" customFormat="false" ht="57.45" hidden="false" customHeight="false" outlineLevel="0" collapsed="false">
      <c r="A630" s="121" t="s">
        <v>2377</v>
      </c>
      <c r="B630" s="121" t="s">
        <v>2408</v>
      </c>
      <c r="C630" s="121" t="s">
        <v>4614</v>
      </c>
      <c r="D630" s="121" t="s">
        <v>4631</v>
      </c>
      <c r="E630" s="121" t="s">
        <v>4632</v>
      </c>
      <c r="F630" s="121" t="s">
        <v>287</v>
      </c>
      <c r="G630" s="121" t="s">
        <v>287</v>
      </c>
      <c r="H630" s="121" t="s">
        <v>3024</v>
      </c>
      <c r="I630" s="121" t="s">
        <v>287</v>
      </c>
      <c r="J630" s="121" t="s">
        <v>4633</v>
      </c>
      <c r="K630" s="121" t="s">
        <v>4585</v>
      </c>
    </row>
    <row r="631" customFormat="false" ht="57.45" hidden="false" customHeight="false" outlineLevel="0" collapsed="false">
      <c r="A631" s="6" t="s">
        <v>2378</v>
      </c>
      <c r="B631" s="6" t="s">
        <v>2409</v>
      </c>
      <c r="C631" s="6" t="s">
        <v>4634</v>
      </c>
      <c r="D631" s="6" t="s">
        <v>4635</v>
      </c>
      <c r="E631" s="6" t="s">
        <v>4636</v>
      </c>
      <c r="F631" s="6" t="s">
        <v>4637</v>
      </c>
      <c r="G631" s="6" t="s">
        <v>4638</v>
      </c>
      <c r="H631" s="6" t="s">
        <v>3024</v>
      </c>
      <c r="I631" s="6"/>
      <c r="J631" s="6"/>
      <c r="K631" s="6" t="s">
        <v>4639</v>
      </c>
    </row>
    <row r="632" customFormat="false" ht="57.45" hidden="false" customHeight="false" outlineLevel="0" collapsed="false">
      <c r="A632" s="121" t="s">
        <v>2378</v>
      </c>
      <c r="B632" s="121" t="s">
        <v>2409</v>
      </c>
      <c r="C632" s="121" t="s">
        <v>4634</v>
      </c>
      <c r="D632" s="121" t="s">
        <v>4640</v>
      </c>
      <c r="E632" s="121" t="s">
        <v>4641</v>
      </c>
      <c r="F632" s="121" t="s">
        <v>3334</v>
      </c>
      <c r="G632" s="121" t="s">
        <v>4642</v>
      </c>
      <c r="H632" s="121" t="s">
        <v>3024</v>
      </c>
      <c r="I632" s="121"/>
      <c r="J632" s="121"/>
      <c r="K632" s="121" t="s">
        <v>4639</v>
      </c>
    </row>
    <row r="633" customFormat="false" ht="57.45" hidden="false" customHeight="false" outlineLevel="0" collapsed="false">
      <c r="A633" s="6" t="s">
        <v>2378</v>
      </c>
      <c r="B633" s="6" t="s">
        <v>2409</v>
      </c>
      <c r="C633" s="6" t="s">
        <v>4634</v>
      </c>
      <c r="D633" s="6" t="s">
        <v>2906</v>
      </c>
      <c r="E633" s="6" t="s">
        <v>4643</v>
      </c>
      <c r="F633" s="6" t="s">
        <v>4644</v>
      </c>
      <c r="G633" s="6" t="s">
        <v>4332</v>
      </c>
      <c r="H633" s="6" t="s">
        <v>3024</v>
      </c>
      <c r="I633" s="6"/>
      <c r="J633" s="6"/>
      <c r="K633" s="6" t="s">
        <v>4639</v>
      </c>
    </row>
    <row r="634" customFormat="false" ht="57.45" hidden="false" customHeight="false" outlineLevel="0" collapsed="false">
      <c r="A634" s="121" t="s">
        <v>2378</v>
      </c>
      <c r="B634" s="121" t="s">
        <v>2409</v>
      </c>
      <c r="C634" s="121" t="s">
        <v>4634</v>
      </c>
      <c r="D634" s="121" t="s">
        <v>4645</v>
      </c>
      <c r="E634" s="121" t="s">
        <v>4646</v>
      </c>
      <c r="F634" s="121" t="s">
        <v>2269</v>
      </c>
      <c r="G634" s="121" t="s">
        <v>2277</v>
      </c>
      <c r="H634" s="121" t="s">
        <v>3024</v>
      </c>
      <c r="I634" s="121"/>
      <c r="J634" s="121"/>
      <c r="K634" s="121" t="s">
        <v>4639</v>
      </c>
    </row>
    <row r="635" customFormat="false" ht="57.45" hidden="false" customHeight="false" outlineLevel="0" collapsed="false">
      <c r="A635" s="6" t="s">
        <v>2378</v>
      </c>
      <c r="B635" s="6" t="s">
        <v>2409</v>
      </c>
      <c r="C635" s="6" t="s">
        <v>4634</v>
      </c>
      <c r="D635" s="6" t="s">
        <v>2440</v>
      </c>
      <c r="E635" s="6" t="s">
        <v>4647</v>
      </c>
      <c r="F635" s="6" t="s">
        <v>4520</v>
      </c>
      <c r="G635" s="6" t="s">
        <v>3975</v>
      </c>
      <c r="H635" s="6" t="s">
        <v>3024</v>
      </c>
      <c r="I635" s="6"/>
      <c r="J635" s="6"/>
      <c r="K635" s="6" t="s">
        <v>4639</v>
      </c>
    </row>
    <row r="636" customFormat="false" ht="57.45" hidden="false" customHeight="false" outlineLevel="0" collapsed="false">
      <c r="A636" s="121" t="s">
        <v>2378</v>
      </c>
      <c r="B636" s="121" t="s">
        <v>2409</v>
      </c>
      <c r="C636" s="121" t="s">
        <v>4634</v>
      </c>
      <c r="D636" s="121" t="s">
        <v>2527</v>
      </c>
      <c r="E636" s="121" t="s">
        <v>4648</v>
      </c>
      <c r="F636" s="121" t="s">
        <v>4649</v>
      </c>
      <c r="G636" s="121" t="s">
        <v>4650</v>
      </c>
      <c r="H636" s="121" t="s">
        <v>3024</v>
      </c>
      <c r="I636" s="121"/>
      <c r="J636" s="121"/>
      <c r="K636" s="121" t="s">
        <v>4639</v>
      </c>
    </row>
    <row r="637" customFormat="false" ht="57.45" hidden="false" customHeight="false" outlineLevel="0" collapsed="false">
      <c r="A637" s="6" t="s">
        <v>2378</v>
      </c>
      <c r="B637" s="6" t="s">
        <v>2409</v>
      </c>
      <c r="C637" s="6" t="s">
        <v>4634</v>
      </c>
      <c r="D637" s="6" t="s">
        <v>4651</v>
      </c>
      <c r="E637" s="6" t="s">
        <v>4652</v>
      </c>
      <c r="F637" s="6" t="s">
        <v>287</v>
      </c>
      <c r="G637" s="6" t="s">
        <v>287</v>
      </c>
      <c r="H637" s="6" t="s">
        <v>3024</v>
      </c>
      <c r="I637" s="6"/>
      <c r="J637" s="6" t="s">
        <v>4653</v>
      </c>
      <c r="K637" s="6" t="s">
        <v>4639</v>
      </c>
    </row>
    <row r="638" customFormat="false" ht="57.45" hidden="false" customHeight="false" outlineLevel="0" collapsed="false">
      <c r="A638" s="121" t="s">
        <v>2378</v>
      </c>
      <c r="B638" s="121" t="s">
        <v>2409</v>
      </c>
      <c r="C638" s="121" t="s">
        <v>4634</v>
      </c>
      <c r="D638" s="121" t="s">
        <v>4654</v>
      </c>
      <c r="E638" s="121" t="s">
        <v>4655</v>
      </c>
      <c r="F638" s="121" t="s">
        <v>2339</v>
      </c>
      <c r="G638" s="121" t="s">
        <v>2347</v>
      </c>
      <c r="H638" s="121" t="s">
        <v>3024</v>
      </c>
      <c r="I638" s="121"/>
      <c r="J638" s="121"/>
      <c r="K638" s="121" t="s">
        <v>4639</v>
      </c>
    </row>
    <row r="639" customFormat="false" ht="57.45" hidden="false" customHeight="false" outlineLevel="0" collapsed="false">
      <c r="A639" s="6" t="s">
        <v>2378</v>
      </c>
      <c r="B639" s="6" t="s">
        <v>2409</v>
      </c>
      <c r="C639" s="6" t="s">
        <v>4634</v>
      </c>
      <c r="D639" s="6" t="s">
        <v>4656</v>
      </c>
      <c r="E639" s="6" t="s">
        <v>4657</v>
      </c>
      <c r="F639" s="6" t="s">
        <v>4601</v>
      </c>
      <c r="G639" s="6" t="s">
        <v>3229</v>
      </c>
      <c r="H639" s="6" t="s">
        <v>3024</v>
      </c>
      <c r="I639" s="6"/>
      <c r="J639" s="6"/>
      <c r="K639" s="6" t="s">
        <v>4639</v>
      </c>
    </row>
    <row r="640" customFormat="false" ht="57.45" hidden="false" customHeight="false" outlineLevel="0" collapsed="false">
      <c r="A640" s="121" t="s">
        <v>2378</v>
      </c>
      <c r="B640" s="121" t="s">
        <v>2409</v>
      </c>
      <c r="C640" s="121" t="s">
        <v>4634</v>
      </c>
      <c r="D640" s="121" t="s">
        <v>4658</v>
      </c>
      <c r="E640" s="121" t="s">
        <v>4659</v>
      </c>
      <c r="F640" s="121" t="s">
        <v>287</v>
      </c>
      <c r="G640" s="121" t="s">
        <v>287</v>
      </c>
      <c r="H640" s="121" t="s">
        <v>3024</v>
      </c>
      <c r="I640" s="121"/>
      <c r="J640" s="121" t="s">
        <v>4660</v>
      </c>
      <c r="K640" s="121" t="s">
        <v>4639</v>
      </c>
    </row>
    <row r="641" customFormat="false" ht="57.45" hidden="false" customHeight="false" outlineLevel="0" collapsed="false">
      <c r="A641" s="6" t="s">
        <v>2378</v>
      </c>
      <c r="B641" s="6" t="s">
        <v>2409</v>
      </c>
      <c r="C641" s="6" t="s">
        <v>4634</v>
      </c>
      <c r="D641" s="6" t="s">
        <v>4661</v>
      </c>
      <c r="E641" s="6" t="s">
        <v>4662</v>
      </c>
      <c r="F641" s="6" t="s">
        <v>2321</v>
      </c>
      <c r="G641" s="6" t="s">
        <v>2329</v>
      </c>
      <c r="H641" s="6" t="s">
        <v>3024</v>
      </c>
      <c r="I641" s="6"/>
      <c r="J641" s="6"/>
      <c r="K641" s="6" t="s">
        <v>4639</v>
      </c>
    </row>
    <row r="642" customFormat="false" ht="57.45" hidden="false" customHeight="false" outlineLevel="0" collapsed="false">
      <c r="A642" s="121" t="s">
        <v>2378</v>
      </c>
      <c r="B642" s="121" t="s">
        <v>2409</v>
      </c>
      <c r="C642" s="121" t="s">
        <v>4634</v>
      </c>
      <c r="D642" s="121" t="s">
        <v>4663</v>
      </c>
      <c r="E642" s="121" t="s">
        <v>4664</v>
      </c>
      <c r="F642" s="121" t="s">
        <v>2305</v>
      </c>
      <c r="G642" s="121" t="s">
        <v>2312</v>
      </c>
      <c r="H642" s="121" t="s">
        <v>3024</v>
      </c>
      <c r="I642" s="121"/>
      <c r="J642" s="121"/>
      <c r="K642" s="121" t="s">
        <v>4639</v>
      </c>
    </row>
    <row r="643" customFormat="false" ht="57.45" hidden="false" customHeight="false" outlineLevel="0" collapsed="false">
      <c r="A643" s="6" t="s">
        <v>2378</v>
      </c>
      <c r="B643" s="6" t="s">
        <v>2410</v>
      </c>
      <c r="C643" s="6" t="s">
        <v>4665</v>
      </c>
      <c r="D643" s="6" t="s">
        <v>4666</v>
      </c>
      <c r="E643" s="6" t="s">
        <v>4667</v>
      </c>
      <c r="F643" s="6" t="s">
        <v>4668</v>
      </c>
      <c r="G643" s="6" t="s">
        <v>4669</v>
      </c>
      <c r="H643" s="6" t="s">
        <v>3024</v>
      </c>
      <c r="I643" s="6"/>
      <c r="J643" s="6"/>
      <c r="K643" s="6" t="s">
        <v>4639</v>
      </c>
    </row>
    <row r="644" customFormat="false" ht="57.45" hidden="false" customHeight="false" outlineLevel="0" collapsed="false">
      <c r="A644" s="121" t="s">
        <v>2378</v>
      </c>
      <c r="B644" s="121" t="s">
        <v>2410</v>
      </c>
      <c r="C644" s="121" t="s">
        <v>4665</v>
      </c>
      <c r="D644" s="121" t="s">
        <v>2686</v>
      </c>
      <c r="E644" s="121" t="s">
        <v>4670</v>
      </c>
      <c r="F644" s="121" t="s">
        <v>4671</v>
      </c>
      <c r="G644" s="121" t="s">
        <v>4672</v>
      </c>
      <c r="H644" s="121" t="s">
        <v>3024</v>
      </c>
      <c r="I644" s="121"/>
      <c r="J644" s="121"/>
      <c r="K644" s="121" t="s">
        <v>4639</v>
      </c>
    </row>
    <row r="645" customFormat="false" ht="57.45" hidden="false" customHeight="false" outlineLevel="0" collapsed="false">
      <c r="A645" s="6" t="s">
        <v>2378</v>
      </c>
      <c r="B645" s="6" t="s">
        <v>2410</v>
      </c>
      <c r="C645" s="6" t="s">
        <v>4665</v>
      </c>
      <c r="D645" s="6" t="s">
        <v>4673</v>
      </c>
      <c r="E645" s="6" t="s">
        <v>4674</v>
      </c>
      <c r="F645" s="6" t="s">
        <v>2234</v>
      </c>
      <c r="G645" s="6" t="s">
        <v>2242</v>
      </c>
      <c r="H645" s="6" t="s">
        <v>3024</v>
      </c>
      <c r="I645" s="6"/>
      <c r="J645" s="6"/>
      <c r="K645" s="6" t="s">
        <v>4639</v>
      </c>
    </row>
    <row r="646" customFormat="false" ht="57.45" hidden="false" customHeight="false" outlineLevel="0" collapsed="false">
      <c r="A646" s="121" t="s">
        <v>2378</v>
      </c>
      <c r="B646" s="121" t="s">
        <v>2410</v>
      </c>
      <c r="C646" s="121" t="s">
        <v>4665</v>
      </c>
      <c r="D646" s="121" t="s">
        <v>4675</v>
      </c>
      <c r="E646" s="121" t="s">
        <v>4676</v>
      </c>
      <c r="F646" s="121" t="s">
        <v>3460</v>
      </c>
      <c r="G646" s="121" t="s">
        <v>3461</v>
      </c>
      <c r="H646" s="121" t="s">
        <v>3024</v>
      </c>
      <c r="I646" s="121"/>
      <c r="J646" s="121"/>
      <c r="K646" s="121" t="s">
        <v>4639</v>
      </c>
    </row>
    <row r="647" customFormat="false" ht="57.45" hidden="false" customHeight="false" outlineLevel="0" collapsed="false">
      <c r="A647" s="6" t="s">
        <v>2378</v>
      </c>
      <c r="B647" s="6" t="s">
        <v>2410</v>
      </c>
      <c r="C647" s="6" t="s">
        <v>4665</v>
      </c>
      <c r="D647" s="6" t="s">
        <v>2812</v>
      </c>
      <c r="E647" s="6" t="s">
        <v>4677</v>
      </c>
      <c r="F647" s="6" t="s">
        <v>4678</v>
      </c>
      <c r="G647" s="6" t="s">
        <v>1815</v>
      </c>
      <c r="H647" s="6" t="s">
        <v>3024</v>
      </c>
      <c r="I647" s="6"/>
      <c r="J647" s="6"/>
      <c r="K647" s="6" t="s">
        <v>4639</v>
      </c>
    </row>
    <row r="648" customFormat="false" ht="57.45" hidden="false" customHeight="false" outlineLevel="0" collapsed="false">
      <c r="A648" s="121" t="s">
        <v>2378</v>
      </c>
      <c r="B648" s="121" t="s">
        <v>2410</v>
      </c>
      <c r="C648" s="121" t="s">
        <v>4665</v>
      </c>
      <c r="D648" s="121" t="s">
        <v>4679</v>
      </c>
      <c r="E648" s="121" t="s">
        <v>4680</v>
      </c>
      <c r="F648" s="121" t="s">
        <v>4681</v>
      </c>
      <c r="G648" s="121" t="s">
        <v>2127</v>
      </c>
      <c r="H648" s="121" t="s">
        <v>3024</v>
      </c>
      <c r="I648" s="121"/>
      <c r="J648" s="121"/>
      <c r="K648" s="121" t="s">
        <v>4639</v>
      </c>
    </row>
    <row r="649" customFormat="false" ht="57.45" hidden="false" customHeight="false" outlineLevel="0" collapsed="false">
      <c r="A649" s="6" t="s">
        <v>2378</v>
      </c>
      <c r="B649" s="6" t="s">
        <v>2410</v>
      </c>
      <c r="C649" s="6" t="s">
        <v>4665</v>
      </c>
      <c r="D649" s="6" t="s">
        <v>4682</v>
      </c>
      <c r="E649" s="6" t="s">
        <v>4683</v>
      </c>
      <c r="F649" s="6" t="s">
        <v>2234</v>
      </c>
      <c r="G649" s="6" t="s">
        <v>2242</v>
      </c>
      <c r="H649" s="6" t="s">
        <v>3024</v>
      </c>
      <c r="I649" s="6"/>
      <c r="J649" s="6"/>
      <c r="K649" s="6" t="s">
        <v>4639</v>
      </c>
    </row>
    <row r="650" customFormat="false" ht="57.45" hidden="false" customHeight="false" outlineLevel="0" collapsed="false">
      <c r="A650" s="121" t="s">
        <v>2378</v>
      </c>
      <c r="B650" s="121" t="s">
        <v>2410</v>
      </c>
      <c r="C650" s="121" t="s">
        <v>4665</v>
      </c>
      <c r="D650" s="121" t="s">
        <v>4684</v>
      </c>
      <c r="E650" s="121" t="s">
        <v>4685</v>
      </c>
      <c r="F650" s="121" t="s">
        <v>287</v>
      </c>
      <c r="G650" s="121" t="s">
        <v>287</v>
      </c>
      <c r="H650" s="121" t="s">
        <v>3024</v>
      </c>
      <c r="I650" s="121"/>
      <c r="J650" s="121" t="s">
        <v>4686</v>
      </c>
      <c r="K650" s="121" t="s">
        <v>4639</v>
      </c>
    </row>
    <row r="651" customFormat="false" ht="57.45" hidden="false" customHeight="false" outlineLevel="0" collapsed="false">
      <c r="A651" s="6" t="s">
        <v>2378</v>
      </c>
      <c r="B651" s="6" t="s">
        <v>2410</v>
      </c>
      <c r="C651" s="6" t="s">
        <v>4665</v>
      </c>
      <c r="D651" s="6" t="s">
        <v>4687</v>
      </c>
      <c r="E651" s="6" t="s">
        <v>4688</v>
      </c>
      <c r="F651" s="6" t="s">
        <v>287</v>
      </c>
      <c r="G651" s="6" t="s">
        <v>287</v>
      </c>
      <c r="H651" s="6" t="s">
        <v>3024</v>
      </c>
      <c r="I651" s="6"/>
      <c r="J651" s="6" t="s">
        <v>4689</v>
      </c>
      <c r="K651" s="6" t="s">
        <v>4639</v>
      </c>
    </row>
    <row r="652" customFormat="false" ht="57.45" hidden="false" customHeight="false" outlineLevel="0" collapsed="false">
      <c r="A652" s="121" t="s">
        <v>2378</v>
      </c>
      <c r="B652" s="121" t="s">
        <v>2410</v>
      </c>
      <c r="C652" s="121" t="s">
        <v>4665</v>
      </c>
      <c r="D652" s="121" t="s">
        <v>4690</v>
      </c>
      <c r="E652" s="121" t="s">
        <v>4691</v>
      </c>
      <c r="F652" s="121" t="s">
        <v>287</v>
      </c>
      <c r="G652" s="121" t="s">
        <v>287</v>
      </c>
      <c r="H652" s="121" t="s">
        <v>3024</v>
      </c>
      <c r="I652" s="121"/>
      <c r="J652" s="121" t="s">
        <v>4692</v>
      </c>
      <c r="K652" s="121" t="s">
        <v>4639</v>
      </c>
    </row>
    <row r="653" customFormat="false" ht="57.45" hidden="false" customHeight="false" outlineLevel="0" collapsed="false">
      <c r="A653" s="6" t="s">
        <v>2378</v>
      </c>
      <c r="B653" s="6" t="s">
        <v>2410</v>
      </c>
      <c r="C653" s="6" t="s">
        <v>4665</v>
      </c>
      <c r="D653" s="6" t="s">
        <v>4693</v>
      </c>
      <c r="E653" s="6" t="s">
        <v>4694</v>
      </c>
      <c r="F653" s="6" t="s">
        <v>4695</v>
      </c>
      <c r="G653" s="6" t="s">
        <v>4696</v>
      </c>
      <c r="H653" s="6" t="s">
        <v>3024</v>
      </c>
      <c r="I653" s="6"/>
      <c r="J653" s="6"/>
      <c r="K653" s="6" t="s">
        <v>4639</v>
      </c>
    </row>
    <row r="654" customFormat="false" ht="46.25" hidden="false" customHeight="false" outlineLevel="0" collapsed="false">
      <c r="A654" s="121" t="s">
        <v>2373</v>
      </c>
      <c r="B654" s="121" t="s">
        <v>240</v>
      </c>
      <c r="C654" s="121" t="s">
        <v>4697</v>
      </c>
      <c r="D654" s="121" t="s">
        <v>4698</v>
      </c>
      <c r="E654" s="121" t="s">
        <v>4699</v>
      </c>
      <c r="F654" s="121" t="s">
        <v>287</v>
      </c>
      <c r="G654" s="121" t="s">
        <v>1798</v>
      </c>
      <c r="H654" s="121" t="s">
        <v>2959</v>
      </c>
      <c r="I654" s="121" t="s">
        <v>1525</v>
      </c>
      <c r="J654" s="121" t="s">
        <v>4700</v>
      </c>
      <c r="K654" s="121" t="s">
        <v>4701</v>
      </c>
    </row>
    <row r="655" customFormat="false" ht="46.25" hidden="false" customHeight="false" outlineLevel="0" collapsed="false">
      <c r="A655" s="6" t="s">
        <v>2373</v>
      </c>
      <c r="B655" s="6" t="s">
        <v>240</v>
      </c>
      <c r="C655" s="6" t="s">
        <v>4697</v>
      </c>
      <c r="D655" s="6" t="s">
        <v>4702</v>
      </c>
      <c r="E655" s="6" t="s">
        <v>4703</v>
      </c>
      <c r="F655" s="6" t="s">
        <v>287</v>
      </c>
      <c r="G655" s="6" t="s">
        <v>824</v>
      </c>
      <c r="H655" s="6" t="s">
        <v>2959</v>
      </c>
      <c r="I655" s="6" t="s">
        <v>1525</v>
      </c>
      <c r="J655" s="6" t="s">
        <v>4704</v>
      </c>
      <c r="K655" s="6" t="s">
        <v>4701</v>
      </c>
    </row>
    <row r="656" customFormat="false" ht="46.25" hidden="false" customHeight="false" outlineLevel="0" collapsed="false">
      <c r="A656" s="121" t="s">
        <v>2373</v>
      </c>
      <c r="B656" s="121" t="s">
        <v>240</v>
      </c>
      <c r="C656" s="121" t="s">
        <v>4697</v>
      </c>
      <c r="D656" s="121" t="s">
        <v>4705</v>
      </c>
      <c r="E656" s="121" t="s">
        <v>4706</v>
      </c>
      <c r="F656" s="121" t="s">
        <v>931</v>
      </c>
      <c r="G656" s="121" t="s">
        <v>291</v>
      </c>
      <c r="H656" s="121" t="s">
        <v>2959</v>
      </c>
      <c r="I656" s="121" t="s">
        <v>1525</v>
      </c>
      <c r="J656" s="121" t="s">
        <v>4707</v>
      </c>
      <c r="K656" s="121" t="s">
        <v>4701</v>
      </c>
    </row>
    <row r="657" customFormat="false" ht="46.25" hidden="false" customHeight="false" outlineLevel="0" collapsed="false">
      <c r="A657" s="6" t="s">
        <v>2373</v>
      </c>
      <c r="B657" s="6" t="s">
        <v>240</v>
      </c>
      <c r="C657" s="6" t="s">
        <v>4697</v>
      </c>
      <c r="D657" s="6" t="s">
        <v>4708</v>
      </c>
      <c r="E657" s="6" t="s">
        <v>4709</v>
      </c>
      <c r="F657" s="6" t="s">
        <v>2287</v>
      </c>
      <c r="G657" s="6" t="s">
        <v>287</v>
      </c>
      <c r="H657" s="6" t="s">
        <v>2959</v>
      </c>
      <c r="I657" s="6" t="s">
        <v>1525</v>
      </c>
      <c r="J657" s="6" t="s">
        <v>4710</v>
      </c>
      <c r="K657" s="6" t="s">
        <v>4701</v>
      </c>
    </row>
    <row r="658" customFormat="false" ht="46.25" hidden="false" customHeight="false" outlineLevel="0" collapsed="false">
      <c r="A658" s="121" t="s">
        <v>2373</v>
      </c>
      <c r="B658" s="121" t="s">
        <v>240</v>
      </c>
      <c r="C658" s="121" t="s">
        <v>4697</v>
      </c>
      <c r="D658" s="121" t="s">
        <v>1029</v>
      </c>
      <c r="E658" s="121" t="s">
        <v>4711</v>
      </c>
      <c r="F658" s="121" t="s">
        <v>2217</v>
      </c>
      <c r="G658" s="121" t="s">
        <v>4712</v>
      </c>
      <c r="H658" s="121" t="s">
        <v>2959</v>
      </c>
      <c r="I658" s="121" t="s">
        <v>1525</v>
      </c>
      <c r="J658" s="121" t="s">
        <v>4713</v>
      </c>
      <c r="K658" s="121" t="s">
        <v>4701</v>
      </c>
    </row>
    <row r="659" customFormat="false" ht="46.25" hidden="false" customHeight="false" outlineLevel="0" collapsed="false">
      <c r="A659" s="6" t="s">
        <v>2373</v>
      </c>
      <c r="B659" s="6" t="s">
        <v>240</v>
      </c>
      <c r="C659" s="6" t="s">
        <v>4697</v>
      </c>
      <c r="D659" s="6" t="s">
        <v>4714</v>
      </c>
      <c r="E659" s="6" t="s">
        <v>4715</v>
      </c>
      <c r="F659" s="6" t="s">
        <v>287</v>
      </c>
      <c r="G659" s="6" t="s">
        <v>843</v>
      </c>
      <c r="H659" s="6" t="s">
        <v>2959</v>
      </c>
      <c r="I659" s="6" t="s">
        <v>1525</v>
      </c>
      <c r="J659" s="6" t="s">
        <v>4716</v>
      </c>
      <c r="K659" s="6" t="s">
        <v>4701</v>
      </c>
    </row>
    <row r="660" customFormat="false" ht="46.25" hidden="false" customHeight="false" outlineLevel="0" collapsed="false">
      <c r="A660" s="121" t="s">
        <v>2373</v>
      </c>
      <c r="B660" s="121" t="s">
        <v>240</v>
      </c>
      <c r="C660" s="121" t="s">
        <v>4697</v>
      </c>
      <c r="D660" s="121" t="s">
        <v>4717</v>
      </c>
      <c r="E660" s="121" t="s">
        <v>4718</v>
      </c>
      <c r="F660" s="121" t="s">
        <v>287</v>
      </c>
      <c r="G660" s="121" t="s">
        <v>843</v>
      </c>
      <c r="H660" s="121" t="s">
        <v>2959</v>
      </c>
      <c r="I660" s="121" t="s">
        <v>2960</v>
      </c>
      <c r="J660" s="121" t="s">
        <v>4719</v>
      </c>
      <c r="K660" s="121" t="s">
        <v>4701</v>
      </c>
    </row>
    <row r="661" customFormat="false" ht="46.25" hidden="false" customHeight="false" outlineLevel="0" collapsed="false">
      <c r="A661" s="6" t="s">
        <v>2373</v>
      </c>
      <c r="B661" s="6" t="s">
        <v>240</v>
      </c>
      <c r="C661" s="6" t="s">
        <v>4697</v>
      </c>
      <c r="D661" s="6" t="s">
        <v>4720</v>
      </c>
      <c r="E661" s="6" t="s">
        <v>4721</v>
      </c>
      <c r="F661" s="6" t="s">
        <v>287</v>
      </c>
      <c r="G661" s="6" t="s">
        <v>4722</v>
      </c>
      <c r="H661" s="6" t="s">
        <v>2959</v>
      </c>
      <c r="I661" s="6" t="s">
        <v>1525</v>
      </c>
      <c r="J661" s="6" t="s">
        <v>4723</v>
      </c>
      <c r="K661" s="6" t="s">
        <v>4701</v>
      </c>
    </row>
    <row r="662" customFormat="false" ht="46.25" hidden="false" customHeight="false" outlineLevel="0" collapsed="false">
      <c r="A662" s="121" t="s">
        <v>2373</v>
      </c>
      <c r="B662" s="121" t="s">
        <v>240</v>
      </c>
      <c r="C662" s="121" t="s">
        <v>4697</v>
      </c>
      <c r="D662" s="121" t="s">
        <v>4724</v>
      </c>
      <c r="E662" s="121" t="s">
        <v>4725</v>
      </c>
      <c r="F662" s="121" t="s">
        <v>287</v>
      </c>
      <c r="G662" s="121" t="s">
        <v>1354</v>
      </c>
      <c r="H662" s="121" t="s">
        <v>2959</v>
      </c>
      <c r="I662" s="121" t="s">
        <v>2960</v>
      </c>
      <c r="J662" s="121" t="s">
        <v>4726</v>
      </c>
      <c r="K662" s="121" t="s">
        <v>4701</v>
      </c>
    </row>
    <row r="663" customFormat="false" ht="46.25" hidden="false" customHeight="false" outlineLevel="0" collapsed="false">
      <c r="A663" s="6" t="s">
        <v>2373</v>
      </c>
      <c r="B663" s="6" t="s">
        <v>240</v>
      </c>
      <c r="C663" s="6" t="s">
        <v>4697</v>
      </c>
      <c r="D663" s="6" t="s">
        <v>4727</v>
      </c>
      <c r="E663" s="6" t="s">
        <v>4728</v>
      </c>
      <c r="F663" s="6" t="s">
        <v>2071</v>
      </c>
      <c r="G663" s="6" t="s">
        <v>4729</v>
      </c>
      <c r="H663" s="6" t="s">
        <v>2959</v>
      </c>
      <c r="I663" s="6" t="s">
        <v>1525</v>
      </c>
      <c r="J663" s="6" t="s">
        <v>4730</v>
      </c>
      <c r="K663" s="6" t="s">
        <v>4701</v>
      </c>
    </row>
    <row r="664" customFormat="false" ht="46.25" hidden="false" customHeight="false" outlineLevel="0" collapsed="false">
      <c r="A664" s="121" t="s">
        <v>2373</v>
      </c>
      <c r="B664" s="121" t="s">
        <v>240</v>
      </c>
      <c r="C664" s="121" t="s">
        <v>4697</v>
      </c>
      <c r="D664" s="121" t="s">
        <v>4731</v>
      </c>
      <c r="E664" s="121" t="s">
        <v>4732</v>
      </c>
      <c r="F664" s="121" t="s">
        <v>287</v>
      </c>
      <c r="G664" s="121" t="s">
        <v>603</v>
      </c>
      <c r="H664" s="121" t="s">
        <v>2959</v>
      </c>
      <c r="I664" s="121" t="s">
        <v>2960</v>
      </c>
      <c r="J664" s="121" t="s">
        <v>4733</v>
      </c>
      <c r="K664" s="121" t="s">
        <v>4701</v>
      </c>
    </row>
    <row r="665" customFormat="false" ht="46.25" hidden="false" customHeight="false" outlineLevel="0" collapsed="false">
      <c r="A665" s="6" t="s">
        <v>2373</v>
      </c>
      <c r="B665" s="6" t="s">
        <v>240</v>
      </c>
      <c r="C665" s="6" t="s">
        <v>4697</v>
      </c>
      <c r="D665" s="6" t="s">
        <v>331</v>
      </c>
      <c r="E665" s="6" t="s">
        <v>4734</v>
      </c>
      <c r="F665" s="6" t="s">
        <v>287</v>
      </c>
      <c r="G665" s="6" t="s">
        <v>4735</v>
      </c>
      <c r="H665" s="6" t="s">
        <v>2959</v>
      </c>
      <c r="I665" s="6" t="s">
        <v>1525</v>
      </c>
      <c r="J665" s="6" t="s">
        <v>4736</v>
      </c>
      <c r="K665" s="6" t="s">
        <v>4701</v>
      </c>
    </row>
    <row r="666" customFormat="false" ht="46.25" hidden="false" customHeight="false" outlineLevel="0" collapsed="false">
      <c r="A666" s="121" t="s">
        <v>2373</v>
      </c>
      <c r="B666" s="121" t="s">
        <v>240</v>
      </c>
      <c r="C666" s="121" t="s">
        <v>4697</v>
      </c>
      <c r="D666" s="121" t="s">
        <v>4737</v>
      </c>
      <c r="E666" s="121" t="s">
        <v>4738</v>
      </c>
      <c r="F666" s="121" t="s">
        <v>287</v>
      </c>
      <c r="G666" s="121" t="s">
        <v>4739</v>
      </c>
      <c r="H666" s="121" t="s">
        <v>2959</v>
      </c>
      <c r="I666" s="121" t="s">
        <v>2960</v>
      </c>
      <c r="J666" s="121" t="s">
        <v>4740</v>
      </c>
      <c r="K666" s="121" t="s">
        <v>4701</v>
      </c>
    </row>
    <row r="667" customFormat="false" ht="46.25" hidden="false" customHeight="false" outlineLevel="0" collapsed="false">
      <c r="A667" s="6" t="s">
        <v>2373</v>
      </c>
      <c r="B667" s="6" t="s">
        <v>240</v>
      </c>
      <c r="C667" s="6" t="s">
        <v>4697</v>
      </c>
      <c r="D667" s="6" t="s">
        <v>999</v>
      </c>
      <c r="E667" s="6" t="s">
        <v>4741</v>
      </c>
      <c r="F667" s="6" t="s">
        <v>287</v>
      </c>
      <c r="G667" s="6" t="s">
        <v>4742</v>
      </c>
      <c r="H667" s="6" t="s">
        <v>2959</v>
      </c>
      <c r="I667" s="6" t="s">
        <v>1525</v>
      </c>
      <c r="J667" s="6" t="s">
        <v>4743</v>
      </c>
      <c r="K667" s="6" t="s">
        <v>4701</v>
      </c>
    </row>
    <row r="668" customFormat="false" ht="46.25" hidden="false" customHeight="false" outlineLevel="0" collapsed="false">
      <c r="A668" s="121" t="s">
        <v>2373</v>
      </c>
      <c r="B668" s="121" t="s">
        <v>240</v>
      </c>
      <c r="C668" s="121" t="s">
        <v>4697</v>
      </c>
      <c r="D668" s="121" t="s">
        <v>4744</v>
      </c>
      <c r="E668" s="121" t="s">
        <v>4745</v>
      </c>
      <c r="F668" s="121" t="s">
        <v>2088</v>
      </c>
      <c r="G668" s="121" t="s">
        <v>419</v>
      </c>
      <c r="H668" s="121" t="s">
        <v>2959</v>
      </c>
      <c r="I668" s="121" t="s">
        <v>1525</v>
      </c>
      <c r="J668" s="121" t="s">
        <v>4746</v>
      </c>
      <c r="K668" s="121" t="s">
        <v>4701</v>
      </c>
    </row>
    <row r="669" customFormat="false" ht="46.25" hidden="false" customHeight="false" outlineLevel="0" collapsed="false">
      <c r="A669" s="6" t="s">
        <v>2373</v>
      </c>
      <c r="B669" s="6" t="s">
        <v>240</v>
      </c>
      <c r="C669" s="6" t="s">
        <v>4697</v>
      </c>
      <c r="D669" s="6" t="s">
        <v>1014</v>
      </c>
      <c r="E669" s="6" t="s">
        <v>4747</v>
      </c>
      <c r="F669" s="6" t="s">
        <v>287</v>
      </c>
      <c r="G669" s="6" t="s">
        <v>4748</v>
      </c>
      <c r="H669" s="6" t="s">
        <v>2959</v>
      </c>
      <c r="I669" s="6" t="s">
        <v>2960</v>
      </c>
      <c r="J669" s="6" t="s">
        <v>4749</v>
      </c>
      <c r="K669" s="6" t="s">
        <v>4701</v>
      </c>
    </row>
    <row r="670" customFormat="false" ht="46.25" hidden="false" customHeight="false" outlineLevel="0" collapsed="false">
      <c r="A670" s="121" t="s">
        <v>2373</v>
      </c>
      <c r="B670" s="121" t="s">
        <v>240</v>
      </c>
      <c r="C670" s="121" t="s">
        <v>4697</v>
      </c>
      <c r="D670" s="121" t="s">
        <v>4750</v>
      </c>
      <c r="E670" s="121" t="s">
        <v>4751</v>
      </c>
      <c r="F670" s="121" t="s">
        <v>287</v>
      </c>
      <c r="G670" s="121" t="s">
        <v>4752</v>
      </c>
      <c r="H670" s="121" t="s">
        <v>2959</v>
      </c>
      <c r="I670" s="121" t="s">
        <v>2960</v>
      </c>
      <c r="J670" s="121" t="s">
        <v>4753</v>
      </c>
      <c r="K670" s="121" t="s">
        <v>4701</v>
      </c>
    </row>
    <row r="671" customFormat="false" ht="46.25" hidden="false" customHeight="false" outlineLevel="0" collapsed="false">
      <c r="A671" s="6" t="s">
        <v>2373</v>
      </c>
      <c r="B671" s="6" t="s">
        <v>240</v>
      </c>
      <c r="C671" s="6" t="s">
        <v>4697</v>
      </c>
      <c r="D671" s="6" t="s">
        <v>4754</v>
      </c>
      <c r="E671" s="6" t="s">
        <v>4755</v>
      </c>
      <c r="F671" s="6" t="s">
        <v>287</v>
      </c>
      <c r="G671" s="6" t="s">
        <v>563</v>
      </c>
      <c r="H671" s="6" t="s">
        <v>2959</v>
      </c>
      <c r="I671" s="6" t="s">
        <v>2960</v>
      </c>
      <c r="J671" s="6" t="s">
        <v>4756</v>
      </c>
      <c r="K671" s="6" t="s">
        <v>4701</v>
      </c>
    </row>
    <row r="672" customFormat="false" ht="46.25" hidden="false" customHeight="false" outlineLevel="0" collapsed="false">
      <c r="A672" s="121" t="s">
        <v>2373</v>
      </c>
      <c r="B672" s="121" t="s">
        <v>240</v>
      </c>
      <c r="C672" s="121" t="s">
        <v>4697</v>
      </c>
      <c r="D672" s="121" t="s">
        <v>4757</v>
      </c>
      <c r="E672" s="121" t="s">
        <v>4758</v>
      </c>
      <c r="F672" s="121" t="s">
        <v>287</v>
      </c>
      <c r="G672" s="121" t="s">
        <v>1351</v>
      </c>
      <c r="H672" s="121" t="s">
        <v>2959</v>
      </c>
      <c r="I672" s="121" t="s">
        <v>1525</v>
      </c>
      <c r="J672" s="121" t="s">
        <v>4759</v>
      </c>
      <c r="K672" s="121" t="s">
        <v>4701</v>
      </c>
    </row>
    <row r="673" customFormat="false" ht="46.25" hidden="false" customHeight="false" outlineLevel="0" collapsed="false">
      <c r="A673" s="6" t="s">
        <v>2373</v>
      </c>
      <c r="B673" s="6" t="s">
        <v>240</v>
      </c>
      <c r="C673" s="6" t="s">
        <v>4697</v>
      </c>
      <c r="D673" s="6" t="s">
        <v>4760</v>
      </c>
      <c r="E673" s="6" t="s">
        <v>4761</v>
      </c>
      <c r="F673" s="6" t="s">
        <v>3239</v>
      </c>
      <c r="G673" s="6" t="s">
        <v>4762</v>
      </c>
      <c r="H673" s="6" t="s">
        <v>2959</v>
      </c>
      <c r="I673" s="6" t="s">
        <v>2960</v>
      </c>
      <c r="J673" s="6" t="s">
        <v>4763</v>
      </c>
      <c r="K673" s="6" t="s">
        <v>4701</v>
      </c>
    </row>
    <row r="674" customFormat="false" ht="46.25" hidden="false" customHeight="false" outlineLevel="0" collapsed="false">
      <c r="A674" s="121" t="s">
        <v>2373</v>
      </c>
      <c r="B674" s="121" t="s">
        <v>240</v>
      </c>
      <c r="C674" s="121" t="s">
        <v>4697</v>
      </c>
      <c r="D674" s="121" t="s">
        <v>4764</v>
      </c>
      <c r="E674" s="121" t="s">
        <v>4765</v>
      </c>
      <c r="F674" s="121" t="s">
        <v>2057</v>
      </c>
      <c r="G674" s="121" t="s">
        <v>419</v>
      </c>
      <c r="H674" s="121" t="s">
        <v>2959</v>
      </c>
      <c r="I674" s="121" t="s">
        <v>1525</v>
      </c>
      <c r="J674" s="121" t="s">
        <v>4746</v>
      </c>
      <c r="K674" s="121" t="s">
        <v>4701</v>
      </c>
    </row>
    <row r="675" customFormat="false" ht="46.25" hidden="false" customHeight="false" outlineLevel="0" collapsed="false">
      <c r="A675" s="6" t="s">
        <v>2373</v>
      </c>
      <c r="B675" s="6" t="s">
        <v>240</v>
      </c>
      <c r="C675" s="6" t="s">
        <v>4697</v>
      </c>
      <c r="D675" s="6" t="s">
        <v>803</v>
      </c>
      <c r="E675" s="6" t="s">
        <v>4766</v>
      </c>
      <c r="F675" s="6" t="s">
        <v>287</v>
      </c>
      <c r="G675" s="6" t="s">
        <v>4767</v>
      </c>
      <c r="H675" s="6" t="s">
        <v>2959</v>
      </c>
      <c r="I675" s="6" t="s">
        <v>2960</v>
      </c>
      <c r="J675" s="6" t="s">
        <v>4768</v>
      </c>
      <c r="K675" s="6" t="s">
        <v>4701</v>
      </c>
    </row>
    <row r="676" customFormat="false" ht="46.25" hidden="false" customHeight="false" outlineLevel="0" collapsed="false">
      <c r="A676" s="121" t="s">
        <v>2373</v>
      </c>
      <c r="B676" s="121" t="s">
        <v>240</v>
      </c>
      <c r="C676" s="121" t="s">
        <v>4697</v>
      </c>
      <c r="D676" s="121" t="s">
        <v>764</v>
      </c>
      <c r="E676" s="121" t="s">
        <v>4769</v>
      </c>
      <c r="F676" s="121" t="s">
        <v>287</v>
      </c>
      <c r="G676" s="121" t="s">
        <v>4770</v>
      </c>
      <c r="H676" s="121" t="s">
        <v>2959</v>
      </c>
      <c r="I676" s="121" t="s">
        <v>2960</v>
      </c>
      <c r="J676" s="121" t="s">
        <v>4771</v>
      </c>
      <c r="K676" s="121" t="s">
        <v>4701</v>
      </c>
    </row>
    <row r="677" customFormat="false" ht="46.25" hidden="false" customHeight="false" outlineLevel="0" collapsed="false">
      <c r="A677" s="6" t="s">
        <v>2373</v>
      </c>
      <c r="B677" s="6" t="s">
        <v>240</v>
      </c>
      <c r="C677" s="6" t="s">
        <v>4697</v>
      </c>
      <c r="D677" s="6" t="s">
        <v>1076</v>
      </c>
      <c r="E677" s="6" t="s">
        <v>4772</v>
      </c>
      <c r="F677" s="6" t="s">
        <v>287</v>
      </c>
      <c r="G677" s="6" t="s">
        <v>4773</v>
      </c>
      <c r="H677" s="6" t="s">
        <v>2959</v>
      </c>
      <c r="I677" s="6" t="s">
        <v>2960</v>
      </c>
      <c r="J677" s="6" t="s">
        <v>4774</v>
      </c>
      <c r="K677" s="6" t="s">
        <v>4701</v>
      </c>
    </row>
    <row r="678" customFormat="false" ht="46.25" hidden="false" customHeight="false" outlineLevel="0" collapsed="false">
      <c r="A678" s="121" t="s">
        <v>2373</v>
      </c>
      <c r="B678" s="121" t="s">
        <v>240</v>
      </c>
      <c r="C678" s="121" t="s">
        <v>4697</v>
      </c>
      <c r="D678" s="121" t="s">
        <v>1124</v>
      </c>
      <c r="E678" s="121" t="s">
        <v>4775</v>
      </c>
      <c r="F678" s="121" t="s">
        <v>287</v>
      </c>
      <c r="G678" s="121" t="s">
        <v>4776</v>
      </c>
      <c r="H678" s="121" t="s">
        <v>2959</v>
      </c>
      <c r="I678" s="121" t="s">
        <v>2960</v>
      </c>
      <c r="J678" s="121" t="s">
        <v>4777</v>
      </c>
      <c r="K678" s="121" t="s">
        <v>4701</v>
      </c>
    </row>
    <row r="679" customFormat="false" ht="46.25" hidden="false" customHeight="false" outlineLevel="0" collapsed="false">
      <c r="A679" s="6" t="s">
        <v>2373</v>
      </c>
      <c r="B679" s="6" t="s">
        <v>240</v>
      </c>
      <c r="C679" s="6" t="s">
        <v>4697</v>
      </c>
      <c r="D679" s="6" t="s">
        <v>559</v>
      </c>
      <c r="E679" s="6" t="s">
        <v>4778</v>
      </c>
      <c r="F679" s="6" t="s">
        <v>287</v>
      </c>
      <c r="G679" s="6" t="s">
        <v>3344</v>
      </c>
      <c r="H679" s="6" t="s">
        <v>2959</v>
      </c>
      <c r="I679" s="6" t="s">
        <v>2960</v>
      </c>
      <c r="J679" s="6" t="s">
        <v>4779</v>
      </c>
      <c r="K679" s="6" t="s">
        <v>4701</v>
      </c>
    </row>
    <row r="680" customFormat="false" ht="46.25" hidden="false" customHeight="false" outlineLevel="0" collapsed="false">
      <c r="A680" s="121" t="s">
        <v>2373</v>
      </c>
      <c r="B680" s="121" t="s">
        <v>240</v>
      </c>
      <c r="C680" s="121" t="s">
        <v>4697</v>
      </c>
      <c r="D680" s="121" t="s">
        <v>4780</v>
      </c>
      <c r="E680" s="121" t="s">
        <v>4781</v>
      </c>
      <c r="F680" s="121" t="s">
        <v>287</v>
      </c>
      <c r="G680" s="121" t="s">
        <v>3337</v>
      </c>
      <c r="H680" s="121" t="s">
        <v>2959</v>
      </c>
      <c r="I680" s="121" t="s">
        <v>2960</v>
      </c>
      <c r="J680" s="121" t="s">
        <v>4782</v>
      </c>
      <c r="K680" s="121" t="s">
        <v>4701</v>
      </c>
    </row>
    <row r="681" customFormat="false" ht="46.25" hidden="false" customHeight="false" outlineLevel="0" collapsed="false">
      <c r="A681" s="6" t="s">
        <v>2373</v>
      </c>
      <c r="B681" s="6" t="s">
        <v>240</v>
      </c>
      <c r="C681" s="6" t="s">
        <v>4697</v>
      </c>
      <c r="D681" s="6" t="s">
        <v>4783</v>
      </c>
      <c r="E681" s="6" t="s">
        <v>4784</v>
      </c>
      <c r="F681" s="6" t="s">
        <v>287</v>
      </c>
      <c r="G681" s="6" t="s">
        <v>4785</v>
      </c>
      <c r="H681" s="6" t="s">
        <v>2959</v>
      </c>
      <c r="I681" s="6" t="s">
        <v>1525</v>
      </c>
      <c r="J681" s="6" t="s">
        <v>4786</v>
      </c>
      <c r="K681" s="6" t="s">
        <v>4701</v>
      </c>
    </row>
    <row r="682" customFormat="false" ht="46.25" hidden="false" customHeight="false" outlineLevel="0" collapsed="false">
      <c r="A682" s="121" t="s">
        <v>2373</v>
      </c>
      <c r="B682" s="121" t="s">
        <v>240</v>
      </c>
      <c r="C682" s="121" t="s">
        <v>4697</v>
      </c>
      <c r="D682" s="121" t="s">
        <v>4787</v>
      </c>
      <c r="E682" s="121" t="s">
        <v>4788</v>
      </c>
      <c r="F682" s="121" t="s">
        <v>287</v>
      </c>
      <c r="G682" s="121" t="s">
        <v>504</v>
      </c>
      <c r="H682" s="121" t="s">
        <v>2959</v>
      </c>
      <c r="I682" s="121" t="s">
        <v>1525</v>
      </c>
      <c r="J682" s="121" t="s">
        <v>4789</v>
      </c>
      <c r="K682" s="121" t="s">
        <v>4701</v>
      </c>
    </row>
    <row r="683" customFormat="false" ht="46.25" hidden="false" customHeight="false" outlineLevel="0" collapsed="false">
      <c r="A683" s="6" t="s">
        <v>2373</v>
      </c>
      <c r="B683" s="6" t="s">
        <v>240</v>
      </c>
      <c r="C683" s="6" t="s">
        <v>4697</v>
      </c>
      <c r="D683" s="6" t="s">
        <v>4790</v>
      </c>
      <c r="E683" s="6" t="s">
        <v>4791</v>
      </c>
      <c r="F683" s="6" t="s">
        <v>287</v>
      </c>
      <c r="G683" s="6" t="s">
        <v>3347</v>
      </c>
      <c r="H683" s="6" t="s">
        <v>2959</v>
      </c>
      <c r="I683" s="6" t="s">
        <v>2960</v>
      </c>
      <c r="J683" s="6" t="s">
        <v>4792</v>
      </c>
      <c r="K683" s="6" t="s">
        <v>4701</v>
      </c>
    </row>
    <row r="684" customFormat="false" ht="46.25" hidden="false" customHeight="false" outlineLevel="0" collapsed="false">
      <c r="A684" s="121" t="s">
        <v>2373</v>
      </c>
      <c r="B684" s="121" t="s">
        <v>240</v>
      </c>
      <c r="C684" s="121" t="s">
        <v>4697</v>
      </c>
      <c r="D684" s="121" t="s">
        <v>4793</v>
      </c>
      <c r="E684" s="121" t="s">
        <v>4794</v>
      </c>
      <c r="F684" s="121" t="s">
        <v>2041</v>
      </c>
      <c r="G684" s="121" t="s">
        <v>4795</v>
      </c>
      <c r="H684" s="121" t="s">
        <v>2959</v>
      </c>
      <c r="I684" s="121" t="s">
        <v>1525</v>
      </c>
      <c r="J684" s="121" t="s">
        <v>4796</v>
      </c>
      <c r="K684" s="121" t="s">
        <v>4701</v>
      </c>
    </row>
    <row r="685" customFormat="false" ht="46.25" hidden="false" customHeight="false" outlineLevel="0" collapsed="false">
      <c r="A685" s="6" t="s">
        <v>2373</v>
      </c>
      <c r="B685" s="6" t="s">
        <v>240</v>
      </c>
      <c r="C685" s="6" t="s">
        <v>4697</v>
      </c>
      <c r="D685" s="6" t="s">
        <v>1108</v>
      </c>
      <c r="E685" s="6" t="s">
        <v>4797</v>
      </c>
      <c r="F685" s="6" t="s">
        <v>287</v>
      </c>
      <c r="G685" s="6" t="s">
        <v>4798</v>
      </c>
      <c r="H685" s="6" t="s">
        <v>2959</v>
      </c>
      <c r="I685" s="6" t="s">
        <v>2960</v>
      </c>
      <c r="J685" s="6" t="s">
        <v>4799</v>
      </c>
      <c r="K685" s="6" t="s">
        <v>4701</v>
      </c>
    </row>
    <row r="686" customFormat="false" ht="46.25" hidden="false" customHeight="false" outlineLevel="0" collapsed="false">
      <c r="A686" s="121" t="s">
        <v>2373</v>
      </c>
      <c r="B686" s="121" t="s">
        <v>240</v>
      </c>
      <c r="C686" s="121" t="s">
        <v>4697</v>
      </c>
      <c r="D686" s="121" t="s">
        <v>4800</v>
      </c>
      <c r="E686" s="121" t="s">
        <v>4801</v>
      </c>
      <c r="F686" s="121" t="s">
        <v>287</v>
      </c>
      <c r="G686" s="121" t="s">
        <v>4802</v>
      </c>
      <c r="H686" s="121" t="s">
        <v>2959</v>
      </c>
      <c r="I686" s="121" t="s">
        <v>2960</v>
      </c>
      <c r="J686" s="121" t="s">
        <v>4803</v>
      </c>
      <c r="K686" s="121" t="s">
        <v>4701</v>
      </c>
    </row>
    <row r="687" customFormat="false" ht="46.25" hidden="false" customHeight="false" outlineLevel="0" collapsed="false">
      <c r="A687" s="6" t="s">
        <v>2373</v>
      </c>
      <c r="B687" s="6" t="s">
        <v>240</v>
      </c>
      <c r="C687" s="6" t="s">
        <v>4697</v>
      </c>
      <c r="D687" s="6" t="s">
        <v>4804</v>
      </c>
      <c r="E687" s="6" t="s">
        <v>4805</v>
      </c>
      <c r="F687" s="6" t="s">
        <v>670</v>
      </c>
      <c r="G687" s="6" t="s">
        <v>443</v>
      </c>
      <c r="H687" s="6" t="s">
        <v>2959</v>
      </c>
      <c r="I687" s="6" t="s">
        <v>1525</v>
      </c>
      <c r="J687" s="6" t="s">
        <v>4806</v>
      </c>
      <c r="K687" s="6" t="s">
        <v>4701</v>
      </c>
    </row>
    <row r="688" customFormat="false" ht="46.25" hidden="false" customHeight="false" outlineLevel="0" collapsed="false">
      <c r="A688" s="121" t="s">
        <v>2373</v>
      </c>
      <c r="B688" s="121" t="s">
        <v>240</v>
      </c>
      <c r="C688" s="121" t="s">
        <v>4697</v>
      </c>
      <c r="D688" s="121" t="s">
        <v>4807</v>
      </c>
      <c r="E688" s="121" t="s">
        <v>4808</v>
      </c>
      <c r="F688" s="121" t="s">
        <v>287</v>
      </c>
      <c r="G688" s="121" t="s">
        <v>4809</v>
      </c>
      <c r="H688" s="121" t="s">
        <v>2959</v>
      </c>
      <c r="I688" s="121" t="s">
        <v>2960</v>
      </c>
      <c r="J688" s="121" t="s">
        <v>4810</v>
      </c>
      <c r="K688" s="121" t="s">
        <v>4701</v>
      </c>
    </row>
    <row r="689" customFormat="false" ht="46.25" hidden="false" customHeight="false" outlineLevel="0" collapsed="false">
      <c r="A689" s="6" t="s">
        <v>2373</v>
      </c>
      <c r="B689" s="6" t="s">
        <v>240</v>
      </c>
      <c r="C689" s="6" t="s">
        <v>4697</v>
      </c>
      <c r="D689" s="6" t="s">
        <v>984</v>
      </c>
      <c r="E689" s="6" t="s">
        <v>4811</v>
      </c>
      <c r="F689" s="6" t="s">
        <v>287</v>
      </c>
      <c r="G689" s="6" t="s">
        <v>4812</v>
      </c>
      <c r="H689" s="6" t="s">
        <v>2959</v>
      </c>
      <c r="I689" s="6" t="s">
        <v>2960</v>
      </c>
      <c r="J689" s="6" t="s">
        <v>4813</v>
      </c>
      <c r="K689" s="6" t="s">
        <v>4701</v>
      </c>
    </row>
    <row r="690" customFormat="false" ht="46.25" hidden="false" customHeight="false" outlineLevel="0" collapsed="false">
      <c r="A690" s="121" t="s">
        <v>2373</v>
      </c>
      <c r="B690" s="121" t="s">
        <v>240</v>
      </c>
      <c r="C690" s="121" t="s">
        <v>4697</v>
      </c>
      <c r="D690" s="121" t="s">
        <v>4814</v>
      </c>
      <c r="E690" s="121" t="s">
        <v>4815</v>
      </c>
      <c r="F690" s="121" t="s">
        <v>287</v>
      </c>
      <c r="G690" s="121" t="s">
        <v>4739</v>
      </c>
      <c r="H690" s="121" t="s">
        <v>2959</v>
      </c>
      <c r="I690" s="121" t="s">
        <v>1525</v>
      </c>
      <c r="J690" s="121" t="s">
        <v>4816</v>
      </c>
      <c r="K690" s="121" t="s">
        <v>4701</v>
      </c>
    </row>
    <row r="691" customFormat="false" ht="46.25" hidden="false" customHeight="false" outlineLevel="0" collapsed="false">
      <c r="A691" s="6" t="s">
        <v>2373</v>
      </c>
      <c r="B691" s="6" t="s">
        <v>240</v>
      </c>
      <c r="C691" s="6" t="s">
        <v>4697</v>
      </c>
      <c r="D691" s="6" t="s">
        <v>4817</v>
      </c>
      <c r="E691" s="6" t="s">
        <v>4818</v>
      </c>
      <c r="F691" s="6" t="s">
        <v>884</v>
      </c>
      <c r="G691" s="6" t="s">
        <v>4819</v>
      </c>
      <c r="H691" s="6" t="s">
        <v>2959</v>
      </c>
      <c r="I691" s="6" t="s">
        <v>1525</v>
      </c>
      <c r="J691" s="6" t="s">
        <v>4820</v>
      </c>
      <c r="K691" s="6" t="s">
        <v>4701</v>
      </c>
    </row>
    <row r="692" customFormat="false" ht="46.25" hidden="false" customHeight="false" outlineLevel="0" collapsed="false">
      <c r="A692" s="121" t="s">
        <v>2373</v>
      </c>
      <c r="B692" s="121" t="s">
        <v>240</v>
      </c>
      <c r="C692" s="121" t="s">
        <v>4697</v>
      </c>
      <c r="D692" s="121" t="s">
        <v>4821</v>
      </c>
      <c r="E692" s="121" t="s">
        <v>4822</v>
      </c>
      <c r="F692" s="121" t="s">
        <v>287</v>
      </c>
      <c r="G692" s="121" t="s">
        <v>464</v>
      </c>
      <c r="H692" s="121" t="s">
        <v>2959</v>
      </c>
      <c r="I692" s="121" t="s">
        <v>2960</v>
      </c>
      <c r="J692" s="121" t="s">
        <v>4823</v>
      </c>
      <c r="K692" s="121" t="s">
        <v>4701</v>
      </c>
    </row>
    <row r="693" customFormat="false" ht="46.25" hidden="false" customHeight="false" outlineLevel="0" collapsed="false">
      <c r="A693" s="6" t="s">
        <v>2373</v>
      </c>
      <c r="B693" s="6" t="s">
        <v>240</v>
      </c>
      <c r="C693" s="6" t="s">
        <v>4697</v>
      </c>
      <c r="D693" s="6" t="s">
        <v>4824</v>
      </c>
      <c r="E693" s="6" t="s">
        <v>4825</v>
      </c>
      <c r="F693" s="6" t="s">
        <v>287</v>
      </c>
      <c r="G693" s="6" t="s">
        <v>4826</v>
      </c>
      <c r="H693" s="6" t="s">
        <v>2959</v>
      </c>
      <c r="I693" s="6" t="s">
        <v>2960</v>
      </c>
      <c r="J693" s="6" t="s">
        <v>4827</v>
      </c>
      <c r="K693" s="6" t="s">
        <v>4701</v>
      </c>
    </row>
    <row r="694" customFormat="false" ht="46.25" hidden="false" customHeight="false" outlineLevel="0" collapsed="false">
      <c r="A694" s="121" t="s">
        <v>2373</v>
      </c>
      <c r="B694" s="121" t="s">
        <v>240</v>
      </c>
      <c r="C694" s="121" t="s">
        <v>4697</v>
      </c>
      <c r="D694" s="121" t="s">
        <v>4828</v>
      </c>
      <c r="E694" s="121" t="s">
        <v>4829</v>
      </c>
      <c r="F694" s="121" t="s">
        <v>884</v>
      </c>
      <c r="G694" s="121" t="s">
        <v>4830</v>
      </c>
      <c r="H694" s="121" t="s">
        <v>2959</v>
      </c>
      <c r="I694" s="121" t="s">
        <v>1525</v>
      </c>
      <c r="J694" s="121" t="s">
        <v>4831</v>
      </c>
      <c r="K694" s="121" t="s">
        <v>4701</v>
      </c>
    </row>
    <row r="695" customFormat="false" ht="46.25" hidden="false" customHeight="false" outlineLevel="0" collapsed="false">
      <c r="A695" s="6" t="s">
        <v>2373</v>
      </c>
      <c r="B695" s="6" t="s">
        <v>240</v>
      </c>
      <c r="C695" s="6" t="s">
        <v>4697</v>
      </c>
      <c r="D695" s="6" t="s">
        <v>4832</v>
      </c>
      <c r="E695" s="6" t="s">
        <v>4833</v>
      </c>
      <c r="F695" s="6" t="s">
        <v>287</v>
      </c>
      <c r="G695" s="6" t="s">
        <v>879</v>
      </c>
      <c r="H695" s="6" t="s">
        <v>2959</v>
      </c>
      <c r="I695" s="6" t="s">
        <v>2960</v>
      </c>
      <c r="J695" s="6" t="s">
        <v>4834</v>
      </c>
      <c r="K695" s="6" t="s">
        <v>4701</v>
      </c>
    </row>
    <row r="696" customFormat="false" ht="46.25" hidden="false" customHeight="false" outlineLevel="0" collapsed="false">
      <c r="A696" s="121" t="s">
        <v>2373</v>
      </c>
      <c r="B696" s="121" t="s">
        <v>240</v>
      </c>
      <c r="C696" s="121" t="s">
        <v>4697</v>
      </c>
      <c r="D696" s="121" t="s">
        <v>1090</v>
      </c>
      <c r="E696" s="121" t="s">
        <v>4835</v>
      </c>
      <c r="F696" s="121" t="s">
        <v>287</v>
      </c>
      <c r="G696" s="121" t="s">
        <v>4836</v>
      </c>
      <c r="H696" s="121" t="s">
        <v>2959</v>
      </c>
      <c r="I696" s="121" t="s">
        <v>1525</v>
      </c>
      <c r="J696" s="121" t="s">
        <v>4837</v>
      </c>
      <c r="K696" s="121" t="s">
        <v>4701</v>
      </c>
    </row>
    <row r="697" customFormat="false" ht="46.25" hidden="false" customHeight="false" outlineLevel="0" collapsed="false">
      <c r="A697" s="6" t="s">
        <v>2373</v>
      </c>
      <c r="B697" s="6" t="s">
        <v>240</v>
      </c>
      <c r="C697" s="6" t="s">
        <v>4697</v>
      </c>
      <c r="D697" s="6" t="s">
        <v>4838</v>
      </c>
      <c r="E697" s="6" t="s">
        <v>4839</v>
      </c>
      <c r="F697" s="6" t="s">
        <v>287</v>
      </c>
      <c r="G697" s="6" t="s">
        <v>1360</v>
      </c>
      <c r="H697" s="6" t="s">
        <v>2959</v>
      </c>
      <c r="I697" s="6" t="s">
        <v>2960</v>
      </c>
      <c r="J697" s="6" t="s">
        <v>4840</v>
      </c>
      <c r="K697" s="6" t="s">
        <v>4701</v>
      </c>
    </row>
    <row r="698" customFormat="false" ht="46.25" hidden="false" customHeight="false" outlineLevel="0" collapsed="false">
      <c r="A698" s="121" t="s">
        <v>2373</v>
      </c>
      <c r="B698" s="121" t="s">
        <v>240</v>
      </c>
      <c r="C698" s="121" t="s">
        <v>4697</v>
      </c>
      <c r="D698" s="121" t="s">
        <v>4841</v>
      </c>
      <c r="E698" s="121" t="s">
        <v>4842</v>
      </c>
      <c r="F698" s="121" t="s">
        <v>287</v>
      </c>
      <c r="G698" s="121" t="s">
        <v>912</v>
      </c>
      <c r="H698" s="121" t="s">
        <v>2959</v>
      </c>
      <c r="I698" s="121" t="s">
        <v>2960</v>
      </c>
      <c r="J698" s="121" t="s">
        <v>4843</v>
      </c>
      <c r="K698" s="121" t="s">
        <v>4701</v>
      </c>
    </row>
    <row r="699" customFormat="false" ht="46.25" hidden="false" customHeight="false" outlineLevel="0" collapsed="false">
      <c r="A699" s="6" t="s">
        <v>2373</v>
      </c>
      <c r="B699" s="6" t="s">
        <v>240</v>
      </c>
      <c r="C699" s="6" t="s">
        <v>4697</v>
      </c>
      <c r="D699" s="6" t="s">
        <v>4844</v>
      </c>
      <c r="E699" s="6" t="s">
        <v>4845</v>
      </c>
      <c r="F699" s="6" t="s">
        <v>287</v>
      </c>
      <c r="G699" s="6" t="s">
        <v>927</v>
      </c>
      <c r="H699" s="6" t="s">
        <v>2959</v>
      </c>
      <c r="I699" s="6" t="s">
        <v>2960</v>
      </c>
      <c r="J699" s="6" t="s">
        <v>4846</v>
      </c>
      <c r="K699" s="6" t="s">
        <v>4701</v>
      </c>
    </row>
    <row r="700" customFormat="false" ht="46.25" hidden="false" customHeight="false" outlineLevel="0" collapsed="false">
      <c r="A700" s="121" t="s">
        <v>2373</v>
      </c>
      <c r="B700" s="121" t="s">
        <v>240</v>
      </c>
      <c r="C700" s="121" t="s">
        <v>4697</v>
      </c>
      <c r="D700" s="121" t="s">
        <v>4847</v>
      </c>
      <c r="E700" s="121" t="s">
        <v>4848</v>
      </c>
      <c r="F700" s="121" t="s">
        <v>2287</v>
      </c>
      <c r="G700" s="121" t="s">
        <v>4849</v>
      </c>
      <c r="H700" s="121" t="s">
        <v>2959</v>
      </c>
      <c r="I700" s="121" t="s">
        <v>1525</v>
      </c>
      <c r="J700" s="121" t="s">
        <v>4850</v>
      </c>
      <c r="K700" s="121" t="s">
        <v>4701</v>
      </c>
    </row>
    <row r="701" customFormat="false" ht="46.25" hidden="false" customHeight="false" outlineLevel="0" collapsed="false">
      <c r="A701" s="6" t="s">
        <v>2373</v>
      </c>
      <c r="B701" s="6" t="s">
        <v>240</v>
      </c>
      <c r="C701" s="6" t="s">
        <v>4697</v>
      </c>
      <c r="D701" s="6" t="s">
        <v>955</v>
      </c>
      <c r="E701" s="6" t="s">
        <v>4851</v>
      </c>
      <c r="F701" s="6" t="s">
        <v>287</v>
      </c>
      <c r="G701" s="6" t="s">
        <v>4852</v>
      </c>
      <c r="H701" s="6" t="s">
        <v>2959</v>
      </c>
      <c r="I701" s="6" t="s">
        <v>2960</v>
      </c>
      <c r="J701" s="6" t="s">
        <v>4853</v>
      </c>
      <c r="K701" s="6" t="s">
        <v>4701</v>
      </c>
    </row>
    <row r="702" customFormat="false" ht="46.25" hidden="false" customHeight="false" outlineLevel="0" collapsed="false">
      <c r="A702" s="121" t="s">
        <v>2373</v>
      </c>
      <c r="B702" s="121" t="s">
        <v>240</v>
      </c>
      <c r="C702" s="121" t="s">
        <v>4697</v>
      </c>
      <c r="D702" s="121" t="s">
        <v>4854</v>
      </c>
      <c r="E702" s="121" t="s">
        <v>4855</v>
      </c>
      <c r="F702" s="121" t="s">
        <v>287</v>
      </c>
      <c r="G702" s="121" t="s">
        <v>860</v>
      </c>
      <c r="H702" s="121" t="s">
        <v>2959</v>
      </c>
      <c r="I702" s="121" t="s">
        <v>2960</v>
      </c>
      <c r="J702" s="121" t="s">
        <v>4856</v>
      </c>
      <c r="K702" s="121" t="s">
        <v>4701</v>
      </c>
    </row>
    <row r="703" customFormat="false" ht="46.25" hidden="false" customHeight="false" outlineLevel="0" collapsed="false">
      <c r="A703" s="6" t="s">
        <v>2373</v>
      </c>
      <c r="B703" s="6" t="s">
        <v>240</v>
      </c>
      <c r="C703" s="6" t="s">
        <v>4697</v>
      </c>
      <c r="D703" s="6" t="s">
        <v>4857</v>
      </c>
      <c r="E703" s="6" t="s">
        <v>4858</v>
      </c>
      <c r="F703" s="6" t="s">
        <v>287</v>
      </c>
      <c r="G703" s="6" t="s">
        <v>4859</v>
      </c>
      <c r="H703" s="6" t="s">
        <v>2959</v>
      </c>
      <c r="I703" s="6" t="s">
        <v>1525</v>
      </c>
      <c r="J703" s="6" t="s">
        <v>4860</v>
      </c>
      <c r="K703" s="6" t="s">
        <v>4701</v>
      </c>
    </row>
    <row r="704" customFormat="false" ht="46.25" hidden="false" customHeight="false" outlineLevel="0" collapsed="false">
      <c r="A704" s="121" t="s">
        <v>2373</v>
      </c>
      <c r="B704" s="121" t="s">
        <v>240</v>
      </c>
      <c r="C704" s="121" t="s">
        <v>4697</v>
      </c>
      <c r="D704" s="121" t="s">
        <v>4861</v>
      </c>
      <c r="E704" s="121" t="s">
        <v>4862</v>
      </c>
      <c r="F704" s="121" t="s">
        <v>287</v>
      </c>
      <c r="G704" s="121" t="s">
        <v>1986</v>
      </c>
      <c r="H704" s="121" t="s">
        <v>2959</v>
      </c>
      <c r="I704" s="121" t="s">
        <v>2960</v>
      </c>
      <c r="J704" s="121" t="s">
        <v>4863</v>
      </c>
      <c r="K704" s="121" t="s">
        <v>4701</v>
      </c>
    </row>
    <row r="705" customFormat="false" ht="46.25" hidden="false" customHeight="false" outlineLevel="0" collapsed="false">
      <c r="A705" s="6" t="s">
        <v>2373</v>
      </c>
      <c r="B705" s="6" t="s">
        <v>240</v>
      </c>
      <c r="C705" s="6" t="s">
        <v>4697</v>
      </c>
      <c r="D705" s="6" t="s">
        <v>4864</v>
      </c>
      <c r="E705" s="6" t="s">
        <v>4865</v>
      </c>
      <c r="F705" s="6" t="s">
        <v>287</v>
      </c>
      <c r="G705" s="6" t="s">
        <v>4866</v>
      </c>
      <c r="H705" s="6" t="s">
        <v>2959</v>
      </c>
      <c r="I705" s="6" t="s">
        <v>2960</v>
      </c>
      <c r="J705" s="6" t="s">
        <v>4867</v>
      </c>
      <c r="K705" s="6" t="s">
        <v>4701</v>
      </c>
    </row>
    <row r="706" customFormat="false" ht="46.25" hidden="false" customHeight="false" outlineLevel="0" collapsed="false">
      <c r="A706" s="121" t="s">
        <v>2373</v>
      </c>
      <c r="B706" s="121" t="s">
        <v>240</v>
      </c>
      <c r="C706" s="121" t="s">
        <v>4697</v>
      </c>
      <c r="D706" s="121" t="s">
        <v>4868</v>
      </c>
      <c r="E706" s="121" t="s">
        <v>4869</v>
      </c>
      <c r="F706" s="121" t="s">
        <v>287</v>
      </c>
      <c r="G706" s="121" t="s">
        <v>685</v>
      </c>
      <c r="H706" s="121" t="s">
        <v>2959</v>
      </c>
      <c r="I706" s="121" t="s">
        <v>2960</v>
      </c>
      <c r="J706" s="121" t="s">
        <v>4870</v>
      </c>
      <c r="K706" s="121" t="s">
        <v>4701</v>
      </c>
    </row>
    <row r="707" customFormat="false" ht="46.25" hidden="false" customHeight="false" outlineLevel="0" collapsed="false">
      <c r="A707" s="6" t="s">
        <v>2373</v>
      </c>
      <c r="B707" s="6" t="s">
        <v>240</v>
      </c>
      <c r="C707" s="6" t="s">
        <v>4697</v>
      </c>
      <c r="D707" s="6" t="s">
        <v>784</v>
      </c>
      <c r="E707" s="6" t="s">
        <v>4871</v>
      </c>
      <c r="F707" s="6" t="s">
        <v>287</v>
      </c>
      <c r="G707" s="6" t="s">
        <v>769</v>
      </c>
      <c r="H707" s="6" t="s">
        <v>2959</v>
      </c>
      <c r="I707" s="6" t="s">
        <v>2960</v>
      </c>
      <c r="J707" s="6" t="s">
        <v>4872</v>
      </c>
      <c r="K707" s="6" t="s">
        <v>4701</v>
      </c>
    </row>
    <row r="708" customFormat="false" ht="46.25" hidden="false" customHeight="false" outlineLevel="0" collapsed="false">
      <c r="A708" s="121" t="s">
        <v>2373</v>
      </c>
      <c r="B708" s="121" t="s">
        <v>240</v>
      </c>
      <c r="C708" s="121" t="s">
        <v>4697</v>
      </c>
      <c r="D708" s="121" t="s">
        <v>4873</v>
      </c>
      <c r="E708" s="121" t="s">
        <v>4874</v>
      </c>
      <c r="F708" s="121" t="s">
        <v>287</v>
      </c>
      <c r="G708" s="121" t="s">
        <v>4875</v>
      </c>
      <c r="H708" s="121" t="s">
        <v>2959</v>
      </c>
      <c r="I708" s="121" t="s">
        <v>1525</v>
      </c>
      <c r="J708" s="121" t="s">
        <v>4876</v>
      </c>
      <c r="K708" s="121" t="s">
        <v>4701</v>
      </c>
    </row>
    <row r="709" customFormat="false" ht="57.45" hidden="false" customHeight="false" outlineLevel="0" collapsed="false">
      <c r="A709" s="6" t="s">
        <v>2374</v>
      </c>
      <c r="B709" s="6" t="s">
        <v>241</v>
      </c>
      <c r="C709" s="6" t="s">
        <v>4877</v>
      </c>
      <c r="D709" s="6" t="s">
        <v>723</v>
      </c>
      <c r="E709" s="6" t="s">
        <v>4878</v>
      </c>
      <c r="F709" s="6" t="s">
        <v>3110</v>
      </c>
      <c r="G709" s="6" t="s">
        <v>705</v>
      </c>
      <c r="H709" s="6" t="s">
        <v>2959</v>
      </c>
      <c r="I709" s="6" t="s">
        <v>2960</v>
      </c>
      <c r="J709" s="6" t="s">
        <v>4879</v>
      </c>
      <c r="K709" s="6" t="s">
        <v>4880</v>
      </c>
    </row>
    <row r="710" customFormat="false" ht="57.45" hidden="false" customHeight="false" outlineLevel="0" collapsed="false">
      <c r="A710" s="121" t="s">
        <v>2374</v>
      </c>
      <c r="B710" s="121" t="s">
        <v>241</v>
      </c>
      <c r="C710" s="121" t="s">
        <v>4877</v>
      </c>
      <c r="D710" s="121" t="s">
        <v>4881</v>
      </c>
      <c r="E710" s="121" t="s">
        <v>4882</v>
      </c>
      <c r="F710" s="121" t="s">
        <v>4883</v>
      </c>
      <c r="G710" s="121" t="s">
        <v>4884</v>
      </c>
      <c r="H710" s="121" t="s">
        <v>2959</v>
      </c>
      <c r="I710" s="121" t="s">
        <v>2960</v>
      </c>
      <c r="J710" s="121" t="s">
        <v>4885</v>
      </c>
      <c r="K710" s="121" t="s">
        <v>4880</v>
      </c>
    </row>
    <row r="711" customFormat="false" ht="57.45" hidden="false" customHeight="false" outlineLevel="0" collapsed="false">
      <c r="A711" s="6" t="s">
        <v>2374</v>
      </c>
      <c r="B711" s="6" t="s">
        <v>241</v>
      </c>
      <c r="C711" s="6" t="s">
        <v>4877</v>
      </c>
      <c r="D711" s="6" t="s">
        <v>4886</v>
      </c>
      <c r="E711" s="6" t="s">
        <v>4887</v>
      </c>
      <c r="F711" s="6" t="s">
        <v>4888</v>
      </c>
      <c r="G711" s="6" t="s">
        <v>4889</v>
      </c>
      <c r="H711" s="6" t="s">
        <v>2959</v>
      </c>
      <c r="I711" s="6" t="s">
        <v>2960</v>
      </c>
      <c r="J711" s="6" t="s">
        <v>4890</v>
      </c>
      <c r="K711" s="6" t="s">
        <v>4880</v>
      </c>
    </row>
    <row r="712" customFormat="false" ht="57.45" hidden="false" customHeight="false" outlineLevel="0" collapsed="false">
      <c r="A712" s="121" t="s">
        <v>2374</v>
      </c>
      <c r="B712" s="121" t="s">
        <v>241</v>
      </c>
      <c r="C712" s="121" t="s">
        <v>4877</v>
      </c>
      <c r="D712" s="121" t="s">
        <v>439</v>
      </c>
      <c r="E712" s="121" t="s">
        <v>4891</v>
      </c>
      <c r="F712" s="121" t="s">
        <v>730</v>
      </c>
      <c r="G712" s="121" t="s">
        <v>3011</v>
      </c>
      <c r="H712" s="121" t="s">
        <v>2959</v>
      </c>
      <c r="I712" s="121" t="s">
        <v>2960</v>
      </c>
      <c r="J712" s="121" t="s">
        <v>4892</v>
      </c>
      <c r="K712" s="121" t="s">
        <v>4880</v>
      </c>
    </row>
    <row r="713" customFormat="false" ht="57.45" hidden="false" customHeight="false" outlineLevel="0" collapsed="false">
      <c r="A713" s="6" t="s">
        <v>2374</v>
      </c>
      <c r="B713" s="6" t="s">
        <v>241</v>
      </c>
      <c r="C713" s="6" t="s">
        <v>4877</v>
      </c>
      <c r="D713" s="6" t="s">
        <v>4893</v>
      </c>
      <c r="E713" s="6" t="s">
        <v>4894</v>
      </c>
      <c r="F713" s="6" t="s">
        <v>4895</v>
      </c>
      <c r="G713" s="6" t="s">
        <v>4889</v>
      </c>
      <c r="H713" s="6" t="s">
        <v>2959</v>
      </c>
      <c r="I713" s="6" t="s">
        <v>2960</v>
      </c>
      <c r="J713" s="6" t="s">
        <v>4896</v>
      </c>
      <c r="K713" s="6" t="s">
        <v>4880</v>
      </c>
    </row>
    <row r="714" customFormat="false" ht="57.45" hidden="false" customHeight="false" outlineLevel="0" collapsed="false">
      <c r="A714" s="121" t="s">
        <v>2374</v>
      </c>
      <c r="B714" s="121" t="s">
        <v>241</v>
      </c>
      <c r="C714" s="121" t="s">
        <v>4877</v>
      </c>
      <c r="D714" s="121" t="s">
        <v>371</v>
      </c>
      <c r="E714" s="121" t="s">
        <v>4897</v>
      </c>
      <c r="F714" s="121" t="s">
        <v>4898</v>
      </c>
      <c r="G714" s="121" t="s">
        <v>4899</v>
      </c>
      <c r="H714" s="121" t="s">
        <v>2959</v>
      </c>
      <c r="I714" s="121" t="s">
        <v>2960</v>
      </c>
      <c r="J714" s="121" t="s">
        <v>4900</v>
      </c>
      <c r="K714" s="121" t="s">
        <v>4880</v>
      </c>
    </row>
    <row r="715" customFormat="false" ht="57.45" hidden="false" customHeight="false" outlineLevel="0" collapsed="false">
      <c r="A715" s="6" t="s">
        <v>2374</v>
      </c>
      <c r="B715" s="6" t="s">
        <v>241</v>
      </c>
      <c r="C715" s="6" t="s">
        <v>4877</v>
      </c>
      <c r="D715" s="6" t="s">
        <v>1125</v>
      </c>
      <c r="E715" s="6" t="s">
        <v>4901</v>
      </c>
      <c r="F715" s="6" t="s">
        <v>3110</v>
      </c>
      <c r="G715" s="6" t="s">
        <v>4902</v>
      </c>
      <c r="H715" s="6" t="s">
        <v>2959</v>
      </c>
      <c r="I715" s="6" t="s">
        <v>2960</v>
      </c>
      <c r="J715" s="6" t="s">
        <v>4903</v>
      </c>
      <c r="K715" s="6" t="s">
        <v>4880</v>
      </c>
    </row>
    <row r="716" customFormat="false" ht="57.45" hidden="false" customHeight="false" outlineLevel="0" collapsed="false">
      <c r="A716" s="121" t="s">
        <v>2374</v>
      </c>
      <c r="B716" s="121" t="s">
        <v>241</v>
      </c>
      <c r="C716" s="121" t="s">
        <v>4877</v>
      </c>
      <c r="D716" s="121" t="s">
        <v>460</v>
      </c>
      <c r="E716" s="121" t="s">
        <v>4904</v>
      </c>
      <c r="F716" s="121" t="s">
        <v>3028</v>
      </c>
      <c r="G716" s="121" t="s">
        <v>4798</v>
      </c>
      <c r="H716" s="121" t="s">
        <v>2959</v>
      </c>
      <c r="I716" s="121" t="s">
        <v>2960</v>
      </c>
      <c r="J716" s="121" t="s">
        <v>4905</v>
      </c>
      <c r="K716" s="121" t="s">
        <v>4880</v>
      </c>
    </row>
    <row r="717" customFormat="false" ht="57.45" hidden="false" customHeight="false" outlineLevel="0" collapsed="false">
      <c r="A717" s="6" t="s">
        <v>2374</v>
      </c>
      <c r="B717" s="6" t="s">
        <v>241</v>
      </c>
      <c r="C717" s="6" t="s">
        <v>4877</v>
      </c>
      <c r="D717" s="6" t="s">
        <v>310</v>
      </c>
      <c r="E717" s="6" t="s">
        <v>4906</v>
      </c>
      <c r="F717" s="6" t="s">
        <v>4907</v>
      </c>
      <c r="G717" s="6" t="s">
        <v>4908</v>
      </c>
      <c r="H717" s="6" t="s">
        <v>2959</v>
      </c>
      <c r="I717" s="6" t="s">
        <v>1525</v>
      </c>
      <c r="J717" s="6" t="s">
        <v>4909</v>
      </c>
      <c r="K717" s="6" t="s">
        <v>4880</v>
      </c>
    </row>
    <row r="718" customFormat="false" ht="57.45" hidden="false" customHeight="false" outlineLevel="0" collapsed="false">
      <c r="A718" s="121" t="s">
        <v>2374</v>
      </c>
      <c r="B718" s="121" t="s">
        <v>241</v>
      </c>
      <c r="C718" s="121" t="s">
        <v>4877</v>
      </c>
      <c r="D718" s="121" t="s">
        <v>392</v>
      </c>
      <c r="E718" s="121" t="s">
        <v>4910</v>
      </c>
      <c r="F718" s="121" t="s">
        <v>4911</v>
      </c>
      <c r="G718" s="121" t="s">
        <v>4912</v>
      </c>
      <c r="H718" s="121" t="s">
        <v>2959</v>
      </c>
      <c r="I718" s="121" t="s">
        <v>1525</v>
      </c>
      <c r="J718" s="121" t="s">
        <v>4913</v>
      </c>
      <c r="K718" s="121" t="s">
        <v>4880</v>
      </c>
    </row>
    <row r="719" customFormat="false" ht="46.25" hidden="false" customHeight="false" outlineLevel="0" collapsed="false">
      <c r="A719" s="6" t="s">
        <v>2376</v>
      </c>
      <c r="B719" s="6" t="s">
        <v>2404</v>
      </c>
      <c r="C719" s="6" t="s">
        <v>4914</v>
      </c>
      <c r="D719" s="6" t="s">
        <v>4915</v>
      </c>
      <c r="E719" s="6" t="s">
        <v>4916</v>
      </c>
      <c r="F719" s="6" t="s">
        <v>4917</v>
      </c>
      <c r="G719" s="6" t="s">
        <v>4918</v>
      </c>
      <c r="H719" s="6" t="s">
        <v>3024</v>
      </c>
      <c r="I719" s="6" t="s">
        <v>2960</v>
      </c>
      <c r="J719" s="6" t="s">
        <v>4919</v>
      </c>
      <c r="K719" s="6" t="s">
        <v>4920</v>
      </c>
    </row>
    <row r="720" customFormat="false" ht="46.25" hidden="false" customHeight="false" outlineLevel="0" collapsed="false">
      <c r="A720" s="121" t="s">
        <v>2376</v>
      </c>
      <c r="B720" s="121" t="s">
        <v>2404</v>
      </c>
      <c r="C720" s="121" t="s">
        <v>4914</v>
      </c>
      <c r="D720" s="121" t="s">
        <v>4921</v>
      </c>
      <c r="E720" s="121" t="s">
        <v>4922</v>
      </c>
      <c r="F720" s="121" t="s">
        <v>3201</v>
      </c>
      <c r="G720" s="121" t="s">
        <v>1815</v>
      </c>
      <c r="H720" s="121" t="s">
        <v>3024</v>
      </c>
      <c r="I720" s="121" t="s">
        <v>2960</v>
      </c>
      <c r="J720" s="121" t="s">
        <v>4923</v>
      </c>
      <c r="K720" s="121" t="s">
        <v>4920</v>
      </c>
    </row>
    <row r="721" customFormat="false" ht="57.45" hidden="false" customHeight="false" outlineLevel="0" collapsed="false">
      <c r="A721" s="6" t="s">
        <v>2376</v>
      </c>
      <c r="B721" s="6" t="s">
        <v>2404</v>
      </c>
      <c r="C721" s="6" t="s">
        <v>4914</v>
      </c>
      <c r="D721" s="6" t="s">
        <v>4924</v>
      </c>
      <c r="E721" s="6" t="s">
        <v>4925</v>
      </c>
      <c r="F721" s="6" t="s">
        <v>3959</v>
      </c>
      <c r="G721" s="6" t="s">
        <v>3960</v>
      </c>
      <c r="H721" s="6" t="s">
        <v>3024</v>
      </c>
      <c r="I721" s="6" t="s">
        <v>2960</v>
      </c>
      <c r="J721" s="6" t="s">
        <v>4926</v>
      </c>
      <c r="K721" s="6" t="s">
        <v>4920</v>
      </c>
    </row>
    <row r="722" customFormat="false" ht="46.25" hidden="false" customHeight="false" outlineLevel="0" collapsed="false">
      <c r="A722" s="121" t="s">
        <v>2376</v>
      </c>
      <c r="B722" s="121" t="s">
        <v>2404</v>
      </c>
      <c r="C722" s="121" t="s">
        <v>4914</v>
      </c>
      <c r="D722" s="121" t="s">
        <v>4927</v>
      </c>
      <c r="E722" s="121" t="s">
        <v>4928</v>
      </c>
      <c r="F722" s="121" t="s">
        <v>3062</v>
      </c>
      <c r="G722" s="121" t="s">
        <v>3063</v>
      </c>
      <c r="H722" s="121" t="s">
        <v>3024</v>
      </c>
      <c r="I722" s="121" t="s">
        <v>2960</v>
      </c>
      <c r="J722" s="121" t="s">
        <v>4929</v>
      </c>
      <c r="K722" s="121" t="s">
        <v>4920</v>
      </c>
    </row>
    <row r="723" customFormat="false" ht="46.25" hidden="false" customHeight="false" outlineLevel="0" collapsed="false">
      <c r="A723" s="6" t="s">
        <v>2376</v>
      </c>
      <c r="B723" s="6" t="s">
        <v>2404</v>
      </c>
      <c r="C723" s="6" t="s">
        <v>4914</v>
      </c>
      <c r="D723" s="6" t="s">
        <v>2858</v>
      </c>
      <c r="E723" s="6" t="s">
        <v>4930</v>
      </c>
      <c r="F723" s="6" t="s">
        <v>4931</v>
      </c>
      <c r="G723" s="6" t="s">
        <v>4932</v>
      </c>
      <c r="H723" s="6" t="s">
        <v>3024</v>
      </c>
      <c r="I723" s="6" t="s">
        <v>2960</v>
      </c>
      <c r="J723" s="6" t="s">
        <v>4933</v>
      </c>
      <c r="K723" s="6" t="s">
        <v>4920</v>
      </c>
    </row>
    <row r="724" customFormat="false" ht="46.25" hidden="false" customHeight="false" outlineLevel="0" collapsed="false">
      <c r="A724" s="121" t="s">
        <v>2376</v>
      </c>
      <c r="B724" s="121" t="s">
        <v>2404</v>
      </c>
      <c r="C724" s="121" t="s">
        <v>4934</v>
      </c>
      <c r="D724" s="121" t="s">
        <v>4935</v>
      </c>
      <c r="E724" s="121" t="s">
        <v>4936</v>
      </c>
      <c r="F724" s="121" t="s">
        <v>3594</v>
      </c>
      <c r="G724" s="121" t="s">
        <v>419</v>
      </c>
      <c r="H724" s="121" t="s">
        <v>3024</v>
      </c>
      <c r="I724" s="121" t="s">
        <v>2960</v>
      </c>
      <c r="J724" s="121" t="s">
        <v>4937</v>
      </c>
      <c r="K724" s="121" t="s">
        <v>4920</v>
      </c>
    </row>
    <row r="725" customFormat="false" ht="46.25" hidden="false" customHeight="false" outlineLevel="0" collapsed="false">
      <c r="A725" s="6" t="s">
        <v>2376</v>
      </c>
      <c r="B725" s="6" t="s">
        <v>2404</v>
      </c>
      <c r="C725" s="6" t="s">
        <v>4934</v>
      </c>
      <c r="D725" s="6" t="s">
        <v>4938</v>
      </c>
      <c r="E725" s="6" t="s">
        <v>4939</v>
      </c>
      <c r="F725" s="6" t="s">
        <v>4940</v>
      </c>
      <c r="G725" s="6" t="s">
        <v>2112</v>
      </c>
      <c r="H725" s="6" t="s">
        <v>3024</v>
      </c>
      <c r="I725" s="6" t="s">
        <v>2960</v>
      </c>
      <c r="J725" s="6" t="s">
        <v>4941</v>
      </c>
      <c r="K725" s="6" t="s">
        <v>4920</v>
      </c>
    </row>
    <row r="726" customFormat="false" ht="57.45" hidden="false" customHeight="false" outlineLevel="0" collapsed="false">
      <c r="A726" s="121" t="s">
        <v>2376</v>
      </c>
      <c r="B726" s="121" t="s">
        <v>2404</v>
      </c>
      <c r="C726" s="121" t="s">
        <v>4934</v>
      </c>
      <c r="D726" s="121" t="s">
        <v>2743</v>
      </c>
      <c r="E726" s="121" t="s">
        <v>4942</v>
      </c>
      <c r="F726" s="121" t="s">
        <v>4943</v>
      </c>
      <c r="G726" s="121" t="s">
        <v>4944</v>
      </c>
      <c r="H726" s="121" t="s">
        <v>3024</v>
      </c>
      <c r="I726" s="121" t="s">
        <v>1525</v>
      </c>
      <c r="J726" s="121" t="s">
        <v>4945</v>
      </c>
      <c r="K726" s="121" t="s">
        <v>4920</v>
      </c>
    </row>
    <row r="727" customFormat="false" ht="46.25" hidden="false" customHeight="false" outlineLevel="0" collapsed="false">
      <c r="A727" s="6" t="s">
        <v>2376</v>
      </c>
      <c r="B727" s="6" t="s">
        <v>2404</v>
      </c>
      <c r="C727" s="6" t="s">
        <v>4946</v>
      </c>
      <c r="D727" s="6" t="s">
        <v>4947</v>
      </c>
      <c r="E727" s="6" t="s">
        <v>4948</v>
      </c>
      <c r="F727" s="6" t="s">
        <v>4949</v>
      </c>
      <c r="G727" s="6" t="s">
        <v>4950</v>
      </c>
      <c r="H727" s="6" t="s">
        <v>3024</v>
      </c>
      <c r="I727" s="6" t="s">
        <v>2960</v>
      </c>
      <c r="J727" s="6" t="s">
        <v>4951</v>
      </c>
      <c r="K727" s="6" t="s">
        <v>4920</v>
      </c>
    </row>
    <row r="728" customFormat="false" ht="46.25" hidden="false" customHeight="false" outlineLevel="0" collapsed="false">
      <c r="A728" s="121" t="s">
        <v>2376</v>
      </c>
      <c r="B728" s="121" t="s">
        <v>2404</v>
      </c>
      <c r="C728" s="121" t="s">
        <v>4946</v>
      </c>
      <c r="D728" s="121" t="s">
        <v>4952</v>
      </c>
      <c r="E728" s="121" t="s">
        <v>4953</v>
      </c>
      <c r="F728" s="121" t="s">
        <v>548</v>
      </c>
      <c r="G728" s="121" t="s">
        <v>2143</v>
      </c>
      <c r="H728" s="121" t="s">
        <v>3024</v>
      </c>
      <c r="I728" s="121" t="s">
        <v>2960</v>
      </c>
      <c r="J728" s="121" t="s">
        <v>4954</v>
      </c>
      <c r="K728" s="121" t="s">
        <v>4920</v>
      </c>
    </row>
    <row r="729" customFormat="false" ht="46.25" hidden="false" customHeight="false" outlineLevel="0" collapsed="false">
      <c r="A729" s="6" t="s">
        <v>2376</v>
      </c>
      <c r="B729" s="6" t="s">
        <v>2404</v>
      </c>
      <c r="C729" s="6" t="s">
        <v>4946</v>
      </c>
      <c r="D729" s="6" t="s">
        <v>4955</v>
      </c>
      <c r="E729" s="6" t="s">
        <v>4956</v>
      </c>
      <c r="F729" s="6" t="s">
        <v>3239</v>
      </c>
      <c r="G729" s="6" t="s">
        <v>1925</v>
      </c>
      <c r="H729" s="6" t="s">
        <v>3024</v>
      </c>
      <c r="I729" s="6" t="s">
        <v>2960</v>
      </c>
      <c r="J729" s="6" t="s">
        <v>4957</v>
      </c>
      <c r="K729" s="6" t="s">
        <v>4920</v>
      </c>
    </row>
    <row r="730" customFormat="false" ht="46.25" hidden="false" customHeight="false" outlineLevel="0" collapsed="false">
      <c r="A730" s="121" t="s">
        <v>2376</v>
      </c>
      <c r="B730" s="121" t="s">
        <v>2404</v>
      </c>
      <c r="C730" s="121" t="s">
        <v>4946</v>
      </c>
      <c r="D730" s="121" t="s">
        <v>4958</v>
      </c>
      <c r="E730" s="121" t="s">
        <v>4959</v>
      </c>
      <c r="F730" s="121" t="s">
        <v>4574</v>
      </c>
      <c r="G730" s="121" t="s">
        <v>3767</v>
      </c>
      <c r="H730" s="121" t="s">
        <v>3024</v>
      </c>
      <c r="I730" s="121" t="s">
        <v>2960</v>
      </c>
      <c r="J730" s="121" t="s">
        <v>4960</v>
      </c>
      <c r="K730" s="121" t="s">
        <v>4920</v>
      </c>
    </row>
    <row r="731" customFormat="false" ht="46.25" hidden="false" customHeight="false" outlineLevel="0" collapsed="false">
      <c r="A731" s="6" t="s">
        <v>2376</v>
      </c>
      <c r="B731" s="6" t="s">
        <v>2404</v>
      </c>
      <c r="C731" s="6" t="s">
        <v>4946</v>
      </c>
      <c r="D731" s="6" t="s">
        <v>4961</v>
      </c>
      <c r="E731" s="6" t="s">
        <v>4962</v>
      </c>
      <c r="F731" s="6" t="s">
        <v>4035</v>
      </c>
      <c r="G731" s="6" t="s">
        <v>4036</v>
      </c>
      <c r="H731" s="6" t="s">
        <v>3024</v>
      </c>
      <c r="I731" s="6" t="s">
        <v>2960</v>
      </c>
      <c r="J731" s="6" t="s">
        <v>4963</v>
      </c>
      <c r="K731" s="6" t="s">
        <v>4920</v>
      </c>
    </row>
    <row r="732" customFormat="false" ht="46.25" hidden="false" customHeight="false" outlineLevel="0" collapsed="false">
      <c r="A732" s="121" t="s">
        <v>2376</v>
      </c>
      <c r="B732" s="121" t="s">
        <v>2404</v>
      </c>
      <c r="C732" s="121" t="s">
        <v>4946</v>
      </c>
      <c r="D732" s="121" t="s">
        <v>4964</v>
      </c>
      <c r="E732" s="121" t="s">
        <v>4965</v>
      </c>
      <c r="F732" s="121" t="s">
        <v>2088</v>
      </c>
      <c r="G732" s="121" t="s">
        <v>419</v>
      </c>
      <c r="H732" s="121" t="s">
        <v>3024</v>
      </c>
      <c r="I732" s="121" t="s">
        <v>1525</v>
      </c>
      <c r="J732" s="121" t="s">
        <v>4966</v>
      </c>
      <c r="K732" s="121" t="s">
        <v>4920</v>
      </c>
    </row>
    <row r="733" customFormat="false" ht="46.25" hidden="false" customHeight="false" outlineLevel="0" collapsed="false">
      <c r="A733" s="6" t="s">
        <v>2376</v>
      </c>
      <c r="B733" s="6" t="s">
        <v>2404</v>
      </c>
      <c r="C733" s="6" t="s">
        <v>4946</v>
      </c>
      <c r="D733" s="6" t="s">
        <v>4967</v>
      </c>
      <c r="E733" s="6" t="s">
        <v>4968</v>
      </c>
      <c r="F733" s="6" t="s">
        <v>4969</v>
      </c>
      <c r="G733" s="6" t="s">
        <v>4970</v>
      </c>
      <c r="H733" s="6" t="s">
        <v>3024</v>
      </c>
      <c r="I733" s="6" t="s">
        <v>2960</v>
      </c>
      <c r="J733" s="6" t="s">
        <v>4971</v>
      </c>
      <c r="K733" s="6" t="s">
        <v>4920</v>
      </c>
    </row>
    <row r="734" customFormat="false" ht="46.25" hidden="false" customHeight="false" outlineLevel="0" collapsed="false">
      <c r="A734" s="121" t="s">
        <v>2376</v>
      </c>
      <c r="B734" s="121" t="s">
        <v>2404</v>
      </c>
      <c r="C734" s="121" t="s">
        <v>4946</v>
      </c>
      <c r="D734" s="121" t="s">
        <v>4972</v>
      </c>
      <c r="E734" s="121" t="s">
        <v>4973</v>
      </c>
      <c r="F734" s="121" t="s">
        <v>2152</v>
      </c>
      <c r="G734" s="121" t="s">
        <v>2160</v>
      </c>
      <c r="H734" s="121" t="s">
        <v>3024</v>
      </c>
      <c r="I734" s="121" t="s">
        <v>2960</v>
      </c>
      <c r="J734" s="121" t="s">
        <v>4974</v>
      </c>
      <c r="K734" s="121" t="s">
        <v>4920</v>
      </c>
    </row>
    <row r="735" customFormat="false" ht="46.25" hidden="false" customHeight="false" outlineLevel="0" collapsed="false">
      <c r="A735" s="6" t="s">
        <v>2376</v>
      </c>
      <c r="B735" s="6" t="s">
        <v>2404</v>
      </c>
      <c r="C735" s="6" t="s">
        <v>4946</v>
      </c>
      <c r="D735" s="6" t="s">
        <v>4975</v>
      </c>
      <c r="E735" s="6" t="s">
        <v>4976</v>
      </c>
      <c r="F735" s="6" t="s">
        <v>4977</v>
      </c>
      <c r="G735" s="6" t="s">
        <v>4978</v>
      </c>
      <c r="H735" s="6" t="s">
        <v>3024</v>
      </c>
      <c r="I735" s="6" t="s">
        <v>1525</v>
      </c>
      <c r="J735" s="6" t="s">
        <v>4979</v>
      </c>
      <c r="K735" s="6" t="s">
        <v>4920</v>
      </c>
    </row>
    <row r="736" customFormat="false" ht="46.25" hidden="false" customHeight="false" outlineLevel="0" collapsed="false">
      <c r="A736" s="121" t="s">
        <v>2376</v>
      </c>
      <c r="B736" s="121" t="s">
        <v>2404</v>
      </c>
      <c r="C736" s="121" t="s">
        <v>4980</v>
      </c>
      <c r="D736" s="121" t="s">
        <v>4981</v>
      </c>
      <c r="E736" s="121" t="s">
        <v>4982</v>
      </c>
      <c r="F736" s="121" t="s">
        <v>4983</v>
      </c>
      <c r="G736" s="121" t="s">
        <v>3213</v>
      </c>
      <c r="H736" s="121" t="s">
        <v>3024</v>
      </c>
      <c r="I736" s="121" t="s">
        <v>2960</v>
      </c>
      <c r="J736" s="121" t="s">
        <v>4984</v>
      </c>
      <c r="K736" s="121" t="s">
        <v>4920</v>
      </c>
    </row>
    <row r="737" customFormat="false" ht="46.25" hidden="false" customHeight="false" outlineLevel="0" collapsed="false">
      <c r="A737" s="6" t="s">
        <v>2376</v>
      </c>
      <c r="B737" s="6" t="s">
        <v>2404</v>
      </c>
      <c r="C737" s="6" t="s">
        <v>4980</v>
      </c>
      <c r="D737" s="6" t="s">
        <v>4985</v>
      </c>
      <c r="E737" s="6" t="s">
        <v>4986</v>
      </c>
      <c r="F737" s="6" t="s">
        <v>4987</v>
      </c>
      <c r="G737" s="6" t="s">
        <v>4988</v>
      </c>
      <c r="H737" s="6" t="s">
        <v>3024</v>
      </c>
      <c r="I737" s="6" t="s">
        <v>2960</v>
      </c>
      <c r="J737" s="6" t="s">
        <v>4989</v>
      </c>
      <c r="K737" s="6" t="s">
        <v>4920</v>
      </c>
    </row>
    <row r="738" customFormat="false" ht="46.25" hidden="false" customHeight="false" outlineLevel="0" collapsed="false">
      <c r="A738" s="121" t="s">
        <v>2376</v>
      </c>
      <c r="B738" s="121" t="s">
        <v>2404</v>
      </c>
      <c r="C738" s="121" t="s">
        <v>4980</v>
      </c>
      <c r="D738" s="121" t="s">
        <v>4990</v>
      </c>
      <c r="E738" s="121" t="s">
        <v>4991</v>
      </c>
      <c r="F738" s="121" t="s">
        <v>670</v>
      </c>
      <c r="G738" s="121" t="s">
        <v>2176</v>
      </c>
      <c r="H738" s="121" t="s">
        <v>3024</v>
      </c>
      <c r="I738" s="121" t="s">
        <v>2960</v>
      </c>
      <c r="J738" s="121" t="s">
        <v>4992</v>
      </c>
      <c r="K738" s="121" t="s">
        <v>4920</v>
      </c>
    </row>
  </sheetData>
  <autoFilter ref="A4:K7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6000"/>
    <pageSetUpPr fitToPage="false"/>
  </sheetPr>
  <dimension ref="A1:K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4"/>
    <col collapsed="false" customWidth="true" hidden="false" outlineLevel="0" max="4" min="4" style="0" width="18"/>
    <col collapsed="false" customWidth="true" hidden="false" outlineLevel="0" max="5" min="5" style="0" width="22"/>
    <col collapsed="false" customWidth="true" hidden="false" outlineLevel="0" max="7" min="6" style="0" width="34"/>
    <col collapsed="false" customWidth="true" hidden="false" outlineLevel="0" max="8" min="8" style="0" width="18"/>
    <col collapsed="false" customWidth="true" hidden="false" outlineLevel="0" max="10" min="9" style="0" width="40"/>
    <col collapsed="false" customWidth="true" hidden="false" outlineLevel="0" max="11" min="11" style="0" width="30"/>
  </cols>
  <sheetData>
    <row r="1" customFormat="false" ht="30" hidden="false" customHeight="true" outlineLevel="0" collapsed="false">
      <c r="A1" s="156" t="s">
        <v>4993</v>
      </c>
      <c r="B1" s="157"/>
      <c r="C1" s="157"/>
      <c r="D1" s="157"/>
      <c r="E1" s="157"/>
      <c r="F1" s="157"/>
      <c r="G1" s="157"/>
      <c r="H1" s="157"/>
      <c r="I1" s="157"/>
      <c r="J1" s="157"/>
      <c r="K1" s="157"/>
    </row>
    <row r="2" customFormat="false" ht="15" hidden="false" customHeight="false" outlineLevel="0" collapsed="false">
      <c r="A2" s="3" t="s">
        <v>4994</v>
      </c>
    </row>
    <row r="4" customFormat="false" ht="23.85" hidden="false" customHeight="false" outlineLevel="0" collapsed="false">
      <c r="A4" s="158" t="s">
        <v>4995</v>
      </c>
      <c r="B4" s="158" t="s">
        <v>4996</v>
      </c>
      <c r="C4" s="158" t="s">
        <v>4997</v>
      </c>
      <c r="D4" s="158" t="s">
        <v>4998</v>
      </c>
      <c r="E4" s="158" t="s">
        <v>4999</v>
      </c>
      <c r="F4" s="158" t="s">
        <v>2951</v>
      </c>
      <c r="G4" s="158" t="s">
        <v>5000</v>
      </c>
      <c r="H4" s="158" t="s">
        <v>5001</v>
      </c>
      <c r="I4" s="158" t="s">
        <v>5002</v>
      </c>
      <c r="J4" s="158" t="s">
        <v>5003</v>
      </c>
      <c r="K4" s="158" t="s">
        <v>2956</v>
      </c>
    </row>
    <row r="5" customFormat="false" ht="46.25" hidden="false" customHeight="false" outlineLevel="0" collapsed="false">
      <c r="A5" s="6" t="s">
        <v>5004</v>
      </c>
      <c r="B5" s="6" t="s">
        <v>5005</v>
      </c>
      <c r="C5" s="6" t="s">
        <v>5006</v>
      </c>
      <c r="D5" s="6" t="s">
        <v>5007</v>
      </c>
      <c r="E5" s="6" t="s">
        <v>5008</v>
      </c>
      <c r="F5" s="6" t="s">
        <v>5009</v>
      </c>
      <c r="G5" s="6" t="s">
        <v>5010</v>
      </c>
      <c r="H5" s="6" t="s">
        <v>5011</v>
      </c>
      <c r="I5" s="6" t="s">
        <v>5012</v>
      </c>
      <c r="J5" s="6" t="s">
        <v>5013</v>
      </c>
      <c r="K5" s="6" t="s">
        <v>5014</v>
      </c>
    </row>
    <row r="6" customFormat="false" ht="57.45" hidden="false" customHeight="false" outlineLevel="0" collapsed="false">
      <c r="A6" s="103" t="s">
        <v>5004</v>
      </c>
      <c r="B6" s="103" t="s">
        <v>5015</v>
      </c>
      <c r="C6" s="103" t="s">
        <v>5016</v>
      </c>
      <c r="D6" s="103" t="s">
        <v>5007</v>
      </c>
      <c r="E6" s="103" t="s">
        <v>5008</v>
      </c>
      <c r="F6" s="103" t="s">
        <v>5017</v>
      </c>
      <c r="G6" s="103" t="s">
        <v>5018</v>
      </c>
      <c r="H6" s="103" t="s">
        <v>5011</v>
      </c>
      <c r="I6" s="103" t="s">
        <v>5019</v>
      </c>
      <c r="J6" s="103" t="s">
        <v>5020</v>
      </c>
      <c r="K6" s="103" t="s">
        <v>5014</v>
      </c>
    </row>
    <row r="7" customFormat="false" ht="57.45" hidden="false" customHeight="false" outlineLevel="0" collapsed="false">
      <c r="A7" s="6" t="s">
        <v>5004</v>
      </c>
      <c r="B7" s="6" t="s">
        <v>5021</v>
      </c>
      <c r="C7" s="6" t="s">
        <v>5022</v>
      </c>
      <c r="D7" s="6" t="s">
        <v>5023</v>
      </c>
      <c r="E7" s="6" t="s">
        <v>5024</v>
      </c>
      <c r="F7" s="6" t="s">
        <v>5025</v>
      </c>
      <c r="G7" s="6" t="s">
        <v>5026</v>
      </c>
      <c r="H7" s="6" t="s">
        <v>5027</v>
      </c>
      <c r="I7" s="6" t="s">
        <v>5028</v>
      </c>
      <c r="J7" s="6" t="s">
        <v>5029</v>
      </c>
      <c r="K7" s="6" t="s">
        <v>5014</v>
      </c>
    </row>
    <row r="8" customFormat="false" ht="46.25" hidden="false" customHeight="false" outlineLevel="0" collapsed="false">
      <c r="A8" s="103" t="s">
        <v>5004</v>
      </c>
      <c r="B8" s="103" t="s">
        <v>5030</v>
      </c>
      <c r="C8" s="103" t="s">
        <v>5031</v>
      </c>
      <c r="D8" s="103" t="s">
        <v>5032</v>
      </c>
      <c r="E8" s="103" t="s">
        <v>5032</v>
      </c>
      <c r="F8" s="103" t="s">
        <v>5033</v>
      </c>
      <c r="G8" s="103" t="s">
        <v>5034</v>
      </c>
      <c r="H8" s="103" t="s">
        <v>5035</v>
      </c>
      <c r="I8" s="103" t="s">
        <v>5036</v>
      </c>
      <c r="J8" s="103"/>
      <c r="K8" s="103" t="s">
        <v>5014</v>
      </c>
    </row>
    <row r="9" customFormat="false" ht="46.25" hidden="false" customHeight="false" outlineLevel="0" collapsed="false">
      <c r="A9" s="6" t="s">
        <v>5004</v>
      </c>
      <c r="B9" s="6" t="s">
        <v>5037</v>
      </c>
      <c r="C9" s="6" t="s">
        <v>5038</v>
      </c>
      <c r="D9" s="6" t="s">
        <v>5039</v>
      </c>
      <c r="E9" s="6" t="s">
        <v>5040</v>
      </c>
      <c r="F9" s="6" t="s">
        <v>5041</v>
      </c>
      <c r="G9" s="6" t="s">
        <v>5042</v>
      </c>
      <c r="H9" s="6" t="s">
        <v>5035</v>
      </c>
      <c r="I9" s="6" t="s">
        <v>5043</v>
      </c>
      <c r="J9" s="6"/>
      <c r="K9" s="6" t="s">
        <v>5014</v>
      </c>
    </row>
    <row r="10" customFormat="false" ht="46.25" hidden="false" customHeight="false" outlineLevel="0" collapsed="false">
      <c r="A10" s="103" t="s">
        <v>5004</v>
      </c>
      <c r="B10" s="103" t="s">
        <v>5044</v>
      </c>
      <c r="C10" s="103" t="s">
        <v>5045</v>
      </c>
      <c r="D10" s="103" t="s">
        <v>5046</v>
      </c>
      <c r="E10" s="103" t="s">
        <v>5047</v>
      </c>
      <c r="F10" s="103" t="s">
        <v>5048</v>
      </c>
      <c r="G10" s="103" t="s">
        <v>5049</v>
      </c>
      <c r="H10" s="103" t="s">
        <v>5027</v>
      </c>
      <c r="I10" s="103" t="s">
        <v>5050</v>
      </c>
      <c r="J10" s="103" t="s">
        <v>5051</v>
      </c>
      <c r="K10" s="103" t="s">
        <v>5014</v>
      </c>
    </row>
    <row r="11" customFormat="false" ht="91" hidden="false" customHeight="false" outlineLevel="0" collapsed="false">
      <c r="A11" s="6" t="s">
        <v>5004</v>
      </c>
      <c r="B11" s="6" t="s">
        <v>5052</v>
      </c>
      <c r="C11" s="6" t="s">
        <v>5053</v>
      </c>
      <c r="D11" s="6" t="s">
        <v>5046</v>
      </c>
      <c r="E11" s="6" t="s">
        <v>5054</v>
      </c>
      <c r="F11" s="6" t="s">
        <v>4298</v>
      </c>
      <c r="G11" s="6" t="s">
        <v>1834</v>
      </c>
      <c r="H11" s="6" t="s">
        <v>5035</v>
      </c>
      <c r="I11" s="6" t="s">
        <v>5055</v>
      </c>
      <c r="J11" s="6" t="s">
        <v>5056</v>
      </c>
      <c r="K11" s="6" t="s">
        <v>5014</v>
      </c>
    </row>
    <row r="12" customFormat="false" ht="46.25" hidden="false" customHeight="false" outlineLevel="0" collapsed="false">
      <c r="A12" s="103" t="s">
        <v>5004</v>
      </c>
      <c r="B12" s="103" t="s">
        <v>5057</v>
      </c>
      <c r="C12" s="103" t="s">
        <v>5058</v>
      </c>
      <c r="D12" s="103" t="s">
        <v>5059</v>
      </c>
      <c r="E12" s="103" t="s">
        <v>5060</v>
      </c>
      <c r="F12" s="103" t="s">
        <v>287</v>
      </c>
      <c r="G12" s="103" t="s">
        <v>287</v>
      </c>
      <c r="H12" s="103" t="s">
        <v>5035</v>
      </c>
      <c r="I12" s="103" t="s">
        <v>5061</v>
      </c>
      <c r="J12" s="103"/>
      <c r="K12" s="103" t="s">
        <v>5014</v>
      </c>
    </row>
    <row r="13" customFormat="false" ht="57.45" hidden="false" customHeight="false" outlineLevel="0" collapsed="false">
      <c r="A13" s="6" t="s">
        <v>5004</v>
      </c>
      <c r="B13" s="6" t="s">
        <v>2687</v>
      </c>
      <c r="C13" s="6" t="s">
        <v>5062</v>
      </c>
      <c r="D13" s="6" t="s">
        <v>5023</v>
      </c>
      <c r="E13" s="6" t="s">
        <v>5063</v>
      </c>
      <c r="F13" s="6" t="s">
        <v>5064</v>
      </c>
      <c r="G13" s="6" t="s">
        <v>5065</v>
      </c>
      <c r="H13" s="6" t="s">
        <v>5035</v>
      </c>
      <c r="I13" s="6" t="s">
        <v>5066</v>
      </c>
      <c r="J13" s="6" t="s">
        <v>5067</v>
      </c>
      <c r="K13" s="6" t="s">
        <v>5014</v>
      </c>
    </row>
    <row r="14" customFormat="false" ht="46.25" hidden="false" customHeight="false" outlineLevel="0" collapsed="false">
      <c r="A14" s="103" t="s">
        <v>5004</v>
      </c>
      <c r="B14" s="103" t="s">
        <v>5068</v>
      </c>
      <c r="C14" s="103" t="s">
        <v>5069</v>
      </c>
      <c r="D14" s="103" t="s">
        <v>5039</v>
      </c>
      <c r="E14" s="103" t="s">
        <v>5070</v>
      </c>
      <c r="F14" s="103" t="s">
        <v>287</v>
      </c>
      <c r="G14" s="103" t="s">
        <v>287</v>
      </c>
      <c r="H14" s="103" t="s">
        <v>5035</v>
      </c>
      <c r="I14" s="103" t="s">
        <v>1409</v>
      </c>
      <c r="J14" s="103"/>
      <c r="K14" s="103" t="s">
        <v>5014</v>
      </c>
    </row>
    <row r="15" customFormat="false" ht="46.25" hidden="false" customHeight="false" outlineLevel="0" collapsed="false">
      <c r="A15" s="6" t="s">
        <v>5004</v>
      </c>
      <c r="B15" s="6" t="s">
        <v>5071</v>
      </c>
      <c r="C15" s="6" t="s">
        <v>5072</v>
      </c>
      <c r="D15" s="6" t="s">
        <v>5059</v>
      </c>
      <c r="E15" s="6" t="s">
        <v>1627</v>
      </c>
      <c r="F15" s="6" t="s">
        <v>5073</v>
      </c>
      <c r="G15" s="6" t="s">
        <v>5074</v>
      </c>
      <c r="H15" s="6" t="s">
        <v>5075</v>
      </c>
      <c r="I15" s="6" t="s">
        <v>5076</v>
      </c>
      <c r="J15" s="6"/>
      <c r="K15" s="6" t="s">
        <v>5014</v>
      </c>
    </row>
    <row r="16" customFormat="false" ht="46.25" hidden="false" customHeight="false" outlineLevel="0" collapsed="false">
      <c r="A16" s="103" t="s">
        <v>5004</v>
      </c>
      <c r="B16" s="103" t="s">
        <v>5077</v>
      </c>
      <c r="C16" s="103" t="s">
        <v>5078</v>
      </c>
      <c r="D16" s="103" t="s">
        <v>5059</v>
      </c>
      <c r="E16" s="103" t="s">
        <v>5079</v>
      </c>
      <c r="F16" s="103" t="s">
        <v>4608</v>
      </c>
      <c r="G16" s="103" t="s">
        <v>4609</v>
      </c>
      <c r="H16" s="103" t="s">
        <v>5075</v>
      </c>
      <c r="I16" s="103" t="s">
        <v>5080</v>
      </c>
      <c r="J16" s="103"/>
      <c r="K16" s="103" t="s">
        <v>5014</v>
      </c>
    </row>
    <row r="17" customFormat="false" ht="46.25" hidden="false" customHeight="false" outlineLevel="0" collapsed="false">
      <c r="A17" s="6" t="s">
        <v>5004</v>
      </c>
      <c r="B17" s="6" t="s">
        <v>5081</v>
      </c>
      <c r="C17" s="6" t="s">
        <v>5082</v>
      </c>
      <c r="D17" s="6" t="s">
        <v>5007</v>
      </c>
      <c r="E17" s="6" t="s">
        <v>5008</v>
      </c>
      <c r="F17" s="6" t="s">
        <v>3974</v>
      </c>
      <c r="G17" s="6" t="s">
        <v>3975</v>
      </c>
      <c r="H17" s="6" t="s">
        <v>5027</v>
      </c>
      <c r="I17" s="6" t="s">
        <v>5083</v>
      </c>
      <c r="J17" s="6" t="s">
        <v>5084</v>
      </c>
      <c r="K17" s="6" t="s">
        <v>5014</v>
      </c>
    </row>
    <row r="18" customFormat="false" ht="46.25" hidden="false" customHeight="false" outlineLevel="0" collapsed="false">
      <c r="A18" s="103" t="s">
        <v>5004</v>
      </c>
      <c r="B18" s="103" t="s">
        <v>5085</v>
      </c>
      <c r="C18" s="103" t="s">
        <v>5086</v>
      </c>
      <c r="D18" s="103" t="s">
        <v>5023</v>
      </c>
      <c r="E18" s="103" t="s">
        <v>5087</v>
      </c>
      <c r="F18" s="103" t="s">
        <v>5033</v>
      </c>
      <c r="G18" s="103" t="s">
        <v>5034</v>
      </c>
      <c r="H18" s="103" t="s">
        <v>5011</v>
      </c>
      <c r="I18" s="103" t="s">
        <v>5088</v>
      </c>
      <c r="J18" s="103" t="s">
        <v>5089</v>
      </c>
      <c r="K18" s="103" t="s">
        <v>5014</v>
      </c>
    </row>
    <row r="19" customFormat="false" ht="57.45" hidden="false" customHeight="false" outlineLevel="0" collapsed="false">
      <c r="A19" s="6" t="s">
        <v>5004</v>
      </c>
      <c r="B19" s="6" t="s">
        <v>5090</v>
      </c>
      <c r="C19" s="6" t="s">
        <v>5091</v>
      </c>
      <c r="D19" s="6" t="s">
        <v>5023</v>
      </c>
      <c r="E19" s="6" t="s">
        <v>5092</v>
      </c>
      <c r="F19" s="6" t="s">
        <v>5093</v>
      </c>
      <c r="G19" s="6" t="s">
        <v>3189</v>
      </c>
      <c r="H19" s="6" t="s">
        <v>5011</v>
      </c>
      <c r="I19" s="6" t="s">
        <v>5094</v>
      </c>
      <c r="J19" s="6" t="s">
        <v>5095</v>
      </c>
      <c r="K19" s="6" t="s">
        <v>5014</v>
      </c>
    </row>
    <row r="20" customFormat="false" ht="46.25" hidden="false" customHeight="false" outlineLevel="0" collapsed="false">
      <c r="A20" s="103" t="s">
        <v>5004</v>
      </c>
      <c r="B20" s="103" t="s">
        <v>5096</v>
      </c>
      <c r="C20" s="103" t="s">
        <v>5097</v>
      </c>
      <c r="D20" s="103" t="s">
        <v>5023</v>
      </c>
      <c r="E20" s="103" t="s">
        <v>5098</v>
      </c>
      <c r="F20" s="103" t="s">
        <v>287</v>
      </c>
      <c r="G20" s="103" t="s">
        <v>287</v>
      </c>
      <c r="H20" s="103" t="s">
        <v>5011</v>
      </c>
      <c r="I20" s="103" t="s">
        <v>5099</v>
      </c>
      <c r="J20" s="103" t="s">
        <v>5100</v>
      </c>
      <c r="K20" s="103" t="s">
        <v>5014</v>
      </c>
    </row>
    <row r="21" customFormat="false" ht="46.25" hidden="false" customHeight="false" outlineLevel="0" collapsed="false">
      <c r="A21" s="6" t="s">
        <v>5004</v>
      </c>
      <c r="B21" s="6" t="s">
        <v>5101</v>
      </c>
      <c r="C21" s="6" t="s">
        <v>5102</v>
      </c>
      <c r="D21" s="6" t="s">
        <v>5059</v>
      </c>
      <c r="E21" s="6" t="s">
        <v>5103</v>
      </c>
      <c r="F21" s="6" t="s">
        <v>2200</v>
      </c>
      <c r="G21" s="6" t="s">
        <v>2207</v>
      </c>
      <c r="H21" s="6" t="s">
        <v>5027</v>
      </c>
      <c r="I21" s="6" t="s">
        <v>5104</v>
      </c>
      <c r="J21" s="6"/>
      <c r="K21" s="6" t="s">
        <v>5014</v>
      </c>
    </row>
    <row r="22" customFormat="false" ht="46.25" hidden="false" customHeight="false" outlineLevel="0" collapsed="false">
      <c r="A22" s="103" t="s">
        <v>5004</v>
      </c>
      <c r="B22" s="103" t="s">
        <v>5105</v>
      </c>
      <c r="C22" s="103" t="s">
        <v>5106</v>
      </c>
      <c r="D22" s="103" t="s">
        <v>5046</v>
      </c>
      <c r="E22" s="103" t="s">
        <v>5107</v>
      </c>
      <c r="F22" s="103" t="s">
        <v>5108</v>
      </c>
      <c r="G22" s="103" t="s">
        <v>5074</v>
      </c>
      <c r="H22" s="103" t="s">
        <v>5035</v>
      </c>
      <c r="I22" s="103" t="s">
        <v>5109</v>
      </c>
      <c r="J22" s="103"/>
      <c r="K22" s="103" t="s">
        <v>5014</v>
      </c>
    </row>
    <row r="23" customFormat="false" ht="46.25" hidden="false" customHeight="false" outlineLevel="0" collapsed="false">
      <c r="A23" s="6" t="s">
        <v>5004</v>
      </c>
      <c r="B23" s="6" t="s">
        <v>5110</v>
      </c>
      <c r="C23" s="6" t="s">
        <v>5111</v>
      </c>
      <c r="D23" s="6" t="s">
        <v>5059</v>
      </c>
      <c r="E23" s="6" t="s">
        <v>5112</v>
      </c>
      <c r="F23" s="6" t="s">
        <v>5108</v>
      </c>
      <c r="G23" s="6" t="s">
        <v>5074</v>
      </c>
      <c r="H23" s="6" t="s">
        <v>5075</v>
      </c>
      <c r="I23" s="6" t="s">
        <v>5109</v>
      </c>
      <c r="J23" s="6"/>
      <c r="K23" s="6" t="s">
        <v>5014</v>
      </c>
    </row>
    <row r="24" customFormat="false" ht="46.25" hidden="false" customHeight="false" outlineLevel="0" collapsed="false">
      <c r="A24" s="103" t="s">
        <v>5004</v>
      </c>
      <c r="B24" s="103" t="s">
        <v>5113</v>
      </c>
      <c r="C24" s="103" t="s">
        <v>5114</v>
      </c>
      <c r="D24" s="103" t="s">
        <v>5115</v>
      </c>
      <c r="E24" s="103" t="s">
        <v>5116</v>
      </c>
      <c r="F24" s="103" t="s">
        <v>287</v>
      </c>
      <c r="G24" s="103" t="s">
        <v>287</v>
      </c>
      <c r="H24" s="103" t="s">
        <v>5011</v>
      </c>
      <c r="I24" s="103" t="s">
        <v>5117</v>
      </c>
      <c r="J24" s="103" t="s">
        <v>5118</v>
      </c>
      <c r="K24" s="103" t="s">
        <v>5014</v>
      </c>
    </row>
    <row r="25" customFormat="false" ht="46.25" hidden="false" customHeight="false" outlineLevel="0" collapsed="false">
      <c r="A25" s="6" t="s">
        <v>5004</v>
      </c>
      <c r="B25" s="6" t="s">
        <v>5119</v>
      </c>
      <c r="C25" s="6" t="s">
        <v>5120</v>
      </c>
      <c r="D25" s="6" t="s">
        <v>5007</v>
      </c>
      <c r="E25" s="6" t="s">
        <v>5121</v>
      </c>
      <c r="F25" s="6" t="s">
        <v>2071</v>
      </c>
      <c r="G25" s="6" t="s">
        <v>419</v>
      </c>
      <c r="H25" s="6" t="s">
        <v>5035</v>
      </c>
      <c r="I25" s="6" t="s">
        <v>5122</v>
      </c>
      <c r="J25" s="6"/>
      <c r="K25" s="6" t="s">
        <v>5014</v>
      </c>
    </row>
    <row r="26" customFormat="false" ht="46.25" hidden="false" customHeight="false" outlineLevel="0" collapsed="false">
      <c r="A26" s="103" t="s">
        <v>5004</v>
      </c>
      <c r="B26" s="103" t="s">
        <v>5123</v>
      </c>
      <c r="C26" s="103" t="s">
        <v>5124</v>
      </c>
      <c r="D26" s="103" t="s">
        <v>5059</v>
      </c>
      <c r="E26" s="103" t="s">
        <v>5125</v>
      </c>
      <c r="F26" s="103" t="s">
        <v>1729</v>
      </c>
      <c r="G26" s="103" t="s">
        <v>464</v>
      </c>
      <c r="H26" s="103" t="s">
        <v>5075</v>
      </c>
      <c r="I26" s="103" t="s">
        <v>5126</v>
      </c>
      <c r="J26" s="103"/>
      <c r="K26" s="103" t="s">
        <v>5014</v>
      </c>
    </row>
    <row r="27" customFormat="false" ht="46.25" hidden="false" customHeight="false" outlineLevel="0" collapsed="false">
      <c r="A27" s="6" t="s">
        <v>5004</v>
      </c>
      <c r="B27" s="6" t="s">
        <v>5127</v>
      </c>
      <c r="C27" s="6" t="s">
        <v>5128</v>
      </c>
      <c r="D27" s="6" t="s">
        <v>5007</v>
      </c>
      <c r="E27" s="6" t="s">
        <v>5008</v>
      </c>
      <c r="F27" s="6" t="s">
        <v>3974</v>
      </c>
      <c r="G27" s="6" t="s">
        <v>3975</v>
      </c>
      <c r="H27" s="6" t="s">
        <v>5035</v>
      </c>
      <c r="I27" s="6" t="s">
        <v>5129</v>
      </c>
      <c r="J27" s="6"/>
      <c r="K27" s="6" t="s">
        <v>5014</v>
      </c>
    </row>
    <row r="28" customFormat="false" ht="46.25" hidden="false" customHeight="false" outlineLevel="0" collapsed="false">
      <c r="A28" s="103" t="s">
        <v>5004</v>
      </c>
      <c r="B28" s="103" t="s">
        <v>5130</v>
      </c>
      <c r="C28" s="103" t="s">
        <v>5131</v>
      </c>
      <c r="D28" s="103" t="s">
        <v>5032</v>
      </c>
      <c r="E28" s="103" t="s">
        <v>5132</v>
      </c>
      <c r="F28" s="103" t="s">
        <v>287</v>
      </c>
      <c r="G28" s="103" t="s">
        <v>287</v>
      </c>
      <c r="H28" s="103" t="s">
        <v>5035</v>
      </c>
      <c r="I28" s="103" t="s">
        <v>5133</v>
      </c>
      <c r="J28" s="103"/>
      <c r="K28" s="103" t="s">
        <v>5014</v>
      </c>
    </row>
    <row r="29" customFormat="false" ht="46.25" hidden="false" customHeight="false" outlineLevel="0" collapsed="false">
      <c r="A29" s="6" t="s">
        <v>5004</v>
      </c>
      <c r="B29" s="6" t="s">
        <v>5134</v>
      </c>
      <c r="C29" s="6" t="s">
        <v>5135</v>
      </c>
      <c r="D29" s="6" t="s">
        <v>5023</v>
      </c>
      <c r="E29" s="6" t="s">
        <v>5024</v>
      </c>
      <c r="F29" s="6" t="s">
        <v>5033</v>
      </c>
      <c r="G29" s="6" t="s">
        <v>5034</v>
      </c>
      <c r="H29" s="6" t="s">
        <v>5027</v>
      </c>
      <c r="I29" s="6" t="s">
        <v>5136</v>
      </c>
      <c r="J29" s="6"/>
      <c r="K29" s="6" t="s">
        <v>5014</v>
      </c>
    </row>
    <row r="30" customFormat="false" ht="46.25" hidden="false" customHeight="false" outlineLevel="0" collapsed="false">
      <c r="A30" s="103" t="s">
        <v>5004</v>
      </c>
      <c r="B30" s="103" t="s">
        <v>5137</v>
      </c>
      <c r="C30" s="103" t="s">
        <v>5138</v>
      </c>
      <c r="D30" s="103" t="s">
        <v>5046</v>
      </c>
      <c r="E30" s="103" t="s">
        <v>5139</v>
      </c>
      <c r="F30" s="103" t="s">
        <v>5140</v>
      </c>
      <c r="G30" s="103" t="s">
        <v>5141</v>
      </c>
      <c r="H30" s="103" t="s">
        <v>5035</v>
      </c>
      <c r="I30" s="103" t="s">
        <v>5142</v>
      </c>
      <c r="J30" s="103"/>
      <c r="K30" s="103" t="s">
        <v>5014</v>
      </c>
    </row>
    <row r="31" customFormat="false" ht="46.25" hidden="false" customHeight="false" outlineLevel="0" collapsed="false">
      <c r="A31" s="6" t="s">
        <v>5004</v>
      </c>
      <c r="B31" s="6" t="s">
        <v>1307</v>
      </c>
      <c r="C31" s="6" t="s">
        <v>5143</v>
      </c>
      <c r="D31" s="6" t="s">
        <v>5007</v>
      </c>
      <c r="E31" s="6" t="s">
        <v>5144</v>
      </c>
      <c r="F31" s="6" t="s">
        <v>1825</v>
      </c>
      <c r="G31" s="6" t="s">
        <v>1834</v>
      </c>
      <c r="H31" s="6" t="s">
        <v>5011</v>
      </c>
      <c r="I31" s="6" t="s">
        <v>5129</v>
      </c>
      <c r="J31" s="6" t="s">
        <v>5145</v>
      </c>
      <c r="K31" s="6" t="s">
        <v>5014</v>
      </c>
    </row>
    <row r="32" customFormat="false" ht="46.25" hidden="false" customHeight="false" outlineLevel="0" collapsed="false">
      <c r="A32" s="103" t="s">
        <v>5004</v>
      </c>
      <c r="B32" s="103" t="s">
        <v>1311</v>
      </c>
      <c r="C32" s="103" t="s">
        <v>5146</v>
      </c>
      <c r="D32" s="103" t="s">
        <v>5046</v>
      </c>
      <c r="E32" s="103" t="s">
        <v>5147</v>
      </c>
      <c r="F32" s="103" t="s">
        <v>931</v>
      </c>
      <c r="G32" s="103" t="s">
        <v>1815</v>
      </c>
      <c r="H32" s="103" t="s">
        <v>5035</v>
      </c>
      <c r="I32" s="103" t="s">
        <v>1409</v>
      </c>
      <c r="J32" s="103"/>
      <c r="K32" s="103" t="s">
        <v>5014</v>
      </c>
    </row>
    <row r="33" customFormat="false" ht="46.25" hidden="false" customHeight="false" outlineLevel="0" collapsed="false">
      <c r="A33" s="6" t="s">
        <v>5004</v>
      </c>
      <c r="B33" s="6" t="s">
        <v>1314</v>
      </c>
      <c r="C33" s="6" t="s">
        <v>5148</v>
      </c>
      <c r="D33" s="6" t="s">
        <v>5115</v>
      </c>
      <c r="E33" s="6" t="s">
        <v>5149</v>
      </c>
      <c r="F33" s="6" t="s">
        <v>287</v>
      </c>
      <c r="G33" s="6" t="s">
        <v>287</v>
      </c>
      <c r="H33" s="6" t="s">
        <v>5035</v>
      </c>
      <c r="I33" s="6" t="s">
        <v>5150</v>
      </c>
      <c r="J33" s="6"/>
      <c r="K33" s="6" t="s">
        <v>5014</v>
      </c>
    </row>
    <row r="34" customFormat="false" ht="46.25" hidden="false" customHeight="false" outlineLevel="0" collapsed="false">
      <c r="A34" s="103" t="s">
        <v>5004</v>
      </c>
      <c r="B34" s="103" t="s">
        <v>1317</v>
      </c>
      <c r="C34" s="103" t="s">
        <v>5151</v>
      </c>
      <c r="D34" s="103" t="s">
        <v>5059</v>
      </c>
      <c r="E34" s="103" t="s">
        <v>5152</v>
      </c>
      <c r="F34" s="103" t="s">
        <v>1980</v>
      </c>
      <c r="G34" s="103" t="s">
        <v>1986</v>
      </c>
      <c r="H34" s="103" t="s">
        <v>5035</v>
      </c>
      <c r="I34" s="103" t="s">
        <v>1409</v>
      </c>
      <c r="J34" s="103"/>
      <c r="K34" s="103" t="s">
        <v>5014</v>
      </c>
    </row>
    <row r="35" customFormat="false" ht="46.25" hidden="false" customHeight="false" outlineLevel="0" collapsed="false">
      <c r="A35" s="6" t="s">
        <v>5004</v>
      </c>
      <c r="B35" s="6" t="s">
        <v>5153</v>
      </c>
      <c r="C35" s="6" t="s">
        <v>5154</v>
      </c>
      <c r="D35" s="6" t="s">
        <v>5046</v>
      </c>
      <c r="E35" s="6" t="s">
        <v>5155</v>
      </c>
      <c r="F35" s="6" t="s">
        <v>5156</v>
      </c>
      <c r="G35" s="6" t="s">
        <v>5157</v>
      </c>
      <c r="H35" s="6" t="s">
        <v>5035</v>
      </c>
      <c r="I35" s="6" t="s">
        <v>1409</v>
      </c>
      <c r="J35" s="6"/>
      <c r="K35" s="6" t="s">
        <v>5014</v>
      </c>
    </row>
    <row r="36" customFormat="false" ht="68.65" hidden="false" customHeight="false" outlineLevel="0" collapsed="false">
      <c r="A36" s="103" t="s">
        <v>5004</v>
      </c>
      <c r="B36" s="103" t="s">
        <v>5158</v>
      </c>
      <c r="C36" s="103" t="s">
        <v>5159</v>
      </c>
      <c r="D36" s="103" t="s">
        <v>5007</v>
      </c>
      <c r="E36" s="103" t="s">
        <v>5160</v>
      </c>
      <c r="F36" s="103" t="s">
        <v>1825</v>
      </c>
      <c r="G36" s="103" t="s">
        <v>1834</v>
      </c>
      <c r="H36" s="103" t="s">
        <v>5035</v>
      </c>
      <c r="I36" s="103" t="s">
        <v>5161</v>
      </c>
      <c r="J36" s="103"/>
      <c r="K36" s="103" t="s">
        <v>5014</v>
      </c>
    </row>
    <row r="37" customFormat="false" ht="46.25" hidden="false" customHeight="false" outlineLevel="0" collapsed="false">
      <c r="A37" s="6" t="s">
        <v>5004</v>
      </c>
      <c r="B37" s="6" t="s">
        <v>5162</v>
      </c>
      <c r="C37" s="6" t="s">
        <v>5163</v>
      </c>
      <c r="D37" s="6" t="s">
        <v>5039</v>
      </c>
      <c r="E37" s="6"/>
      <c r="F37" s="6" t="s">
        <v>287</v>
      </c>
      <c r="G37" s="6" t="s">
        <v>287</v>
      </c>
      <c r="H37" s="6" t="s">
        <v>5075</v>
      </c>
      <c r="I37" s="6" t="s">
        <v>5164</v>
      </c>
      <c r="J37" s="6"/>
      <c r="K37" s="6" t="s">
        <v>5014</v>
      </c>
    </row>
    <row r="38" customFormat="false" ht="46.25" hidden="false" customHeight="false" outlineLevel="0" collapsed="false">
      <c r="A38" s="103" t="s">
        <v>5165</v>
      </c>
      <c r="B38" s="103" t="s">
        <v>847</v>
      </c>
      <c r="C38" s="103" t="s">
        <v>5166</v>
      </c>
      <c r="D38" s="103" t="s">
        <v>5007</v>
      </c>
      <c r="E38" s="103" t="s">
        <v>5167</v>
      </c>
      <c r="F38" s="103" t="s">
        <v>287</v>
      </c>
      <c r="G38" s="103" t="s">
        <v>287</v>
      </c>
      <c r="H38" s="103" t="s">
        <v>5011</v>
      </c>
      <c r="I38" s="103" t="s">
        <v>5168</v>
      </c>
      <c r="J38" s="103" t="s">
        <v>5169</v>
      </c>
      <c r="K38" s="103" t="s">
        <v>5170</v>
      </c>
    </row>
    <row r="39" customFormat="false" ht="46.25" hidden="false" customHeight="false" outlineLevel="0" collapsed="false">
      <c r="A39" s="6" t="s">
        <v>5165</v>
      </c>
      <c r="B39" s="6" t="s">
        <v>5171</v>
      </c>
      <c r="C39" s="6" t="s">
        <v>5172</v>
      </c>
      <c r="D39" s="6" t="s">
        <v>5007</v>
      </c>
      <c r="E39" s="6" t="s">
        <v>5173</v>
      </c>
      <c r="F39" s="6" t="s">
        <v>628</v>
      </c>
      <c r="G39" s="6" t="s">
        <v>1815</v>
      </c>
      <c r="H39" s="6" t="s">
        <v>5011</v>
      </c>
      <c r="I39" s="6" t="s">
        <v>5174</v>
      </c>
      <c r="J39" s="6" t="s">
        <v>5175</v>
      </c>
      <c r="K39" s="6" t="s">
        <v>5170</v>
      </c>
    </row>
    <row r="40" customFormat="false" ht="46.25" hidden="false" customHeight="false" outlineLevel="0" collapsed="false">
      <c r="A40" s="103" t="s">
        <v>5165</v>
      </c>
      <c r="B40" s="103" t="s">
        <v>5176</v>
      </c>
      <c r="C40" s="103" t="s">
        <v>5177</v>
      </c>
      <c r="D40" s="103" t="s">
        <v>5007</v>
      </c>
      <c r="E40" s="103" t="s">
        <v>5178</v>
      </c>
      <c r="F40" s="103" t="s">
        <v>931</v>
      </c>
      <c r="G40" s="103" t="s">
        <v>1815</v>
      </c>
      <c r="H40" s="103" t="s">
        <v>5011</v>
      </c>
      <c r="I40" s="103" t="s">
        <v>5179</v>
      </c>
      <c r="J40" s="103" t="s">
        <v>5175</v>
      </c>
      <c r="K40" s="103" t="s">
        <v>5170</v>
      </c>
    </row>
    <row r="41" customFormat="false" ht="46.25" hidden="false" customHeight="false" outlineLevel="0" collapsed="false">
      <c r="A41" s="6" t="s">
        <v>5165</v>
      </c>
      <c r="B41" s="6" t="s">
        <v>2577</v>
      </c>
      <c r="C41" s="6" t="s">
        <v>5180</v>
      </c>
      <c r="D41" s="6" t="s">
        <v>5007</v>
      </c>
      <c r="E41" s="6" t="s">
        <v>5181</v>
      </c>
      <c r="F41" s="6" t="s">
        <v>5182</v>
      </c>
      <c r="G41" s="6" t="s">
        <v>5183</v>
      </c>
      <c r="H41" s="6" t="s">
        <v>5011</v>
      </c>
      <c r="I41" s="6" t="s">
        <v>5184</v>
      </c>
      <c r="J41" s="6" t="s">
        <v>5175</v>
      </c>
      <c r="K41" s="6" t="s">
        <v>5170</v>
      </c>
    </row>
    <row r="42" customFormat="false" ht="57.45" hidden="false" customHeight="false" outlineLevel="0" collapsed="false">
      <c r="A42" s="103" t="s">
        <v>5165</v>
      </c>
      <c r="B42" s="103" t="s">
        <v>5185</v>
      </c>
      <c r="C42" s="103" t="s">
        <v>5186</v>
      </c>
      <c r="D42" s="103" t="s">
        <v>5007</v>
      </c>
      <c r="E42" s="103" t="s">
        <v>5187</v>
      </c>
      <c r="F42" s="103" t="s">
        <v>2234</v>
      </c>
      <c r="G42" s="103" t="s">
        <v>2242</v>
      </c>
      <c r="H42" s="103" t="s">
        <v>5188</v>
      </c>
      <c r="I42" s="103" t="s">
        <v>5189</v>
      </c>
      <c r="J42" s="103" t="s">
        <v>5175</v>
      </c>
      <c r="K42" s="103" t="s">
        <v>5170</v>
      </c>
    </row>
    <row r="43" customFormat="false" ht="46.25" hidden="false" customHeight="false" outlineLevel="0" collapsed="false">
      <c r="A43" s="6" t="s">
        <v>5165</v>
      </c>
      <c r="B43" s="6" t="s">
        <v>5190</v>
      </c>
      <c r="C43" s="6" t="s">
        <v>5191</v>
      </c>
      <c r="D43" s="6" t="s">
        <v>5007</v>
      </c>
      <c r="E43" s="6" t="s">
        <v>5192</v>
      </c>
      <c r="F43" s="6" t="s">
        <v>5193</v>
      </c>
      <c r="G43" s="6" t="s">
        <v>1848</v>
      </c>
      <c r="H43" s="6" t="s">
        <v>5035</v>
      </c>
      <c r="I43" s="6" t="s">
        <v>5194</v>
      </c>
      <c r="J43" s="6" t="s">
        <v>5195</v>
      </c>
      <c r="K43" s="6" t="s">
        <v>5170</v>
      </c>
    </row>
    <row r="44" customFormat="false" ht="46.25" hidden="false" customHeight="false" outlineLevel="0" collapsed="false">
      <c r="A44" s="103" t="s">
        <v>5165</v>
      </c>
      <c r="B44" s="103" t="s">
        <v>943</v>
      </c>
      <c r="C44" s="103" t="s">
        <v>5196</v>
      </c>
      <c r="D44" s="103" t="s">
        <v>5007</v>
      </c>
      <c r="E44" s="103" t="s">
        <v>5008</v>
      </c>
      <c r="F44" s="103" t="s">
        <v>5009</v>
      </c>
      <c r="G44" s="103" t="s">
        <v>5010</v>
      </c>
      <c r="H44" s="103" t="s">
        <v>5197</v>
      </c>
      <c r="I44" s="103" t="s">
        <v>5198</v>
      </c>
      <c r="J44" s="103" t="s">
        <v>5199</v>
      </c>
      <c r="K44" s="103" t="s">
        <v>5170</v>
      </c>
    </row>
    <row r="45" customFormat="false" ht="46.25" hidden="false" customHeight="false" outlineLevel="0" collapsed="false">
      <c r="A45" s="6" t="s">
        <v>5165</v>
      </c>
      <c r="B45" s="6" t="s">
        <v>882</v>
      </c>
      <c r="C45" s="6" t="s">
        <v>5200</v>
      </c>
      <c r="D45" s="6" t="s">
        <v>5023</v>
      </c>
      <c r="E45" s="6" t="s">
        <v>5201</v>
      </c>
      <c r="F45" s="6" t="s">
        <v>1825</v>
      </c>
      <c r="G45" s="6" t="s">
        <v>1834</v>
      </c>
      <c r="H45" s="6" t="s">
        <v>5011</v>
      </c>
      <c r="I45" s="6" t="s">
        <v>5202</v>
      </c>
      <c r="J45" s="6" t="s">
        <v>5203</v>
      </c>
      <c r="K45" s="6" t="s">
        <v>5170</v>
      </c>
    </row>
    <row r="46" customFormat="false" ht="57.45" hidden="false" customHeight="false" outlineLevel="0" collapsed="false">
      <c r="A46" s="103" t="s">
        <v>5165</v>
      </c>
      <c r="B46" s="103" t="s">
        <v>899</v>
      </c>
      <c r="C46" s="103" t="s">
        <v>5204</v>
      </c>
      <c r="D46" s="103" t="s">
        <v>5115</v>
      </c>
      <c r="E46" s="103" t="s">
        <v>5205</v>
      </c>
      <c r="F46" s="103" t="s">
        <v>1825</v>
      </c>
      <c r="G46" s="103" t="s">
        <v>1834</v>
      </c>
      <c r="H46" s="103" t="s">
        <v>5035</v>
      </c>
      <c r="I46" s="103" t="s">
        <v>5206</v>
      </c>
      <c r="J46" s="103" t="s">
        <v>5207</v>
      </c>
      <c r="K46" s="103" t="s">
        <v>5170</v>
      </c>
    </row>
    <row r="47" customFormat="false" ht="46.25" hidden="false" customHeight="false" outlineLevel="0" collapsed="false">
      <c r="A47" s="6" t="s">
        <v>5165</v>
      </c>
      <c r="B47" s="6" t="s">
        <v>915</v>
      </c>
      <c r="C47" s="6" t="s">
        <v>5208</v>
      </c>
      <c r="D47" s="6" t="s">
        <v>5007</v>
      </c>
      <c r="E47" s="6" t="s">
        <v>5209</v>
      </c>
      <c r="F47" s="6" t="s">
        <v>5210</v>
      </c>
      <c r="G47" s="6" t="s">
        <v>5211</v>
      </c>
      <c r="H47" s="6" t="s">
        <v>5197</v>
      </c>
      <c r="I47" s="6" t="s">
        <v>5212</v>
      </c>
      <c r="J47" s="6" t="s">
        <v>5213</v>
      </c>
      <c r="K47" s="6" t="s">
        <v>5170</v>
      </c>
    </row>
    <row r="48" customFormat="false" ht="46.25" hidden="false" customHeight="false" outlineLevel="0" collapsed="false">
      <c r="A48" s="103" t="s">
        <v>5165</v>
      </c>
      <c r="B48" s="103" t="s">
        <v>960</v>
      </c>
      <c r="C48" s="103" t="s">
        <v>5214</v>
      </c>
      <c r="D48" s="103" t="s">
        <v>5046</v>
      </c>
      <c r="E48" s="103" t="s">
        <v>5215</v>
      </c>
      <c r="F48" s="103" t="s">
        <v>5216</v>
      </c>
      <c r="G48" s="103" t="s">
        <v>5217</v>
      </c>
      <c r="H48" s="103" t="s">
        <v>5035</v>
      </c>
      <c r="I48" s="103" t="s">
        <v>5218</v>
      </c>
      <c r="J48" s="103" t="s">
        <v>5219</v>
      </c>
      <c r="K48" s="103" t="s">
        <v>5170</v>
      </c>
    </row>
    <row r="49" customFormat="false" ht="46.25" hidden="false" customHeight="false" outlineLevel="0" collapsed="false">
      <c r="A49" s="6" t="s">
        <v>5165</v>
      </c>
      <c r="B49" s="6" t="s">
        <v>989</v>
      </c>
      <c r="C49" s="6" t="s">
        <v>5220</v>
      </c>
      <c r="D49" s="6" t="s">
        <v>5007</v>
      </c>
      <c r="E49" s="6" t="s">
        <v>5221</v>
      </c>
      <c r="F49" s="6" t="s">
        <v>5222</v>
      </c>
      <c r="G49" s="6" t="s">
        <v>5223</v>
      </c>
      <c r="H49" s="6" t="s">
        <v>5011</v>
      </c>
      <c r="I49" s="6" t="s">
        <v>5224</v>
      </c>
      <c r="J49" s="6" t="s">
        <v>5225</v>
      </c>
      <c r="K49" s="6" t="s">
        <v>5170</v>
      </c>
    </row>
    <row r="50" customFormat="false" ht="57.45" hidden="false" customHeight="false" outlineLevel="0" collapsed="false">
      <c r="A50" s="103" t="s">
        <v>5165</v>
      </c>
      <c r="B50" s="103" t="s">
        <v>1004</v>
      </c>
      <c r="C50" s="103" t="s">
        <v>5226</v>
      </c>
      <c r="D50" s="103" t="s">
        <v>5007</v>
      </c>
      <c r="E50" s="103" t="s">
        <v>5227</v>
      </c>
      <c r="F50" s="103" t="s">
        <v>2200</v>
      </c>
      <c r="G50" s="103" t="s">
        <v>2207</v>
      </c>
      <c r="H50" s="103" t="s">
        <v>5011</v>
      </c>
      <c r="I50" s="103" t="s">
        <v>5212</v>
      </c>
      <c r="J50" s="103" t="s">
        <v>5228</v>
      </c>
      <c r="K50" s="103" t="s">
        <v>5170</v>
      </c>
    </row>
    <row r="51" customFormat="false" ht="46.25" hidden="false" customHeight="false" outlineLevel="0" collapsed="false">
      <c r="A51" s="6" t="s">
        <v>5165</v>
      </c>
      <c r="B51" s="6" t="s">
        <v>1034</v>
      </c>
      <c r="C51" s="6" t="s">
        <v>5229</v>
      </c>
      <c r="D51" s="6" t="s">
        <v>5007</v>
      </c>
      <c r="E51" s="6" t="s">
        <v>5230</v>
      </c>
      <c r="F51" s="6" t="s">
        <v>5231</v>
      </c>
      <c r="G51" s="6" t="s">
        <v>1848</v>
      </c>
      <c r="H51" s="6" t="s">
        <v>5011</v>
      </c>
      <c r="I51" s="6" t="s">
        <v>5232</v>
      </c>
      <c r="J51" s="6" t="s">
        <v>5233</v>
      </c>
      <c r="K51" s="6" t="s">
        <v>5170</v>
      </c>
    </row>
    <row r="52" customFormat="false" ht="46.25" hidden="false" customHeight="false" outlineLevel="0" collapsed="false">
      <c r="A52" s="103" t="s">
        <v>5165</v>
      </c>
      <c r="B52" s="103" t="s">
        <v>1051</v>
      </c>
      <c r="C52" s="103" t="s">
        <v>5234</v>
      </c>
      <c r="D52" s="103" t="s">
        <v>5007</v>
      </c>
      <c r="E52" s="103" t="s">
        <v>5235</v>
      </c>
      <c r="F52" s="103" t="s">
        <v>2234</v>
      </c>
      <c r="G52" s="103" t="s">
        <v>2242</v>
      </c>
      <c r="H52" s="103" t="s">
        <v>5197</v>
      </c>
      <c r="I52" s="103" t="s">
        <v>5236</v>
      </c>
      <c r="J52" s="103" t="s">
        <v>5237</v>
      </c>
      <c r="K52" s="103" t="s">
        <v>5170</v>
      </c>
    </row>
    <row r="53" customFormat="false" ht="46.25" hidden="false" customHeight="false" outlineLevel="0" collapsed="false">
      <c r="A53" s="6" t="s">
        <v>5165</v>
      </c>
      <c r="B53" s="6" t="s">
        <v>1065</v>
      </c>
      <c r="C53" s="6" t="s">
        <v>5238</v>
      </c>
      <c r="D53" s="6" t="s">
        <v>5007</v>
      </c>
      <c r="E53" s="6" t="s">
        <v>5239</v>
      </c>
      <c r="F53" s="6" t="s">
        <v>2071</v>
      </c>
      <c r="G53" s="6" t="s">
        <v>419</v>
      </c>
      <c r="H53" s="6" t="s">
        <v>5011</v>
      </c>
      <c r="I53" s="6" t="s">
        <v>5240</v>
      </c>
      <c r="J53" s="6" t="s">
        <v>5241</v>
      </c>
      <c r="K53" s="6" t="s">
        <v>5170</v>
      </c>
    </row>
    <row r="54" customFormat="false" ht="46.25" hidden="false" customHeight="false" outlineLevel="0" collapsed="false">
      <c r="A54" s="103" t="s">
        <v>5165</v>
      </c>
      <c r="B54" s="103" t="s">
        <v>1095</v>
      </c>
      <c r="C54" s="103" t="s">
        <v>5242</v>
      </c>
      <c r="D54" s="103" t="s">
        <v>5023</v>
      </c>
      <c r="E54" s="103" t="s">
        <v>5243</v>
      </c>
      <c r="F54" s="103" t="s">
        <v>931</v>
      </c>
      <c r="G54" s="103" t="s">
        <v>1815</v>
      </c>
      <c r="H54" s="103" t="s">
        <v>5011</v>
      </c>
      <c r="I54" s="103" t="s">
        <v>5202</v>
      </c>
      <c r="J54" s="103" t="s">
        <v>5244</v>
      </c>
      <c r="K54" s="103" t="s">
        <v>5170</v>
      </c>
    </row>
    <row r="55" customFormat="false" ht="46.25" hidden="false" customHeight="false" outlineLevel="0" collapsed="false">
      <c r="A55" s="6" t="s">
        <v>5165</v>
      </c>
      <c r="B55" s="6" t="s">
        <v>5245</v>
      </c>
      <c r="C55" s="6" t="s">
        <v>5246</v>
      </c>
      <c r="D55" s="6" t="s">
        <v>5023</v>
      </c>
      <c r="E55" s="6" t="s">
        <v>5247</v>
      </c>
      <c r="F55" s="6" t="s">
        <v>884</v>
      </c>
      <c r="G55" s="6" t="s">
        <v>1848</v>
      </c>
      <c r="H55" s="6" t="s">
        <v>5035</v>
      </c>
      <c r="I55" s="6" t="s">
        <v>5248</v>
      </c>
      <c r="J55" s="6" t="s">
        <v>5249</v>
      </c>
      <c r="K55" s="6" t="s">
        <v>5170</v>
      </c>
    </row>
    <row r="56" customFormat="false" ht="46.25" hidden="false" customHeight="false" outlineLevel="0" collapsed="false">
      <c r="A56" s="103" t="s">
        <v>5165</v>
      </c>
      <c r="B56" s="103" t="s">
        <v>5250</v>
      </c>
      <c r="C56" s="103" t="s">
        <v>5251</v>
      </c>
      <c r="D56" s="103" t="s">
        <v>5115</v>
      </c>
      <c r="E56" s="103" t="s">
        <v>5252</v>
      </c>
      <c r="F56" s="103" t="s">
        <v>849</v>
      </c>
      <c r="G56" s="103" t="s">
        <v>1798</v>
      </c>
      <c r="H56" s="103" t="s">
        <v>5011</v>
      </c>
      <c r="I56" s="103" t="s">
        <v>5253</v>
      </c>
      <c r="J56" s="103" t="s">
        <v>5254</v>
      </c>
      <c r="K56" s="103" t="s">
        <v>5170</v>
      </c>
    </row>
    <row r="57" customFormat="false" ht="46.25" hidden="false" customHeight="false" outlineLevel="0" collapsed="false">
      <c r="A57" s="6" t="s">
        <v>5165</v>
      </c>
      <c r="B57" s="6" t="s">
        <v>5255</v>
      </c>
      <c r="C57" s="6" t="s">
        <v>5256</v>
      </c>
      <c r="D57" s="6" t="s">
        <v>5032</v>
      </c>
      <c r="E57" s="6" t="s">
        <v>5257</v>
      </c>
      <c r="F57" s="6" t="s">
        <v>884</v>
      </c>
      <c r="G57" s="6" t="s">
        <v>1848</v>
      </c>
      <c r="H57" s="6" t="s">
        <v>5011</v>
      </c>
      <c r="I57" s="6" t="s">
        <v>5258</v>
      </c>
      <c r="J57" s="6" t="s">
        <v>5259</v>
      </c>
      <c r="K57" s="6" t="s">
        <v>5170</v>
      </c>
    </row>
    <row r="58" customFormat="false" ht="46.25" hidden="false" customHeight="false" outlineLevel="0" collapsed="false">
      <c r="A58" s="103" t="s">
        <v>5165</v>
      </c>
      <c r="B58" s="103" t="s">
        <v>5260</v>
      </c>
      <c r="C58" s="103" t="s">
        <v>5261</v>
      </c>
      <c r="D58" s="103" t="s">
        <v>5032</v>
      </c>
      <c r="E58" s="103" t="s">
        <v>5262</v>
      </c>
      <c r="F58" s="103" t="s">
        <v>2234</v>
      </c>
      <c r="G58" s="103" t="s">
        <v>2242</v>
      </c>
      <c r="H58" s="103" t="s">
        <v>5035</v>
      </c>
      <c r="I58" s="103" t="s">
        <v>5263</v>
      </c>
      <c r="J58" s="103"/>
      <c r="K58" s="103" t="s">
        <v>5170</v>
      </c>
    </row>
    <row r="59" customFormat="false" ht="46.25" hidden="false" customHeight="false" outlineLevel="0" collapsed="false">
      <c r="A59" s="6" t="s">
        <v>5165</v>
      </c>
      <c r="B59" s="6" t="s">
        <v>5264</v>
      </c>
      <c r="C59" s="6" t="s">
        <v>5265</v>
      </c>
      <c r="D59" s="6" t="s">
        <v>5032</v>
      </c>
      <c r="E59" s="6" t="s">
        <v>5266</v>
      </c>
      <c r="F59" s="6" t="s">
        <v>5267</v>
      </c>
      <c r="G59" s="6" t="s">
        <v>5268</v>
      </c>
      <c r="H59" s="6" t="s">
        <v>5035</v>
      </c>
      <c r="I59" s="6" t="s">
        <v>5269</v>
      </c>
      <c r="J59" s="6"/>
      <c r="K59" s="6" t="s">
        <v>5170</v>
      </c>
    </row>
    <row r="60" customFormat="false" ht="46.25" hidden="false" customHeight="false" outlineLevel="0" collapsed="false">
      <c r="A60" s="103" t="s">
        <v>5165</v>
      </c>
      <c r="B60" s="103" t="s">
        <v>5270</v>
      </c>
      <c r="C60" s="103" t="s">
        <v>1621</v>
      </c>
      <c r="D60" s="103" t="s">
        <v>5032</v>
      </c>
      <c r="E60" s="103" t="s">
        <v>5271</v>
      </c>
      <c r="F60" s="103" t="s">
        <v>287</v>
      </c>
      <c r="G60" s="103" t="s">
        <v>287</v>
      </c>
      <c r="H60" s="103" t="s">
        <v>5197</v>
      </c>
      <c r="I60" s="103" t="s">
        <v>5272</v>
      </c>
      <c r="J60" s="103"/>
      <c r="K60" s="103" t="s">
        <v>5170</v>
      </c>
    </row>
    <row r="61" customFormat="false" ht="46.25" hidden="false" customHeight="false" outlineLevel="0" collapsed="false">
      <c r="A61" s="6" t="s">
        <v>5273</v>
      </c>
      <c r="B61" s="6" t="s">
        <v>5274</v>
      </c>
      <c r="C61" s="6" t="s">
        <v>5275</v>
      </c>
      <c r="D61" s="6" t="s">
        <v>5039</v>
      </c>
      <c r="E61" s="6" t="s">
        <v>4070</v>
      </c>
      <c r="F61" s="6" t="s">
        <v>931</v>
      </c>
      <c r="G61" s="6" t="s">
        <v>1815</v>
      </c>
      <c r="H61" s="6" t="s">
        <v>5035</v>
      </c>
      <c r="I61" s="6" t="s">
        <v>5122</v>
      </c>
      <c r="J61" s="6"/>
      <c r="K61" s="6" t="s">
        <v>5276</v>
      </c>
    </row>
    <row r="62" customFormat="false" ht="102.2" hidden="false" customHeight="false" outlineLevel="0" collapsed="false">
      <c r="A62" s="103" t="s">
        <v>5273</v>
      </c>
      <c r="B62" s="103" t="s">
        <v>5277</v>
      </c>
      <c r="C62" s="103" t="s">
        <v>5278</v>
      </c>
      <c r="D62" s="103" t="s">
        <v>5007</v>
      </c>
      <c r="E62" s="103" t="s">
        <v>5279</v>
      </c>
      <c r="F62" s="103" t="s">
        <v>4324</v>
      </c>
      <c r="G62" s="103" t="s">
        <v>4325</v>
      </c>
      <c r="H62" s="103" t="s">
        <v>5011</v>
      </c>
      <c r="I62" s="103" t="s">
        <v>5280</v>
      </c>
      <c r="J62" s="103" t="s">
        <v>5281</v>
      </c>
      <c r="K62" s="103" t="s">
        <v>5276</v>
      </c>
    </row>
    <row r="63" customFormat="false" ht="79.85" hidden="false" customHeight="false" outlineLevel="0" collapsed="false">
      <c r="A63" s="6" t="s">
        <v>5273</v>
      </c>
      <c r="B63" s="6" t="s">
        <v>5282</v>
      </c>
      <c r="C63" s="6" t="s">
        <v>5283</v>
      </c>
      <c r="D63" s="6" t="s">
        <v>5039</v>
      </c>
      <c r="E63" s="6" t="s">
        <v>5284</v>
      </c>
      <c r="F63" s="6" t="s">
        <v>5285</v>
      </c>
      <c r="G63" s="6" t="s">
        <v>5286</v>
      </c>
      <c r="H63" s="6" t="s">
        <v>5011</v>
      </c>
      <c r="I63" s="6" t="s">
        <v>5287</v>
      </c>
      <c r="J63" s="6" t="s">
        <v>5288</v>
      </c>
      <c r="K63" s="6" t="s">
        <v>5276</v>
      </c>
    </row>
    <row r="64" customFormat="false" ht="113.4" hidden="false" customHeight="false" outlineLevel="0" collapsed="false">
      <c r="A64" s="103" t="s">
        <v>5273</v>
      </c>
      <c r="B64" s="103" t="s">
        <v>5289</v>
      </c>
      <c r="C64" s="103" t="s">
        <v>5290</v>
      </c>
      <c r="D64" s="103" t="s">
        <v>5007</v>
      </c>
      <c r="E64" s="103" t="s">
        <v>5291</v>
      </c>
      <c r="F64" s="103" t="s">
        <v>5285</v>
      </c>
      <c r="G64" s="103" t="s">
        <v>5286</v>
      </c>
      <c r="H64" s="103" t="s">
        <v>5011</v>
      </c>
      <c r="I64" s="103" t="s">
        <v>5292</v>
      </c>
      <c r="J64" s="103" t="s">
        <v>5293</v>
      </c>
      <c r="K64" s="103" t="s">
        <v>5276</v>
      </c>
    </row>
    <row r="65" customFormat="false" ht="91" hidden="false" customHeight="false" outlineLevel="0" collapsed="false">
      <c r="A65" s="6" t="s">
        <v>5273</v>
      </c>
      <c r="B65" s="6" t="s">
        <v>2580</v>
      </c>
      <c r="C65" s="6" t="s">
        <v>5294</v>
      </c>
      <c r="D65" s="6" t="s">
        <v>5032</v>
      </c>
      <c r="E65" s="6" t="s">
        <v>5032</v>
      </c>
      <c r="F65" s="6" t="s">
        <v>5295</v>
      </c>
      <c r="G65" s="6" t="s">
        <v>5296</v>
      </c>
      <c r="H65" s="6" t="s">
        <v>5011</v>
      </c>
      <c r="I65" s="6" t="s">
        <v>5297</v>
      </c>
      <c r="J65" s="6" t="s">
        <v>5298</v>
      </c>
      <c r="K65" s="6" t="s">
        <v>5276</v>
      </c>
    </row>
    <row r="66" customFormat="false" ht="57.45" hidden="false" customHeight="false" outlineLevel="0" collapsed="false">
      <c r="A66" s="103" t="s">
        <v>5273</v>
      </c>
      <c r="B66" s="103" t="s">
        <v>5299</v>
      </c>
      <c r="C66" s="103" t="s">
        <v>5300</v>
      </c>
      <c r="D66" s="103" t="s">
        <v>5039</v>
      </c>
      <c r="E66" s="103" t="s">
        <v>5301</v>
      </c>
      <c r="F66" s="103" t="s">
        <v>287</v>
      </c>
      <c r="G66" s="103" t="s">
        <v>287</v>
      </c>
      <c r="H66" s="103" t="s">
        <v>5011</v>
      </c>
      <c r="I66" s="103" t="s">
        <v>5302</v>
      </c>
      <c r="J66" s="103" t="s">
        <v>5303</v>
      </c>
      <c r="K66" s="103" t="s">
        <v>5276</v>
      </c>
    </row>
    <row r="67" customFormat="false" ht="102.2" hidden="false" customHeight="false" outlineLevel="0" collapsed="false">
      <c r="A67" s="6" t="s">
        <v>5273</v>
      </c>
      <c r="B67" s="6" t="s">
        <v>5304</v>
      </c>
      <c r="C67" s="6" t="s">
        <v>5305</v>
      </c>
      <c r="D67" s="6" t="s">
        <v>5115</v>
      </c>
      <c r="E67" s="6" t="s">
        <v>5306</v>
      </c>
      <c r="F67" s="6" t="s">
        <v>3455</v>
      </c>
      <c r="G67" s="6" t="s">
        <v>3456</v>
      </c>
      <c r="H67" s="6" t="s">
        <v>5035</v>
      </c>
      <c r="I67" s="6" t="s">
        <v>5307</v>
      </c>
      <c r="J67" s="6" t="s">
        <v>5308</v>
      </c>
      <c r="K67" s="6" t="s">
        <v>5276</v>
      </c>
    </row>
    <row r="68" customFormat="false" ht="46.25" hidden="false" customHeight="false" outlineLevel="0" collapsed="false">
      <c r="A68" s="103" t="s">
        <v>5273</v>
      </c>
      <c r="B68" s="103" t="s">
        <v>5309</v>
      </c>
      <c r="C68" s="103" t="s">
        <v>5310</v>
      </c>
      <c r="D68" s="103" t="s">
        <v>5046</v>
      </c>
      <c r="E68" s="103" t="s">
        <v>5311</v>
      </c>
      <c r="F68" s="103" t="s">
        <v>3455</v>
      </c>
      <c r="G68" s="103" t="s">
        <v>3456</v>
      </c>
      <c r="H68" s="103" t="s">
        <v>5011</v>
      </c>
      <c r="I68" s="103" t="s">
        <v>5312</v>
      </c>
      <c r="J68" s="103" t="s">
        <v>5313</v>
      </c>
      <c r="K68" s="103" t="s">
        <v>5276</v>
      </c>
    </row>
    <row r="69" customFormat="false" ht="79.85" hidden="false" customHeight="false" outlineLevel="0" collapsed="false">
      <c r="A69" s="6" t="s">
        <v>5273</v>
      </c>
      <c r="B69" s="6" t="s">
        <v>5314</v>
      </c>
      <c r="C69" s="6" t="s">
        <v>5315</v>
      </c>
      <c r="D69" s="6" t="s">
        <v>5007</v>
      </c>
      <c r="E69" s="6" t="s">
        <v>5316</v>
      </c>
      <c r="F69" s="6" t="s">
        <v>931</v>
      </c>
      <c r="G69" s="6" t="s">
        <v>1815</v>
      </c>
      <c r="H69" s="6" t="s">
        <v>5035</v>
      </c>
      <c r="I69" s="6" t="s">
        <v>5317</v>
      </c>
      <c r="J69" s="6" t="s">
        <v>5318</v>
      </c>
      <c r="K69" s="6" t="s">
        <v>5276</v>
      </c>
    </row>
    <row r="70" customFormat="false" ht="102.2" hidden="false" customHeight="false" outlineLevel="0" collapsed="false">
      <c r="A70" s="103" t="s">
        <v>5273</v>
      </c>
      <c r="B70" s="103" t="s">
        <v>2533</v>
      </c>
      <c r="C70" s="103" t="s">
        <v>5319</v>
      </c>
      <c r="D70" s="103" t="s">
        <v>5046</v>
      </c>
      <c r="E70" s="103" t="s">
        <v>5320</v>
      </c>
      <c r="F70" s="103" t="s">
        <v>5321</v>
      </c>
      <c r="G70" s="103" t="s">
        <v>5322</v>
      </c>
      <c r="H70" s="103" t="s">
        <v>5035</v>
      </c>
      <c r="I70" s="103" t="s">
        <v>5323</v>
      </c>
      <c r="J70" s="103" t="s">
        <v>5324</v>
      </c>
      <c r="K70" s="103" t="s">
        <v>5276</v>
      </c>
    </row>
    <row r="71" customFormat="false" ht="79.85" hidden="false" customHeight="false" outlineLevel="0" collapsed="false">
      <c r="A71" s="6" t="s">
        <v>5325</v>
      </c>
      <c r="B71" s="6" t="s">
        <v>2752</v>
      </c>
      <c r="C71" s="6" t="s">
        <v>5326</v>
      </c>
      <c r="D71" s="6" t="s">
        <v>5115</v>
      </c>
      <c r="E71" s="6" t="s">
        <v>5327</v>
      </c>
      <c r="F71" s="6" t="s">
        <v>5328</v>
      </c>
      <c r="G71" s="6" t="s">
        <v>5329</v>
      </c>
      <c r="H71" s="6" t="s">
        <v>5011</v>
      </c>
      <c r="I71" s="6" t="s">
        <v>5330</v>
      </c>
      <c r="J71" s="6" t="s">
        <v>5331</v>
      </c>
      <c r="K71" s="6" t="s">
        <v>5332</v>
      </c>
    </row>
    <row r="72" customFormat="false" ht="91" hidden="false" customHeight="false" outlineLevel="0" collapsed="false">
      <c r="A72" s="103" t="s">
        <v>5325</v>
      </c>
      <c r="B72" s="103" t="s">
        <v>2445</v>
      </c>
      <c r="C72" s="103" t="s">
        <v>5333</v>
      </c>
      <c r="D72" s="103" t="s">
        <v>5007</v>
      </c>
      <c r="E72" s="103" t="s">
        <v>5334</v>
      </c>
      <c r="F72" s="103" t="s">
        <v>5009</v>
      </c>
      <c r="G72" s="103" t="s">
        <v>5010</v>
      </c>
      <c r="H72" s="103" t="s">
        <v>5197</v>
      </c>
      <c r="I72" s="103" t="s">
        <v>5335</v>
      </c>
      <c r="J72" s="103" t="s">
        <v>5336</v>
      </c>
      <c r="K72" s="103" t="s">
        <v>5332</v>
      </c>
    </row>
    <row r="73" customFormat="false" ht="135.8" hidden="false" customHeight="false" outlineLevel="0" collapsed="false">
      <c r="A73" s="6" t="s">
        <v>5325</v>
      </c>
      <c r="B73" s="6" t="s">
        <v>2817</v>
      </c>
      <c r="C73" s="6" t="s">
        <v>5337</v>
      </c>
      <c r="D73" s="6" t="s">
        <v>5039</v>
      </c>
      <c r="E73" s="6" t="s">
        <v>5338</v>
      </c>
      <c r="F73" s="6" t="s">
        <v>829</v>
      </c>
      <c r="G73" s="6" t="s">
        <v>5339</v>
      </c>
      <c r="H73" s="6" t="s">
        <v>5011</v>
      </c>
      <c r="I73" s="6" t="s">
        <v>5340</v>
      </c>
      <c r="J73" s="6" t="s">
        <v>5341</v>
      </c>
      <c r="K73" s="6" t="s">
        <v>5332</v>
      </c>
    </row>
    <row r="74" customFormat="false" ht="102.2" hidden="false" customHeight="false" outlineLevel="0" collapsed="false">
      <c r="A74" s="103" t="s">
        <v>5325</v>
      </c>
      <c r="B74" s="103" t="s">
        <v>2608</v>
      </c>
      <c r="C74" s="103" t="s">
        <v>5342</v>
      </c>
      <c r="D74" s="103" t="s">
        <v>5007</v>
      </c>
      <c r="E74" s="103" t="s">
        <v>5343</v>
      </c>
      <c r="F74" s="103" t="s">
        <v>5344</v>
      </c>
      <c r="G74" s="103" t="s">
        <v>5345</v>
      </c>
      <c r="H74" s="103" t="s">
        <v>5197</v>
      </c>
      <c r="I74" s="103" t="s">
        <v>5346</v>
      </c>
      <c r="J74" s="103" t="s">
        <v>5347</v>
      </c>
      <c r="K74" s="103" t="s">
        <v>5332</v>
      </c>
    </row>
    <row r="75" customFormat="false" ht="46.25" hidden="false" customHeight="false" outlineLevel="0" collapsed="false">
      <c r="A75" s="6" t="s">
        <v>5348</v>
      </c>
      <c r="B75" s="6" t="s">
        <v>5349</v>
      </c>
      <c r="C75" s="6" t="s">
        <v>5350</v>
      </c>
      <c r="D75" s="6" t="s">
        <v>5115</v>
      </c>
      <c r="E75" s="6" t="s">
        <v>5351</v>
      </c>
      <c r="F75" s="6" t="s">
        <v>287</v>
      </c>
      <c r="G75" s="6" t="s">
        <v>287</v>
      </c>
      <c r="H75" s="6" t="s">
        <v>5035</v>
      </c>
      <c r="I75" s="6" t="s">
        <v>5352</v>
      </c>
      <c r="J75" s="6"/>
      <c r="K75" s="6" t="s">
        <v>5353</v>
      </c>
    </row>
    <row r="76" customFormat="false" ht="46.25" hidden="false" customHeight="false" outlineLevel="0" collapsed="false">
      <c r="A76" s="103" t="s">
        <v>5348</v>
      </c>
      <c r="B76" s="103" t="s">
        <v>5354</v>
      </c>
      <c r="C76" s="103" t="s">
        <v>5355</v>
      </c>
      <c r="D76" s="103" t="s">
        <v>5007</v>
      </c>
      <c r="E76" s="103" t="s">
        <v>5356</v>
      </c>
      <c r="F76" s="103" t="s">
        <v>5357</v>
      </c>
      <c r="G76" s="103" t="s">
        <v>5286</v>
      </c>
      <c r="H76" s="103" t="s">
        <v>5011</v>
      </c>
      <c r="I76" s="103" t="s">
        <v>5358</v>
      </c>
      <c r="J76" s="103" t="s">
        <v>5359</v>
      </c>
      <c r="K76" s="103" t="s">
        <v>5353</v>
      </c>
    </row>
    <row r="77" customFormat="false" ht="68.65" hidden="false" customHeight="false" outlineLevel="0" collapsed="false">
      <c r="A77" s="6" t="s">
        <v>5348</v>
      </c>
      <c r="B77" s="6" t="s">
        <v>2581</v>
      </c>
      <c r="C77" s="6" t="s">
        <v>5360</v>
      </c>
      <c r="D77" s="6" t="s">
        <v>5046</v>
      </c>
      <c r="E77" s="6" t="s">
        <v>5008</v>
      </c>
      <c r="F77" s="6" t="s">
        <v>5361</v>
      </c>
      <c r="G77" s="6" t="s">
        <v>5362</v>
      </c>
      <c r="H77" s="6" t="s">
        <v>5011</v>
      </c>
      <c r="I77" s="6" t="s">
        <v>5363</v>
      </c>
      <c r="J77" s="6" t="s">
        <v>5364</v>
      </c>
      <c r="K77" s="6" t="s">
        <v>5353</v>
      </c>
    </row>
    <row r="78" customFormat="false" ht="46.25" hidden="false" customHeight="false" outlineLevel="0" collapsed="false">
      <c r="A78" s="103" t="s">
        <v>5348</v>
      </c>
      <c r="B78" s="103" t="s">
        <v>5365</v>
      </c>
      <c r="C78" s="103" t="s">
        <v>5366</v>
      </c>
      <c r="D78" s="103" t="s">
        <v>5046</v>
      </c>
      <c r="E78" s="103" t="s">
        <v>5367</v>
      </c>
      <c r="F78" s="103" t="s">
        <v>5368</v>
      </c>
      <c r="G78" s="103" t="s">
        <v>5369</v>
      </c>
      <c r="H78" s="103" t="s">
        <v>5035</v>
      </c>
      <c r="I78" s="103" t="s">
        <v>5370</v>
      </c>
      <c r="J78" s="103"/>
      <c r="K78" s="103" t="s">
        <v>5353</v>
      </c>
    </row>
    <row r="79" customFormat="false" ht="57.45" hidden="false" customHeight="false" outlineLevel="0" collapsed="false">
      <c r="A79" s="6" t="s">
        <v>5348</v>
      </c>
      <c r="B79" s="6" t="s">
        <v>5371</v>
      </c>
      <c r="C79" s="6" t="s">
        <v>5372</v>
      </c>
      <c r="D79" s="6" t="s">
        <v>5032</v>
      </c>
      <c r="E79" s="6" t="s">
        <v>5032</v>
      </c>
      <c r="F79" s="6" t="s">
        <v>5373</v>
      </c>
      <c r="G79" s="6" t="s">
        <v>5374</v>
      </c>
      <c r="H79" s="6" t="s">
        <v>5011</v>
      </c>
      <c r="I79" s="6" t="s">
        <v>5375</v>
      </c>
      <c r="J79" s="6" t="s">
        <v>5376</v>
      </c>
      <c r="K79" s="6" t="s">
        <v>5353</v>
      </c>
    </row>
    <row r="80" customFormat="false" ht="57.45" hidden="false" customHeight="false" outlineLevel="0" collapsed="false">
      <c r="A80" s="103" t="s">
        <v>5348</v>
      </c>
      <c r="B80" s="103" t="s">
        <v>5377</v>
      </c>
      <c r="C80" s="103" t="s">
        <v>5378</v>
      </c>
      <c r="D80" s="103" t="s">
        <v>5023</v>
      </c>
      <c r="E80" s="103" t="s">
        <v>5379</v>
      </c>
      <c r="F80" s="103" t="s">
        <v>5156</v>
      </c>
      <c r="G80" s="103" t="s">
        <v>5157</v>
      </c>
      <c r="H80" s="103" t="s">
        <v>5011</v>
      </c>
      <c r="I80" s="103" t="s">
        <v>5375</v>
      </c>
      <c r="J80" s="103" t="s">
        <v>5380</v>
      </c>
      <c r="K80" s="103" t="s">
        <v>5353</v>
      </c>
    </row>
    <row r="81" customFormat="false" ht="79.85" hidden="false" customHeight="false" outlineLevel="0" collapsed="false">
      <c r="A81" s="6" t="s">
        <v>5348</v>
      </c>
      <c r="B81" s="6" t="s">
        <v>5381</v>
      </c>
      <c r="C81" s="6" t="s">
        <v>5382</v>
      </c>
      <c r="D81" s="6" t="s">
        <v>5115</v>
      </c>
      <c r="E81" s="6" t="s">
        <v>5383</v>
      </c>
      <c r="F81" s="6" t="s">
        <v>5384</v>
      </c>
      <c r="G81" s="6" t="s">
        <v>5385</v>
      </c>
      <c r="H81" s="6" t="s">
        <v>5011</v>
      </c>
      <c r="I81" s="6" t="s">
        <v>5386</v>
      </c>
      <c r="J81" s="6" t="s">
        <v>5387</v>
      </c>
      <c r="K81" s="6" t="s">
        <v>5353</v>
      </c>
    </row>
    <row r="82" customFormat="false" ht="124.6" hidden="false" customHeight="false" outlineLevel="0" collapsed="false">
      <c r="A82" s="103" t="s">
        <v>5348</v>
      </c>
      <c r="B82" s="103" t="s">
        <v>5388</v>
      </c>
      <c r="C82" s="103" t="s">
        <v>5389</v>
      </c>
      <c r="D82" s="103" t="s">
        <v>5046</v>
      </c>
      <c r="E82" s="103" t="s">
        <v>5390</v>
      </c>
      <c r="F82" s="103" t="s">
        <v>931</v>
      </c>
      <c r="G82" s="103" t="s">
        <v>1815</v>
      </c>
      <c r="H82" s="103" t="s">
        <v>5011</v>
      </c>
      <c r="I82" s="103" t="s">
        <v>5391</v>
      </c>
      <c r="J82" s="103" t="s">
        <v>5392</v>
      </c>
      <c r="K82" s="103" t="s">
        <v>5353</v>
      </c>
    </row>
    <row r="83" customFormat="false" ht="82.8" hidden="false" customHeight="false" outlineLevel="0" collapsed="false">
      <c r="A83" s="6" t="s">
        <v>5393</v>
      </c>
      <c r="B83" s="6" t="s">
        <v>5394</v>
      </c>
      <c r="C83" s="6" t="s">
        <v>5395</v>
      </c>
      <c r="D83" s="6" t="s">
        <v>5007</v>
      </c>
      <c r="E83" s="6" t="s">
        <v>5396</v>
      </c>
      <c r="F83" s="6" t="s">
        <v>5397</v>
      </c>
      <c r="G83" s="6" t="s">
        <v>5398</v>
      </c>
      <c r="H83" s="6" t="s">
        <v>5011</v>
      </c>
      <c r="I83" s="6" t="s">
        <v>5375</v>
      </c>
      <c r="J83" s="6" t="s">
        <v>5399</v>
      </c>
      <c r="K83" s="6" t="s">
        <v>5400</v>
      </c>
    </row>
    <row r="84" customFormat="false" ht="47.75" hidden="false" customHeight="false" outlineLevel="0" collapsed="false">
      <c r="A84" s="103" t="s">
        <v>5393</v>
      </c>
      <c r="B84" s="103" t="s">
        <v>5401</v>
      </c>
      <c r="C84" s="103" t="s">
        <v>5402</v>
      </c>
      <c r="D84" s="103" t="s">
        <v>5007</v>
      </c>
      <c r="E84" s="103" t="s">
        <v>5008</v>
      </c>
      <c r="F84" s="103" t="s">
        <v>5403</v>
      </c>
      <c r="G84" s="103" t="s">
        <v>5404</v>
      </c>
      <c r="H84" s="103" t="s">
        <v>5011</v>
      </c>
      <c r="I84" s="103" t="s">
        <v>5375</v>
      </c>
      <c r="J84" s="103" t="s">
        <v>5405</v>
      </c>
      <c r="K84" s="103" t="s">
        <v>5400</v>
      </c>
    </row>
    <row r="85" customFormat="false" ht="46.25" hidden="false" customHeight="false" outlineLevel="0" collapsed="false">
      <c r="A85" s="6" t="s">
        <v>5393</v>
      </c>
      <c r="B85" s="6" t="s">
        <v>5406</v>
      </c>
      <c r="C85" s="6" t="s">
        <v>5407</v>
      </c>
      <c r="D85" s="6" t="s">
        <v>5007</v>
      </c>
      <c r="E85" s="6" t="s">
        <v>5008</v>
      </c>
      <c r="F85" s="6" t="s">
        <v>2234</v>
      </c>
      <c r="G85" s="6" t="s">
        <v>2242</v>
      </c>
      <c r="H85" s="6" t="s">
        <v>5011</v>
      </c>
      <c r="I85" s="6" t="s">
        <v>5375</v>
      </c>
      <c r="J85" s="6" t="s">
        <v>5408</v>
      </c>
      <c r="K85" s="6" t="s">
        <v>5400</v>
      </c>
    </row>
    <row r="86" customFormat="false" ht="81.3" hidden="false" customHeight="false" outlineLevel="0" collapsed="false">
      <c r="A86" s="103" t="s">
        <v>5393</v>
      </c>
      <c r="B86" s="103" t="s">
        <v>5409</v>
      </c>
      <c r="C86" s="103" t="s">
        <v>5410</v>
      </c>
      <c r="D86" s="103" t="s">
        <v>5007</v>
      </c>
      <c r="E86" s="103" t="s">
        <v>5411</v>
      </c>
      <c r="F86" s="103" t="s">
        <v>2234</v>
      </c>
      <c r="G86" s="103" t="s">
        <v>2242</v>
      </c>
      <c r="H86" s="103" t="s">
        <v>5011</v>
      </c>
      <c r="I86" s="103" t="s">
        <v>5375</v>
      </c>
      <c r="J86" s="103" t="s">
        <v>5412</v>
      </c>
      <c r="K86" s="103" t="s">
        <v>5400</v>
      </c>
    </row>
    <row r="87" customFormat="false" ht="60.4" hidden="false" customHeight="false" outlineLevel="0" collapsed="false">
      <c r="A87" s="6" t="s">
        <v>5393</v>
      </c>
      <c r="B87" s="6" t="s">
        <v>2754</v>
      </c>
      <c r="C87" s="6" t="s">
        <v>5413</v>
      </c>
      <c r="D87" s="6" t="s">
        <v>5007</v>
      </c>
      <c r="E87" s="6" t="s">
        <v>5414</v>
      </c>
      <c r="F87" s="6" t="s">
        <v>5415</v>
      </c>
      <c r="G87" s="6" t="s">
        <v>5416</v>
      </c>
      <c r="H87" s="6" t="s">
        <v>5011</v>
      </c>
      <c r="I87" s="6" t="s">
        <v>5417</v>
      </c>
      <c r="J87" s="6" t="s">
        <v>5418</v>
      </c>
      <c r="K87" s="6" t="s">
        <v>5400</v>
      </c>
    </row>
    <row r="88" customFormat="false" ht="68.65" hidden="false" customHeight="false" outlineLevel="0" collapsed="false">
      <c r="A88" s="103" t="s">
        <v>5393</v>
      </c>
      <c r="B88" s="103" t="s">
        <v>2582</v>
      </c>
      <c r="C88" s="103" t="s">
        <v>5419</v>
      </c>
      <c r="D88" s="103" t="s">
        <v>5007</v>
      </c>
      <c r="E88" s="103" t="s">
        <v>5420</v>
      </c>
      <c r="F88" s="103" t="s">
        <v>5421</v>
      </c>
      <c r="G88" s="103" t="s">
        <v>5422</v>
      </c>
      <c r="H88" s="103" t="s">
        <v>5011</v>
      </c>
      <c r="I88" s="103" t="s">
        <v>5375</v>
      </c>
      <c r="J88" s="103" t="s">
        <v>5423</v>
      </c>
      <c r="K88" s="103" t="s">
        <v>5400</v>
      </c>
    </row>
    <row r="89" customFormat="false" ht="68.65" hidden="false" customHeight="false" outlineLevel="0" collapsed="false">
      <c r="A89" s="6" t="s">
        <v>5393</v>
      </c>
      <c r="B89" s="6" t="s">
        <v>2534</v>
      </c>
      <c r="C89" s="6" t="s">
        <v>5424</v>
      </c>
      <c r="D89" s="6" t="s">
        <v>5007</v>
      </c>
      <c r="E89" s="6" t="s">
        <v>5425</v>
      </c>
      <c r="F89" s="6" t="s">
        <v>5426</v>
      </c>
      <c r="G89" s="6" t="s">
        <v>5427</v>
      </c>
      <c r="H89" s="6" t="s">
        <v>5035</v>
      </c>
      <c r="I89" s="6" t="s">
        <v>5428</v>
      </c>
      <c r="J89" s="6" t="s">
        <v>5429</v>
      </c>
      <c r="K89" s="6" t="s">
        <v>5400</v>
      </c>
    </row>
    <row r="90" customFormat="false" ht="105.2" hidden="false" customHeight="false" outlineLevel="0" collapsed="false">
      <c r="A90" s="103" t="s">
        <v>5393</v>
      </c>
      <c r="B90" s="103" t="s">
        <v>5430</v>
      </c>
      <c r="C90" s="103" t="s">
        <v>5431</v>
      </c>
      <c r="D90" s="103" t="s">
        <v>5115</v>
      </c>
      <c r="E90" s="103" t="s">
        <v>5432</v>
      </c>
      <c r="F90" s="103" t="s">
        <v>287</v>
      </c>
      <c r="G90" s="103" t="s">
        <v>287</v>
      </c>
      <c r="H90" s="103" t="s">
        <v>5011</v>
      </c>
      <c r="I90" s="103" t="s">
        <v>5433</v>
      </c>
      <c r="J90" s="103" t="s">
        <v>5434</v>
      </c>
      <c r="K90" s="103" t="s">
        <v>5400</v>
      </c>
    </row>
    <row r="91" customFormat="false" ht="46.25" hidden="false" customHeight="false" outlineLevel="0" collapsed="false">
      <c r="A91" s="6" t="s">
        <v>5393</v>
      </c>
      <c r="B91" s="6" t="s">
        <v>5435</v>
      </c>
      <c r="C91" s="6" t="s">
        <v>5436</v>
      </c>
      <c r="D91" s="6" t="s">
        <v>5039</v>
      </c>
      <c r="E91" s="6" t="s">
        <v>5437</v>
      </c>
      <c r="F91" s="6" t="s">
        <v>1825</v>
      </c>
      <c r="G91" s="6" t="s">
        <v>1834</v>
      </c>
      <c r="H91" s="6" t="s">
        <v>5035</v>
      </c>
      <c r="I91" s="6" t="s">
        <v>5438</v>
      </c>
      <c r="J91" s="6"/>
      <c r="K91" s="6" t="s">
        <v>5400</v>
      </c>
    </row>
    <row r="92" customFormat="false" ht="46.25" hidden="false" customHeight="false" outlineLevel="0" collapsed="false">
      <c r="A92" s="103" t="s">
        <v>5439</v>
      </c>
      <c r="B92" s="103" t="s">
        <v>2446</v>
      </c>
      <c r="C92" s="103" t="s">
        <v>5440</v>
      </c>
      <c r="D92" s="103" t="s">
        <v>5007</v>
      </c>
      <c r="E92" s="103" t="s">
        <v>5441</v>
      </c>
      <c r="F92" s="103" t="s">
        <v>5009</v>
      </c>
      <c r="G92" s="103" t="s">
        <v>5010</v>
      </c>
      <c r="H92" s="103" t="s">
        <v>5011</v>
      </c>
      <c r="I92" s="103" t="s">
        <v>5442</v>
      </c>
      <c r="J92" s="103" t="s">
        <v>5443</v>
      </c>
      <c r="K92" s="103" t="s">
        <v>5444</v>
      </c>
    </row>
    <row r="93" customFormat="false" ht="46.25" hidden="false" customHeight="false" outlineLevel="0" collapsed="false">
      <c r="A93" s="6" t="s">
        <v>5439</v>
      </c>
      <c r="B93" s="6" t="s">
        <v>5445</v>
      </c>
      <c r="C93" s="6" t="s">
        <v>5446</v>
      </c>
      <c r="D93" s="6" t="s">
        <v>5007</v>
      </c>
      <c r="E93" s="6" t="s">
        <v>5447</v>
      </c>
      <c r="F93" s="6" t="s">
        <v>5357</v>
      </c>
      <c r="G93" s="6" t="s">
        <v>5286</v>
      </c>
      <c r="H93" s="6" t="s">
        <v>5011</v>
      </c>
      <c r="I93" s="6" t="s">
        <v>5448</v>
      </c>
      <c r="J93" s="6" t="s">
        <v>5449</v>
      </c>
      <c r="K93" s="6" t="s">
        <v>5444</v>
      </c>
    </row>
    <row r="94" customFormat="false" ht="91" hidden="false" customHeight="false" outlineLevel="0" collapsed="false">
      <c r="A94" s="103" t="s">
        <v>5439</v>
      </c>
      <c r="B94" s="103" t="s">
        <v>5450</v>
      </c>
      <c r="C94" s="103" t="s">
        <v>5451</v>
      </c>
      <c r="D94" s="103" t="s">
        <v>5039</v>
      </c>
      <c r="E94" s="103" t="s">
        <v>5452</v>
      </c>
      <c r="F94" s="103" t="s">
        <v>5285</v>
      </c>
      <c r="G94" s="103" t="s">
        <v>5286</v>
      </c>
      <c r="H94" s="103" t="s">
        <v>5011</v>
      </c>
      <c r="I94" s="103" t="s">
        <v>5453</v>
      </c>
      <c r="J94" s="103" t="s">
        <v>5454</v>
      </c>
      <c r="K94" s="103" t="s">
        <v>5444</v>
      </c>
    </row>
    <row r="95" customFormat="false" ht="46.25" hidden="false" customHeight="false" outlineLevel="0" collapsed="false">
      <c r="A95" s="6" t="s">
        <v>5439</v>
      </c>
      <c r="B95" s="6" t="s">
        <v>5455</v>
      </c>
      <c r="C95" s="6" t="s">
        <v>5456</v>
      </c>
      <c r="D95" s="6" t="s">
        <v>5023</v>
      </c>
      <c r="E95" s="6" t="s">
        <v>5457</v>
      </c>
      <c r="F95" s="6" t="s">
        <v>5033</v>
      </c>
      <c r="G95" s="6" t="s">
        <v>5034</v>
      </c>
      <c r="H95" s="6" t="s">
        <v>5011</v>
      </c>
      <c r="I95" s="6" t="s">
        <v>5458</v>
      </c>
      <c r="J95" s="6" t="s">
        <v>5459</v>
      </c>
      <c r="K95" s="6" t="s">
        <v>5444</v>
      </c>
    </row>
    <row r="96" customFormat="false" ht="46.25" hidden="false" customHeight="false" outlineLevel="0" collapsed="false">
      <c r="A96" s="103" t="s">
        <v>5439</v>
      </c>
      <c r="B96" s="103" t="s">
        <v>5460</v>
      </c>
      <c r="C96" s="103" t="s">
        <v>5461</v>
      </c>
      <c r="D96" s="103" t="s">
        <v>5023</v>
      </c>
      <c r="E96" s="103" t="s">
        <v>5462</v>
      </c>
      <c r="F96" s="103" t="s">
        <v>5463</v>
      </c>
      <c r="G96" s="103" t="s">
        <v>5464</v>
      </c>
      <c r="H96" s="103" t="s">
        <v>5011</v>
      </c>
      <c r="I96" s="103" t="s">
        <v>5465</v>
      </c>
      <c r="J96" s="103" t="s">
        <v>5466</v>
      </c>
      <c r="K96" s="103" t="s">
        <v>5444</v>
      </c>
    </row>
    <row r="97" customFormat="false" ht="68.65" hidden="false" customHeight="false" outlineLevel="0" collapsed="false">
      <c r="A97" s="6" t="s">
        <v>5439</v>
      </c>
      <c r="B97" s="6" t="s">
        <v>5467</v>
      </c>
      <c r="C97" s="6" t="s">
        <v>5468</v>
      </c>
      <c r="D97" s="6" t="s">
        <v>5115</v>
      </c>
      <c r="E97" s="6" t="s">
        <v>5469</v>
      </c>
      <c r="F97" s="6" t="s">
        <v>5470</v>
      </c>
      <c r="G97" s="6" t="s">
        <v>5471</v>
      </c>
      <c r="H97" s="6" t="s">
        <v>5011</v>
      </c>
      <c r="I97" s="6" t="s">
        <v>5472</v>
      </c>
      <c r="J97" s="6" t="s">
        <v>5473</v>
      </c>
      <c r="K97" s="6" t="s">
        <v>5444</v>
      </c>
    </row>
    <row r="98" customFormat="false" ht="102.2" hidden="false" customHeight="false" outlineLevel="0" collapsed="false">
      <c r="A98" s="103" t="s">
        <v>5439</v>
      </c>
      <c r="B98" s="103" t="s">
        <v>5474</v>
      </c>
      <c r="C98" s="103" t="s">
        <v>5475</v>
      </c>
      <c r="D98" s="103" t="s">
        <v>5046</v>
      </c>
      <c r="E98" s="103" t="s">
        <v>5476</v>
      </c>
      <c r="F98" s="103" t="s">
        <v>5477</v>
      </c>
      <c r="G98" s="103" t="s">
        <v>5478</v>
      </c>
      <c r="H98" s="103" t="s">
        <v>5035</v>
      </c>
      <c r="I98" s="103" t="s">
        <v>5479</v>
      </c>
      <c r="J98" s="103" t="s">
        <v>5480</v>
      </c>
      <c r="K98" s="103" t="s">
        <v>5444</v>
      </c>
    </row>
    <row r="99" customFormat="false" ht="46.25" hidden="false" customHeight="false" outlineLevel="0" collapsed="false">
      <c r="A99" s="6" t="s">
        <v>5439</v>
      </c>
      <c r="B99" s="6" t="s">
        <v>5481</v>
      </c>
      <c r="C99" s="6" t="s">
        <v>5482</v>
      </c>
      <c r="D99" s="6" t="s">
        <v>5059</v>
      </c>
      <c r="E99" s="6" t="s">
        <v>5483</v>
      </c>
      <c r="F99" s="6" t="s">
        <v>5484</v>
      </c>
      <c r="G99" s="6" t="s">
        <v>5485</v>
      </c>
      <c r="H99" s="6" t="s">
        <v>5075</v>
      </c>
      <c r="I99" s="6" t="s">
        <v>5486</v>
      </c>
      <c r="J99" s="6"/>
      <c r="K99" s="6" t="s">
        <v>5444</v>
      </c>
    </row>
    <row r="100" customFormat="false" ht="68.65" hidden="false" customHeight="false" outlineLevel="0" collapsed="false">
      <c r="A100" s="103" t="s">
        <v>5439</v>
      </c>
      <c r="B100" s="103" t="s">
        <v>5487</v>
      </c>
      <c r="C100" s="103" t="s">
        <v>5488</v>
      </c>
      <c r="D100" s="103" t="s">
        <v>5046</v>
      </c>
      <c r="E100" s="103" t="s">
        <v>5489</v>
      </c>
      <c r="F100" s="103" t="s">
        <v>2234</v>
      </c>
      <c r="G100" s="103" t="s">
        <v>2242</v>
      </c>
      <c r="H100" s="103" t="s">
        <v>5011</v>
      </c>
      <c r="I100" s="103" t="s">
        <v>5490</v>
      </c>
      <c r="J100" s="103" t="s">
        <v>5491</v>
      </c>
      <c r="K100" s="103" t="s">
        <v>5444</v>
      </c>
    </row>
    <row r="101" customFormat="false" ht="46.25" hidden="false" customHeight="false" outlineLevel="0" collapsed="false">
      <c r="A101" s="6" t="s">
        <v>5439</v>
      </c>
      <c r="B101" s="6" t="s">
        <v>5492</v>
      </c>
      <c r="C101" s="6" t="s">
        <v>5493</v>
      </c>
      <c r="D101" s="6" t="s">
        <v>5007</v>
      </c>
      <c r="E101" s="6" t="s">
        <v>5494</v>
      </c>
      <c r="F101" s="6" t="s">
        <v>5210</v>
      </c>
      <c r="G101" s="6" t="s">
        <v>5211</v>
      </c>
      <c r="H101" s="6" t="s">
        <v>5011</v>
      </c>
      <c r="I101" s="6" t="s">
        <v>5495</v>
      </c>
      <c r="J101" s="6" t="s">
        <v>5496</v>
      </c>
      <c r="K101" s="6" t="s">
        <v>5444</v>
      </c>
    </row>
    <row r="102" customFormat="false" ht="46.25" hidden="false" customHeight="false" outlineLevel="0" collapsed="false">
      <c r="A102" s="103" t="s">
        <v>5439</v>
      </c>
      <c r="B102" s="103" t="s">
        <v>5497</v>
      </c>
      <c r="C102" s="103" t="s">
        <v>5498</v>
      </c>
      <c r="D102" s="103" t="s">
        <v>5007</v>
      </c>
      <c r="E102" s="103" t="s">
        <v>5499</v>
      </c>
      <c r="F102" s="103" t="s">
        <v>5500</v>
      </c>
      <c r="G102" s="103" t="s">
        <v>5501</v>
      </c>
      <c r="H102" s="103" t="s">
        <v>5197</v>
      </c>
      <c r="I102" s="103" t="s">
        <v>5502</v>
      </c>
      <c r="J102" s="103"/>
      <c r="K102" s="103" t="s">
        <v>5444</v>
      </c>
    </row>
    <row r="103" customFormat="false" ht="46.25" hidden="false" customHeight="false" outlineLevel="0" collapsed="false">
      <c r="A103" s="6" t="s">
        <v>5439</v>
      </c>
      <c r="B103" s="6" t="s">
        <v>5503</v>
      </c>
      <c r="C103" s="6" t="s">
        <v>5504</v>
      </c>
      <c r="D103" s="6" t="s">
        <v>5039</v>
      </c>
      <c r="E103" s="6" t="s">
        <v>5505</v>
      </c>
      <c r="F103" s="6" t="s">
        <v>287</v>
      </c>
      <c r="G103" s="6" t="s">
        <v>287</v>
      </c>
      <c r="H103" s="6" t="s">
        <v>5011</v>
      </c>
      <c r="I103" s="6" t="s">
        <v>5506</v>
      </c>
      <c r="J103" s="6" t="s">
        <v>5507</v>
      </c>
      <c r="K103" s="6" t="s">
        <v>5444</v>
      </c>
    </row>
    <row r="104" customFormat="false" ht="79.85" hidden="false" customHeight="false" outlineLevel="0" collapsed="false">
      <c r="A104" s="103" t="s">
        <v>5439</v>
      </c>
      <c r="B104" s="103" t="s">
        <v>5508</v>
      </c>
      <c r="C104" s="103" t="s">
        <v>5509</v>
      </c>
      <c r="D104" s="103" t="s">
        <v>5115</v>
      </c>
      <c r="E104" s="103" t="s">
        <v>5510</v>
      </c>
      <c r="F104" s="103" t="s">
        <v>5511</v>
      </c>
      <c r="G104" s="103" t="s">
        <v>5512</v>
      </c>
      <c r="H104" s="103" t="s">
        <v>5035</v>
      </c>
      <c r="I104" s="103" t="s">
        <v>5513</v>
      </c>
      <c r="J104" s="103" t="s">
        <v>5514</v>
      </c>
      <c r="K104" s="103" t="s">
        <v>5444</v>
      </c>
    </row>
    <row r="105" customFormat="false" ht="68.65" hidden="false" customHeight="false" outlineLevel="0" collapsed="false">
      <c r="A105" s="6" t="s">
        <v>5515</v>
      </c>
      <c r="B105" s="6" t="s">
        <v>5516</v>
      </c>
      <c r="C105" s="6" t="s">
        <v>5517</v>
      </c>
      <c r="D105" s="6" t="s">
        <v>5007</v>
      </c>
      <c r="E105" s="6" t="s">
        <v>5518</v>
      </c>
      <c r="F105" s="6" t="s">
        <v>931</v>
      </c>
      <c r="G105" s="6" t="s">
        <v>1815</v>
      </c>
      <c r="H105" s="6" t="s">
        <v>5011</v>
      </c>
      <c r="I105" s="6" t="s">
        <v>5519</v>
      </c>
      <c r="J105" s="6" t="s">
        <v>5520</v>
      </c>
      <c r="K105" s="6" t="s">
        <v>5521</v>
      </c>
    </row>
    <row r="106" customFormat="false" ht="57.45" hidden="false" customHeight="false" outlineLevel="0" collapsed="false">
      <c r="A106" s="103" t="s">
        <v>5515</v>
      </c>
      <c r="B106" s="103" t="s">
        <v>5522</v>
      </c>
      <c r="C106" s="103" t="s">
        <v>5523</v>
      </c>
      <c r="D106" s="103" t="s">
        <v>5039</v>
      </c>
      <c r="E106" s="103" t="s">
        <v>5524</v>
      </c>
      <c r="F106" s="103" t="s">
        <v>931</v>
      </c>
      <c r="G106" s="103" t="s">
        <v>1815</v>
      </c>
      <c r="H106" s="103" t="s">
        <v>5011</v>
      </c>
      <c r="I106" s="103" t="s">
        <v>5525</v>
      </c>
      <c r="J106" s="103" t="s">
        <v>5526</v>
      </c>
      <c r="K106" s="103" t="s">
        <v>5521</v>
      </c>
    </row>
    <row r="107" customFormat="false" ht="57.45" hidden="false" customHeight="false" outlineLevel="0" collapsed="false">
      <c r="A107" s="6" t="s">
        <v>5515</v>
      </c>
      <c r="B107" s="6" t="s">
        <v>2713</v>
      </c>
      <c r="C107" s="6" t="s">
        <v>5527</v>
      </c>
      <c r="D107" s="6" t="s">
        <v>5023</v>
      </c>
      <c r="E107" s="6" t="s">
        <v>5024</v>
      </c>
      <c r="F107" s="6" t="s">
        <v>5528</v>
      </c>
      <c r="G107" s="6" t="s">
        <v>5034</v>
      </c>
      <c r="H107" s="6" t="s">
        <v>5011</v>
      </c>
      <c r="I107" s="6" t="s">
        <v>5375</v>
      </c>
      <c r="J107" s="6" t="s">
        <v>5529</v>
      </c>
      <c r="K107" s="6" t="s">
        <v>5521</v>
      </c>
    </row>
    <row r="108" customFormat="false" ht="102.2" hidden="false" customHeight="false" outlineLevel="0" collapsed="false">
      <c r="A108" s="103" t="s">
        <v>5515</v>
      </c>
      <c r="B108" s="103" t="s">
        <v>2640</v>
      </c>
      <c r="C108" s="103" t="s">
        <v>5530</v>
      </c>
      <c r="D108" s="103" t="s">
        <v>5007</v>
      </c>
      <c r="E108" s="103" t="s">
        <v>5531</v>
      </c>
      <c r="F108" s="103" t="s">
        <v>5357</v>
      </c>
      <c r="G108" s="103" t="s">
        <v>5286</v>
      </c>
      <c r="H108" s="103" t="s">
        <v>5011</v>
      </c>
      <c r="I108" s="103" t="s">
        <v>5532</v>
      </c>
      <c r="J108" s="103" t="s">
        <v>5533</v>
      </c>
      <c r="K108" s="103" t="s">
        <v>5521</v>
      </c>
    </row>
    <row r="109" customFormat="false" ht="46.25" hidden="false" customHeight="false" outlineLevel="0" collapsed="false">
      <c r="A109" s="6" t="s">
        <v>5515</v>
      </c>
      <c r="B109" s="6" t="s">
        <v>5534</v>
      </c>
      <c r="C109" s="6" t="s">
        <v>5535</v>
      </c>
      <c r="D109" s="6" t="s">
        <v>5007</v>
      </c>
      <c r="E109" s="6" t="s">
        <v>5008</v>
      </c>
      <c r="F109" s="6" t="s">
        <v>2071</v>
      </c>
      <c r="G109" s="6" t="s">
        <v>419</v>
      </c>
      <c r="H109" s="6" t="s">
        <v>5197</v>
      </c>
      <c r="I109" s="6" t="s">
        <v>5536</v>
      </c>
      <c r="J109" s="6"/>
      <c r="K109" s="6" t="s">
        <v>5521</v>
      </c>
    </row>
    <row r="110" customFormat="false" ht="46.25" hidden="false" customHeight="false" outlineLevel="0" collapsed="false">
      <c r="A110" s="103" t="s">
        <v>5515</v>
      </c>
      <c r="B110" s="103" t="s">
        <v>2770</v>
      </c>
      <c r="C110" s="103" t="s">
        <v>5537</v>
      </c>
      <c r="D110" s="103" t="s">
        <v>5046</v>
      </c>
      <c r="E110" s="103" t="s">
        <v>5008</v>
      </c>
      <c r="F110" s="103" t="s">
        <v>5538</v>
      </c>
      <c r="G110" s="103" t="s">
        <v>5539</v>
      </c>
      <c r="H110" s="103" t="s">
        <v>5075</v>
      </c>
      <c r="I110" s="103" t="s">
        <v>5540</v>
      </c>
      <c r="J110" s="103"/>
      <c r="K110" s="103" t="s">
        <v>5521</v>
      </c>
    </row>
    <row r="111" customFormat="false" ht="46.25" hidden="false" customHeight="false" outlineLevel="0" collapsed="false">
      <c r="A111" s="6" t="s">
        <v>5541</v>
      </c>
      <c r="B111" s="6" t="s">
        <v>5542</v>
      </c>
      <c r="C111" s="6" t="s">
        <v>5543</v>
      </c>
      <c r="D111" s="6" t="s">
        <v>5032</v>
      </c>
      <c r="E111" s="6" t="s">
        <v>5032</v>
      </c>
      <c r="F111" s="6" t="s">
        <v>5544</v>
      </c>
      <c r="G111" s="6" t="s">
        <v>5374</v>
      </c>
      <c r="H111" s="6" t="s">
        <v>5011</v>
      </c>
      <c r="I111" s="6" t="s">
        <v>5545</v>
      </c>
      <c r="J111" s="6" t="s">
        <v>5546</v>
      </c>
      <c r="K111" s="6" t="s">
        <v>5547</v>
      </c>
    </row>
    <row r="112" customFormat="false" ht="57.45" hidden="false" customHeight="false" outlineLevel="0" collapsed="false">
      <c r="A112" s="103" t="s">
        <v>5541</v>
      </c>
      <c r="B112" s="103" t="s">
        <v>5548</v>
      </c>
      <c r="C112" s="103" t="s">
        <v>5549</v>
      </c>
      <c r="D112" s="103" t="s">
        <v>5032</v>
      </c>
      <c r="E112" s="103" t="s">
        <v>5032</v>
      </c>
      <c r="F112" s="103" t="s">
        <v>5550</v>
      </c>
      <c r="G112" s="103" t="s">
        <v>5551</v>
      </c>
      <c r="H112" s="103" t="s">
        <v>5011</v>
      </c>
      <c r="I112" s="103" t="s">
        <v>5552</v>
      </c>
      <c r="J112" s="103" t="s">
        <v>5553</v>
      </c>
      <c r="K112" s="103" t="s">
        <v>5547</v>
      </c>
    </row>
    <row r="113" customFormat="false" ht="46.25" hidden="false" customHeight="false" outlineLevel="0" collapsed="false">
      <c r="A113" s="6" t="s">
        <v>5541</v>
      </c>
      <c r="B113" s="6" t="s">
        <v>5554</v>
      </c>
      <c r="C113" s="6" t="s">
        <v>5555</v>
      </c>
      <c r="D113" s="6" t="s">
        <v>5032</v>
      </c>
      <c r="E113" s="6" t="s">
        <v>5556</v>
      </c>
      <c r="F113" s="6" t="s">
        <v>5557</v>
      </c>
      <c r="G113" s="6" t="s">
        <v>5558</v>
      </c>
      <c r="H113" s="6" t="s">
        <v>5011</v>
      </c>
      <c r="I113" s="6" t="s">
        <v>5559</v>
      </c>
      <c r="J113" s="6" t="s">
        <v>5560</v>
      </c>
      <c r="K113" s="6" t="s">
        <v>5547</v>
      </c>
    </row>
    <row r="114" customFormat="false" ht="102.2" hidden="false" customHeight="false" outlineLevel="0" collapsed="false">
      <c r="A114" s="103" t="s">
        <v>5541</v>
      </c>
      <c r="B114" s="103" t="s">
        <v>5561</v>
      </c>
      <c r="C114" s="103" t="s">
        <v>5562</v>
      </c>
      <c r="D114" s="103" t="s">
        <v>5007</v>
      </c>
      <c r="E114" s="103" t="s">
        <v>5563</v>
      </c>
      <c r="F114" s="103" t="s">
        <v>3974</v>
      </c>
      <c r="G114" s="103" t="s">
        <v>3975</v>
      </c>
      <c r="H114" s="103" t="s">
        <v>5011</v>
      </c>
      <c r="I114" s="103" t="s">
        <v>5564</v>
      </c>
      <c r="J114" s="103" t="s">
        <v>5565</v>
      </c>
      <c r="K114" s="103" t="s">
        <v>5547</v>
      </c>
    </row>
    <row r="115" customFormat="false" ht="135.8" hidden="false" customHeight="false" outlineLevel="0" collapsed="false">
      <c r="A115" s="6" t="s">
        <v>5541</v>
      </c>
      <c r="B115" s="6" t="s">
        <v>5566</v>
      </c>
      <c r="C115" s="6" t="s">
        <v>5567</v>
      </c>
      <c r="D115" s="6" t="s">
        <v>5023</v>
      </c>
      <c r="E115" s="6" t="s">
        <v>5568</v>
      </c>
      <c r="F115" s="6" t="s">
        <v>5569</v>
      </c>
      <c r="G115" s="6" t="s">
        <v>5570</v>
      </c>
      <c r="H115" s="6" t="s">
        <v>5011</v>
      </c>
      <c r="I115" s="6" t="s">
        <v>5571</v>
      </c>
      <c r="J115" s="6" t="s">
        <v>5572</v>
      </c>
      <c r="K115" s="6" t="s">
        <v>5547</v>
      </c>
    </row>
    <row r="116" customFormat="false" ht="57.45" hidden="false" customHeight="false" outlineLevel="0" collapsed="false">
      <c r="A116" s="103" t="s">
        <v>5541</v>
      </c>
      <c r="B116" s="103" t="s">
        <v>5573</v>
      </c>
      <c r="C116" s="103" t="s">
        <v>5574</v>
      </c>
      <c r="D116" s="103" t="s">
        <v>5032</v>
      </c>
      <c r="E116" s="103" t="s">
        <v>5575</v>
      </c>
      <c r="F116" s="103" t="s">
        <v>2269</v>
      </c>
      <c r="G116" s="103" t="s">
        <v>2277</v>
      </c>
      <c r="H116" s="103" t="s">
        <v>5011</v>
      </c>
      <c r="I116" s="103" t="s">
        <v>5576</v>
      </c>
      <c r="J116" s="103" t="s">
        <v>5577</v>
      </c>
      <c r="K116" s="103" t="s">
        <v>5547</v>
      </c>
    </row>
    <row r="117" customFormat="false" ht="79.85" hidden="false" customHeight="false" outlineLevel="0" collapsed="false">
      <c r="A117" s="6" t="s">
        <v>5541</v>
      </c>
      <c r="B117" s="6" t="s">
        <v>5578</v>
      </c>
      <c r="C117" s="6" t="s">
        <v>5579</v>
      </c>
      <c r="D117" s="6" t="s">
        <v>5032</v>
      </c>
      <c r="E117" s="6" t="s">
        <v>5032</v>
      </c>
      <c r="F117" s="6" t="s">
        <v>5580</v>
      </c>
      <c r="G117" s="6" t="s">
        <v>5581</v>
      </c>
      <c r="H117" s="6" t="s">
        <v>5011</v>
      </c>
      <c r="I117" s="6" t="s">
        <v>5582</v>
      </c>
      <c r="J117" s="6" t="s">
        <v>5583</v>
      </c>
      <c r="K117" s="6" t="s">
        <v>5547</v>
      </c>
    </row>
    <row r="118" customFormat="false" ht="46.25" hidden="false" customHeight="false" outlineLevel="0" collapsed="false">
      <c r="A118" s="103" t="s">
        <v>5541</v>
      </c>
      <c r="B118" s="103" t="s">
        <v>5584</v>
      </c>
      <c r="C118" s="103" t="s">
        <v>5585</v>
      </c>
      <c r="D118" s="103" t="s">
        <v>5046</v>
      </c>
      <c r="E118" s="103" t="s">
        <v>5008</v>
      </c>
      <c r="F118" s="103" t="s">
        <v>5210</v>
      </c>
      <c r="G118" s="103" t="s">
        <v>5211</v>
      </c>
      <c r="H118" s="103" t="s">
        <v>5197</v>
      </c>
      <c r="I118" s="103" t="s">
        <v>1409</v>
      </c>
      <c r="J118" s="103"/>
      <c r="K118" s="103" t="s">
        <v>5547</v>
      </c>
    </row>
    <row r="119" customFormat="false" ht="46.25" hidden="false" customHeight="false" outlineLevel="0" collapsed="false">
      <c r="A119" s="6" t="s">
        <v>5541</v>
      </c>
      <c r="B119" s="6" t="s">
        <v>5586</v>
      </c>
      <c r="C119" s="6" t="s">
        <v>5587</v>
      </c>
      <c r="D119" s="6"/>
      <c r="E119" s="6"/>
      <c r="F119" s="6" t="s">
        <v>848</v>
      </c>
      <c r="G119" s="6" t="s">
        <v>2207</v>
      </c>
      <c r="H119" s="6" t="s">
        <v>2960</v>
      </c>
      <c r="I119" s="6"/>
      <c r="J119" s="6"/>
      <c r="K119" s="6" t="s">
        <v>5547</v>
      </c>
    </row>
    <row r="120" customFormat="false" ht="57.45" hidden="false" customHeight="false" outlineLevel="0" collapsed="false">
      <c r="A120" s="103" t="s">
        <v>5541</v>
      </c>
      <c r="B120" s="103" t="s">
        <v>5588</v>
      </c>
      <c r="C120" s="103" t="s">
        <v>5589</v>
      </c>
      <c r="D120" s="103"/>
      <c r="E120" s="103"/>
      <c r="F120" s="103" t="s">
        <v>5590</v>
      </c>
      <c r="G120" s="103" t="s">
        <v>3189</v>
      </c>
      <c r="H120" s="103" t="s">
        <v>2960</v>
      </c>
      <c r="I120" s="103"/>
      <c r="J120" s="103"/>
      <c r="K120" s="103" t="s">
        <v>5547</v>
      </c>
    </row>
    <row r="121" customFormat="false" ht="46.25" hidden="false" customHeight="false" outlineLevel="0" collapsed="false">
      <c r="A121" s="6" t="s">
        <v>5541</v>
      </c>
      <c r="B121" s="6" t="s">
        <v>5591</v>
      </c>
      <c r="C121" s="6" t="s">
        <v>5592</v>
      </c>
      <c r="D121" s="6"/>
      <c r="E121" s="6"/>
      <c r="F121" s="6" t="s">
        <v>4678</v>
      </c>
      <c r="G121" s="6" t="s">
        <v>1815</v>
      </c>
      <c r="H121" s="6" t="s">
        <v>1525</v>
      </c>
      <c r="I121" s="6"/>
      <c r="J121" s="6"/>
      <c r="K121" s="6" t="s">
        <v>5547</v>
      </c>
    </row>
    <row r="122" customFormat="false" ht="46.25" hidden="false" customHeight="false" outlineLevel="0" collapsed="false">
      <c r="A122" s="103" t="s">
        <v>5541</v>
      </c>
      <c r="B122" s="103" t="s">
        <v>5593</v>
      </c>
      <c r="C122" s="103" t="s">
        <v>5594</v>
      </c>
      <c r="D122" s="103"/>
      <c r="E122" s="103"/>
      <c r="F122" s="103" t="s">
        <v>5595</v>
      </c>
      <c r="G122" s="103" t="s">
        <v>5596</v>
      </c>
      <c r="H122" s="103" t="s">
        <v>2960</v>
      </c>
      <c r="I122" s="103"/>
      <c r="J122" s="103"/>
      <c r="K122" s="103" t="s">
        <v>5547</v>
      </c>
    </row>
    <row r="123" customFormat="false" ht="46.25" hidden="false" customHeight="false" outlineLevel="0" collapsed="false">
      <c r="A123" s="6" t="s">
        <v>5541</v>
      </c>
      <c r="B123" s="6" t="s">
        <v>5597</v>
      </c>
      <c r="C123" s="6" t="s">
        <v>5598</v>
      </c>
      <c r="D123" s="6"/>
      <c r="E123" s="6"/>
      <c r="F123" s="6" t="s">
        <v>931</v>
      </c>
      <c r="G123" s="6" t="s">
        <v>1815</v>
      </c>
      <c r="H123" s="6" t="s">
        <v>1525</v>
      </c>
      <c r="I123" s="6"/>
      <c r="J123" s="6"/>
      <c r="K123" s="6" t="s">
        <v>5547</v>
      </c>
    </row>
    <row r="124" customFormat="false" ht="46.25" hidden="false" customHeight="false" outlineLevel="0" collapsed="false">
      <c r="A124" s="103" t="s">
        <v>5541</v>
      </c>
      <c r="B124" s="103" t="s">
        <v>5599</v>
      </c>
      <c r="C124" s="103" t="s">
        <v>5600</v>
      </c>
      <c r="D124" s="103"/>
      <c r="E124" s="103"/>
      <c r="F124" s="103" t="s">
        <v>4132</v>
      </c>
      <c r="G124" s="103" t="s">
        <v>1798</v>
      </c>
      <c r="H124" s="103" t="s">
        <v>2960</v>
      </c>
      <c r="I124" s="103"/>
      <c r="J124" s="103"/>
      <c r="K124" s="103" t="s">
        <v>5547</v>
      </c>
    </row>
    <row r="125" customFormat="false" ht="46.25" hidden="false" customHeight="false" outlineLevel="0" collapsed="false">
      <c r="A125" s="6" t="s">
        <v>5541</v>
      </c>
      <c r="B125" s="6" t="s">
        <v>5601</v>
      </c>
      <c r="C125" s="6" t="s">
        <v>5602</v>
      </c>
      <c r="D125" s="6"/>
      <c r="E125" s="6"/>
      <c r="F125" s="6" t="s">
        <v>3150</v>
      </c>
      <c r="G125" s="6" t="s">
        <v>3151</v>
      </c>
      <c r="H125" s="6" t="s">
        <v>2960</v>
      </c>
      <c r="I125" s="6"/>
      <c r="J125" s="6"/>
      <c r="K125" s="6" t="s">
        <v>5547</v>
      </c>
    </row>
    <row r="126" customFormat="false" ht="46.25" hidden="false" customHeight="false" outlineLevel="0" collapsed="false">
      <c r="A126" s="103" t="s">
        <v>5541</v>
      </c>
      <c r="B126" s="103" t="s">
        <v>5603</v>
      </c>
      <c r="C126" s="103" t="s">
        <v>5604</v>
      </c>
      <c r="D126" s="103"/>
      <c r="E126" s="103"/>
      <c r="F126" s="103" t="s">
        <v>848</v>
      </c>
      <c r="G126" s="103" t="s">
        <v>2207</v>
      </c>
      <c r="H126" s="103" t="s">
        <v>2960</v>
      </c>
      <c r="I126" s="103"/>
      <c r="J126" s="103"/>
      <c r="K126" s="103" t="s">
        <v>5547</v>
      </c>
    </row>
    <row r="127" customFormat="false" ht="46.25" hidden="false" customHeight="false" outlineLevel="0" collapsed="false">
      <c r="A127" s="6" t="s">
        <v>5541</v>
      </c>
      <c r="B127" s="6" t="s">
        <v>5605</v>
      </c>
      <c r="C127" s="6" t="s">
        <v>5606</v>
      </c>
      <c r="D127" s="6"/>
      <c r="E127" s="6"/>
      <c r="F127" s="6" t="s">
        <v>5607</v>
      </c>
      <c r="G127" s="6" t="s">
        <v>3825</v>
      </c>
      <c r="H127" s="6" t="s">
        <v>2960</v>
      </c>
      <c r="I127" s="6"/>
      <c r="J127" s="6"/>
      <c r="K127" s="6" t="s">
        <v>5547</v>
      </c>
    </row>
    <row r="128" customFormat="false" ht="46.25" hidden="false" customHeight="false" outlineLevel="0" collapsed="false">
      <c r="A128" s="103" t="s">
        <v>5541</v>
      </c>
      <c r="B128" s="103" t="s">
        <v>5608</v>
      </c>
      <c r="C128" s="103" t="s">
        <v>5609</v>
      </c>
      <c r="D128" s="103"/>
      <c r="E128" s="103"/>
      <c r="F128" s="103" t="s">
        <v>4471</v>
      </c>
      <c r="G128" s="103" t="s">
        <v>4472</v>
      </c>
      <c r="H128" s="103" t="s">
        <v>2960</v>
      </c>
      <c r="I128" s="103"/>
      <c r="J128" s="103"/>
      <c r="K128" s="103" t="s">
        <v>5547</v>
      </c>
    </row>
    <row r="129" customFormat="false" ht="46.25" hidden="false" customHeight="false" outlineLevel="0" collapsed="false">
      <c r="A129" s="6" t="s">
        <v>5541</v>
      </c>
      <c r="B129" s="6" t="s">
        <v>5610</v>
      </c>
      <c r="C129" s="6" t="s">
        <v>5611</v>
      </c>
      <c r="D129" s="6"/>
      <c r="E129" s="6"/>
      <c r="F129" s="6" t="s">
        <v>3455</v>
      </c>
      <c r="G129" s="6" t="s">
        <v>3456</v>
      </c>
      <c r="H129" s="6" t="s">
        <v>2960</v>
      </c>
      <c r="I129" s="6"/>
      <c r="J129" s="6"/>
      <c r="K129" s="6" t="s">
        <v>5547</v>
      </c>
    </row>
    <row r="130" customFormat="false" ht="46.25" hidden="false" customHeight="false" outlineLevel="0" collapsed="false">
      <c r="A130" s="103" t="s">
        <v>5541</v>
      </c>
      <c r="B130" s="103" t="s">
        <v>5612</v>
      </c>
      <c r="C130" s="103" t="s">
        <v>5613</v>
      </c>
      <c r="D130" s="103"/>
      <c r="E130" s="103"/>
      <c r="F130" s="103" t="s">
        <v>2269</v>
      </c>
      <c r="G130" s="103" t="s">
        <v>2277</v>
      </c>
      <c r="H130" s="103" t="s">
        <v>2960</v>
      </c>
      <c r="I130" s="103"/>
      <c r="J130" s="103"/>
      <c r="K130" s="103" t="s">
        <v>5547</v>
      </c>
    </row>
    <row r="131" customFormat="false" ht="46.25" hidden="false" customHeight="false" outlineLevel="0" collapsed="false">
      <c r="A131" s="6" t="s">
        <v>5541</v>
      </c>
      <c r="B131" s="6" t="s">
        <v>5614</v>
      </c>
      <c r="C131" s="6" t="s">
        <v>5615</v>
      </c>
      <c r="D131" s="6"/>
      <c r="E131" s="6"/>
      <c r="F131" s="6" t="s">
        <v>3114</v>
      </c>
      <c r="G131" s="6" t="s">
        <v>2347</v>
      </c>
      <c r="H131" s="6" t="s">
        <v>2960</v>
      </c>
      <c r="I131" s="6"/>
      <c r="J131" s="6"/>
      <c r="K131" s="6" t="s">
        <v>5547</v>
      </c>
    </row>
    <row r="132" customFormat="false" ht="46.25" hidden="false" customHeight="false" outlineLevel="0" collapsed="false">
      <c r="A132" s="103" t="s">
        <v>5541</v>
      </c>
      <c r="B132" s="103" t="s">
        <v>5616</v>
      </c>
      <c r="C132" s="103" t="s">
        <v>5617</v>
      </c>
      <c r="D132" s="103"/>
      <c r="E132" s="103"/>
      <c r="F132" s="103" t="s">
        <v>883</v>
      </c>
      <c r="G132" s="103" t="s">
        <v>5618</v>
      </c>
      <c r="H132" s="103" t="s">
        <v>2960</v>
      </c>
      <c r="I132" s="103"/>
      <c r="J132" s="103"/>
      <c r="K132" s="103" t="s">
        <v>5547</v>
      </c>
    </row>
    <row r="133" customFormat="false" ht="46.25" hidden="false" customHeight="false" outlineLevel="0" collapsed="false">
      <c r="A133" s="6" t="s">
        <v>5541</v>
      </c>
      <c r="B133" s="6" t="s">
        <v>5619</v>
      </c>
      <c r="C133" s="6" t="s">
        <v>5620</v>
      </c>
      <c r="D133" s="6"/>
      <c r="E133" s="6"/>
      <c r="F133" s="6" t="s">
        <v>548</v>
      </c>
      <c r="G133" s="6" t="s">
        <v>2143</v>
      </c>
      <c r="H133" s="6" t="s">
        <v>1525</v>
      </c>
      <c r="I133" s="6"/>
      <c r="J133" s="6"/>
      <c r="K133" s="6" t="s">
        <v>5547</v>
      </c>
    </row>
    <row r="134" customFormat="false" ht="46.25" hidden="false" customHeight="false" outlineLevel="0" collapsed="false">
      <c r="A134" s="103" t="s">
        <v>5541</v>
      </c>
      <c r="B134" s="103" t="s">
        <v>5621</v>
      </c>
      <c r="C134" s="103" t="s">
        <v>5622</v>
      </c>
      <c r="D134" s="103"/>
      <c r="E134" s="103"/>
      <c r="F134" s="103" t="s">
        <v>5623</v>
      </c>
      <c r="G134" s="103" t="s">
        <v>5624</v>
      </c>
      <c r="H134" s="103" t="s">
        <v>1525</v>
      </c>
      <c r="I134" s="103"/>
      <c r="J134" s="103"/>
      <c r="K134" s="103" t="s">
        <v>5547</v>
      </c>
    </row>
    <row r="135" customFormat="false" ht="46.25" hidden="false" customHeight="false" outlineLevel="0" collapsed="false">
      <c r="A135" s="6" t="s">
        <v>5541</v>
      </c>
      <c r="B135" s="6" t="s">
        <v>5625</v>
      </c>
      <c r="C135" s="6" t="s">
        <v>5626</v>
      </c>
      <c r="D135" s="6"/>
      <c r="E135" s="6"/>
      <c r="F135" s="6" t="s">
        <v>5627</v>
      </c>
      <c r="G135" s="6" t="s">
        <v>5628</v>
      </c>
      <c r="H135" s="6" t="s">
        <v>2960</v>
      </c>
      <c r="I135" s="6"/>
      <c r="J135" s="6"/>
      <c r="K135" s="6" t="s">
        <v>5547</v>
      </c>
    </row>
    <row r="136" customFormat="false" ht="46.25" hidden="false" customHeight="false" outlineLevel="0" collapsed="false">
      <c r="A136" s="103" t="s">
        <v>5541</v>
      </c>
      <c r="B136" s="103" t="s">
        <v>5629</v>
      </c>
      <c r="C136" s="103" t="s">
        <v>5630</v>
      </c>
      <c r="D136" s="103"/>
      <c r="E136" s="103"/>
      <c r="F136" s="103" t="s">
        <v>5631</v>
      </c>
      <c r="G136" s="103" t="s">
        <v>5632</v>
      </c>
      <c r="H136" s="103" t="s">
        <v>2960</v>
      </c>
      <c r="I136" s="103"/>
      <c r="J136" s="103"/>
      <c r="K136" s="103" t="s">
        <v>5547</v>
      </c>
    </row>
    <row r="137" customFormat="false" ht="46.25" hidden="false" customHeight="false" outlineLevel="0" collapsed="false">
      <c r="A137" s="6" t="s">
        <v>5541</v>
      </c>
      <c r="B137" s="6" t="s">
        <v>5633</v>
      </c>
      <c r="C137" s="6" t="s">
        <v>5634</v>
      </c>
      <c r="D137" s="6"/>
      <c r="E137" s="6"/>
      <c r="F137" s="6" t="s">
        <v>5635</v>
      </c>
      <c r="G137" s="6" t="s">
        <v>5636</v>
      </c>
      <c r="H137" s="6" t="s">
        <v>1525</v>
      </c>
      <c r="I137" s="6"/>
      <c r="J137" s="6"/>
      <c r="K137" s="6" t="s">
        <v>5547</v>
      </c>
    </row>
    <row r="138" customFormat="false" ht="46.25" hidden="false" customHeight="false" outlineLevel="0" collapsed="false">
      <c r="A138" s="103" t="s">
        <v>5541</v>
      </c>
      <c r="B138" s="103" t="s">
        <v>5637</v>
      </c>
      <c r="C138" s="103" t="s">
        <v>5638</v>
      </c>
      <c r="D138" s="103"/>
      <c r="E138" s="103"/>
      <c r="F138" s="103" t="s">
        <v>5639</v>
      </c>
      <c r="G138" s="103" t="s">
        <v>5640</v>
      </c>
      <c r="H138" s="103" t="s">
        <v>2960</v>
      </c>
      <c r="I138" s="103"/>
      <c r="J138" s="103"/>
      <c r="K138" s="103" t="s">
        <v>5547</v>
      </c>
    </row>
    <row r="139" customFormat="false" ht="46.25" hidden="false" customHeight="false" outlineLevel="0" collapsed="false">
      <c r="A139" s="6" t="s">
        <v>5541</v>
      </c>
      <c r="B139" s="6" t="s">
        <v>5641</v>
      </c>
      <c r="C139" s="6" t="s">
        <v>5642</v>
      </c>
      <c r="D139" s="6"/>
      <c r="E139" s="6"/>
      <c r="F139" s="6" t="s">
        <v>5643</v>
      </c>
      <c r="G139" s="6" t="s">
        <v>3910</v>
      </c>
      <c r="H139" s="6" t="s">
        <v>2960</v>
      </c>
      <c r="I139" s="6"/>
      <c r="J139" s="6"/>
      <c r="K139" s="6" t="s">
        <v>5547</v>
      </c>
    </row>
    <row r="140" customFormat="false" ht="46.25" hidden="false" customHeight="false" outlineLevel="0" collapsed="false">
      <c r="A140" s="103" t="s">
        <v>5541</v>
      </c>
      <c r="B140" s="103" t="s">
        <v>5644</v>
      </c>
      <c r="C140" s="103" t="s">
        <v>5645</v>
      </c>
      <c r="D140" s="103"/>
      <c r="E140" s="103"/>
      <c r="F140" s="103" t="s">
        <v>3169</v>
      </c>
      <c r="G140" s="103" t="s">
        <v>3170</v>
      </c>
      <c r="H140" s="103" t="s">
        <v>2960</v>
      </c>
      <c r="I140" s="103"/>
      <c r="J140" s="103"/>
      <c r="K140" s="103" t="s">
        <v>5547</v>
      </c>
    </row>
    <row r="141" customFormat="false" ht="46.25" hidden="false" customHeight="false" outlineLevel="0" collapsed="false">
      <c r="A141" s="6" t="s">
        <v>5541</v>
      </c>
      <c r="B141" s="6" t="s">
        <v>5646</v>
      </c>
      <c r="C141" s="6" t="s">
        <v>5647</v>
      </c>
      <c r="D141" s="6"/>
      <c r="E141" s="6"/>
      <c r="F141" s="6" t="s">
        <v>4021</v>
      </c>
      <c r="G141" s="6" t="s">
        <v>2143</v>
      </c>
      <c r="H141" s="6" t="s">
        <v>2960</v>
      </c>
      <c r="I141" s="6"/>
      <c r="J141" s="6"/>
      <c r="K141" s="6" t="s">
        <v>5547</v>
      </c>
    </row>
    <row r="142" customFormat="false" ht="46.25" hidden="false" customHeight="false" outlineLevel="0" collapsed="false">
      <c r="A142" s="103" t="s">
        <v>5541</v>
      </c>
      <c r="B142" s="103" t="s">
        <v>5648</v>
      </c>
      <c r="C142" s="103" t="s">
        <v>5649</v>
      </c>
      <c r="D142" s="103"/>
      <c r="E142" s="103"/>
      <c r="F142" s="103" t="s">
        <v>5650</v>
      </c>
      <c r="G142" s="103" t="s">
        <v>4544</v>
      </c>
      <c r="H142" s="103" t="s">
        <v>2960</v>
      </c>
      <c r="I142" s="103"/>
      <c r="J142" s="103"/>
      <c r="K142" s="103" t="s">
        <v>5547</v>
      </c>
    </row>
    <row r="143" customFormat="false" ht="46.25" hidden="false" customHeight="false" outlineLevel="0" collapsed="false">
      <c r="A143" s="6" t="s">
        <v>5541</v>
      </c>
      <c r="B143" s="6" t="s">
        <v>5651</v>
      </c>
      <c r="C143" s="6" t="s">
        <v>5652</v>
      </c>
      <c r="D143" s="6"/>
      <c r="E143" s="6"/>
      <c r="F143" s="6" t="s">
        <v>2321</v>
      </c>
      <c r="G143" s="6" t="s">
        <v>2329</v>
      </c>
      <c r="H143" s="6" t="s">
        <v>2960</v>
      </c>
      <c r="I143" s="6"/>
      <c r="J143" s="6"/>
      <c r="K143" s="6" t="s">
        <v>5547</v>
      </c>
    </row>
    <row r="144" customFormat="false" ht="46.25" hidden="false" customHeight="false" outlineLevel="0" collapsed="false">
      <c r="A144" s="103" t="s">
        <v>5541</v>
      </c>
      <c r="B144" s="103" t="s">
        <v>5653</v>
      </c>
      <c r="C144" s="103" t="s">
        <v>5654</v>
      </c>
      <c r="D144" s="103"/>
      <c r="E144" s="103"/>
      <c r="F144" s="103" t="s">
        <v>5655</v>
      </c>
      <c r="G144" s="103" t="s">
        <v>5656</v>
      </c>
      <c r="H144" s="103" t="s">
        <v>2960</v>
      </c>
      <c r="I144" s="103"/>
      <c r="J144" s="103"/>
      <c r="K144" s="103" t="s">
        <v>5547</v>
      </c>
    </row>
    <row r="145" customFormat="false" ht="91" hidden="false" customHeight="false" outlineLevel="0" collapsed="false">
      <c r="A145" s="6" t="s">
        <v>5657</v>
      </c>
      <c r="B145" s="6" t="s">
        <v>5658</v>
      </c>
      <c r="C145" s="6" t="s">
        <v>5659</v>
      </c>
      <c r="D145" s="6" t="s">
        <v>5007</v>
      </c>
      <c r="E145" s="6" t="s">
        <v>5660</v>
      </c>
      <c r="F145" s="6" t="s">
        <v>287</v>
      </c>
      <c r="G145" s="6" t="s">
        <v>287</v>
      </c>
      <c r="H145" s="6" t="s">
        <v>5035</v>
      </c>
      <c r="I145" s="6" t="s">
        <v>5661</v>
      </c>
      <c r="J145" s="6" t="s">
        <v>5662</v>
      </c>
      <c r="K145" s="6" t="s">
        <v>5663</v>
      </c>
    </row>
    <row r="146" customFormat="false" ht="91" hidden="false" customHeight="false" outlineLevel="0" collapsed="false">
      <c r="A146" s="103" t="s">
        <v>5657</v>
      </c>
      <c r="B146" s="103" t="s">
        <v>5664</v>
      </c>
      <c r="C146" s="103" t="s">
        <v>5665</v>
      </c>
      <c r="D146" s="103" t="s">
        <v>5007</v>
      </c>
      <c r="E146" s="103" t="s">
        <v>5008</v>
      </c>
      <c r="F146" s="103" t="s">
        <v>2234</v>
      </c>
      <c r="G146" s="103" t="s">
        <v>2242</v>
      </c>
      <c r="H146" s="103" t="s">
        <v>5035</v>
      </c>
      <c r="I146" s="103" t="s">
        <v>5666</v>
      </c>
      <c r="J146" s="103" t="s">
        <v>5667</v>
      </c>
      <c r="K146" s="103" t="s">
        <v>5663</v>
      </c>
    </row>
    <row r="147" customFormat="false" ht="79.85" hidden="false" customHeight="false" outlineLevel="0" collapsed="false">
      <c r="A147" s="6" t="s">
        <v>5657</v>
      </c>
      <c r="B147" s="6" t="s">
        <v>2585</v>
      </c>
      <c r="C147" s="6" t="s">
        <v>5668</v>
      </c>
      <c r="D147" s="6" t="s">
        <v>5007</v>
      </c>
      <c r="E147" s="6" t="s">
        <v>5008</v>
      </c>
      <c r="F147" s="6" t="s">
        <v>5669</v>
      </c>
      <c r="G147" s="6" t="s">
        <v>5670</v>
      </c>
      <c r="H147" s="6" t="s">
        <v>5035</v>
      </c>
      <c r="I147" s="6" t="s">
        <v>5671</v>
      </c>
      <c r="J147" s="6" t="s">
        <v>5672</v>
      </c>
      <c r="K147" s="6" t="s">
        <v>5663</v>
      </c>
    </row>
    <row r="148" customFormat="false" ht="102.2" hidden="false" customHeight="false" outlineLevel="0" collapsed="false">
      <c r="A148" s="103" t="s">
        <v>5657</v>
      </c>
      <c r="B148" s="103" t="s">
        <v>2537</v>
      </c>
      <c r="C148" s="103" t="s">
        <v>5673</v>
      </c>
      <c r="D148" s="103" t="s">
        <v>5007</v>
      </c>
      <c r="E148" s="103" t="s">
        <v>5008</v>
      </c>
      <c r="F148" s="103" t="s">
        <v>5674</v>
      </c>
      <c r="G148" s="103" t="s">
        <v>5675</v>
      </c>
      <c r="H148" s="103" t="s">
        <v>5035</v>
      </c>
      <c r="I148" s="103" t="s">
        <v>5676</v>
      </c>
      <c r="J148" s="103" t="s">
        <v>5677</v>
      </c>
      <c r="K148" s="103" t="s">
        <v>5663</v>
      </c>
    </row>
    <row r="149" customFormat="false" ht="68.65" hidden="false" customHeight="false" outlineLevel="0" collapsed="false">
      <c r="A149" s="6" t="s">
        <v>5657</v>
      </c>
      <c r="B149" s="6" t="s">
        <v>5678</v>
      </c>
      <c r="C149" s="6" t="s">
        <v>5679</v>
      </c>
      <c r="D149" s="6" t="s">
        <v>5007</v>
      </c>
      <c r="E149" s="6" t="s">
        <v>5008</v>
      </c>
      <c r="F149" s="6" t="s">
        <v>931</v>
      </c>
      <c r="G149" s="6" t="s">
        <v>1815</v>
      </c>
      <c r="H149" s="6" t="s">
        <v>5035</v>
      </c>
      <c r="I149" s="6" t="s">
        <v>5680</v>
      </c>
      <c r="J149" s="6" t="s">
        <v>5681</v>
      </c>
      <c r="K149" s="6" t="s">
        <v>5663</v>
      </c>
    </row>
    <row r="150" customFormat="false" ht="91" hidden="false" customHeight="false" outlineLevel="0" collapsed="false">
      <c r="A150" s="103" t="s">
        <v>5657</v>
      </c>
      <c r="B150" s="103" t="s">
        <v>5682</v>
      </c>
      <c r="C150" s="103" t="s">
        <v>5683</v>
      </c>
      <c r="D150" s="103" t="s">
        <v>5007</v>
      </c>
      <c r="E150" s="103" t="s">
        <v>5684</v>
      </c>
      <c r="F150" s="103" t="s">
        <v>931</v>
      </c>
      <c r="G150" s="103" t="s">
        <v>1815</v>
      </c>
      <c r="H150" s="103" t="s">
        <v>5035</v>
      </c>
      <c r="I150" s="103" t="s">
        <v>5685</v>
      </c>
      <c r="J150" s="103" t="s">
        <v>5686</v>
      </c>
      <c r="K150" s="103" t="s">
        <v>5663</v>
      </c>
    </row>
    <row r="151" customFormat="false" ht="68.65" hidden="false" customHeight="false" outlineLevel="0" collapsed="false">
      <c r="A151" s="6" t="s">
        <v>5657</v>
      </c>
      <c r="B151" s="6" t="s">
        <v>2642</v>
      </c>
      <c r="C151" s="6" t="s">
        <v>5687</v>
      </c>
      <c r="D151" s="6" t="s">
        <v>5007</v>
      </c>
      <c r="E151" s="6" t="s">
        <v>5008</v>
      </c>
      <c r="F151" s="6" t="s">
        <v>5357</v>
      </c>
      <c r="G151" s="6" t="s">
        <v>5286</v>
      </c>
      <c r="H151" s="6" t="s">
        <v>5197</v>
      </c>
      <c r="I151" s="6" t="s">
        <v>5688</v>
      </c>
      <c r="J151" s="6" t="s">
        <v>5689</v>
      </c>
      <c r="K151" s="6" t="s">
        <v>5663</v>
      </c>
    </row>
    <row r="152" customFormat="false" ht="46.25" hidden="false" customHeight="false" outlineLevel="0" collapsed="false">
      <c r="A152" s="103" t="s">
        <v>5657</v>
      </c>
      <c r="B152" s="103" t="s">
        <v>5690</v>
      </c>
      <c r="C152" s="103" t="s">
        <v>5691</v>
      </c>
      <c r="D152" s="103" t="s">
        <v>5039</v>
      </c>
      <c r="E152" s="103" t="s">
        <v>5692</v>
      </c>
      <c r="F152" s="103" t="s">
        <v>287</v>
      </c>
      <c r="G152" s="103" t="s">
        <v>287</v>
      </c>
      <c r="H152" s="103" t="s">
        <v>5011</v>
      </c>
      <c r="I152" s="103" t="s">
        <v>5693</v>
      </c>
      <c r="J152" s="103" t="s">
        <v>5694</v>
      </c>
      <c r="K152" s="103" t="s">
        <v>5663</v>
      </c>
    </row>
    <row r="153" customFormat="false" ht="46.25" hidden="false" customHeight="false" outlineLevel="0" collapsed="false">
      <c r="A153" s="6" t="s">
        <v>5695</v>
      </c>
      <c r="B153" s="6" t="s">
        <v>5696</v>
      </c>
      <c r="C153" s="6" t="s">
        <v>5697</v>
      </c>
      <c r="D153" s="6" t="s">
        <v>5023</v>
      </c>
      <c r="E153" s="6" t="s">
        <v>5698</v>
      </c>
      <c r="F153" s="6" t="s">
        <v>5033</v>
      </c>
      <c r="G153" s="6" t="s">
        <v>5034</v>
      </c>
      <c r="H153" s="6" t="s">
        <v>5011</v>
      </c>
      <c r="I153" s="6" t="s">
        <v>5699</v>
      </c>
      <c r="J153" s="6" t="s">
        <v>5700</v>
      </c>
      <c r="K153" s="6" t="s">
        <v>5701</v>
      </c>
    </row>
    <row r="154" customFormat="false" ht="46.25" hidden="false" customHeight="false" outlineLevel="0" collapsed="false">
      <c r="A154" s="103" t="s">
        <v>5695</v>
      </c>
      <c r="B154" s="103" t="s">
        <v>2443</v>
      </c>
      <c r="C154" s="103" t="s">
        <v>5702</v>
      </c>
      <c r="D154" s="103" t="s">
        <v>5007</v>
      </c>
      <c r="E154" s="103" t="s">
        <v>5008</v>
      </c>
      <c r="F154" s="103" t="s">
        <v>5009</v>
      </c>
      <c r="G154" s="103" t="s">
        <v>5010</v>
      </c>
      <c r="H154" s="103" t="s">
        <v>5197</v>
      </c>
      <c r="I154" s="103" t="s">
        <v>5129</v>
      </c>
      <c r="J154" s="103"/>
      <c r="K154" s="103" t="s">
        <v>5701</v>
      </c>
    </row>
    <row r="155" customFormat="false" ht="57.45" hidden="false" customHeight="false" outlineLevel="0" collapsed="false">
      <c r="A155" s="6" t="s">
        <v>5695</v>
      </c>
      <c r="B155" s="6" t="s">
        <v>5703</v>
      </c>
      <c r="C155" s="6" t="s">
        <v>5704</v>
      </c>
      <c r="D155" s="6" t="s">
        <v>5007</v>
      </c>
      <c r="E155" s="6" t="s">
        <v>5705</v>
      </c>
      <c r="F155" s="6" t="s">
        <v>5361</v>
      </c>
      <c r="G155" s="6" t="s">
        <v>5362</v>
      </c>
      <c r="H155" s="6" t="s">
        <v>5011</v>
      </c>
      <c r="I155" s="6" t="s">
        <v>5706</v>
      </c>
      <c r="J155" s="6" t="s">
        <v>5707</v>
      </c>
      <c r="K155" s="6" t="s">
        <v>5701</v>
      </c>
    </row>
    <row r="156" customFormat="false" ht="46.25" hidden="false" customHeight="false" outlineLevel="0" collapsed="false">
      <c r="A156" s="103" t="s">
        <v>5695</v>
      </c>
      <c r="B156" s="103" t="s">
        <v>5708</v>
      </c>
      <c r="C156" s="103" t="s">
        <v>5709</v>
      </c>
      <c r="D156" s="103" t="s">
        <v>5023</v>
      </c>
      <c r="E156" s="103" t="s">
        <v>5710</v>
      </c>
      <c r="F156" s="103" t="s">
        <v>5711</v>
      </c>
      <c r="G156" s="103" t="s">
        <v>3256</v>
      </c>
      <c r="H156" s="103" t="s">
        <v>5197</v>
      </c>
      <c r="I156" s="103" t="s">
        <v>5712</v>
      </c>
      <c r="J156" s="103"/>
      <c r="K156" s="103" t="s">
        <v>5701</v>
      </c>
    </row>
    <row r="157" customFormat="false" ht="57.45" hidden="false" customHeight="false" outlineLevel="0" collapsed="false">
      <c r="A157" s="6" t="s">
        <v>5695</v>
      </c>
      <c r="B157" s="6" t="s">
        <v>5713</v>
      </c>
      <c r="C157" s="6" t="s">
        <v>5714</v>
      </c>
      <c r="D157" s="6" t="s">
        <v>5046</v>
      </c>
      <c r="E157" s="6" t="s">
        <v>5715</v>
      </c>
      <c r="F157" s="6" t="s">
        <v>5295</v>
      </c>
      <c r="G157" s="6" t="s">
        <v>5296</v>
      </c>
      <c r="H157" s="6" t="s">
        <v>5035</v>
      </c>
      <c r="I157" s="6" t="s">
        <v>5716</v>
      </c>
      <c r="J157" s="6" t="s">
        <v>5717</v>
      </c>
      <c r="K157" s="6" t="s">
        <v>5701</v>
      </c>
    </row>
    <row r="158" customFormat="false" ht="102.2" hidden="false" customHeight="false" outlineLevel="0" collapsed="false">
      <c r="A158" s="103" t="s">
        <v>5695</v>
      </c>
      <c r="B158" s="103" t="s">
        <v>5718</v>
      </c>
      <c r="C158" s="103" t="s">
        <v>5719</v>
      </c>
      <c r="D158" s="103" t="s">
        <v>5023</v>
      </c>
      <c r="E158" s="103" t="s">
        <v>5720</v>
      </c>
      <c r="F158" s="103" t="s">
        <v>5156</v>
      </c>
      <c r="G158" s="103" t="s">
        <v>5157</v>
      </c>
      <c r="H158" s="103" t="s">
        <v>5011</v>
      </c>
      <c r="I158" s="103" t="s">
        <v>5721</v>
      </c>
      <c r="J158" s="103" t="s">
        <v>5722</v>
      </c>
      <c r="K158" s="103" t="s">
        <v>5701</v>
      </c>
    </row>
    <row r="159" customFormat="false" ht="46.25" hidden="false" customHeight="false" outlineLevel="0" collapsed="false">
      <c r="A159" s="6" t="s">
        <v>5695</v>
      </c>
      <c r="B159" s="6" t="s">
        <v>5723</v>
      </c>
      <c r="C159" s="6" t="s">
        <v>5724</v>
      </c>
      <c r="D159" s="6" t="s">
        <v>5039</v>
      </c>
      <c r="E159" s="6" t="s">
        <v>5725</v>
      </c>
      <c r="F159" s="6" t="s">
        <v>2234</v>
      </c>
      <c r="G159" s="6" t="s">
        <v>2242</v>
      </c>
      <c r="H159" s="6" t="s">
        <v>5035</v>
      </c>
      <c r="I159" s="6" t="s">
        <v>5726</v>
      </c>
      <c r="J159" s="6"/>
      <c r="K159" s="6" t="s">
        <v>5701</v>
      </c>
    </row>
    <row r="160" customFormat="false" ht="124.6" hidden="false" customHeight="false" outlineLevel="0" collapsed="false">
      <c r="A160" s="103" t="s">
        <v>5695</v>
      </c>
      <c r="B160" s="103" t="s">
        <v>2606</v>
      </c>
      <c r="C160" s="103" t="s">
        <v>5727</v>
      </c>
      <c r="D160" s="103" t="s">
        <v>5039</v>
      </c>
      <c r="E160" s="103" t="s">
        <v>5728</v>
      </c>
      <c r="F160" s="103" t="s">
        <v>2071</v>
      </c>
      <c r="G160" s="103" t="s">
        <v>419</v>
      </c>
      <c r="H160" s="103" t="s">
        <v>5011</v>
      </c>
      <c r="I160" s="103" t="s">
        <v>5729</v>
      </c>
      <c r="J160" s="103" t="s">
        <v>5730</v>
      </c>
      <c r="K160" s="103" t="s">
        <v>5701</v>
      </c>
    </row>
    <row r="161" customFormat="false" ht="57.45" hidden="false" customHeight="false" outlineLevel="0" collapsed="false">
      <c r="A161" s="6" t="s">
        <v>5695</v>
      </c>
      <c r="B161" s="6" t="s">
        <v>5731</v>
      </c>
      <c r="C161" s="6" t="s">
        <v>5732</v>
      </c>
      <c r="D161" s="6" t="s">
        <v>5115</v>
      </c>
      <c r="E161" s="6" t="s">
        <v>5733</v>
      </c>
      <c r="F161" s="6" t="s">
        <v>287</v>
      </c>
      <c r="G161" s="6" t="s">
        <v>287</v>
      </c>
      <c r="H161" s="6" t="s">
        <v>5011</v>
      </c>
      <c r="I161" s="6" t="s">
        <v>5734</v>
      </c>
      <c r="J161" s="6" t="s">
        <v>5735</v>
      </c>
      <c r="K161" s="6" t="s">
        <v>5701</v>
      </c>
    </row>
    <row r="162" customFormat="false" ht="68.65" hidden="false" customHeight="false" outlineLevel="0" collapsed="false">
      <c r="A162" s="103" t="s">
        <v>5695</v>
      </c>
      <c r="B162" s="103" t="s">
        <v>2531</v>
      </c>
      <c r="C162" s="103" t="s">
        <v>5736</v>
      </c>
      <c r="D162" s="103" t="s">
        <v>5032</v>
      </c>
      <c r="E162" s="103" t="s">
        <v>5737</v>
      </c>
      <c r="F162" s="103" t="s">
        <v>5222</v>
      </c>
      <c r="G162" s="103" t="s">
        <v>5223</v>
      </c>
      <c r="H162" s="103" t="s">
        <v>5011</v>
      </c>
      <c r="I162" s="103" t="s">
        <v>5738</v>
      </c>
      <c r="J162" s="103" t="s">
        <v>5739</v>
      </c>
      <c r="K162" s="103" t="s">
        <v>5701</v>
      </c>
    </row>
    <row r="163" customFormat="false" ht="135.8" hidden="false" customHeight="false" outlineLevel="0" collapsed="false">
      <c r="A163" s="6" t="s">
        <v>5695</v>
      </c>
      <c r="B163" s="6" t="s">
        <v>5740</v>
      </c>
      <c r="C163" s="6" t="s">
        <v>5741</v>
      </c>
      <c r="D163" s="6" t="s">
        <v>5059</v>
      </c>
      <c r="E163" s="6" t="s">
        <v>5742</v>
      </c>
      <c r="F163" s="6" t="s">
        <v>5743</v>
      </c>
      <c r="G163" s="6" t="s">
        <v>5744</v>
      </c>
      <c r="H163" s="6" t="s">
        <v>5011</v>
      </c>
      <c r="I163" s="6" t="s">
        <v>5745</v>
      </c>
      <c r="J163" s="6" t="s">
        <v>5746</v>
      </c>
      <c r="K163" s="6" t="s">
        <v>5701</v>
      </c>
    </row>
    <row r="164" customFormat="false" ht="46.25" hidden="false" customHeight="false" outlineLevel="0" collapsed="false">
      <c r="A164" s="103" t="s">
        <v>5695</v>
      </c>
      <c r="B164" s="103" t="s">
        <v>5747</v>
      </c>
      <c r="C164" s="103" t="s">
        <v>5748</v>
      </c>
      <c r="D164" s="103" t="s">
        <v>5007</v>
      </c>
      <c r="E164" s="103" t="s">
        <v>5008</v>
      </c>
      <c r="F164" s="103" t="s">
        <v>2269</v>
      </c>
      <c r="G164" s="103" t="s">
        <v>2277</v>
      </c>
      <c r="H164" s="103" t="s">
        <v>5197</v>
      </c>
      <c r="I164" s="103" t="s">
        <v>5749</v>
      </c>
      <c r="J164" s="103"/>
      <c r="K164" s="103" t="s">
        <v>5701</v>
      </c>
    </row>
    <row r="165" customFormat="false" ht="46.25" hidden="false" customHeight="false" outlineLevel="0" collapsed="false">
      <c r="A165" s="6" t="s">
        <v>5695</v>
      </c>
      <c r="B165" s="6" t="s">
        <v>5750</v>
      </c>
      <c r="C165" s="6" t="s">
        <v>5751</v>
      </c>
      <c r="D165" s="6" t="s">
        <v>5115</v>
      </c>
      <c r="E165" s="6" t="s">
        <v>5752</v>
      </c>
      <c r="F165" s="6" t="s">
        <v>5753</v>
      </c>
      <c r="G165" s="6" t="s">
        <v>5754</v>
      </c>
      <c r="H165" s="6" t="s">
        <v>5011</v>
      </c>
      <c r="I165" s="6" t="s">
        <v>5755</v>
      </c>
      <c r="J165" s="6" t="s">
        <v>5756</v>
      </c>
      <c r="K165" s="6" t="s">
        <v>5701</v>
      </c>
    </row>
    <row r="166" customFormat="false" ht="46.25" hidden="false" customHeight="false" outlineLevel="0" collapsed="false">
      <c r="A166" s="103" t="s">
        <v>5757</v>
      </c>
      <c r="B166" s="103" t="s">
        <v>5758</v>
      </c>
      <c r="C166" s="103" t="s">
        <v>5759</v>
      </c>
      <c r="D166" s="103" t="s">
        <v>5039</v>
      </c>
      <c r="E166" s="103" t="s">
        <v>5760</v>
      </c>
      <c r="F166" s="103" t="s">
        <v>287</v>
      </c>
      <c r="G166" s="103" t="s">
        <v>287</v>
      </c>
      <c r="H166" s="103" t="s">
        <v>5035</v>
      </c>
      <c r="I166" s="103" t="s">
        <v>5352</v>
      </c>
      <c r="J166" s="103"/>
      <c r="K166" s="103" t="s">
        <v>5761</v>
      </c>
    </row>
    <row r="167" customFormat="false" ht="57.45" hidden="false" customHeight="false" outlineLevel="0" collapsed="false">
      <c r="A167" s="6" t="s">
        <v>5757</v>
      </c>
      <c r="B167" s="6" t="s">
        <v>5762</v>
      </c>
      <c r="C167" s="6" t="s">
        <v>5763</v>
      </c>
      <c r="D167" s="6" t="s">
        <v>5039</v>
      </c>
      <c r="E167" s="6" t="s">
        <v>5764</v>
      </c>
      <c r="F167" s="6" t="s">
        <v>287</v>
      </c>
      <c r="G167" s="6" t="s">
        <v>287</v>
      </c>
      <c r="H167" s="6" t="s">
        <v>5011</v>
      </c>
      <c r="I167" s="6" t="s">
        <v>5765</v>
      </c>
      <c r="J167" s="6" t="s">
        <v>5766</v>
      </c>
      <c r="K167" s="6" t="s">
        <v>5761</v>
      </c>
    </row>
    <row r="168" customFormat="false" ht="46.25" hidden="false" customHeight="false" outlineLevel="0" collapsed="false">
      <c r="A168" s="103" t="s">
        <v>5757</v>
      </c>
      <c r="B168" s="103" t="s">
        <v>2532</v>
      </c>
      <c r="C168" s="103" t="s">
        <v>5767</v>
      </c>
      <c r="D168" s="103" t="s">
        <v>5039</v>
      </c>
      <c r="E168" s="103" t="s">
        <v>5764</v>
      </c>
      <c r="F168" s="103" t="s">
        <v>1691</v>
      </c>
      <c r="G168" s="103" t="s">
        <v>1306</v>
      </c>
      <c r="H168" s="103" t="s">
        <v>5011</v>
      </c>
      <c r="I168" s="103" t="s">
        <v>5768</v>
      </c>
      <c r="J168" s="103" t="s">
        <v>5769</v>
      </c>
      <c r="K168" s="103" t="s">
        <v>5761</v>
      </c>
    </row>
    <row r="169" customFormat="false" ht="46.25" hidden="false" customHeight="false" outlineLevel="0" collapsed="false">
      <c r="A169" s="6" t="s">
        <v>5757</v>
      </c>
      <c r="B169" s="6" t="s">
        <v>5770</v>
      </c>
      <c r="C169" s="6" t="s">
        <v>5771</v>
      </c>
      <c r="D169" s="6" t="s">
        <v>5032</v>
      </c>
      <c r="E169" s="6" t="s">
        <v>5032</v>
      </c>
      <c r="F169" s="6" t="s">
        <v>287</v>
      </c>
      <c r="G169" s="6" t="s">
        <v>287</v>
      </c>
      <c r="H169" s="6" t="s">
        <v>5027</v>
      </c>
      <c r="I169" s="6" t="s">
        <v>5772</v>
      </c>
      <c r="J169" s="6" t="s">
        <v>5773</v>
      </c>
      <c r="K169" s="6" t="s">
        <v>5761</v>
      </c>
    </row>
    <row r="170" customFormat="false" ht="68.65" hidden="false" customHeight="false" outlineLevel="0" collapsed="false">
      <c r="A170" s="103" t="s">
        <v>5757</v>
      </c>
      <c r="B170" s="103" t="s">
        <v>5774</v>
      </c>
      <c r="C170" s="103" t="s">
        <v>5775</v>
      </c>
      <c r="D170" s="103" t="s">
        <v>5046</v>
      </c>
      <c r="E170" s="103" t="s">
        <v>5776</v>
      </c>
      <c r="F170" s="103" t="s">
        <v>5777</v>
      </c>
      <c r="G170" s="103" t="s">
        <v>5778</v>
      </c>
      <c r="H170" s="103" t="s">
        <v>5011</v>
      </c>
      <c r="I170" s="103" t="s">
        <v>5779</v>
      </c>
      <c r="J170" s="103" t="s">
        <v>5780</v>
      </c>
      <c r="K170" s="103" t="s">
        <v>5761</v>
      </c>
    </row>
    <row r="171" customFormat="false" ht="46.25" hidden="false" customHeight="false" outlineLevel="0" collapsed="false">
      <c r="A171" s="6" t="s">
        <v>5757</v>
      </c>
      <c r="B171" s="6" t="s">
        <v>5781</v>
      </c>
      <c r="C171" s="6" t="s">
        <v>5782</v>
      </c>
      <c r="D171" s="6" t="s">
        <v>5046</v>
      </c>
      <c r="E171" s="6" t="s">
        <v>5783</v>
      </c>
      <c r="F171" s="6" t="s">
        <v>5784</v>
      </c>
      <c r="G171" s="6" t="s">
        <v>5785</v>
      </c>
      <c r="H171" s="6" t="s">
        <v>5035</v>
      </c>
      <c r="I171" s="6" t="s">
        <v>5786</v>
      </c>
      <c r="J171" s="6"/>
      <c r="K171" s="6" t="s">
        <v>5761</v>
      </c>
    </row>
    <row r="172" customFormat="false" ht="68.65" hidden="false" customHeight="false" outlineLevel="0" collapsed="false">
      <c r="A172" s="103" t="s">
        <v>5757</v>
      </c>
      <c r="B172" s="103" t="s">
        <v>5787</v>
      </c>
      <c r="C172" s="103" t="s">
        <v>5788</v>
      </c>
      <c r="D172" s="103" t="s">
        <v>5046</v>
      </c>
      <c r="E172" s="103" t="s">
        <v>5789</v>
      </c>
      <c r="F172" s="103" t="s">
        <v>2234</v>
      </c>
      <c r="G172" s="103" t="s">
        <v>2242</v>
      </c>
      <c r="H172" s="103" t="s">
        <v>5035</v>
      </c>
      <c r="I172" s="103" t="s">
        <v>5790</v>
      </c>
      <c r="J172" s="103"/>
      <c r="K172" s="103" t="s">
        <v>5761</v>
      </c>
    </row>
    <row r="173" customFormat="false" ht="57.45" hidden="false" customHeight="false" outlineLevel="0" collapsed="false">
      <c r="A173" s="6" t="s">
        <v>5757</v>
      </c>
      <c r="B173" s="6" t="s">
        <v>5791</v>
      </c>
      <c r="C173" s="6" t="s">
        <v>5792</v>
      </c>
      <c r="D173" s="6" t="s">
        <v>5046</v>
      </c>
      <c r="E173" s="6" t="s">
        <v>5793</v>
      </c>
      <c r="F173" s="6" t="s">
        <v>5794</v>
      </c>
      <c r="G173" s="6" t="s">
        <v>5049</v>
      </c>
      <c r="H173" s="6" t="s">
        <v>5035</v>
      </c>
      <c r="I173" s="6" t="s">
        <v>5795</v>
      </c>
      <c r="J173" s="6"/>
      <c r="K173" s="6" t="s">
        <v>5761</v>
      </c>
    </row>
    <row r="174" customFormat="false" ht="46.25" hidden="false" customHeight="false" outlineLevel="0" collapsed="false">
      <c r="A174" s="103" t="s">
        <v>5757</v>
      </c>
      <c r="B174" s="103" t="s">
        <v>5796</v>
      </c>
      <c r="C174" s="103" t="s">
        <v>5797</v>
      </c>
      <c r="D174" s="103" t="s">
        <v>5046</v>
      </c>
      <c r="E174" s="103" t="s">
        <v>5783</v>
      </c>
      <c r="F174" s="103" t="s">
        <v>829</v>
      </c>
      <c r="G174" s="103" t="s">
        <v>5339</v>
      </c>
      <c r="H174" s="103" t="s">
        <v>5035</v>
      </c>
      <c r="I174" s="103" t="s">
        <v>5798</v>
      </c>
      <c r="J174" s="103"/>
      <c r="K174" s="103" t="s">
        <v>5761</v>
      </c>
    </row>
    <row r="175" customFormat="false" ht="46.25" hidden="false" customHeight="false" outlineLevel="0" collapsed="false">
      <c r="A175" s="6" t="s">
        <v>5757</v>
      </c>
      <c r="B175" s="6" t="s">
        <v>5799</v>
      </c>
      <c r="C175" s="6" t="s">
        <v>5800</v>
      </c>
      <c r="D175" s="6" t="s">
        <v>5046</v>
      </c>
      <c r="E175" s="6" t="s">
        <v>5783</v>
      </c>
      <c r="F175" s="6" t="s">
        <v>5801</v>
      </c>
      <c r="G175" s="6" t="s">
        <v>5802</v>
      </c>
      <c r="H175" s="6" t="s">
        <v>5035</v>
      </c>
      <c r="I175" s="6" t="s">
        <v>1409</v>
      </c>
      <c r="J175" s="6"/>
      <c r="K175" s="6" t="s">
        <v>5761</v>
      </c>
    </row>
    <row r="176" customFormat="false" ht="57.45" hidden="false" customHeight="false" outlineLevel="0" collapsed="false">
      <c r="A176" s="103" t="s">
        <v>5757</v>
      </c>
      <c r="B176" s="103" t="s">
        <v>5803</v>
      </c>
      <c r="C176" s="103" t="s">
        <v>5804</v>
      </c>
      <c r="D176" s="103" t="s">
        <v>5046</v>
      </c>
      <c r="E176" s="103" t="s">
        <v>5805</v>
      </c>
      <c r="F176" s="103" t="s">
        <v>3455</v>
      </c>
      <c r="G176" s="103" t="s">
        <v>3456</v>
      </c>
      <c r="H176" s="103" t="s">
        <v>5011</v>
      </c>
      <c r="I176" s="103" t="s">
        <v>5806</v>
      </c>
      <c r="J176" s="103" t="s">
        <v>5807</v>
      </c>
      <c r="K176" s="103" t="s">
        <v>5761</v>
      </c>
    </row>
    <row r="177" customFormat="false" ht="46.25" hidden="false" customHeight="false" outlineLevel="0" collapsed="false">
      <c r="A177" s="6" t="s">
        <v>5757</v>
      </c>
      <c r="B177" s="6" t="s">
        <v>5808</v>
      </c>
      <c r="C177" s="6" t="s">
        <v>5809</v>
      </c>
      <c r="D177" s="6" t="s">
        <v>5007</v>
      </c>
      <c r="E177" s="6" t="s">
        <v>5810</v>
      </c>
      <c r="F177" s="6" t="s">
        <v>5415</v>
      </c>
      <c r="G177" s="6" t="s">
        <v>5416</v>
      </c>
      <c r="H177" s="6" t="s">
        <v>5197</v>
      </c>
      <c r="I177" s="6" t="s">
        <v>5811</v>
      </c>
      <c r="J177" s="6"/>
      <c r="K177" s="6" t="s">
        <v>5761</v>
      </c>
    </row>
    <row r="178" customFormat="false" ht="46.25" hidden="false" customHeight="false" outlineLevel="0" collapsed="false">
      <c r="A178" s="103" t="s">
        <v>5757</v>
      </c>
      <c r="B178" s="103" t="s">
        <v>5812</v>
      </c>
      <c r="C178" s="103" t="s">
        <v>5813</v>
      </c>
      <c r="D178" s="103" t="s">
        <v>5039</v>
      </c>
      <c r="E178" s="103" t="s">
        <v>5039</v>
      </c>
      <c r="F178" s="103" t="s">
        <v>287</v>
      </c>
      <c r="G178" s="103" t="s">
        <v>287</v>
      </c>
      <c r="H178" s="103" t="s">
        <v>5035</v>
      </c>
      <c r="I178" s="103" t="s">
        <v>5814</v>
      </c>
      <c r="J178" s="103"/>
      <c r="K178" s="103" t="s">
        <v>5761</v>
      </c>
    </row>
    <row r="179" customFormat="false" ht="46.25" hidden="false" customHeight="false" outlineLevel="0" collapsed="false">
      <c r="A179" s="6" t="s">
        <v>5757</v>
      </c>
      <c r="B179" s="6" t="s">
        <v>5815</v>
      </c>
      <c r="C179" s="6" t="s">
        <v>5816</v>
      </c>
      <c r="D179" s="6" t="s">
        <v>5007</v>
      </c>
      <c r="E179" s="6" t="s">
        <v>5817</v>
      </c>
      <c r="F179" s="6" t="s">
        <v>5818</v>
      </c>
      <c r="G179" s="6" t="s">
        <v>5819</v>
      </c>
      <c r="H179" s="6" t="s">
        <v>5197</v>
      </c>
      <c r="I179" s="6" t="s">
        <v>5820</v>
      </c>
      <c r="J179" s="6"/>
      <c r="K179" s="6" t="s">
        <v>5761</v>
      </c>
    </row>
    <row r="180" customFormat="false" ht="46.25" hidden="false" customHeight="false" outlineLevel="0" collapsed="false">
      <c r="A180" s="103" t="s">
        <v>5757</v>
      </c>
      <c r="B180" s="103" t="s">
        <v>5821</v>
      </c>
      <c r="C180" s="103" t="s">
        <v>5822</v>
      </c>
      <c r="D180" s="103" t="s">
        <v>5023</v>
      </c>
      <c r="E180" s="103" t="s">
        <v>5823</v>
      </c>
      <c r="F180" s="103" t="s">
        <v>5824</v>
      </c>
      <c r="G180" s="103" t="s">
        <v>5825</v>
      </c>
      <c r="H180" s="103" t="s">
        <v>5197</v>
      </c>
      <c r="I180" s="103" t="s">
        <v>5826</v>
      </c>
      <c r="J180" s="103"/>
      <c r="K180" s="103" t="s">
        <v>5761</v>
      </c>
    </row>
    <row r="181" customFormat="false" ht="46.25" hidden="false" customHeight="false" outlineLevel="0" collapsed="false">
      <c r="A181" s="6" t="s">
        <v>5757</v>
      </c>
      <c r="B181" s="6" t="s">
        <v>5827</v>
      </c>
      <c r="C181" s="6" t="s">
        <v>5828</v>
      </c>
      <c r="D181" s="6" t="s">
        <v>5046</v>
      </c>
      <c r="E181" s="6" t="s">
        <v>5829</v>
      </c>
      <c r="F181" s="6" t="s">
        <v>5830</v>
      </c>
      <c r="G181" s="6" t="s">
        <v>5831</v>
      </c>
      <c r="H181" s="6" t="s">
        <v>5197</v>
      </c>
      <c r="I181" s="6" t="s">
        <v>5832</v>
      </c>
      <c r="J181" s="6"/>
      <c r="K181" s="6" t="s">
        <v>5761</v>
      </c>
    </row>
    <row r="182" customFormat="false" ht="46.25" hidden="false" customHeight="false" outlineLevel="0" collapsed="false">
      <c r="A182" s="103" t="s">
        <v>5757</v>
      </c>
      <c r="B182" s="103" t="s">
        <v>2444</v>
      </c>
      <c r="C182" s="103" t="s">
        <v>5833</v>
      </c>
      <c r="D182" s="103" t="s">
        <v>5046</v>
      </c>
      <c r="E182" s="103" t="s">
        <v>5834</v>
      </c>
      <c r="F182" s="103" t="s">
        <v>5835</v>
      </c>
      <c r="G182" s="103" t="s">
        <v>5836</v>
      </c>
      <c r="H182" s="103" t="s">
        <v>5197</v>
      </c>
      <c r="I182" s="103" t="s">
        <v>5837</v>
      </c>
      <c r="J182" s="103"/>
      <c r="K182" s="103" t="s">
        <v>5761</v>
      </c>
    </row>
    <row r="183" customFormat="false" ht="57.45" hidden="false" customHeight="false" outlineLevel="0" collapsed="false">
      <c r="A183" s="6" t="s">
        <v>5838</v>
      </c>
      <c r="B183" s="6" t="s">
        <v>5839</v>
      </c>
      <c r="C183" s="6" t="s">
        <v>5840</v>
      </c>
      <c r="D183" s="6" t="s">
        <v>5023</v>
      </c>
      <c r="E183" s="6" t="s">
        <v>5841</v>
      </c>
      <c r="F183" s="6" t="s">
        <v>5842</v>
      </c>
      <c r="G183" s="6" t="s">
        <v>5843</v>
      </c>
      <c r="H183" s="6" t="s">
        <v>5011</v>
      </c>
      <c r="I183" s="6" t="s">
        <v>5844</v>
      </c>
      <c r="J183" s="6" t="s">
        <v>5845</v>
      </c>
      <c r="K183" s="6" t="s">
        <v>5846</v>
      </c>
    </row>
    <row r="184" customFormat="false" ht="46.25" hidden="false" customHeight="false" outlineLevel="0" collapsed="false">
      <c r="A184" s="103" t="s">
        <v>5838</v>
      </c>
      <c r="B184" s="103" t="s">
        <v>5847</v>
      </c>
      <c r="C184" s="103" t="s">
        <v>5848</v>
      </c>
      <c r="D184" s="103" t="s">
        <v>5039</v>
      </c>
      <c r="E184" s="103" t="s">
        <v>5849</v>
      </c>
      <c r="F184" s="103" t="s">
        <v>931</v>
      </c>
      <c r="G184" s="103" t="s">
        <v>1815</v>
      </c>
      <c r="H184" s="103" t="s">
        <v>5011</v>
      </c>
      <c r="I184" s="103" t="s">
        <v>5850</v>
      </c>
      <c r="J184" s="103" t="s">
        <v>5851</v>
      </c>
      <c r="K184" s="103" t="s">
        <v>5846</v>
      </c>
    </row>
    <row r="185" customFormat="false" ht="46.25" hidden="false" customHeight="false" outlineLevel="0" collapsed="false">
      <c r="A185" s="6" t="s">
        <v>5838</v>
      </c>
      <c r="B185" s="6" t="s">
        <v>5852</v>
      </c>
      <c r="C185" s="6" t="s">
        <v>5853</v>
      </c>
      <c r="D185" s="6" t="s">
        <v>5023</v>
      </c>
      <c r="E185" s="6" t="s">
        <v>5854</v>
      </c>
      <c r="F185" s="6" t="s">
        <v>5855</v>
      </c>
      <c r="G185" s="6" t="s">
        <v>5856</v>
      </c>
      <c r="H185" s="6" t="s">
        <v>5011</v>
      </c>
      <c r="I185" s="6" t="s">
        <v>5857</v>
      </c>
      <c r="J185" s="6" t="s">
        <v>5858</v>
      </c>
      <c r="K185" s="6" t="s">
        <v>5846</v>
      </c>
    </row>
    <row r="186" customFormat="false" ht="57.45" hidden="false" customHeight="false" outlineLevel="0" collapsed="false">
      <c r="A186" s="103" t="s">
        <v>5838</v>
      </c>
      <c r="B186" s="103" t="s">
        <v>5859</v>
      </c>
      <c r="C186" s="103" t="s">
        <v>5860</v>
      </c>
      <c r="D186" s="103" t="s">
        <v>5023</v>
      </c>
      <c r="E186" s="103" t="s">
        <v>5861</v>
      </c>
      <c r="F186" s="103" t="s">
        <v>2269</v>
      </c>
      <c r="G186" s="103" t="s">
        <v>2277</v>
      </c>
      <c r="H186" s="103" t="s">
        <v>5035</v>
      </c>
      <c r="I186" s="103" t="s">
        <v>5862</v>
      </c>
      <c r="J186" s="103"/>
      <c r="K186" s="103" t="s">
        <v>5846</v>
      </c>
    </row>
    <row r="187" customFormat="false" ht="68.65" hidden="false" customHeight="false" outlineLevel="0" collapsed="false">
      <c r="A187" s="6" t="s">
        <v>5838</v>
      </c>
      <c r="B187" s="6" t="s">
        <v>5863</v>
      </c>
      <c r="C187" s="6" t="s">
        <v>5864</v>
      </c>
      <c r="D187" s="6" t="s">
        <v>5023</v>
      </c>
      <c r="E187" s="6" t="s">
        <v>5865</v>
      </c>
      <c r="F187" s="6" t="s">
        <v>5866</v>
      </c>
      <c r="G187" s="6" t="s">
        <v>5867</v>
      </c>
      <c r="H187" s="6" t="s">
        <v>5035</v>
      </c>
      <c r="I187" s="6" t="s">
        <v>5868</v>
      </c>
      <c r="J187" s="6"/>
      <c r="K187" s="6" t="s">
        <v>5846</v>
      </c>
    </row>
    <row r="188" customFormat="false" ht="46.25" hidden="false" customHeight="false" outlineLevel="0" collapsed="false">
      <c r="A188" s="103" t="s">
        <v>5838</v>
      </c>
      <c r="B188" s="103" t="s">
        <v>5869</v>
      </c>
      <c r="C188" s="103" t="s">
        <v>5870</v>
      </c>
      <c r="D188" s="103" t="s">
        <v>5023</v>
      </c>
      <c r="E188" s="103" t="s">
        <v>5871</v>
      </c>
      <c r="F188" s="103" t="s">
        <v>5872</v>
      </c>
      <c r="G188" s="103" t="s">
        <v>5873</v>
      </c>
      <c r="H188" s="103" t="s">
        <v>5035</v>
      </c>
      <c r="I188" s="103" t="s">
        <v>5874</v>
      </c>
      <c r="J188" s="103"/>
      <c r="K188" s="103" t="s">
        <v>5846</v>
      </c>
    </row>
    <row r="189" customFormat="false" ht="46.25" hidden="false" customHeight="false" outlineLevel="0" collapsed="false">
      <c r="A189" s="6" t="s">
        <v>5838</v>
      </c>
      <c r="B189" s="6" t="s">
        <v>5875</v>
      </c>
      <c r="C189" s="6" t="s">
        <v>5876</v>
      </c>
      <c r="D189" s="6" t="s">
        <v>5007</v>
      </c>
      <c r="E189" s="6" t="s">
        <v>5007</v>
      </c>
      <c r="F189" s="6" t="s">
        <v>4520</v>
      </c>
      <c r="G189" s="6" t="s">
        <v>3975</v>
      </c>
      <c r="H189" s="6" t="s">
        <v>5197</v>
      </c>
      <c r="I189" s="6" t="s">
        <v>5877</v>
      </c>
      <c r="J189" s="6"/>
      <c r="K189" s="6" t="s">
        <v>5846</v>
      </c>
    </row>
    <row r="190" customFormat="false" ht="46.25" hidden="false" customHeight="false" outlineLevel="0" collapsed="false">
      <c r="A190" s="103" t="s">
        <v>5838</v>
      </c>
      <c r="B190" s="103" t="s">
        <v>5878</v>
      </c>
      <c r="C190" s="103" t="s">
        <v>5879</v>
      </c>
      <c r="D190" s="103" t="s">
        <v>5039</v>
      </c>
      <c r="E190" s="103" t="s">
        <v>5880</v>
      </c>
      <c r="F190" s="103" t="s">
        <v>287</v>
      </c>
      <c r="G190" s="103" t="s">
        <v>287</v>
      </c>
      <c r="H190" s="103" t="s">
        <v>5011</v>
      </c>
      <c r="I190" s="103" t="s">
        <v>5881</v>
      </c>
      <c r="J190" s="103" t="s">
        <v>5882</v>
      </c>
      <c r="K190" s="103" t="s">
        <v>5846</v>
      </c>
    </row>
    <row r="191" customFormat="false" ht="46.25" hidden="false" customHeight="false" outlineLevel="0" collapsed="false">
      <c r="A191" s="6" t="s">
        <v>5838</v>
      </c>
      <c r="B191" s="6" t="s">
        <v>5883</v>
      </c>
      <c r="C191" s="6" t="s">
        <v>5884</v>
      </c>
      <c r="D191" s="6" t="s">
        <v>5115</v>
      </c>
      <c r="E191" s="6" t="s">
        <v>5885</v>
      </c>
      <c r="F191" s="6" t="s">
        <v>3578</v>
      </c>
      <c r="G191" s="6" t="s">
        <v>2019</v>
      </c>
      <c r="H191" s="6" t="s">
        <v>5011</v>
      </c>
      <c r="I191" s="6" t="s">
        <v>5886</v>
      </c>
      <c r="J191" s="6" t="s">
        <v>5887</v>
      </c>
      <c r="K191" s="6" t="s">
        <v>5846</v>
      </c>
    </row>
    <row r="192" customFormat="false" ht="57.45" hidden="false" customHeight="false" outlineLevel="0" collapsed="false">
      <c r="A192" s="103" t="s">
        <v>5838</v>
      </c>
      <c r="B192" s="103" t="s">
        <v>5888</v>
      </c>
      <c r="C192" s="103" t="s">
        <v>5889</v>
      </c>
      <c r="D192" s="103"/>
      <c r="E192" s="103"/>
      <c r="F192" s="103" t="s">
        <v>4678</v>
      </c>
      <c r="G192" s="103" t="s">
        <v>1815</v>
      </c>
      <c r="H192" s="103" t="s">
        <v>1525</v>
      </c>
      <c r="I192" s="103"/>
      <c r="J192" s="103"/>
      <c r="K192" s="103" t="s">
        <v>5846</v>
      </c>
    </row>
    <row r="193" customFormat="false" ht="57.45" hidden="false" customHeight="false" outlineLevel="0" collapsed="false">
      <c r="A193" s="6" t="s">
        <v>5838</v>
      </c>
      <c r="B193" s="6" t="s">
        <v>5890</v>
      </c>
      <c r="C193" s="6" t="s">
        <v>5891</v>
      </c>
      <c r="D193" s="6"/>
      <c r="E193" s="6"/>
      <c r="F193" s="6" t="s">
        <v>5892</v>
      </c>
      <c r="G193" s="6" t="s">
        <v>5893</v>
      </c>
      <c r="H193" s="6" t="s">
        <v>2960</v>
      </c>
      <c r="I193" s="6"/>
      <c r="J193" s="6"/>
      <c r="K193" s="6" t="s">
        <v>5846</v>
      </c>
    </row>
    <row r="194" customFormat="false" ht="46.25" hidden="false" customHeight="false" outlineLevel="0" collapsed="false">
      <c r="A194" s="103" t="s">
        <v>5838</v>
      </c>
      <c r="B194" s="103" t="s">
        <v>5894</v>
      </c>
      <c r="C194" s="103" t="s">
        <v>5895</v>
      </c>
      <c r="D194" s="103"/>
      <c r="E194" s="103"/>
      <c r="F194" s="103" t="s">
        <v>4132</v>
      </c>
      <c r="G194" s="103" t="s">
        <v>1798</v>
      </c>
      <c r="H194" s="103" t="s">
        <v>2960</v>
      </c>
      <c r="I194" s="103"/>
      <c r="J194" s="103"/>
      <c r="K194" s="103" t="s">
        <v>5846</v>
      </c>
    </row>
    <row r="195" customFormat="false" ht="68.65" hidden="false" customHeight="false" outlineLevel="0" collapsed="false">
      <c r="A195" s="6" t="s">
        <v>5838</v>
      </c>
      <c r="B195" s="6" t="s">
        <v>2643</v>
      </c>
      <c r="C195" s="6" t="s">
        <v>5896</v>
      </c>
      <c r="D195" s="6"/>
      <c r="E195" s="6"/>
      <c r="F195" s="6" t="s">
        <v>5897</v>
      </c>
      <c r="G195" s="6" t="s">
        <v>5898</v>
      </c>
      <c r="H195" s="6" t="s">
        <v>1525</v>
      </c>
      <c r="I195" s="6"/>
      <c r="J195" s="6"/>
      <c r="K195" s="6" t="s">
        <v>5846</v>
      </c>
    </row>
    <row r="196" customFormat="false" ht="68.65" hidden="false" customHeight="false" outlineLevel="0" collapsed="false">
      <c r="A196" s="103" t="s">
        <v>5838</v>
      </c>
      <c r="B196" s="103" t="s">
        <v>2878</v>
      </c>
      <c r="C196" s="103" t="s">
        <v>5899</v>
      </c>
      <c r="D196" s="103"/>
      <c r="E196" s="103"/>
      <c r="F196" s="103" t="s">
        <v>5900</v>
      </c>
      <c r="G196" s="103" t="s">
        <v>5901</v>
      </c>
      <c r="H196" s="103" t="s">
        <v>2960</v>
      </c>
      <c r="I196" s="103"/>
      <c r="J196" s="103"/>
      <c r="K196" s="103" t="s">
        <v>5846</v>
      </c>
    </row>
    <row r="197" customFormat="false" ht="46.25" hidden="false" customHeight="false" outlineLevel="0" collapsed="false">
      <c r="A197" s="6" t="s">
        <v>5838</v>
      </c>
      <c r="B197" s="6" t="s">
        <v>5902</v>
      </c>
      <c r="C197" s="6" t="s">
        <v>5903</v>
      </c>
      <c r="D197" s="6"/>
      <c r="E197" s="6"/>
      <c r="F197" s="6" t="s">
        <v>2321</v>
      </c>
      <c r="G197" s="6" t="s">
        <v>2329</v>
      </c>
      <c r="H197" s="6" t="s">
        <v>2960</v>
      </c>
      <c r="I197" s="6"/>
      <c r="J197" s="6"/>
      <c r="K197" s="6" t="s">
        <v>5846</v>
      </c>
    </row>
    <row r="198" customFormat="false" ht="46.25" hidden="false" customHeight="false" outlineLevel="0" collapsed="false">
      <c r="A198" s="103" t="s">
        <v>5838</v>
      </c>
      <c r="B198" s="103" t="s">
        <v>5904</v>
      </c>
      <c r="C198" s="103" t="s">
        <v>5905</v>
      </c>
      <c r="D198" s="103"/>
      <c r="E198" s="103"/>
      <c r="F198" s="103" t="s">
        <v>5906</v>
      </c>
      <c r="G198" s="103" t="s">
        <v>5907</v>
      </c>
      <c r="H198" s="103" t="s">
        <v>2960</v>
      </c>
      <c r="I198" s="103"/>
      <c r="J198" s="103"/>
      <c r="K198" s="103" t="s">
        <v>5846</v>
      </c>
    </row>
    <row r="199" customFormat="false" ht="46.25" hidden="false" customHeight="false" outlineLevel="0" collapsed="false">
      <c r="A199" s="6" t="s">
        <v>5838</v>
      </c>
      <c r="B199" s="6" t="s">
        <v>5908</v>
      </c>
      <c r="C199" s="6" t="s">
        <v>5909</v>
      </c>
      <c r="D199" s="6"/>
      <c r="E199" s="6"/>
      <c r="F199" s="6" t="s">
        <v>2269</v>
      </c>
      <c r="G199" s="6" t="s">
        <v>2277</v>
      </c>
      <c r="H199" s="6" t="s">
        <v>2960</v>
      </c>
      <c r="I199" s="6"/>
      <c r="J199" s="6"/>
      <c r="K199" s="6" t="s">
        <v>5846</v>
      </c>
    </row>
    <row r="200" customFormat="false" ht="57.45" hidden="false" customHeight="false" outlineLevel="0" collapsed="false">
      <c r="A200" s="103" t="s">
        <v>5838</v>
      </c>
      <c r="B200" s="103" t="s">
        <v>5910</v>
      </c>
      <c r="C200" s="103" t="s">
        <v>5911</v>
      </c>
      <c r="D200" s="103"/>
      <c r="E200" s="103"/>
      <c r="F200" s="103" t="s">
        <v>5711</v>
      </c>
      <c r="G200" s="103" t="s">
        <v>3256</v>
      </c>
      <c r="H200" s="103" t="s">
        <v>2960</v>
      </c>
      <c r="I200" s="103"/>
      <c r="J200" s="103"/>
      <c r="K200" s="103" t="s">
        <v>5846</v>
      </c>
    </row>
  </sheetData>
  <autoFilter ref="A4:K20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33C0B"/>
    <pageSetUpPr fitToPage="false"/>
  </sheetPr>
  <dimension ref="A1: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6"/>
    <col collapsed="false" customWidth="true" hidden="false" outlineLevel="0" max="3" min="3" style="0" width="12"/>
    <col collapsed="false" customWidth="true" hidden="false" outlineLevel="0" max="4" min="4" style="0" width="10"/>
    <col collapsed="false" customWidth="true" hidden="false" outlineLevel="0" max="5" min="5" style="0" width="50"/>
    <col collapsed="false" customWidth="true" hidden="false" outlineLevel="0" max="6" min="6" style="0" width="24"/>
    <col collapsed="false" customWidth="true" hidden="false" outlineLevel="0" max="7" min="7" style="0" width="40"/>
    <col collapsed="false" customWidth="true" hidden="false" outlineLevel="0" max="8" min="8" style="0" width="60"/>
  </cols>
  <sheetData>
    <row r="1" customFormat="false" ht="30" hidden="false" customHeight="true" outlineLevel="0" collapsed="false">
      <c r="A1" s="159" t="s">
        <v>5912</v>
      </c>
      <c r="B1" s="160"/>
      <c r="C1" s="160"/>
      <c r="D1" s="160"/>
      <c r="E1" s="160"/>
      <c r="F1" s="160"/>
      <c r="G1" s="160"/>
      <c r="H1" s="160"/>
    </row>
    <row r="2" customFormat="false" ht="15" hidden="false" customHeight="false" outlineLevel="0" collapsed="false">
      <c r="A2" s="3" t="s">
        <v>5913</v>
      </c>
    </row>
    <row r="4" customFormat="false" ht="15" hidden="false" customHeight="false" outlineLevel="0" collapsed="false">
      <c r="A4" s="161" t="s">
        <v>5914</v>
      </c>
      <c r="B4" s="161" t="s">
        <v>5915</v>
      </c>
      <c r="C4" s="161" t="s">
        <v>5916</v>
      </c>
      <c r="D4" s="161" t="s">
        <v>1611</v>
      </c>
      <c r="E4" s="161" t="s">
        <v>5917</v>
      </c>
      <c r="F4" s="161" t="s">
        <v>5918</v>
      </c>
      <c r="G4" s="161" t="s">
        <v>5919</v>
      </c>
      <c r="H4" s="161" t="s">
        <v>5920</v>
      </c>
    </row>
    <row r="5" customFormat="false" ht="75" hidden="false" customHeight="true" outlineLevel="0" collapsed="false">
      <c r="A5" s="6" t="s">
        <v>5921</v>
      </c>
      <c r="B5" s="6" t="s">
        <v>5922</v>
      </c>
      <c r="C5" s="6" t="s">
        <v>1624</v>
      </c>
      <c r="D5" s="6" t="s">
        <v>1627</v>
      </c>
      <c r="E5" s="6" t="s">
        <v>1629</v>
      </c>
      <c r="F5" s="6" t="s">
        <v>291</v>
      </c>
      <c r="G5" s="6" t="s">
        <v>1631</v>
      </c>
      <c r="H5" s="6" t="s">
        <v>1632</v>
      </c>
    </row>
    <row r="6" customFormat="false" ht="75" hidden="false" customHeight="true" outlineLevel="0" collapsed="false">
      <c r="A6" s="129" t="s">
        <v>5923</v>
      </c>
      <c r="B6" s="129" t="s">
        <v>5924</v>
      </c>
      <c r="C6" s="129" t="s">
        <v>1644</v>
      </c>
      <c r="D6" s="129" t="s">
        <v>1627</v>
      </c>
      <c r="E6" s="129" t="s">
        <v>1647</v>
      </c>
      <c r="F6" s="129" t="s">
        <v>1652</v>
      </c>
      <c r="G6" s="129" t="s">
        <v>1649</v>
      </c>
      <c r="H6" s="129" t="s">
        <v>1650</v>
      </c>
    </row>
    <row r="7" customFormat="false" ht="75" hidden="false" customHeight="true" outlineLevel="0" collapsed="false">
      <c r="A7" s="6" t="s">
        <v>5925</v>
      </c>
      <c r="B7" s="6" t="s">
        <v>5926</v>
      </c>
      <c r="C7" s="6" t="s">
        <v>1662</v>
      </c>
      <c r="D7" s="6" t="s">
        <v>1664</v>
      </c>
      <c r="E7" s="6" t="s">
        <v>1666</v>
      </c>
      <c r="F7" s="6" t="s">
        <v>1652</v>
      </c>
      <c r="G7" s="6" t="s">
        <v>1668</v>
      </c>
      <c r="H7" s="6" t="s">
        <v>1669</v>
      </c>
    </row>
    <row r="8" customFormat="false" ht="75" hidden="false" customHeight="true" outlineLevel="0" collapsed="false">
      <c r="A8" s="129" t="s">
        <v>5927</v>
      </c>
      <c r="B8" s="129" t="s">
        <v>5928</v>
      </c>
      <c r="C8" s="129" t="s">
        <v>339</v>
      </c>
      <c r="D8" s="129" t="s">
        <v>1664</v>
      </c>
      <c r="E8" s="129" t="s">
        <v>1676</v>
      </c>
      <c r="F8" s="129" t="s">
        <v>1681</v>
      </c>
      <c r="G8" s="129" t="s">
        <v>1678</v>
      </c>
      <c r="H8" s="129" t="s">
        <v>1679</v>
      </c>
    </row>
    <row r="9" customFormat="false" ht="75" hidden="false" customHeight="true" outlineLevel="0" collapsed="false">
      <c r="A9" s="6" t="s">
        <v>5929</v>
      </c>
      <c r="B9" s="6" t="s">
        <v>5930</v>
      </c>
      <c r="C9" s="6" t="s">
        <v>1691</v>
      </c>
      <c r="D9" s="6" t="s">
        <v>1627</v>
      </c>
      <c r="E9" s="6" t="s">
        <v>1695</v>
      </c>
      <c r="F9" s="6" t="s">
        <v>1306</v>
      </c>
      <c r="G9" s="6" t="s">
        <v>1697</v>
      </c>
      <c r="H9" s="6" t="s">
        <v>1698</v>
      </c>
    </row>
    <row r="10" customFormat="false" ht="75" hidden="false" customHeight="true" outlineLevel="0" collapsed="false">
      <c r="A10" s="129" t="s">
        <v>5931</v>
      </c>
      <c r="B10" s="129" t="s">
        <v>5932</v>
      </c>
      <c r="C10" s="129" t="s">
        <v>1710</v>
      </c>
      <c r="D10" s="129" t="s">
        <v>1627</v>
      </c>
      <c r="E10" s="129" t="s">
        <v>1714</v>
      </c>
      <c r="F10" s="129" t="s">
        <v>1719</v>
      </c>
      <c r="G10" s="129" t="s">
        <v>1716</v>
      </c>
      <c r="H10" s="129" t="s">
        <v>1717</v>
      </c>
    </row>
    <row r="11" customFormat="false" ht="75" hidden="false" customHeight="true" outlineLevel="0" collapsed="false">
      <c r="A11" s="6" t="s">
        <v>5933</v>
      </c>
      <c r="B11" s="6" t="s">
        <v>5934</v>
      </c>
      <c r="C11" s="6" t="s">
        <v>1729</v>
      </c>
      <c r="D11" s="6" t="s">
        <v>1664</v>
      </c>
      <c r="E11" s="6" t="s">
        <v>1733</v>
      </c>
      <c r="F11" s="6" t="s">
        <v>464</v>
      </c>
      <c r="G11" s="6" t="s">
        <v>1735</v>
      </c>
      <c r="H11" s="6" t="s">
        <v>1736</v>
      </c>
    </row>
    <row r="12" customFormat="false" ht="75" hidden="false" customHeight="true" outlineLevel="0" collapsed="false">
      <c r="A12" s="129" t="s">
        <v>5935</v>
      </c>
      <c r="B12" s="129" t="s">
        <v>5936</v>
      </c>
      <c r="C12" s="129" t="s">
        <v>569</v>
      </c>
      <c r="D12" s="129" t="s">
        <v>1627</v>
      </c>
      <c r="E12" s="129" t="s">
        <v>1750</v>
      </c>
      <c r="F12" s="129" t="s">
        <v>1755</v>
      </c>
      <c r="G12" s="129" t="s">
        <v>1752</v>
      </c>
      <c r="H12" s="129" t="s">
        <v>1753</v>
      </c>
    </row>
    <row r="13" customFormat="false" ht="75" hidden="false" customHeight="true" outlineLevel="0" collapsed="false">
      <c r="A13" s="6" t="s">
        <v>5937</v>
      </c>
      <c r="B13" s="6" t="s">
        <v>5938</v>
      </c>
      <c r="C13" s="6" t="s">
        <v>1765</v>
      </c>
      <c r="D13" s="6" t="s">
        <v>1664</v>
      </c>
      <c r="E13" s="6" t="s">
        <v>1767</v>
      </c>
      <c r="F13" s="6" t="s">
        <v>443</v>
      </c>
      <c r="G13" s="6" t="s">
        <v>1769</v>
      </c>
      <c r="H13" s="6" t="s">
        <v>1770</v>
      </c>
    </row>
    <row r="14" customFormat="false" ht="75" hidden="false" customHeight="true" outlineLevel="0" collapsed="false">
      <c r="A14" s="129" t="s">
        <v>5939</v>
      </c>
      <c r="B14" s="129" t="s">
        <v>5940</v>
      </c>
      <c r="C14" s="129" t="s">
        <v>1780</v>
      </c>
      <c r="D14" s="129" t="s">
        <v>1664</v>
      </c>
      <c r="E14" s="129" t="s">
        <v>1782</v>
      </c>
      <c r="F14" s="129" t="s">
        <v>1786</v>
      </c>
      <c r="G14" s="129" t="s">
        <v>1784</v>
      </c>
      <c r="H14" s="129" t="s">
        <v>1785</v>
      </c>
    </row>
    <row r="15" customFormat="false" ht="75" hidden="false" customHeight="true" outlineLevel="0" collapsed="false">
      <c r="A15" s="6" t="s">
        <v>5941</v>
      </c>
      <c r="B15" s="6" t="s">
        <v>5942</v>
      </c>
      <c r="C15" s="6" t="s">
        <v>849</v>
      </c>
      <c r="D15" s="6" t="s">
        <v>1627</v>
      </c>
      <c r="E15" s="6" t="s">
        <v>1793</v>
      </c>
      <c r="F15" s="6" t="s">
        <v>1798</v>
      </c>
      <c r="G15" s="6" t="s">
        <v>1795</v>
      </c>
      <c r="H15" s="6" t="s">
        <v>1796</v>
      </c>
    </row>
    <row r="16" customFormat="false" ht="75" hidden="false" customHeight="true" outlineLevel="0" collapsed="false">
      <c r="A16" s="129" t="s">
        <v>5943</v>
      </c>
      <c r="B16" s="129" t="s">
        <v>5944</v>
      </c>
      <c r="C16" s="129" t="s">
        <v>931</v>
      </c>
      <c r="D16" s="129" t="s">
        <v>1627</v>
      </c>
      <c r="E16" s="129" t="s">
        <v>1809</v>
      </c>
      <c r="F16" s="129" t="s">
        <v>1815</v>
      </c>
      <c r="G16" s="129" t="s">
        <v>1811</v>
      </c>
      <c r="H16" s="129" t="s">
        <v>1812</v>
      </c>
    </row>
    <row r="17" customFormat="false" ht="75" hidden="false" customHeight="true" outlineLevel="0" collapsed="false">
      <c r="A17" s="6" t="s">
        <v>5945</v>
      </c>
      <c r="B17" s="6" t="s">
        <v>5946</v>
      </c>
      <c r="C17" s="6" t="s">
        <v>1825</v>
      </c>
      <c r="D17" s="6" t="s">
        <v>1627</v>
      </c>
      <c r="E17" s="6" t="s">
        <v>1828</v>
      </c>
      <c r="F17" s="6" t="s">
        <v>1834</v>
      </c>
      <c r="G17" s="6" t="s">
        <v>1830</v>
      </c>
      <c r="H17" s="6" t="s">
        <v>1831</v>
      </c>
    </row>
    <row r="18" customFormat="false" ht="75" hidden="false" customHeight="true" outlineLevel="0" collapsed="false">
      <c r="A18" s="129" t="s">
        <v>5947</v>
      </c>
      <c r="B18" s="129" t="s">
        <v>5948</v>
      </c>
      <c r="C18" s="129" t="s">
        <v>884</v>
      </c>
      <c r="D18" s="129" t="s">
        <v>1627</v>
      </c>
      <c r="E18" s="129" t="s">
        <v>1843</v>
      </c>
      <c r="F18" s="129" t="s">
        <v>1848</v>
      </c>
      <c r="G18" s="129" t="s">
        <v>1845</v>
      </c>
      <c r="H18" s="129" t="s">
        <v>1846</v>
      </c>
    </row>
    <row r="19" customFormat="false" ht="75" hidden="false" customHeight="true" outlineLevel="0" collapsed="false">
      <c r="A19" s="6" t="s">
        <v>5949</v>
      </c>
      <c r="B19" s="6" t="s">
        <v>5950</v>
      </c>
      <c r="C19" s="6" t="s">
        <v>1857</v>
      </c>
      <c r="D19" s="6" t="s">
        <v>1627</v>
      </c>
      <c r="E19" s="6" t="s">
        <v>1861</v>
      </c>
      <c r="F19" s="6" t="s">
        <v>1866</v>
      </c>
      <c r="G19" s="6" t="s">
        <v>1863</v>
      </c>
      <c r="H19" s="6" t="s">
        <v>1864</v>
      </c>
    </row>
    <row r="20" customFormat="false" ht="75" hidden="false" customHeight="true" outlineLevel="0" collapsed="false">
      <c r="A20" s="129" t="s">
        <v>5951</v>
      </c>
      <c r="B20" s="129" t="s">
        <v>5952</v>
      </c>
      <c r="C20" s="129" t="s">
        <v>1876</v>
      </c>
      <c r="D20" s="129" t="s">
        <v>1627</v>
      </c>
      <c r="E20" s="129" t="s">
        <v>1878</v>
      </c>
      <c r="F20" s="129" t="s">
        <v>1882</v>
      </c>
      <c r="G20" s="129" t="s">
        <v>1880</v>
      </c>
      <c r="H20" s="129" t="s">
        <v>1881</v>
      </c>
    </row>
    <row r="21" customFormat="false" ht="75" hidden="false" customHeight="true" outlineLevel="0" collapsed="false">
      <c r="A21" s="6" t="s">
        <v>5953</v>
      </c>
      <c r="B21" s="6" t="s">
        <v>5954</v>
      </c>
      <c r="C21" s="6" t="s">
        <v>608</v>
      </c>
      <c r="D21" s="6" t="s">
        <v>1627</v>
      </c>
      <c r="E21" s="6" t="s">
        <v>1891</v>
      </c>
      <c r="F21" s="6" t="s">
        <v>1896</v>
      </c>
      <c r="G21" s="6" t="s">
        <v>1893</v>
      </c>
      <c r="H21" s="6" t="s">
        <v>1894</v>
      </c>
    </row>
    <row r="22" customFormat="false" ht="75" hidden="false" customHeight="true" outlineLevel="0" collapsed="false">
      <c r="A22" s="129" t="s">
        <v>5955</v>
      </c>
      <c r="B22" s="129" t="s">
        <v>5956</v>
      </c>
      <c r="C22" s="129" t="s">
        <v>1904</v>
      </c>
      <c r="D22" s="129" t="s">
        <v>1627</v>
      </c>
      <c r="E22" s="129" t="s">
        <v>1907</v>
      </c>
      <c r="F22" s="129" t="s">
        <v>375</v>
      </c>
      <c r="G22" s="129" t="s">
        <v>1909</v>
      </c>
      <c r="H22" s="129" t="s">
        <v>1910</v>
      </c>
    </row>
    <row r="23" customFormat="false" ht="75" hidden="false" customHeight="true" outlineLevel="0" collapsed="false">
      <c r="A23" s="6" t="s">
        <v>5957</v>
      </c>
      <c r="B23" s="6" t="s">
        <v>5958</v>
      </c>
      <c r="C23" s="6" t="s">
        <v>1919</v>
      </c>
      <c r="D23" s="6" t="s">
        <v>1664</v>
      </c>
      <c r="E23" s="6" t="s">
        <v>1921</v>
      </c>
      <c r="F23" s="6" t="s">
        <v>1925</v>
      </c>
      <c r="G23" s="6" t="s">
        <v>1923</v>
      </c>
      <c r="H23" s="6" t="s">
        <v>1924</v>
      </c>
    </row>
    <row r="24" customFormat="false" ht="75" hidden="false" customHeight="true" outlineLevel="0" collapsed="false">
      <c r="A24" s="129" t="s">
        <v>5959</v>
      </c>
      <c r="B24" s="129" t="s">
        <v>5960</v>
      </c>
      <c r="C24" s="129" t="s">
        <v>1934</v>
      </c>
      <c r="D24" s="129" t="s">
        <v>1627</v>
      </c>
      <c r="E24" s="129" t="s">
        <v>1937</v>
      </c>
      <c r="F24" s="129" t="s">
        <v>1941</v>
      </c>
      <c r="G24" s="129" t="s">
        <v>1939</v>
      </c>
      <c r="H24" s="129" t="s">
        <v>1940</v>
      </c>
    </row>
    <row r="25" customFormat="false" ht="75" hidden="false" customHeight="true" outlineLevel="0" collapsed="false">
      <c r="A25" s="6" t="s">
        <v>5961</v>
      </c>
      <c r="B25" s="6" t="s">
        <v>5962</v>
      </c>
      <c r="C25" s="6" t="s">
        <v>1950</v>
      </c>
      <c r="D25" s="6" t="s">
        <v>1664</v>
      </c>
      <c r="E25" s="6" t="s">
        <v>1953</v>
      </c>
      <c r="F25" s="6" t="s">
        <v>1957</v>
      </c>
      <c r="G25" s="6" t="s">
        <v>1955</v>
      </c>
      <c r="H25" s="6" t="s">
        <v>1956</v>
      </c>
    </row>
    <row r="26" customFormat="false" ht="75" hidden="false" customHeight="true" outlineLevel="0" collapsed="false">
      <c r="A26" s="129" t="s">
        <v>5963</v>
      </c>
      <c r="B26" s="129" t="s">
        <v>5964</v>
      </c>
      <c r="C26" s="129" t="s">
        <v>1965</v>
      </c>
      <c r="D26" s="129" t="s">
        <v>1627</v>
      </c>
      <c r="E26" s="129" t="s">
        <v>1968</v>
      </c>
      <c r="F26" s="129" t="s">
        <v>1973</v>
      </c>
      <c r="G26" s="129" t="s">
        <v>1970</v>
      </c>
      <c r="H26" s="129" t="s">
        <v>1971</v>
      </c>
    </row>
    <row r="27" customFormat="false" ht="75" hidden="false" customHeight="true" outlineLevel="0" collapsed="false">
      <c r="A27" s="6" t="s">
        <v>5965</v>
      </c>
      <c r="B27" s="6" t="s">
        <v>5966</v>
      </c>
      <c r="C27" s="6" t="s">
        <v>1980</v>
      </c>
      <c r="D27" s="6" t="s">
        <v>1627</v>
      </c>
      <c r="E27" s="6" t="s">
        <v>1982</v>
      </c>
      <c r="F27" s="6" t="s">
        <v>1986</v>
      </c>
      <c r="G27" s="6" t="s">
        <v>1984</v>
      </c>
      <c r="H27" s="6" t="s">
        <v>1985</v>
      </c>
    </row>
    <row r="28" customFormat="false" ht="75" hidden="false" customHeight="true" outlineLevel="0" collapsed="false">
      <c r="A28" s="129" t="s">
        <v>5967</v>
      </c>
      <c r="B28" s="129" t="s">
        <v>5968</v>
      </c>
      <c r="C28" s="129" t="s">
        <v>731</v>
      </c>
      <c r="D28" s="129" t="s">
        <v>1627</v>
      </c>
      <c r="E28" s="129" t="s">
        <v>1997</v>
      </c>
      <c r="F28" s="129" t="s">
        <v>2001</v>
      </c>
      <c r="G28" s="129" t="s">
        <v>1999</v>
      </c>
      <c r="H28" s="129" t="s">
        <v>2000</v>
      </c>
    </row>
    <row r="29" customFormat="false" ht="75" hidden="false" customHeight="true" outlineLevel="0" collapsed="false">
      <c r="A29" s="6" t="s">
        <v>5969</v>
      </c>
      <c r="B29" s="6" t="s">
        <v>5970</v>
      </c>
      <c r="C29" s="6" t="s">
        <v>2011</v>
      </c>
      <c r="D29" s="6" t="s">
        <v>1627</v>
      </c>
      <c r="E29" s="6" t="s">
        <v>2014</v>
      </c>
      <c r="F29" s="6" t="s">
        <v>2019</v>
      </c>
      <c r="G29" s="6" t="s">
        <v>2016</v>
      </c>
      <c r="H29" s="6" t="s">
        <v>2017</v>
      </c>
    </row>
    <row r="30" customFormat="false" ht="75" hidden="false" customHeight="true" outlineLevel="0" collapsed="false">
      <c r="A30" s="129" t="s">
        <v>5971</v>
      </c>
      <c r="B30" s="129" t="s">
        <v>5972</v>
      </c>
      <c r="C30" s="129" t="s">
        <v>2029</v>
      </c>
      <c r="D30" s="129" t="s">
        <v>1664</v>
      </c>
      <c r="E30" s="129" t="s">
        <v>2031</v>
      </c>
      <c r="F30" s="129" t="s">
        <v>2035</v>
      </c>
      <c r="G30" s="129" t="s">
        <v>2033</v>
      </c>
      <c r="H30" s="129" t="s">
        <v>2034</v>
      </c>
    </row>
    <row r="31" customFormat="false" ht="75" hidden="false" customHeight="true" outlineLevel="0" collapsed="false">
      <c r="A31" s="6" t="s">
        <v>5973</v>
      </c>
      <c r="B31" s="6" t="s">
        <v>5974</v>
      </c>
      <c r="C31" s="6" t="s">
        <v>2041</v>
      </c>
      <c r="D31" s="6" t="s">
        <v>1627</v>
      </c>
      <c r="E31" s="6" t="s">
        <v>2043</v>
      </c>
      <c r="F31" s="6" t="s">
        <v>2048</v>
      </c>
      <c r="G31" s="6" t="s">
        <v>2045</v>
      </c>
      <c r="H31" s="6" t="s">
        <v>2046</v>
      </c>
    </row>
    <row r="32" customFormat="false" ht="75" hidden="false" customHeight="true" outlineLevel="0" collapsed="false">
      <c r="A32" s="129" t="s">
        <v>5975</v>
      </c>
      <c r="B32" s="129" t="s">
        <v>5976</v>
      </c>
      <c r="C32" s="129" t="s">
        <v>2057</v>
      </c>
      <c r="D32" s="129" t="s">
        <v>1664</v>
      </c>
      <c r="E32" s="129" t="s">
        <v>2060</v>
      </c>
      <c r="F32" s="129" t="s">
        <v>419</v>
      </c>
      <c r="G32" s="129" t="s">
        <v>2062</v>
      </c>
      <c r="H32" s="129" t="s">
        <v>2063</v>
      </c>
    </row>
    <row r="33" customFormat="false" ht="75" hidden="false" customHeight="true" outlineLevel="0" collapsed="false">
      <c r="A33" s="6" t="s">
        <v>5977</v>
      </c>
      <c r="B33" s="6" t="s">
        <v>5978</v>
      </c>
      <c r="C33" s="6" t="s">
        <v>2071</v>
      </c>
      <c r="D33" s="6" t="s">
        <v>1664</v>
      </c>
      <c r="E33" s="6" t="s">
        <v>2074</v>
      </c>
      <c r="F33" s="6" t="s">
        <v>419</v>
      </c>
      <c r="G33" s="6" t="s">
        <v>2076</v>
      </c>
      <c r="H33" s="6" t="s">
        <v>2077</v>
      </c>
    </row>
    <row r="34" customFormat="false" ht="75" hidden="false" customHeight="true" outlineLevel="0" collapsed="false">
      <c r="A34" s="129" t="s">
        <v>5979</v>
      </c>
      <c r="B34" s="129" t="s">
        <v>5980</v>
      </c>
      <c r="C34" s="129" t="s">
        <v>2088</v>
      </c>
      <c r="D34" s="129" t="s">
        <v>1664</v>
      </c>
      <c r="E34" s="129" t="s">
        <v>2090</v>
      </c>
      <c r="F34" s="129" t="s">
        <v>419</v>
      </c>
      <c r="G34" s="129" t="s">
        <v>2092</v>
      </c>
      <c r="H34" s="129" t="s">
        <v>2093</v>
      </c>
    </row>
    <row r="35" customFormat="false" ht="75" hidden="false" customHeight="true" outlineLevel="0" collapsed="false">
      <c r="A35" s="6" t="s">
        <v>5981</v>
      </c>
      <c r="B35" s="6" t="s">
        <v>5982</v>
      </c>
      <c r="C35" s="6" t="s">
        <v>2104</v>
      </c>
      <c r="D35" s="6" t="s">
        <v>1664</v>
      </c>
      <c r="E35" s="6" t="s">
        <v>2108</v>
      </c>
      <c r="F35" s="6" t="s">
        <v>2112</v>
      </c>
      <c r="G35" s="6" t="s">
        <v>2110</v>
      </c>
      <c r="H35" s="6" t="s">
        <v>2111</v>
      </c>
    </row>
    <row r="36" customFormat="false" ht="75" hidden="false" customHeight="true" outlineLevel="0" collapsed="false">
      <c r="A36" s="129" t="s">
        <v>5983</v>
      </c>
      <c r="B36" s="129" t="s">
        <v>5984</v>
      </c>
      <c r="C36" s="129" t="s">
        <v>2121</v>
      </c>
      <c r="D36" s="129" t="s">
        <v>1664</v>
      </c>
      <c r="E36" s="129" t="s">
        <v>2123</v>
      </c>
      <c r="F36" s="129" t="s">
        <v>2127</v>
      </c>
      <c r="G36" s="129" t="s">
        <v>2125</v>
      </c>
      <c r="H36" s="129" t="s">
        <v>2126</v>
      </c>
    </row>
    <row r="37" customFormat="false" ht="75" hidden="false" customHeight="true" outlineLevel="0" collapsed="false">
      <c r="A37" s="6" t="s">
        <v>5985</v>
      </c>
      <c r="B37" s="6" t="s">
        <v>5986</v>
      </c>
      <c r="C37" s="6" t="s">
        <v>548</v>
      </c>
      <c r="D37" s="6" t="s">
        <v>1627</v>
      </c>
      <c r="E37" s="6" t="s">
        <v>2138</v>
      </c>
      <c r="F37" s="6" t="s">
        <v>2143</v>
      </c>
      <c r="G37" s="6" t="s">
        <v>2140</v>
      </c>
      <c r="H37" s="6" t="s">
        <v>2141</v>
      </c>
    </row>
    <row r="38" customFormat="false" ht="75" hidden="false" customHeight="true" outlineLevel="0" collapsed="false">
      <c r="A38" s="129" t="s">
        <v>5987</v>
      </c>
      <c r="B38" s="129" t="s">
        <v>5988</v>
      </c>
      <c r="C38" s="129" t="s">
        <v>2152</v>
      </c>
      <c r="D38" s="129" t="s">
        <v>1664</v>
      </c>
      <c r="E38" s="129" t="s">
        <v>2154</v>
      </c>
      <c r="F38" s="129" t="s">
        <v>2160</v>
      </c>
      <c r="G38" s="129" t="s">
        <v>2156</v>
      </c>
      <c r="H38" s="129" t="s">
        <v>2157</v>
      </c>
    </row>
    <row r="39" customFormat="false" ht="75" hidden="false" customHeight="true" outlineLevel="0" collapsed="false">
      <c r="A39" s="6" t="s">
        <v>5989</v>
      </c>
      <c r="B39" s="6" t="s">
        <v>5990</v>
      </c>
      <c r="C39" s="6" t="s">
        <v>670</v>
      </c>
      <c r="D39" s="6" t="s">
        <v>1627</v>
      </c>
      <c r="E39" s="6" t="s">
        <v>2170</v>
      </c>
      <c r="F39" s="6" t="s">
        <v>2176</v>
      </c>
      <c r="G39" s="6" t="s">
        <v>2172</v>
      </c>
      <c r="H39" s="6" t="s">
        <v>2173</v>
      </c>
    </row>
    <row r="40" customFormat="false" ht="75" hidden="false" customHeight="true" outlineLevel="0" collapsed="false">
      <c r="A40" s="129" t="s">
        <v>5991</v>
      </c>
      <c r="B40" s="129" t="s">
        <v>5992</v>
      </c>
      <c r="C40" s="129" t="s">
        <v>944</v>
      </c>
      <c r="D40" s="129" t="s">
        <v>1627</v>
      </c>
      <c r="E40" s="129" t="s">
        <v>2187</v>
      </c>
      <c r="F40" s="129" t="s">
        <v>484</v>
      </c>
      <c r="G40" s="129" t="s">
        <v>2189</v>
      </c>
      <c r="H40" s="129" t="s">
        <v>2190</v>
      </c>
    </row>
    <row r="41" customFormat="false" ht="75" hidden="false" customHeight="true" outlineLevel="0" collapsed="false">
      <c r="A41" s="6" t="s">
        <v>5993</v>
      </c>
      <c r="B41" s="6" t="s">
        <v>5994</v>
      </c>
      <c r="C41" s="6" t="s">
        <v>2200</v>
      </c>
      <c r="D41" s="6" t="s">
        <v>1664</v>
      </c>
      <c r="E41" s="6" t="s">
        <v>2202</v>
      </c>
      <c r="F41" s="6" t="s">
        <v>2207</v>
      </c>
      <c r="G41" s="6" t="s">
        <v>2204</v>
      </c>
      <c r="H41" s="6" t="s">
        <v>2205</v>
      </c>
    </row>
    <row r="42" customFormat="false" ht="75" hidden="false" customHeight="true" outlineLevel="0" collapsed="false">
      <c r="A42" s="129" t="s">
        <v>5995</v>
      </c>
      <c r="B42" s="129" t="s">
        <v>5996</v>
      </c>
      <c r="C42" s="129" t="s">
        <v>2217</v>
      </c>
      <c r="D42" s="129" t="s">
        <v>1664</v>
      </c>
      <c r="E42" s="129" t="s">
        <v>2219</v>
      </c>
      <c r="F42" s="129" t="s">
        <v>2224</v>
      </c>
      <c r="G42" s="129" t="s">
        <v>2221</v>
      </c>
      <c r="H42" s="129" t="s">
        <v>2222</v>
      </c>
    </row>
    <row r="43" customFormat="false" ht="75" hidden="false" customHeight="true" outlineLevel="0" collapsed="false">
      <c r="A43" s="6" t="s">
        <v>5997</v>
      </c>
      <c r="B43" s="6" t="s">
        <v>5998</v>
      </c>
      <c r="C43" s="6" t="s">
        <v>2234</v>
      </c>
      <c r="D43" s="6" t="s">
        <v>1664</v>
      </c>
      <c r="E43" s="6" t="s">
        <v>2237</v>
      </c>
      <c r="F43" s="6" t="s">
        <v>2242</v>
      </c>
      <c r="G43" s="6" t="s">
        <v>2239</v>
      </c>
      <c r="H43" s="6" t="s">
        <v>2240</v>
      </c>
    </row>
    <row r="44" customFormat="false" ht="75" hidden="false" customHeight="true" outlineLevel="0" collapsed="false">
      <c r="A44" s="129" t="s">
        <v>5999</v>
      </c>
      <c r="B44" s="129" t="s">
        <v>6000</v>
      </c>
      <c r="C44" s="129" t="s">
        <v>529</v>
      </c>
      <c r="D44" s="129" t="s">
        <v>1664</v>
      </c>
      <c r="E44" s="129" t="s">
        <v>2254</v>
      </c>
      <c r="F44" s="129" t="s">
        <v>2259</v>
      </c>
      <c r="G44" s="129" t="s">
        <v>2256</v>
      </c>
      <c r="H44" s="129" t="s">
        <v>2257</v>
      </c>
    </row>
    <row r="45" customFormat="false" ht="75" hidden="false" customHeight="true" outlineLevel="0" collapsed="false">
      <c r="A45" s="6" t="s">
        <v>6001</v>
      </c>
      <c r="B45" s="6" t="s">
        <v>6002</v>
      </c>
      <c r="C45" s="6" t="s">
        <v>2269</v>
      </c>
      <c r="D45" s="6" t="s">
        <v>1664</v>
      </c>
      <c r="E45" s="6" t="s">
        <v>2271</v>
      </c>
      <c r="F45" s="6" t="s">
        <v>2277</v>
      </c>
      <c r="G45" s="6" t="s">
        <v>2273</v>
      </c>
      <c r="H45" s="6" t="s">
        <v>2274</v>
      </c>
    </row>
    <row r="46" customFormat="false" ht="75" hidden="false" customHeight="true" outlineLevel="0" collapsed="false">
      <c r="A46" s="129" t="s">
        <v>6003</v>
      </c>
      <c r="B46" s="129" t="s">
        <v>6004</v>
      </c>
      <c r="C46" s="129" t="s">
        <v>2287</v>
      </c>
      <c r="D46" s="129" t="s">
        <v>1664</v>
      </c>
      <c r="E46" s="129" t="s">
        <v>2289</v>
      </c>
      <c r="F46" s="129" t="s">
        <v>2295</v>
      </c>
      <c r="G46" s="129" t="s">
        <v>2291</v>
      </c>
      <c r="H46" s="129" t="s">
        <v>2292</v>
      </c>
    </row>
    <row r="47" customFormat="false" ht="75" hidden="false" customHeight="true" outlineLevel="0" collapsed="false">
      <c r="A47" s="6" t="s">
        <v>6005</v>
      </c>
      <c r="B47" s="6" t="s">
        <v>6006</v>
      </c>
      <c r="C47" s="6" t="s">
        <v>2305</v>
      </c>
      <c r="D47" s="6" t="s">
        <v>1664</v>
      </c>
      <c r="E47" s="6" t="s">
        <v>2307</v>
      </c>
      <c r="F47" s="6" t="s">
        <v>2312</v>
      </c>
      <c r="G47" s="6" t="s">
        <v>2309</v>
      </c>
      <c r="H47" s="6" t="s">
        <v>2310</v>
      </c>
    </row>
    <row r="48" customFormat="false" ht="75" hidden="false" customHeight="true" outlineLevel="0" collapsed="false">
      <c r="A48" s="129" t="s">
        <v>6007</v>
      </c>
      <c r="B48" s="129" t="s">
        <v>6008</v>
      </c>
      <c r="C48" s="129" t="s">
        <v>2321</v>
      </c>
      <c r="D48" s="129" t="s">
        <v>1664</v>
      </c>
      <c r="E48" s="129" t="s">
        <v>2323</v>
      </c>
      <c r="F48" s="129" t="s">
        <v>2329</v>
      </c>
      <c r="G48" s="129" t="s">
        <v>2325</v>
      </c>
      <c r="H48" s="129" t="s">
        <v>2326</v>
      </c>
    </row>
    <row r="49" customFormat="false" ht="75" hidden="false" customHeight="true" outlineLevel="0" collapsed="false">
      <c r="A49" s="6" t="s">
        <v>6009</v>
      </c>
      <c r="B49" s="6" t="s">
        <v>6010</v>
      </c>
      <c r="C49" s="6" t="s">
        <v>2339</v>
      </c>
      <c r="D49" s="6" t="s">
        <v>1664</v>
      </c>
      <c r="E49" s="6" t="s">
        <v>2341</v>
      </c>
      <c r="F49" s="6" t="s">
        <v>2347</v>
      </c>
      <c r="G49" s="6" t="s">
        <v>2343</v>
      </c>
      <c r="H49" s="6" t="s">
        <v>2344</v>
      </c>
    </row>
    <row r="50" customFormat="false" ht="75" hidden="false" customHeight="true" outlineLevel="0" collapsed="false">
      <c r="A50" s="129" t="s">
        <v>6011</v>
      </c>
      <c r="B50" s="129" t="s">
        <v>6012</v>
      </c>
      <c r="C50" s="129" t="s">
        <v>2353</v>
      </c>
      <c r="D50" s="129" t="s">
        <v>1664</v>
      </c>
      <c r="E50" s="129" t="s">
        <v>2356</v>
      </c>
      <c r="F50" s="129" t="s">
        <v>807</v>
      </c>
      <c r="G50" s="129" t="s">
        <v>2358</v>
      </c>
      <c r="H50" s="129" t="s">
        <v>2359</v>
      </c>
    </row>
  </sheetData>
  <autoFilter ref="A4:H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0021"/>
    <pageSetUpPr fitToPage="false"/>
  </sheetPr>
  <dimension ref="A1:H1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44"/>
    <col collapsed="false" customWidth="true" hidden="false" outlineLevel="0" max="5" min="4" style="0" width="40"/>
    <col collapsed="false" customWidth="true" hidden="false" outlineLevel="0" max="6" min="6" style="0" width="22"/>
  </cols>
  <sheetData>
    <row r="1" customFormat="false" ht="30" hidden="false" customHeight="true" outlineLevel="0" collapsed="false">
      <c r="A1" s="162" t="s">
        <v>6013</v>
      </c>
      <c r="B1" s="163"/>
      <c r="C1" s="163"/>
      <c r="D1" s="163"/>
      <c r="E1" s="163"/>
      <c r="F1" s="163"/>
      <c r="G1" s="163"/>
      <c r="H1" s="163"/>
    </row>
    <row r="2" customFormat="false" ht="15" hidden="false" customHeight="false" outlineLevel="0" collapsed="false">
      <c r="A2" s="3" t="s">
        <v>6014</v>
      </c>
    </row>
    <row r="4" customFormat="false" ht="23.85" hidden="false" customHeight="false" outlineLevel="0" collapsed="false">
      <c r="A4" s="150" t="s">
        <v>116</v>
      </c>
      <c r="B4" s="150" t="s">
        <v>4996</v>
      </c>
      <c r="C4" s="150" t="s">
        <v>6015</v>
      </c>
      <c r="D4" s="150" t="s">
        <v>2951</v>
      </c>
      <c r="E4" s="150" t="s">
        <v>2952</v>
      </c>
      <c r="F4" s="150" t="s">
        <v>6016</v>
      </c>
    </row>
    <row r="5" customFormat="false" ht="23.85" hidden="false" customHeight="false" outlineLevel="0" collapsed="false">
      <c r="A5" s="6" t="s">
        <v>6017</v>
      </c>
      <c r="B5" s="6" t="s">
        <v>3505</v>
      </c>
      <c r="C5" s="6" t="s">
        <v>3004</v>
      </c>
      <c r="D5" s="6" t="s">
        <v>3506</v>
      </c>
      <c r="E5" s="6" t="s">
        <v>3507</v>
      </c>
      <c r="F5" s="6" t="s">
        <v>6018</v>
      </c>
    </row>
    <row r="6" customFormat="false" ht="46.25" hidden="false" customHeight="false" outlineLevel="0" collapsed="false">
      <c r="A6" s="164" t="s">
        <v>6017</v>
      </c>
      <c r="B6" s="164" t="s">
        <v>281</v>
      </c>
      <c r="C6" s="164" t="s">
        <v>3510</v>
      </c>
      <c r="D6" s="164" t="s">
        <v>3511</v>
      </c>
      <c r="E6" s="164" t="s">
        <v>3512</v>
      </c>
      <c r="F6" s="164" t="s">
        <v>6018</v>
      </c>
    </row>
    <row r="7" customFormat="false" ht="35.05" hidden="false" customHeight="false" outlineLevel="0" collapsed="false">
      <c r="A7" s="6" t="s">
        <v>6017</v>
      </c>
      <c r="B7" s="6" t="s">
        <v>890</v>
      </c>
      <c r="C7" s="6" t="s">
        <v>3514</v>
      </c>
      <c r="D7" s="6" t="s">
        <v>3515</v>
      </c>
      <c r="E7" s="6" t="s">
        <v>3516</v>
      </c>
      <c r="F7" s="6" t="s">
        <v>6018</v>
      </c>
    </row>
    <row r="8" customFormat="false" ht="23.85" hidden="false" customHeight="false" outlineLevel="0" collapsed="false">
      <c r="A8" s="164" t="s">
        <v>6017</v>
      </c>
      <c r="B8" s="164" t="s">
        <v>3518</v>
      </c>
      <c r="C8" s="164" t="s">
        <v>3519</v>
      </c>
      <c r="D8" s="164" t="s">
        <v>3520</v>
      </c>
      <c r="E8" s="164" t="s">
        <v>3521</v>
      </c>
      <c r="F8" s="164" t="s">
        <v>6018</v>
      </c>
    </row>
    <row r="9" customFormat="false" ht="23.85" hidden="false" customHeight="false" outlineLevel="0" collapsed="false">
      <c r="A9" s="6" t="s">
        <v>6017</v>
      </c>
      <c r="B9" s="6" t="s">
        <v>3523</v>
      </c>
      <c r="C9" s="6" t="s">
        <v>3524</v>
      </c>
      <c r="D9" s="6" t="s">
        <v>3525</v>
      </c>
      <c r="E9" s="6" t="s">
        <v>3526</v>
      </c>
      <c r="F9" s="6" t="s">
        <v>6018</v>
      </c>
    </row>
    <row r="10" customFormat="false" ht="35.05" hidden="false" customHeight="false" outlineLevel="0" collapsed="false">
      <c r="A10" s="164" t="s">
        <v>6017</v>
      </c>
      <c r="B10" s="164" t="s">
        <v>2791</v>
      </c>
      <c r="C10" s="164" t="s">
        <v>3528</v>
      </c>
      <c r="D10" s="164" t="s">
        <v>3529</v>
      </c>
      <c r="E10" s="164" t="s">
        <v>3530</v>
      </c>
      <c r="F10" s="164" t="s">
        <v>6018</v>
      </c>
    </row>
    <row r="11" customFormat="false" ht="23.85" hidden="false" customHeight="false" outlineLevel="0" collapsed="false">
      <c r="A11" s="6" t="s">
        <v>6017</v>
      </c>
      <c r="B11" s="6" t="s">
        <v>3532</v>
      </c>
      <c r="C11" s="6" t="s">
        <v>3533</v>
      </c>
      <c r="D11" s="6" t="s">
        <v>3534</v>
      </c>
      <c r="E11" s="6" t="s">
        <v>3535</v>
      </c>
      <c r="F11" s="6" t="s">
        <v>6018</v>
      </c>
    </row>
    <row r="12" customFormat="false" ht="23.85" hidden="false" customHeight="false" outlineLevel="0" collapsed="false">
      <c r="A12" s="164" t="s">
        <v>6017</v>
      </c>
      <c r="B12" s="164" t="s">
        <v>3537</v>
      </c>
      <c r="C12" s="164" t="s">
        <v>3538</v>
      </c>
      <c r="D12" s="164" t="s">
        <v>3539</v>
      </c>
      <c r="E12" s="164" t="s">
        <v>3540</v>
      </c>
      <c r="F12" s="164" t="s">
        <v>6018</v>
      </c>
    </row>
    <row r="13" customFormat="false" ht="23.85" hidden="false" customHeight="false" outlineLevel="0" collapsed="false">
      <c r="A13" s="6" t="s">
        <v>6017</v>
      </c>
      <c r="B13" s="6" t="s">
        <v>3542</v>
      </c>
      <c r="C13" s="6" t="s">
        <v>3543</v>
      </c>
      <c r="D13" s="6" t="s">
        <v>3043</v>
      </c>
      <c r="E13" s="6" t="s">
        <v>3044</v>
      </c>
      <c r="F13" s="6" t="s">
        <v>6018</v>
      </c>
    </row>
    <row r="14" customFormat="false" ht="23.85" hidden="false" customHeight="false" outlineLevel="0" collapsed="false">
      <c r="A14" s="164" t="s">
        <v>6017</v>
      </c>
      <c r="B14" s="164" t="s">
        <v>950</v>
      </c>
      <c r="C14" s="164" t="s">
        <v>3545</v>
      </c>
      <c r="D14" s="164" t="s">
        <v>3546</v>
      </c>
      <c r="E14" s="164" t="s">
        <v>3547</v>
      </c>
      <c r="F14" s="164" t="s">
        <v>6018</v>
      </c>
    </row>
    <row r="15" customFormat="false" ht="15" hidden="false" customHeight="false" outlineLevel="0" collapsed="false">
      <c r="A15" s="6" t="s">
        <v>6019</v>
      </c>
      <c r="B15" s="6" t="s">
        <v>3550</v>
      </c>
      <c r="C15" s="6" t="s">
        <v>3551</v>
      </c>
      <c r="D15" s="6" t="s">
        <v>1691</v>
      </c>
      <c r="E15" s="6" t="s">
        <v>1306</v>
      </c>
      <c r="F15" s="6" t="s">
        <v>6018</v>
      </c>
    </row>
    <row r="16" customFormat="false" ht="15" hidden="false" customHeight="false" outlineLevel="0" collapsed="false">
      <c r="A16" s="164" t="s">
        <v>6019</v>
      </c>
      <c r="B16" s="164" t="s">
        <v>3553</v>
      </c>
      <c r="C16" s="164" t="s">
        <v>3554</v>
      </c>
      <c r="D16" s="164" t="s">
        <v>3555</v>
      </c>
      <c r="E16" s="164" t="s">
        <v>2001</v>
      </c>
      <c r="F16" s="164" t="s">
        <v>6018</v>
      </c>
    </row>
    <row r="17" customFormat="false" ht="15" hidden="false" customHeight="false" outlineLevel="0" collapsed="false">
      <c r="A17" s="6" t="s">
        <v>6019</v>
      </c>
      <c r="B17" s="6" t="s">
        <v>3557</v>
      </c>
      <c r="C17" s="6" t="s">
        <v>3558</v>
      </c>
      <c r="D17" s="6" t="s">
        <v>3110</v>
      </c>
      <c r="E17" s="6" t="s">
        <v>3111</v>
      </c>
      <c r="F17" s="6" t="s">
        <v>6018</v>
      </c>
    </row>
    <row r="18" customFormat="false" ht="15" hidden="false" customHeight="false" outlineLevel="0" collapsed="false">
      <c r="A18" s="164" t="s">
        <v>6019</v>
      </c>
      <c r="B18" s="164" t="s">
        <v>3560</v>
      </c>
      <c r="C18" s="164" t="s">
        <v>3561</v>
      </c>
      <c r="D18" s="164" t="s">
        <v>731</v>
      </c>
      <c r="E18" s="164" t="s">
        <v>2001</v>
      </c>
      <c r="F18" s="164" t="s">
        <v>6018</v>
      </c>
    </row>
    <row r="19" customFormat="false" ht="15" hidden="false" customHeight="false" outlineLevel="0" collapsed="false">
      <c r="A19" s="6" t="s">
        <v>6019</v>
      </c>
      <c r="B19" s="6" t="s">
        <v>3563</v>
      </c>
      <c r="C19" s="6" t="s">
        <v>3564</v>
      </c>
      <c r="D19" s="6" t="s">
        <v>2041</v>
      </c>
      <c r="E19" s="6" t="s">
        <v>2048</v>
      </c>
      <c r="F19" s="6" t="s">
        <v>6018</v>
      </c>
    </row>
    <row r="20" customFormat="false" ht="15" hidden="false" customHeight="false" outlineLevel="0" collapsed="false">
      <c r="A20" s="164" t="s">
        <v>6019</v>
      </c>
      <c r="B20" s="164" t="s">
        <v>3566</v>
      </c>
      <c r="C20" s="164" t="s">
        <v>3567</v>
      </c>
      <c r="D20" s="164" t="s">
        <v>2029</v>
      </c>
      <c r="E20" s="164" t="s">
        <v>2035</v>
      </c>
      <c r="F20" s="164" t="s">
        <v>6018</v>
      </c>
    </row>
    <row r="21" customFormat="false" ht="15" hidden="false" customHeight="false" outlineLevel="0" collapsed="false">
      <c r="A21" s="6" t="s">
        <v>6019</v>
      </c>
      <c r="B21" s="6" t="s">
        <v>3568</v>
      </c>
      <c r="C21" s="6" t="s">
        <v>3569</v>
      </c>
      <c r="D21" s="6" t="s">
        <v>3570</v>
      </c>
      <c r="E21" s="6" t="s">
        <v>1866</v>
      </c>
      <c r="F21" s="6" t="s">
        <v>6018</v>
      </c>
    </row>
    <row r="22" customFormat="false" ht="15" hidden="false" customHeight="false" outlineLevel="0" collapsed="false">
      <c r="A22" s="164" t="s">
        <v>6019</v>
      </c>
      <c r="B22" s="164" t="s">
        <v>3572</v>
      </c>
      <c r="C22" s="164" t="s">
        <v>3573</v>
      </c>
      <c r="D22" s="164" t="s">
        <v>2011</v>
      </c>
      <c r="E22" s="164" t="s">
        <v>2019</v>
      </c>
      <c r="F22" s="164" t="s">
        <v>6018</v>
      </c>
    </row>
    <row r="23" customFormat="false" ht="15" hidden="false" customHeight="false" outlineLevel="0" collapsed="false">
      <c r="A23" s="6" t="s">
        <v>6019</v>
      </c>
      <c r="B23" s="6" t="s">
        <v>2694</v>
      </c>
      <c r="C23" s="6" t="s">
        <v>3575</v>
      </c>
      <c r="D23" s="6" t="s">
        <v>3114</v>
      </c>
      <c r="E23" s="6" t="s">
        <v>2347</v>
      </c>
      <c r="F23" s="6" t="s">
        <v>6018</v>
      </c>
    </row>
    <row r="24" customFormat="false" ht="15" hidden="false" customHeight="false" outlineLevel="0" collapsed="false">
      <c r="A24" s="164" t="s">
        <v>6019</v>
      </c>
      <c r="B24" s="164" t="s">
        <v>3576</v>
      </c>
      <c r="C24" s="164" t="s">
        <v>3577</v>
      </c>
      <c r="D24" s="164" t="s">
        <v>3578</v>
      </c>
      <c r="E24" s="164" t="s">
        <v>2019</v>
      </c>
      <c r="F24" s="164" t="s">
        <v>6018</v>
      </c>
    </row>
    <row r="25" customFormat="false" ht="15" hidden="false" customHeight="false" outlineLevel="0" collapsed="false">
      <c r="A25" s="6" t="s">
        <v>6020</v>
      </c>
      <c r="B25" s="6" t="s">
        <v>723</v>
      </c>
      <c r="C25" s="6" t="s">
        <v>4878</v>
      </c>
      <c r="D25" s="6" t="s">
        <v>3110</v>
      </c>
      <c r="E25" s="6" t="s">
        <v>705</v>
      </c>
      <c r="F25" s="6" t="s">
        <v>6021</v>
      </c>
    </row>
    <row r="26" customFormat="false" ht="15" hidden="false" customHeight="false" outlineLevel="0" collapsed="false">
      <c r="A26" s="164" t="s">
        <v>6020</v>
      </c>
      <c r="B26" s="164" t="s">
        <v>4881</v>
      </c>
      <c r="C26" s="164" t="s">
        <v>4882</v>
      </c>
      <c r="D26" s="164" t="s">
        <v>4883</v>
      </c>
      <c r="E26" s="164" t="s">
        <v>4884</v>
      </c>
      <c r="F26" s="164" t="s">
        <v>6021</v>
      </c>
    </row>
    <row r="27" customFormat="false" ht="15" hidden="false" customHeight="false" outlineLevel="0" collapsed="false">
      <c r="A27" s="6" t="s">
        <v>6020</v>
      </c>
      <c r="B27" s="6" t="s">
        <v>4886</v>
      </c>
      <c r="C27" s="6" t="s">
        <v>4887</v>
      </c>
      <c r="D27" s="6" t="s">
        <v>4888</v>
      </c>
      <c r="E27" s="6" t="s">
        <v>4889</v>
      </c>
      <c r="F27" s="6" t="s">
        <v>6021</v>
      </c>
    </row>
    <row r="28" customFormat="false" ht="23.85" hidden="false" customHeight="false" outlineLevel="0" collapsed="false">
      <c r="A28" s="164" t="s">
        <v>6020</v>
      </c>
      <c r="B28" s="164" t="s">
        <v>439</v>
      </c>
      <c r="C28" s="164" t="s">
        <v>4891</v>
      </c>
      <c r="D28" s="164" t="s">
        <v>730</v>
      </c>
      <c r="E28" s="164" t="s">
        <v>6022</v>
      </c>
      <c r="F28" s="164" t="s">
        <v>6021</v>
      </c>
    </row>
    <row r="29" customFormat="false" ht="15" hidden="false" customHeight="false" outlineLevel="0" collapsed="false">
      <c r="A29" s="6" t="s">
        <v>6020</v>
      </c>
      <c r="B29" s="6" t="s">
        <v>4893</v>
      </c>
      <c r="C29" s="6" t="s">
        <v>4894</v>
      </c>
      <c r="D29" s="6" t="s">
        <v>4895</v>
      </c>
      <c r="E29" s="6" t="s">
        <v>6023</v>
      </c>
      <c r="F29" s="6" t="s">
        <v>6021</v>
      </c>
    </row>
    <row r="30" customFormat="false" ht="15" hidden="false" customHeight="false" outlineLevel="0" collapsed="false">
      <c r="A30" s="164" t="s">
        <v>6020</v>
      </c>
      <c r="B30" s="164" t="s">
        <v>371</v>
      </c>
      <c r="C30" s="164" t="s">
        <v>4897</v>
      </c>
      <c r="D30" s="164" t="s">
        <v>4898</v>
      </c>
      <c r="E30" s="164" t="s">
        <v>4899</v>
      </c>
      <c r="F30" s="164" t="s">
        <v>6021</v>
      </c>
    </row>
    <row r="31" customFormat="false" ht="15" hidden="false" customHeight="false" outlineLevel="0" collapsed="false">
      <c r="A31" s="6" t="s">
        <v>6020</v>
      </c>
      <c r="B31" s="6" t="s">
        <v>1125</v>
      </c>
      <c r="C31" s="6" t="s">
        <v>4901</v>
      </c>
      <c r="D31" s="6" t="s">
        <v>3110</v>
      </c>
      <c r="E31" s="6" t="s">
        <v>4902</v>
      </c>
      <c r="F31" s="6" t="s">
        <v>6021</v>
      </c>
    </row>
    <row r="32" customFormat="false" ht="15" hidden="false" customHeight="false" outlineLevel="0" collapsed="false">
      <c r="A32" s="164" t="s">
        <v>6020</v>
      </c>
      <c r="B32" s="164" t="s">
        <v>460</v>
      </c>
      <c r="C32" s="164" t="s">
        <v>4904</v>
      </c>
      <c r="D32" s="164" t="s">
        <v>3028</v>
      </c>
      <c r="E32" s="164" t="s">
        <v>4798</v>
      </c>
      <c r="F32" s="164" t="s">
        <v>6021</v>
      </c>
    </row>
    <row r="33" customFormat="false" ht="15" hidden="false" customHeight="false" outlineLevel="0" collapsed="false">
      <c r="A33" s="6" t="s">
        <v>6020</v>
      </c>
      <c r="B33" s="6" t="s">
        <v>310</v>
      </c>
      <c r="C33" s="6" t="s">
        <v>4906</v>
      </c>
      <c r="D33" s="6" t="s">
        <v>4907</v>
      </c>
      <c r="E33" s="6" t="s">
        <v>4908</v>
      </c>
      <c r="F33" s="6" t="s">
        <v>6024</v>
      </c>
    </row>
    <row r="34" customFormat="false" ht="15" hidden="false" customHeight="false" outlineLevel="0" collapsed="false">
      <c r="A34" s="164" t="s">
        <v>6020</v>
      </c>
      <c r="B34" s="164" t="s">
        <v>392</v>
      </c>
      <c r="C34" s="164" t="s">
        <v>4910</v>
      </c>
      <c r="D34" s="164" t="s">
        <v>4911</v>
      </c>
      <c r="E34" s="164" t="s">
        <v>4912</v>
      </c>
      <c r="F34" s="164" t="s">
        <v>6024</v>
      </c>
    </row>
    <row r="35" customFormat="false" ht="23.85" hidden="false" customHeight="false" outlineLevel="0" collapsed="false">
      <c r="A35" s="6" t="s">
        <v>6025</v>
      </c>
      <c r="B35" s="6" t="s">
        <v>3581</v>
      </c>
      <c r="C35" s="6" t="s">
        <v>3582</v>
      </c>
      <c r="D35" s="6" t="s">
        <v>3583</v>
      </c>
      <c r="E35" s="6" t="s">
        <v>3319</v>
      </c>
      <c r="F35" s="6" t="s">
        <v>6018</v>
      </c>
    </row>
    <row r="36" customFormat="false" ht="15" hidden="false" customHeight="false" outlineLevel="0" collapsed="false">
      <c r="A36" s="164" t="s">
        <v>6025</v>
      </c>
      <c r="B36" s="164" t="s">
        <v>3586</v>
      </c>
      <c r="C36" s="164" t="s">
        <v>3587</v>
      </c>
      <c r="D36" s="164" t="s">
        <v>3110</v>
      </c>
      <c r="E36" s="164" t="s">
        <v>3111</v>
      </c>
      <c r="F36" s="164" t="s">
        <v>6018</v>
      </c>
    </row>
    <row r="37" customFormat="false" ht="15" hidden="false" customHeight="false" outlineLevel="0" collapsed="false">
      <c r="A37" s="6" t="s">
        <v>6025</v>
      </c>
      <c r="B37" s="6" t="s">
        <v>3589</v>
      </c>
      <c r="C37" s="6" t="s">
        <v>3590</v>
      </c>
      <c r="D37" s="6" t="s">
        <v>2057</v>
      </c>
      <c r="E37" s="6" t="s">
        <v>419</v>
      </c>
      <c r="F37" s="6" t="s">
        <v>6018</v>
      </c>
    </row>
    <row r="38" customFormat="false" ht="15" hidden="false" customHeight="false" outlineLevel="0" collapsed="false">
      <c r="A38" s="164" t="s">
        <v>6025</v>
      </c>
      <c r="B38" s="164" t="s">
        <v>3592</v>
      </c>
      <c r="C38" s="164" t="s">
        <v>3593</v>
      </c>
      <c r="D38" s="164" t="s">
        <v>3594</v>
      </c>
      <c r="E38" s="164" t="s">
        <v>419</v>
      </c>
      <c r="F38" s="164" t="s">
        <v>6018</v>
      </c>
    </row>
    <row r="39" customFormat="false" ht="15" hidden="false" customHeight="false" outlineLevel="0" collapsed="false">
      <c r="A39" s="6" t="s">
        <v>6025</v>
      </c>
      <c r="B39" s="6" t="s">
        <v>3596</v>
      </c>
      <c r="C39" s="6" t="s">
        <v>3597</v>
      </c>
      <c r="D39" s="6" t="s">
        <v>2071</v>
      </c>
      <c r="E39" s="6" t="s">
        <v>419</v>
      </c>
      <c r="F39" s="6" t="s">
        <v>6018</v>
      </c>
    </row>
    <row r="40" customFormat="false" ht="15" hidden="false" customHeight="false" outlineLevel="0" collapsed="false">
      <c r="A40" s="164" t="s">
        <v>6025</v>
      </c>
      <c r="B40" s="164" t="s">
        <v>3599</v>
      </c>
      <c r="C40" s="164" t="s">
        <v>3600</v>
      </c>
      <c r="D40" s="164" t="s">
        <v>2057</v>
      </c>
      <c r="E40" s="164" t="s">
        <v>419</v>
      </c>
      <c r="F40" s="164" t="s">
        <v>6018</v>
      </c>
    </row>
    <row r="41" customFormat="false" ht="15" hidden="false" customHeight="false" outlineLevel="0" collapsed="false">
      <c r="A41" s="6" t="s">
        <v>6025</v>
      </c>
      <c r="B41" s="6" t="s">
        <v>3602</v>
      </c>
      <c r="C41" s="6" t="s">
        <v>3603</v>
      </c>
      <c r="D41" s="6" t="s">
        <v>3090</v>
      </c>
      <c r="E41" s="6" t="s">
        <v>3091</v>
      </c>
      <c r="F41" s="6" t="s">
        <v>6018</v>
      </c>
    </row>
    <row r="42" customFormat="false" ht="15" hidden="false" customHeight="false" outlineLevel="0" collapsed="false">
      <c r="A42" s="164" t="s">
        <v>6025</v>
      </c>
      <c r="B42" s="164" t="s">
        <v>534</v>
      </c>
      <c r="C42" s="164" t="s">
        <v>3605</v>
      </c>
      <c r="D42" s="164" t="s">
        <v>3076</v>
      </c>
      <c r="E42" s="164" t="s">
        <v>3077</v>
      </c>
      <c r="F42" s="164" t="s">
        <v>6018</v>
      </c>
    </row>
    <row r="43" customFormat="false" ht="15" hidden="false" customHeight="false" outlineLevel="0" collapsed="false">
      <c r="A43" s="6" t="s">
        <v>6025</v>
      </c>
      <c r="B43" s="6" t="s">
        <v>3607</v>
      </c>
      <c r="C43" s="6" t="s">
        <v>3608</v>
      </c>
      <c r="D43" s="6" t="s">
        <v>488</v>
      </c>
      <c r="E43" s="6" t="s">
        <v>2019</v>
      </c>
      <c r="F43" s="6" t="s">
        <v>6018</v>
      </c>
    </row>
    <row r="44" customFormat="false" ht="15" hidden="false" customHeight="false" outlineLevel="0" collapsed="false">
      <c r="A44" s="164" t="s">
        <v>6025</v>
      </c>
      <c r="B44" s="164" t="s">
        <v>3610</v>
      </c>
      <c r="C44" s="164" t="s">
        <v>3611</v>
      </c>
      <c r="D44" s="164" t="s">
        <v>2057</v>
      </c>
      <c r="E44" s="164" t="s">
        <v>419</v>
      </c>
      <c r="F44" s="164" t="s">
        <v>6018</v>
      </c>
    </row>
    <row r="45" customFormat="false" ht="15" hidden="false" customHeight="false" outlineLevel="0" collapsed="false">
      <c r="A45" s="6" t="s">
        <v>6025</v>
      </c>
      <c r="B45" s="6" t="s">
        <v>3613</v>
      </c>
      <c r="C45" s="6" t="s">
        <v>3614</v>
      </c>
      <c r="D45" s="6" t="s">
        <v>2057</v>
      </c>
      <c r="E45" s="6" t="s">
        <v>419</v>
      </c>
      <c r="F45" s="6" t="s">
        <v>6018</v>
      </c>
    </row>
    <row r="46" customFormat="false" ht="15" hidden="false" customHeight="false" outlineLevel="0" collapsed="false">
      <c r="A46" s="164" t="s">
        <v>6025</v>
      </c>
      <c r="B46" s="164" t="s">
        <v>3616</v>
      </c>
      <c r="C46" s="164" t="s">
        <v>3617</v>
      </c>
      <c r="D46" s="164" t="s">
        <v>944</v>
      </c>
      <c r="E46" s="164" t="s">
        <v>484</v>
      </c>
      <c r="F46" s="164" t="s">
        <v>6018</v>
      </c>
    </row>
    <row r="47" customFormat="false" ht="15" hidden="false" customHeight="false" outlineLevel="0" collapsed="false">
      <c r="A47" s="6" t="s">
        <v>6025</v>
      </c>
      <c r="B47" s="6" t="s">
        <v>3619</v>
      </c>
      <c r="C47" s="6" t="s">
        <v>3620</v>
      </c>
      <c r="D47" s="6" t="s">
        <v>2234</v>
      </c>
      <c r="E47" s="6" t="s">
        <v>2242</v>
      </c>
      <c r="F47" s="6" t="s">
        <v>6018</v>
      </c>
    </row>
    <row r="48" customFormat="false" ht="15" hidden="false" customHeight="false" outlineLevel="0" collapsed="false">
      <c r="A48" s="164" t="s">
        <v>6025</v>
      </c>
      <c r="B48" s="164" t="s">
        <v>3621</v>
      </c>
      <c r="C48" s="164" t="s">
        <v>3622</v>
      </c>
      <c r="D48" s="164" t="s">
        <v>2121</v>
      </c>
      <c r="E48" s="164" t="s">
        <v>2127</v>
      </c>
      <c r="F48" s="164" t="s">
        <v>6018</v>
      </c>
    </row>
    <row r="49" customFormat="false" ht="15" hidden="false" customHeight="false" outlineLevel="0" collapsed="false">
      <c r="A49" s="6" t="s">
        <v>6025</v>
      </c>
      <c r="B49" s="6" t="s">
        <v>3624</v>
      </c>
      <c r="C49" s="6" t="s">
        <v>3625</v>
      </c>
      <c r="D49" s="6" t="s">
        <v>2041</v>
      </c>
      <c r="E49" s="6" t="s">
        <v>2048</v>
      </c>
      <c r="F49" s="6" t="s">
        <v>6018</v>
      </c>
    </row>
    <row r="50" customFormat="false" ht="15" hidden="false" customHeight="false" outlineLevel="0" collapsed="false">
      <c r="A50" s="164" t="s">
        <v>6025</v>
      </c>
      <c r="B50" s="164" t="s">
        <v>3627</v>
      </c>
      <c r="C50" s="164" t="s">
        <v>3628</v>
      </c>
      <c r="D50" s="164" t="s">
        <v>3629</v>
      </c>
      <c r="E50" s="164" t="s">
        <v>3630</v>
      </c>
      <c r="F50" s="164" t="s">
        <v>6018</v>
      </c>
    </row>
    <row r="51" customFormat="false" ht="15" hidden="false" customHeight="false" outlineLevel="0" collapsed="false">
      <c r="A51" s="6" t="s">
        <v>6025</v>
      </c>
      <c r="B51" s="6" t="s">
        <v>3632</v>
      </c>
      <c r="C51" s="6" t="s">
        <v>3633</v>
      </c>
      <c r="D51" s="6" t="s">
        <v>3634</v>
      </c>
      <c r="E51" s="6" t="s">
        <v>3635</v>
      </c>
      <c r="F51" s="6" t="s">
        <v>6018</v>
      </c>
    </row>
    <row r="52" customFormat="false" ht="15" hidden="false" customHeight="false" outlineLevel="0" collapsed="false">
      <c r="A52" s="164" t="s">
        <v>6025</v>
      </c>
      <c r="B52" s="164" t="s">
        <v>3637</v>
      </c>
      <c r="C52" s="164" t="s">
        <v>3638</v>
      </c>
      <c r="D52" s="164" t="s">
        <v>1691</v>
      </c>
      <c r="E52" s="164" t="s">
        <v>1306</v>
      </c>
      <c r="F52" s="164" t="s">
        <v>6018</v>
      </c>
    </row>
    <row r="53" customFormat="false" ht="15" hidden="false" customHeight="false" outlineLevel="0" collapsed="false">
      <c r="A53" s="6" t="s">
        <v>6025</v>
      </c>
      <c r="B53" s="6" t="s">
        <v>3640</v>
      </c>
      <c r="C53" s="6" t="s">
        <v>3641</v>
      </c>
      <c r="D53" s="6" t="s">
        <v>3642</v>
      </c>
      <c r="E53" s="6" t="s">
        <v>3643</v>
      </c>
      <c r="F53" s="6" t="s">
        <v>6018</v>
      </c>
    </row>
    <row r="54" customFormat="false" ht="15" hidden="false" customHeight="false" outlineLevel="0" collapsed="false">
      <c r="A54" s="164" t="s">
        <v>6025</v>
      </c>
      <c r="B54" s="164" t="s">
        <v>3645</v>
      </c>
      <c r="C54" s="164" t="s">
        <v>3646</v>
      </c>
      <c r="D54" s="164" t="s">
        <v>1691</v>
      </c>
      <c r="E54" s="164" t="s">
        <v>1306</v>
      </c>
      <c r="F54" s="164" t="s">
        <v>6018</v>
      </c>
    </row>
    <row r="55" customFormat="false" ht="35.05" hidden="false" customHeight="false" outlineLevel="0" collapsed="false">
      <c r="A55" s="6" t="s">
        <v>6025</v>
      </c>
      <c r="B55" s="6" t="s">
        <v>304</v>
      </c>
      <c r="C55" s="6" t="s">
        <v>3648</v>
      </c>
      <c r="D55" s="6" t="s">
        <v>3649</v>
      </c>
      <c r="E55" s="6" t="s">
        <v>3650</v>
      </c>
      <c r="F55" s="6" t="s">
        <v>6018</v>
      </c>
    </row>
    <row r="56" customFormat="false" ht="15" hidden="false" customHeight="false" outlineLevel="0" collapsed="false">
      <c r="A56" s="164" t="s">
        <v>6025</v>
      </c>
      <c r="B56" s="164" t="s">
        <v>3652</v>
      </c>
      <c r="C56" s="164" t="s">
        <v>3653</v>
      </c>
      <c r="D56" s="164" t="s">
        <v>2071</v>
      </c>
      <c r="E56" s="164" t="s">
        <v>419</v>
      </c>
      <c r="F56" s="164" t="s">
        <v>6018</v>
      </c>
    </row>
    <row r="57" customFormat="false" ht="15" hidden="false" customHeight="false" outlineLevel="0" collapsed="false">
      <c r="A57" s="6" t="s">
        <v>6025</v>
      </c>
      <c r="B57" s="6" t="s">
        <v>3655</v>
      </c>
      <c r="C57" s="6" t="s">
        <v>3656</v>
      </c>
      <c r="D57" s="6" t="s">
        <v>2234</v>
      </c>
      <c r="E57" s="6" t="s">
        <v>2242</v>
      </c>
      <c r="F57" s="6" t="s">
        <v>6018</v>
      </c>
    </row>
    <row r="58" customFormat="false" ht="15" hidden="false" customHeight="false" outlineLevel="0" collapsed="false">
      <c r="A58" s="164" t="s">
        <v>6025</v>
      </c>
      <c r="B58" s="164" t="s">
        <v>3657</v>
      </c>
      <c r="C58" s="164" t="s">
        <v>3658</v>
      </c>
      <c r="D58" s="164" t="s">
        <v>2234</v>
      </c>
      <c r="E58" s="164" t="s">
        <v>2242</v>
      </c>
      <c r="F58" s="164" t="s">
        <v>6018</v>
      </c>
    </row>
    <row r="59" customFormat="false" ht="15" hidden="false" customHeight="false" outlineLevel="0" collapsed="false">
      <c r="A59" s="6" t="s">
        <v>6025</v>
      </c>
      <c r="B59" s="6" t="s">
        <v>3659</v>
      </c>
      <c r="C59" s="6" t="s">
        <v>3660</v>
      </c>
      <c r="D59" s="6" t="s">
        <v>1904</v>
      </c>
      <c r="E59" s="6" t="s">
        <v>375</v>
      </c>
      <c r="F59" s="6" t="s">
        <v>6018</v>
      </c>
    </row>
    <row r="60" customFormat="false" ht="15" hidden="false" customHeight="false" outlineLevel="0" collapsed="false">
      <c r="A60" s="164" t="s">
        <v>6025</v>
      </c>
      <c r="B60" s="164" t="s">
        <v>3661</v>
      </c>
      <c r="C60" s="164" t="s">
        <v>3662</v>
      </c>
      <c r="D60" s="164" t="s">
        <v>1919</v>
      </c>
      <c r="E60" s="164" t="s">
        <v>1925</v>
      </c>
      <c r="F60" s="164" t="s">
        <v>6018</v>
      </c>
    </row>
    <row r="61" customFormat="false" ht="15" hidden="false" customHeight="false" outlineLevel="0" collapsed="false">
      <c r="A61" s="6" t="s">
        <v>6025</v>
      </c>
      <c r="B61" s="6" t="s">
        <v>3664</v>
      </c>
      <c r="C61" s="6" t="s">
        <v>3665</v>
      </c>
      <c r="D61" s="6" t="s">
        <v>1934</v>
      </c>
      <c r="E61" s="6" t="s">
        <v>1941</v>
      </c>
      <c r="F61" s="6" t="s">
        <v>6018</v>
      </c>
    </row>
    <row r="62" customFormat="false" ht="15" hidden="false" customHeight="false" outlineLevel="0" collapsed="false">
      <c r="A62" s="164" t="s">
        <v>6025</v>
      </c>
      <c r="B62" s="164" t="s">
        <v>3667</v>
      </c>
      <c r="C62" s="164" t="s">
        <v>3668</v>
      </c>
      <c r="D62" s="164" t="s">
        <v>1691</v>
      </c>
      <c r="E62" s="164" t="s">
        <v>1306</v>
      </c>
      <c r="F62" s="164" t="s">
        <v>6018</v>
      </c>
    </row>
    <row r="63" customFormat="false" ht="15" hidden="false" customHeight="false" outlineLevel="0" collapsed="false">
      <c r="A63" s="6" t="s">
        <v>6025</v>
      </c>
      <c r="B63" s="6" t="s">
        <v>3669</v>
      </c>
      <c r="C63" s="6" t="s">
        <v>3670</v>
      </c>
      <c r="D63" s="6" t="s">
        <v>1919</v>
      </c>
      <c r="E63" s="6" t="s">
        <v>1925</v>
      </c>
      <c r="F63" s="6" t="s">
        <v>6018</v>
      </c>
    </row>
    <row r="64" customFormat="false" ht="15" hidden="false" customHeight="false" outlineLevel="0" collapsed="false">
      <c r="A64" s="164" t="s">
        <v>6025</v>
      </c>
      <c r="B64" s="164" t="s">
        <v>3671</v>
      </c>
      <c r="C64" s="164" t="s">
        <v>3672</v>
      </c>
      <c r="D64" s="164" t="s">
        <v>1919</v>
      </c>
      <c r="E64" s="164" t="s">
        <v>1925</v>
      </c>
      <c r="F64" s="164" t="s">
        <v>6018</v>
      </c>
    </row>
    <row r="65" customFormat="false" ht="15" hidden="false" customHeight="false" outlineLevel="0" collapsed="false">
      <c r="A65" s="6" t="s">
        <v>6025</v>
      </c>
      <c r="B65" s="6" t="s">
        <v>3673</v>
      </c>
      <c r="C65" s="6" t="s">
        <v>3674</v>
      </c>
      <c r="D65" s="6" t="s">
        <v>1857</v>
      </c>
      <c r="E65" s="6" t="s">
        <v>1866</v>
      </c>
      <c r="F65" s="6" t="s">
        <v>6018</v>
      </c>
    </row>
    <row r="66" customFormat="false" ht="15" hidden="false" customHeight="false" outlineLevel="0" collapsed="false">
      <c r="A66" s="164" t="s">
        <v>6025</v>
      </c>
      <c r="B66" s="164" t="s">
        <v>3676</v>
      </c>
      <c r="C66" s="164" t="s">
        <v>3677</v>
      </c>
      <c r="D66" s="164" t="s">
        <v>1934</v>
      </c>
      <c r="E66" s="164" t="s">
        <v>1941</v>
      </c>
      <c r="F66" s="164" t="s">
        <v>6018</v>
      </c>
    </row>
    <row r="67" customFormat="false" ht="15" hidden="false" customHeight="false" outlineLevel="0" collapsed="false">
      <c r="A67" s="6" t="s">
        <v>6025</v>
      </c>
      <c r="B67" s="6" t="s">
        <v>3678</v>
      </c>
      <c r="C67" s="6" t="s">
        <v>3679</v>
      </c>
      <c r="D67" s="6" t="s">
        <v>2029</v>
      </c>
      <c r="E67" s="6" t="s">
        <v>2035</v>
      </c>
      <c r="F67" s="6" t="s">
        <v>6018</v>
      </c>
    </row>
    <row r="68" customFormat="false" ht="15" hidden="false" customHeight="false" outlineLevel="0" collapsed="false">
      <c r="A68" s="164" t="s">
        <v>6025</v>
      </c>
      <c r="B68" s="164" t="s">
        <v>3680</v>
      </c>
      <c r="C68" s="164" t="s">
        <v>3681</v>
      </c>
      <c r="D68" s="164" t="s">
        <v>1710</v>
      </c>
      <c r="E68" s="164" t="s">
        <v>1719</v>
      </c>
      <c r="F68" s="164" t="s">
        <v>6018</v>
      </c>
    </row>
    <row r="69" customFormat="false" ht="15" hidden="false" customHeight="false" outlineLevel="0" collapsed="false">
      <c r="A69" s="6" t="s">
        <v>6025</v>
      </c>
      <c r="B69" s="6" t="s">
        <v>3683</v>
      </c>
      <c r="C69" s="6" t="s">
        <v>3684</v>
      </c>
      <c r="D69" s="6" t="s">
        <v>1904</v>
      </c>
      <c r="E69" s="6" t="s">
        <v>375</v>
      </c>
      <c r="F69" s="6" t="s">
        <v>6018</v>
      </c>
    </row>
    <row r="70" customFormat="false" ht="15" hidden="false" customHeight="false" outlineLevel="0" collapsed="false">
      <c r="A70" s="164" t="s">
        <v>6025</v>
      </c>
      <c r="B70" s="164" t="s">
        <v>3685</v>
      </c>
      <c r="C70" s="164" t="s">
        <v>3686</v>
      </c>
      <c r="D70" s="164" t="s">
        <v>1876</v>
      </c>
      <c r="E70" s="164" t="s">
        <v>1882</v>
      </c>
      <c r="F70" s="164" t="s">
        <v>6018</v>
      </c>
    </row>
    <row r="71" customFormat="false" ht="15" hidden="false" customHeight="false" outlineLevel="0" collapsed="false">
      <c r="A71" s="6" t="s">
        <v>6025</v>
      </c>
      <c r="B71" s="6" t="s">
        <v>3688</v>
      </c>
      <c r="C71" s="6" t="s">
        <v>3689</v>
      </c>
      <c r="D71" s="6" t="s">
        <v>3690</v>
      </c>
      <c r="E71" s="6" t="s">
        <v>1896</v>
      </c>
      <c r="F71" s="6" t="s">
        <v>6018</v>
      </c>
    </row>
    <row r="72" customFormat="false" ht="15" hidden="false" customHeight="false" outlineLevel="0" collapsed="false">
      <c r="A72" s="164" t="s">
        <v>6025</v>
      </c>
      <c r="B72" s="164" t="s">
        <v>3692</v>
      </c>
      <c r="C72" s="164" t="s">
        <v>3693</v>
      </c>
      <c r="D72" s="164" t="s">
        <v>1965</v>
      </c>
      <c r="E72" s="164" t="s">
        <v>1973</v>
      </c>
      <c r="F72" s="164" t="s">
        <v>6018</v>
      </c>
    </row>
    <row r="73" customFormat="false" ht="15" hidden="false" customHeight="false" outlineLevel="0" collapsed="false">
      <c r="A73" s="6" t="s">
        <v>6025</v>
      </c>
      <c r="B73" s="6" t="s">
        <v>3694</v>
      </c>
      <c r="C73" s="6" t="s">
        <v>3695</v>
      </c>
      <c r="D73" s="6" t="s">
        <v>1950</v>
      </c>
      <c r="E73" s="6" t="s">
        <v>1957</v>
      </c>
      <c r="F73" s="6" t="s">
        <v>6018</v>
      </c>
    </row>
    <row r="74" customFormat="false" ht="15" hidden="false" customHeight="false" outlineLevel="0" collapsed="false">
      <c r="A74" s="164" t="s">
        <v>6025</v>
      </c>
      <c r="B74" s="164" t="s">
        <v>3697</v>
      </c>
      <c r="C74" s="164" t="s">
        <v>3698</v>
      </c>
      <c r="D74" s="164" t="s">
        <v>1857</v>
      </c>
      <c r="E74" s="164" t="s">
        <v>1866</v>
      </c>
      <c r="F74" s="164" t="s">
        <v>6018</v>
      </c>
    </row>
    <row r="75" customFormat="false" ht="15" hidden="false" customHeight="false" outlineLevel="0" collapsed="false">
      <c r="A75" s="6" t="s">
        <v>6025</v>
      </c>
      <c r="B75" s="6" t="s">
        <v>3700</v>
      </c>
      <c r="C75" s="6" t="s">
        <v>3701</v>
      </c>
      <c r="D75" s="6" t="s">
        <v>2029</v>
      </c>
      <c r="E75" s="6" t="s">
        <v>2035</v>
      </c>
      <c r="F75" s="6" t="s">
        <v>6018</v>
      </c>
    </row>
    <row r="76" customFormat="false" ht="15" hidden="false" customHeight="false" outlineLevel="0" collapsed="false">
      <c r="A76" s="164" t="s">
        <v>6025</v>
      </c>
      <c r="B76" s="164" t="s">
        <v>3702</v>
      </c>
      <c r="C76" s="164" t="s">
        <v>3703</v>
      </c>
      <c r="D76" s="164" t="s">
        <v>1691</v>
      </c>
      <c r="E76" s="164" t="s">
        <v>1306</v>
      </c>
      <c r="F76" s="164" t="s">
        <v>6018</v>
      </c>
    </row>
    <row r="77" customFormat="false" ht="15" hidden="false" customHeight="false" outlineLevel="0" collapsed="false">
      <c r="A77" s="6" t="s">
        <v>6025</v>
      </c>
      <c r="B77" s="6" t="s">
        <v>3704</v>
      </c>
      <c r="C77" s="6" t="s">
        <v>3705</v>
      </c>
      <c r="D77" s="6" t="s">
        <v>2029</v>
      </c>
      <c r="E77" s="6" t="s">
        <v>2035</v>
      </c>
      <c r="F77" s="6" t="s">
        <v>6018</v>
      </c>
    </row>
    <row r="78" customFormat="false" ht="15" hidden="false" customHeight="false" outlineLevel="0" collapsed="false">
      <c r="A78" s="164" t="s">
        <v>6025</v>
      </c>
      <c r="B78" s="164" t="s">
        <v>3706</v>
      </c>
      <c r="C78" s="164" t="s">
        <v>3707</v>
      </c>
      <c r="D78" s="164" t="s">
        <v>1876</v>
      </c>
      <c r="E78" s="164" t="s">
        <v>1882</v>
      </c>
      <c r="F78" s="164" t="s">
        <v>6018</v>
      </c>
    </row>
    <row r="79" customFormat="false" ht="15" hidden="false" customHeight="false" outlineLevel="0" collapsed="false">
      <c r="A79" s="6" t="s">
        <v>6025</v>
      </c>
      <c r="B79" s="6" t="s">
        <v>3708</v>
      </c>
      <c r="C79" s="6" t="s">
        <v>3709</v>
      </c>
      <c r="D79" s="6" t="s">
        <v>731</v>
      </c>
      <c r="E79" s="6" t="s">
        <v>2001</v>
      </c>
      <c r="F79" s="6" t="s">
        <v>6018</v>
      </c>
    </row>
    <row r="80" customFormat="false" ht="15" hidden="false" customHeight="false" outlineLevel="0" collapsed="false">
      <c r="A80" s="164" t="s">
        <v>6025</v>
      </c>
      <c r="B80" s="164" t="s">
        <v>3710</v>
      </c>
      <c r="C80" s="164" t="s">
        <v>3711</v>
      </c>
      <c r="D80" s="164" t="s">
        <v>3712</v>
      </c>
      <c r="E80" s="164" t="s">
        <v>3713</v>
      </c>
      <c r="F80" s="164" t="s">
        <v>6018</v>
      </c>
    </row>
    <row r="81" customFormat="false" ht="15" hidden="false" customHeight="false" outlineLevel="0" collapsed="false">
      <c r="A81" s="6" t="s">
        <v>6025</v>
      </c>
      <c r="B81" s="6" t="s">
        <v>3714</v>
      </c>
      <c r="C81" s="6" t="s">
        <v>3715</v>
      </c>
      <c r="D81" s="6" t="s">
        <v>2041</v>
      </c>
      <c r="E81" s="6" t="s">
        <v>2048</v>
      </c>
      <c r="F81" s="6" t="s">
        <v>6018</v>
      </c>
    </row>
    <row r="82" customFormat="false" ht="15" hidden="false" customHeight="false" outlineLevel="0" collapsed="false">
      <c r="A82" s="164" t="s">
        <v>6025</v>
      </c>
      <c r="B82" s="164" t="s">
        <v>3716</v>
      </c>
      <c r="C82" s="164" t="s">
        <v>3717</v>
      </c>
      <c r="D82" s="164" t="s">
        <v>2041</v>
      </c>
      <c r="E82" s="164" t="s">
        <v>2048</v>
      </c>
      <c r="F82" s="164" t="s">
        <v>6018</v>
      </c>
    </row>
    <row r="83" customFormat="false" ht="15" hidden="false" customHeight="false" outlineLevel="0" collapsed="false">
      <c r="A83" s="6" t="s">
        <v>6025</v>
      </c>
      <c r="B83" s="6" t="s">
        <v>3718</v>
      </c>
      <c r="C83" s="6" t="s">
        <v>3719</v>
      </c>
      <c r="D83" s="6" t="s">
        <v>3318</v>
      </c>
      <c r="E83" s="6" t="s">
        <v>3319</v>
      </c>
      <c r="F83" s="6" t="s">
        <v>6018</v>
      </c>
    </row>
    <row r="84" customFormat="false" ht="15" hidden="false" customHeight="false" outlineLevel="0" collapsed="false">
      <c r="A84" s="164" t="s">
        <v>6025</v>
      </c>
      <c r="B84" s="164" t="s">
        <v>3721</v>
      </c>
      <c r="C84" s="164" t="s">
        <v>3722</v>
      </c>
      <c r="D84" s="164" t="s">
        <v>731</v>
      </c>
      <c r="E84" s="164" t="s">
        <v>2001</v>
      </c>
      <c r="F84" s="164" t="s">
        <v>6018</v>
      </c>
    </row>
    <row r="85" customFormat="false" ht="15" hidden="false" customHeight="false" outlineLevel="0" collapsed="false">
      <c r="A85" s="6" t="s">
        <v>6025</v>
      </c>
      <c r="B85" s="6" t="s">
        <v>3723</v>
      </c>
      <c r="C85" s="6" t="s">
        <v>3724</v>
      </c>
      <c r="D85" s="6" t="s">
        <v>2104</v>
      </c>
      <c r="E85" s="6" t="s">
        <v>2112</v>
      </c>
      <c r="F85" s="6" t="s">
        <v>6018</v>
      </c>
    </row>
    <row r="86" customFormat="false" ht="15" hidden="false" customHeight="false" outlineLevel="0" collapsed="false">
      <c r="A86" s="164" t="s">
        <v>6025</v>
      </c>
      <c r="B86" s="164" t="s">
        <v>3725</v>
      </c>
      <c r="C86" s="164" t="s">
        <v>3726</v>
      </c>
      <c r="D86" s="164" t="s">
        <v>2104</v>
      </c>
      <c r="E86" s="164" t="s">
        <v>2112</v>
      </c>
      <c r="F86" s="164" t="s">
        <v>6018</v>
      </c>
    </row>
    <row r="87" customFormat="false" ht="15" hidden="false" customHeight="false" outlineLevel="0" collapsed="false">
      <c r="A87" s="6" t="s">
        <v>6025</v>
      </c>
      <c r="B87" s="6" t="s">
        <v>3727</v>
      </c>
      <c r="C87" s="6" t="s">
        <v>3728</v>
      </c>
      <c r="D87" s="6" t="s">
        <v>2088</v>
      </c>
      <c r="E87" s="6" t="s">
        <v>419</v>
      </c>
      <c r="F87" s="6" t="s">
        <v>6018</v>
      </c>
    </row>
    <row r="88" customFormat="false" ht="15" hidden="false" customHeight="false" outlineLevel="0" collapsed="false">
      <c r="A88" s="164" t="s">
        <v>6025</v>
      </c>
      <c r="B88" s="164" t="s">
        <v>3729</v>
      </c>
      <c r="C88" s="164" t="s">
        <v>3730</v>
      </c>
      <c r="D88" s="164" t="s">
        <v>1950</v>
      </c>
      <c r="E88" s="164" t="s">
        <v>1957</v>
      </c>
      <c r="F88" s="164" t="s">
        <v>6018</v>
      </c>
    </row>
    <row r="89" customFormat="false" ht="15" hidden="false" customHeight="false" outlineLevel="0" collapsed="false">
      <c r="A89" s="6" t="s">
        <v>6025</v>
      </c>
      <c r="B89" s="6" t="s">
        <v>3731</v>
      </c>
      <c r="C89" s="6" t="s">
        <v>3732</v>
      </c>
      <c r="D89" s="6" t="s">
        <v>2121</v>
      </c>
      <c r="E89" s="6" t="s">
        <v>2127</v>
      </c>
      <c r="F89" s="6" t="s">
        <v>6018</v>
      </c>
    </row>
    <row r="90" customFormat="false" ht="15" hidden="false" customHeight="false" outlineLevel="0" collapsed="false">
      <c r="A90" s="164" t="s">
        <v>6026</v>
      </c>
      <c r="B90" s="164" t="s">
        <v>6027</v>
      </c>
      <c r="C90" s="164" t="s">
        <v>3330</v>
      </c>
      <c r="D90" s="164" t="s">
        <v>2234</v>
      </c>
      <c r="E90" s="164" t="s">
        <v>504</v>
      </c>
      <c r="F90" s="164" t="s">
        <v>6024</v>
      </c>
    </row>
    <row r="91" customFormat="false" ht="15" hidden="false" customHeight="false" outlineLevel="0" collapsed="false">
      <c r="A91" s="6" t="s">
        <v>6026</v>
      </c>
      <c r="B91" s="6" t="s">
        <v>6028</v>
      </c>
      <c r="C91" s="6" t="s">
        <v>3333</v>
      </c>
      <c r="D91" s="6" t="s">
        <v>3334</v>
      </c>
      <c r="E91" s="6" t="s">
        <v>504</v>
      </c>
      <c r="F91" s="6" t="s">
        <v>6021</v>
      </c>
    </row>
    <row r="92" customFormat="false" ht="15" hidden="false" customHeight="false" outlineLevel="0" collapsed="false">
      <c r="A92" s="164" t="s">
        <v>6026</v>
      </c>
      <c r="B92" s="164" t="s">
        <v>6029</v>
      </c>
      <c r="C92" s="164" t="s">
        <v>3336</v>
      </c>
      <c r="D92" s="164" t="s">
        <v>6030</v>
      </c>
      <c r="E92" s="164" t="s">
        <v>3337</v>
      </c>
      <c r="F92" s="164" t="s">
        <v>6024</v>
      </c>
    </row>
    <row r="93" customFormat="false" ht="23.85" hidden="false" customHeight="false" outlineLevel="0" collapsed="false">
      <c r="A93" s="6" t="s">
        <v>6026</v>
      </c>
      <c r="B93" s="6" t="s">
        <v>6031</v>
      </c>
      <c r="C93" s="6" t="s">
        <v>330</v>
      </c>
      <c r="D93" s="6" t="s">
        <v>3339</v>
      </c>
      <c r="E93" s="6" t="s">
        <v>3340</v>
      </c>
      <c r="F93" s="6" t="s">
        <v>6021</v>
      </c>
    </row>
    <row r="94" customFormat="false" ht="15" hidden="false" customHeight="false" outlineLevel="0" collapsed="false">
      <c r="A94" s="164" t="s">
        <v>6026</v>
      </c>
      <c r="B94" s="164" t="s">
        <v>6032</v>
      </c>
      <c r="C94" s="164" t="s">
        <v>954</v>
      </c>
      <c r="D94" s="164" t="s">
        <v>944</v>
      </c>
      <c r="E94" s="164" t="s">
        <v>940</v>
      </c>
      <c r="F94" s="164" t="s">
        <v>6024</v>
      </c>
    </row>
    <row r="95" customFormat="false" ht="15" hidden="false" customHeight="false" outlineLevel="0" collapsed="false">
      <c r="A95" s="6" t="s">
        <v>6026</v>
      </c>
      <c r="B95" s="6" t="s">
        <v>6033</v>
      </c>
      <c r="C95" s="6" t="s">
        <v>558</v>
      </c>
      <c r="D95" s="6" t="s">
        <v>6034</v>
      </c>
      <c r="E95" s="6" t="s">
        <v>3344</v>
      </c>
      <c r="F95" s="6" t="s">
        <v>6024</v>
      </c>
    </row>
    <row r="96" customFormat="false" ht="15" hidden="false" customHeight="false" outlineLevel="0" collapsed="false">
      <c r="A96" s="164" t="s">
        <v>6026</v>
      </c>
      <c r="B96" s="164" t="s">
        <v>6035</v>
      </c>
      <c r="C96" s="164" t="s">
        <v>659</v>
      </c>
      <c r="D96" s="164" t="s">
        <v>6036</v>
      </c>
      <c r="E96" s="164" t="s">
        <v>3347</v>
      </c>
      <c r="F96" s="164" t="s">
        <v>6024</v>
      </c>
    </row>
    <row r="97" customFormat="false" ht="15" hidden="false" customHeight="false" outlineLevel="0" collapsed="false">
      <c r="A97" s="6" t="s">
        <v>6026</v>
      </c>
      <c r="B97" s="6" t="s">
        <v>6037</v>
      </c>
      <c r="C97" s="6" t="s">
        <v>3349</v>
      </c>
      <c r="D97" s="6" t="s">
        <v>2234</v>
      </c>
      <c r="E97" s="6" t="s">
        <v>3337</v>
      </c>
      <c r="F97" s="6" t="s">
        <v>6024</v>
      </c>
    </row>
    <row r="98" customFormat="false" ht="23.85" hidden="false" customHeight="false" outlineLevel="0" collapsed="false">
      <c r="A98" s="164" t="s">
        <v>6026</v>
      </c>
      <c r="B98" s="164" t="s">
        <v>6038</v>
      </c>
      <c r="C98" s="164" t="s">
        <v>369</v>
      </c>
      <c r="D98" s="164" t="s">
        <v>3351</v>
      </c>
      <c r="E98" s="164" t="s">
        <v>3352</v>
      </c>
      <c r="F98" s="164" t="s">
        <v>6024</v>
      </c>
    </row>
    <row r="99" customFormat="false" ht="15" hidden="false" customHeight="false" outlineLevel="0" collapsed="false">
      <c r="A99" s="6" t="s">
        <v>6026</v>
      </c>
      <c r="B99" s="6" t="s">
        <v>666</v>
      </c>
      <c r="C99" s="6" t="s">
        <v>821</v>
      </c>
      <c r="D99" s="6" t="s">
        <v>6039</v>
      </c>
      <c r="E99" s="6" t="s">
        <v>807</v>
      </c>
      <c r="F99" s="6" t="s">
        <v>6021</v>
      </c>
    </row>
    <row r="100" customFormat="false" ht="15" hidden="false" customHeight="false" outlineLevel="0" collapsed="false">
      <c r="A100" s="164" t="s">
        <v>6026</v>
      </c>
      <c r="B100" s="164" t="s">
        <v>862</v>
      </c>
      <c r="C100" s="164" t="s">
        <v>3356</v>
      </c>
      <c r="D100" s="164" t="s">
        <v>2234</v>
      </c>
      <c r="E100" s="164" t="s">
        <v>504</v>
      </c>
      <c r="F100" s="164" t="s">
        <v>6024</v>
      </c>
    </row>
    <row r="101" customFormat="false" ht="15" hidden="false" customHeight="false" outlineLevel="0" collapsed="false">
      <c r="A101" s="6" t="s">
        <v>6026</v>
      </c>
      <c r="B101" s="6" t="s">
        <v>398</v>
      </c>
      <c r="C101" s="6" t="s">
        <v>743</v>
      </c>
      <c r="D101" s="6" t="s">
        <v>6040</v>
      </c>
      <c r="E101" s="6" t="s">
        <v>3011</v>
      </c>
      <c r="F101" s="6" t="s">
        <v>6021</v>
      </c>
    </row>
  </sheetData>
  <autoFilter ref="A4:F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2" min="1" style="0" width="30"/>
    <col collapsed="false" customWidth="true" hidden="false" outlineLevel="0" max="16" min="14" style="0" width="40"/>
  </cols>
  <sheetData>
    <row r="1" customFormat="false" ht="15" hidden="false" customHeight="false" outlineLevel="0" collapsed="false">
      <c r="A1" s="165" t="s">
        <v>182</v>
      </c>
      <c r="B1" s="165" t="s">
        <v>6041</v>
      </c>
      <c r="C1" s="165" t="s">
        <v>6042</v>
      </c>
      <c r="D1" s="165" t="s">
        <v>1390</v>
      </c>
      <c r="E1" s="165" t="s">
        <v>6043</v>
      </c>
      <c r="F1" s="165" t="s">
        <v>6044</v>
      </c>
      <c r="G1" s="165" t="s">
        <v>6045</v>
      </c>
      <c r="H1" s="165" t="s">
        <v>258</v>
      </c>
      <c r="I1" s="165" t="s">
        <v>6046</v>
      </c>
      <c r="J1" s="165" t="s">
        <v>6047</v>
      </c>
      <c r="K1" s="165" t="s">
        <v>145</v>
      </c>
      <c r="L1" s="165" t="s">
        <v>1378</v>
      </c>
      <c r="N1" s="165" t="s">
        <v>6048</v>
      </c>
      <c r="O1" s="165" t="s">
        <v>6049</v>
      </c>
      <c r="P1" s="165" t="s">
        <v>6050</v>
      </c>
    </row>
    <row r="2" customFormat="false" ht="15" hidden="false" customHeight="false" outlineLevel="0" collapsed="false">
      <c r="A2" s="166" t="s">
        <v>293</v>
      </c>
      <c r="B2" s="167" t="s">
        <v>6051</v>
      </c>
      <c r="C2" s="167" t="s">
        <v>6052</v>
      </c>
      <c r="D2" s="167" t="s">
        <v>1273</v>
      </c>
      <c r="E2" s="167" t="s">
        <v>287</v>
      </c>
      <c r="F2" s="167" t="s">
        <v>273</v>
      </c>
      <c r="G2" s="167" t="s">
        <v>169</v>
      </c>
      <c r="H2" s="167" t="s">
        <v>151</v>
      </c>
      <c r="I2" s="167" t="s">
        <v>6053</v>
      </c>
      <c r="J2" s="167" t="s">
        <v>6054</v>
      </c>
      <c r="K2" s="167" t="s">
        <v>156</v>
      </c>
      <c r="L2" s="167" t="n">
        <v>1</v>
      </c>
      <c r="N2" s="166" t="s">
        <v>293</v>
      </c>
      <c r="O2" s="167" t="s">
        <v>6055</v>
      </c>
      <c r="P2" s="167" t="s">
        <v>6056</v>
      </c>
    </row>
    <row r="3" customFormat="false" ht="15" hidden="false" customHeight="false" outlineLevel="0" collapsed="false">
      <c r="A3" s="166" t="s">
        <v>845</v>
      </c>
      <c r="B3" s="167" t="s">
        <v>6057</v>
      </c>
      <c r="C3" s="167" t="s">
        <v>6058</v>
      </c>
      <c r="D3" s="167" t="s">
        <v>6059</v>
      </c>
      <c r="E3" s="167" t="s">
        <v>1275</v>
      </c>
      <c r="F3" s="167" t="s">
        <v>6060</v>
      </c>
      <c r="G3" s="167" t="s">
        <v>171</v>
      </c>
      <c r="H3" s="167" t="s">
        <v>153</v>
      </c>
      <c r="I3" s="167" t="s">
        <v>6061</v>
      </c>
      <c r="J3" s="167" t="s">
        <v>6062</v>
      </c>
      <c r="K3" s="167" t="s">
        <v>154</v>
      </c>
      <c r="L3" s="167" t="n">
        <v>2</v>
      </c>
      <c r="N3" s="166" t="s">
        <v>845</v>
      </c>
      <c r="O3" s="167" t="s">
        <v>6063</v>
      </c>
      <c r="P3" s="167" t="s">
        <v>6064</v>
      </c>
    </row>
    <row r="4" customFormat="false" ht="15" hidden="false" customHeight="false" outlineLevel="0" collapsed="false">
      <c r="A4" s="166" t="s">
        <v>269</v>
      </c>
      <c r="B4" s="167" t="s">
        <v>6065</v>
      </c>
      <c r="C4" s="167" t="s">
        <v>6066</v>
      </c>
      <c r="D4" s="167" t="s">
        <v>6067</v>
      </c>
      <c r="E4" s="167" t="s">
        <v>1525</v>
      </c>
      <c r="F4" s="167" t="s">
        <v>6068</v>
      </c>
      <c r="G4" s="167" t="s">
        <v>172</v>
      </c>
      <c r="H4" s="167" t="s">
        <v>155</v>
      </c>
      <c r="I4" s="167" t="s">
        <v>1509</v>
      </c>
      <c r="K4" s="167" t="s">
        <v>152</v>
      </c>
      <c r="L4" s="167" t="n">
        <v>3</v>
      </c>
      <c r="N4" s="166" t="s">
        <v>269</v>
      </c>
      <c r="O4" s="167" t="s">
        <v>6069</v>
      </c>
      <c r="P4" s="167" t="s">
        <v>6070</v>
      </c>
    </row>
    <row r="5" customFormat="false" ht="15" hidden="false" customHeight="false" outlineLevel="0" collapsed="false">
      <c r="A5" s="166" t="s">
        <v>565</v>
      </c>
      <c r="B5" s="167" t="s">
        <v>1269</v>
      </c>
      <c r="C5" s="167" t="s">
        <v>6071</v>
      </c>
      <c r="D5" s="167" t="s">
        <v>2622</v>
      </c>
      <c r="E5" s="167" t="s">
        <v>1527</v>
      </c>
      <c r="G5" s="167" t="s">
        <v>174</v>
      </c>
      <c r="H5" s="167" t="s">
        <v>157</v>
      </c>
      <c r="I5" s="167" t="s">
        <v>6072</v>
      </c>
      <c r="K5" s="167" t="s">
        <v>150</v>
      </c>
      <c r="L5" s="167" t="n">
        <v>4</v>
      </c>
      <c r="N5" s="166" t="s">
        <v>565</v>
      </c>
      <c r="O5" s="167" t="s">
        <v>6073</v>
      </c>
      <c r="P5" s="167" t="s">
        <v>6074</v>
      </c>
    </row>
    <row r="6" customFormat="false" ht="15" hidden="false" customHeight="false" outlineLevel="0" collapsed="false">
      <c r="A6" s="166" t="s">
        <v>353</v>
      </c>
      <c r="B6" s="167" t="s">
        <v>1713</v>
      </c>
      <c r="C6" s="167" t="s">
        <v>1270</v>
      </c>
      <c r="D6" s="167" t="s">
        <v>6075</v>
      </c>
      <c r="H6" s="167" t="s">
        <v>159</v>
      </c>
      <c r="I6" s="167" t="s">
        <v>6076</v>
      </c>
      <c r="N6" s="166" t="s">
        <v>353</v>
      </c>
      <c r="O6" s="167" t="s">
        <v>6077</v>
      </c>
      <c r="P6" s="167" t="s">
        <v>6076</v>
      </c>
    </row>
    <row r="7" customFormat="false" ht="15" hidden="false" customHeight="false" outlineLevel="0" collapsed="false">
      <c r="A7" s="166" t="s">
        <v>506</v>
      </c>
      <c r="B7" s="167" t="s">
        <v>6078</v>
      </c>
      <c r="C7" s="167" t="s">
        <v>6079</v>
      </c>
      <c r="D7" s="167" t="s">
        <v>6080</v>
      </c>
      <c r="H7" s="167" t="s">
        <v>161</v>
      </c>
      <c r="I7" s="167" t="s">
        <v>6081</v>
      </c>
      <c r="N7" s="166" t="s">
        <v>506</v>
      </c>
      <c r="O7" s="167" t="s">
        <v>6082</v>
      </c>
      <c r="P7" s="167" t="s">
        <v>6083</v>
      </c>
    </row>
    <row r="8" customFormat="false" ht="15" hidden="false" customHeight="false" outlineLevel="0" collapsed="false">
      <c r="A8" s="166" t="s">
        <v>445</v>
      </c>
      <c r="B8" s="167" t="s">
        <v>6084</v>
      </c>
      <c r="C8" s="167" t="s">
        <v>6085</v>
      </c>
      <c r="D8" s="167" t="s">
        <v>6086</v>
      </c>
      <c r="I8" s="167" t="s">
        <v>6087</v>
      </c>
      <c r="N8" s="166" t="s">
        <v>445</v>
      </c>
      <c r="O8" s="167" t="s">
        <v>6088</v>
      </c>
      <c r="P8" s="167" t="s">
        <v>6089</v>
      </c>
    </row>
    <row r="9" customFormat="false" ht="15" hidden="false" customHeight="false" outlineLevel="0" collapsed="false">
      <c r="A9" s="166" t="s">
        <v>466</v>
      </c>
      <c r="B9" s="167" t="s">
        <v>6090</v>
      </c>
      <c r="C9" s="167" t="s">
        <v>6091</v>
      </c>
      <c r="D9" s="167" t="s">
        <v>6092</v>
      </c>
      <c r="I9" s="167" t="s">
        <v>6093</v>
      </c>
      <c r="N9" s="166" t="s">
        <v>466</v>
      </c>
      <c r="O9" s="167" t="s">
        <v>6094</v>
      </c>
      <c r="P9" s="167" t="s">
        <v>6095</v>
      </c>
    </row>
    <row r="10" customFormat="false" ht="15" hidden="false" customHeight="false" outlineLevel="0" collapsed="false">
      <c r="A10" s="166" t="s">
        <v>421</v>
      </c>
      <c r="C10" s="167" t="s">
        <v>6096</v>
      </c>
      <c r="D10" s="167" t="s">
        <v>6097</v>
      </c>
      <c r="I10" s="167" t="s">
        <v>6098</v>
      </c>
      <c r="N10" s="166" t="s">
        <v>421</v>
      </c>
      <c r="O10" s="167" t="s">
        <v>6099</v>
      </c>
      <c r="P10" s="167" t="s">
        <v>6100</v>
      </c>
    </row>
    <row r="11" customFormat="false" ht="15" hidden="false" customHeight="false" outlineLevel="0" collapsed="false">
      <c r="A11" s="166" t="s">
        <v>666</v>
      </c>
      <c r="C11" s="167" t="s">
        <v>6101</v>
      </c>
      <c r="D11" s="167" t="s">
        <v>6102</v>
      </c>
      <c r="I11" s="167" t="s">
        <v>1283</v>
      </c>
      <c r="N11" s="166" t="s">
        <v>666</v>
      </c>
      <c r="O11" s="167" t="s">
        <v>6103</v>
      </c>
      <c r="P11" s="167" t="s">
        <v>6104</v>
      </c>
    </row>
    <row r="12" customFormat="false" ht="15" hidden="false" customHeight="false" outlineLevel="0" collapsed="false">
      <c r="A12" s="166" t="s">
        <v>862</v>
      </c>
      <c r="C12" s="167" t="s">
        <v>6105</v>
      </c>
      <c r="I12" s="167" t="s">
        <v>6106</v>
      </c>
      <c r="N12" s="166" t="s">
        <v>862</v>
      </c>
      <c r="O12" s="167" t="s">
        <v>6107</v>
      </c>
      <c r="P12" s="167" t="s">
        <v>6108</v>
      </c>
    </row>
    <row r="13" customFormat="false" ht="15" hidden="false" customHeight="false" outlineLevel="0" collapsed="false">
      <c r="A13" s="166" t="s">
        <v>398</v>
      </c>
      <c r="C13" s="167" t="s">
        <v>6109</v>
      </c>
      <c r="I13" s="167" t="s">
        <v>6110</v>
      </c>
      <c r="N13" s="166" t="s">
        <v>398</v>
      </c>
      <c r="O13" s="167" t="s">
        <v>6111</v>
      </c>
      <c r="P13" s="167" t="s">
        <v>6112</v>
      </c>
    </row>
    <row r="14" customFormat="false" ht="15" hidden="false" customHeight="false" outlineLevel="0" collapsed="false">
      <c r="C14" s="167" t="s">
        <v>6113</v>
      </c>
      <c r="I14" s="167" t="s">
        <v>1972</v>
      </c>
    </row>
    <row r="15" customFormat="false" ht="15" hidden="false" customHeight="false" outlineLevel="0" collapsed="false">
      <c r="C15" s="167" t="s">
        <v>6114</v>
      </c>
      <c r="I15" s="167" t="s">
        <v>6115</v>
      </c>
    </row>
    <row r="16" customFormat="false" ht="15" hidden="false" customHeight="false" outlineLevel="0" collapsed="false">
      <c r="C16" s="167" t="s">
        <v>6116</v>
      </c>
      <c r="I16" s="167" t="s">
        <v>6117</v>
      </c>
    </row>
    <row r="17" customFormat="false" ht="15" hidden="false" customHeight="false" outlineLevel="0" collapsed="false">
      <c r="C17" s="167" t="s">
        <v>6118</v>
      </c>
      <c r="I17" s="167" t="s">
        <v>6119</v>
      </c>
    </row>
    <row r="18" customFormat="false" ht="15" hidden="false" customHeight="false" outlineLevel="0" collapsed="false">
      <c r="I18" s="167" t="s">
        <v>1771</v>
      </c>
    </row>
    <row r="19" customFormat="false" ht="15" hidden="false" customHeight="false" outlineLevel="0" collapsed="false">
      <c r="I19" s="167" t="s">
        <v>6120</v>
      </c>
    </row>
    <row r="20" customFormat="false" ht="15" hidden="false" customHeight="false" outlineLevel="0" collapsed="false">
      <c r="I20" s="167" t="s">
        <v>6121</v>
      </c>
    </row>
    <row r="21" customFormat="false" ht="15" hidden="false" customHeight="false" outlineLevel="0" collapsed="false">
      <c r="I21" s="167" t="s">
        <v>6122</v>
      </c>
    </row>
    <row r="22" customFormat="false" ht="15" hidden="false" customHeight="false" outlineLevel="0" collapsed="false">
      <c r="I22" s="167" t="s">
        <v>6123</v>
      </c>
    </row>
    <row r="23" customFormat="false" ht="15" hidden="false" customHeight="false" outlineLevel="0" collapsed="false">
      <c r="I23" s="167" t="s">
        <v>6124</v>
      </c>
    </row>
    <row r="24" customFormat="false" ht="15" hidden="false" customHeight="false" outlineLevel="0" collapsed="false">
      <c r="I24" s="167" t="s">
        <v>6125</v>
      </c>
    </row>
    <row r="25" customFormat="false" ht="15" hidden="false" customHeight="false" outlineLevel="0" collapsed="false">
      <c r="I25" s="167" t="s">
        <v>6126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Risk management</cp:category>
  <dcterms:created xsi:type="dcterms:W3CDTF">2026-10-25T20:10:59Z</dcterms:created>
  <dc:creator>Nachiket Sathaye; Ankush Jain</dc:creator>
  <dc:description>Copyright (c) 2026 Nachiket Sathaye and Ankush Jain. Licensed under CC BY-SA 4.0: https://creativecommons.org/licenses/by-sa/4.0/. Source: https://nachi065.github.io/AI-Security-Wiki/</dc:description>
  <cp:keywords>AI risk register AI security CC BY-SA 4.0</cp:keywords>
  <dc:language>en-US</dc:language>
  <cp:lastModifiedBy>Nachiket Sathaye</cp:lastModifiedBy>
  <dcterms:modified xsi:type="dcterms:W3CDTF">2026-10-25T20:11:00Z</dcterms:modified>
  <cp:revision>0</cp:revision>
  <dc:subject>Enterprise AI risk register built from the AI Security Wiki</dc:subject>
  <dc:title>AI Risk Register Workbook</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