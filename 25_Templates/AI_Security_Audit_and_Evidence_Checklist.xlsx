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Summary" sheetId="3" state="visible" r:id="rId5"/>
    <sheet name="Audit Plan" sheetId="4" state="visible" r:id="rId6"/>
    <sheet name="Control Tests" sheetId="5" state="visible" r:id="rId7"/>
    <sheet name="Regional Tests" sheetId="6" state="visible" r:id="rId8"/>
    <sheet name="Evidence Requests" sheetId="7" state="visible" r:id="rId9"/>
    <sheet name="Findings Log" sheetId="8" state="visible" r:id="rId10"/>
    <sheet name="Exception Register" sheetId="9" state="visible" r:id="rId11"/>
    <sheet name="ISO 42001 Readiness" sheetId="10" state="visible" r:id="rId12"/>
    <sheet name="Lists" sheetId="11" state="visible" r:id="rId13"/>
  </sheets>
  <definedNames>
    <definedName function="false" hidden="false" localSheetId="4" name="_xlnm.Print_Titles" vbProcedure="false">'Control Tests'!$1:$5</definedName>
    <definedName function="false" hidden="true" localSheetId="4" name="_xlnm._FilterDatabase" vbProcedure="false">'Control Tests'!$A$4:$Z$50</definedName>
    <definedName function="false" hidden="true" localSheetId="6" name="_xlnm._FilterDatabase" vbProcedure="false">'Evidence Requests'!$A$4:$M$102</definedName>
    <definedName function="false" hidden="true" localSheetId="5" name="_xlnm._FilterDatabase" vbProcedure="false">'Regional Tests'!$A$4:$J$90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<sst xmlns="http://schemas.openxmlformats.org/spreadsheetml/2006/main" count="1985" uniqueCount="1166">
  <si>
    <t xml:space="preserve">AI Security Audit and Evidence Checklist</t>
  </si>
  <si>
    <t xml:space="preserve">Built from the AI Security Wiki (https://nachi065.github.io/AI-Security-Wiki/) on 24 October 2026. Version 1.1.</t>
  </si>
  <si>
    <t xml:space="preserve">Read first</t>
  </si>
  <si>
    <t xml:space="preserve">What this is</t>
  </si>
  <si>
    <t xml:space="preserve">An audit workbook for AI security controls: tests for all 46 wiki controls with their evidence and audit procedures, the wiki's GCC and EU audit checklists and evidence registers, a findings log, an exception register and ISO/IEC 42001 certification readiness.</t>
  </si>
  <si>
    <t xml:space="preserve">Not legal advice</t>
  </si>
  <si>
    <t xml:space="preserve">The GCC and EU checklists and registers say their regional criteria come from secondary sources and must be verified. The Summary keeps the wiki's limitation line.</t>
  </si>
  <si>
    <t xml:space="preserve">Defaults to agree</t>
  </si>
  <si>
    <t xml:space="preserve">The regional selection and the due-soon window on Audit Plan are workbook defaults (orange). The 30-day expiry warning on exceptions is a workbook default.</t>
  </si>
  <si>
    <t xml:space="preserve">How to use</t>
  </si>
  <si>
    <t xml:space="preserve">1. Audit Plan</t>
  </si>
  <si>
    <t xml:space="preserve">Record the audit, scope and period, and choose the regional checklists.</t>
  </si>
  <si>
    <t xml:space="preserve">2. Evidence Requests</t>
  </si>
  <si>
    <t xml:space="preserve">Request evidence, record due and received dates. Status shows what is overdue.</t>
  </si>
  <si>
    <t xml:space="preserve">3. Control Tests</t>
  </si>
  <si>
    <t xml:space="preserve">For each in-scope control, follow the audit test procedure, record the sample size, result and evidence, and check the six evidence quality criteria.</t>
  </si>
  <si>
    <t xml:space="preserve">4. Regional Tests</t>
  </si>
  <si>
    <t xml:space="preserve">Work through the GCC and/or EU T08 tests.</t>
  </si>
  <si>
    <t xml:space="preserve">5. Findings Log</t>
  </si>
  <si>
    <t xml:space="preserve">Raise a finding for every P or I result and enter its ID on the test row.</t>
  </si>
  <si>
    <t xml:space="preserve">6. Exception Register</t>
  </si>
  <si>
    <t xml:space="preserve">Record approved exceptions; the expiry check flags missing fields and expired exceptions.</t>
  </si>
  <si>
    <t xml:space="preserve">7. Summary</t>
  </si>
  <si>
    <t xml:space="preserve">E, P, I and N totals, evidence status, open findings and exceptions for the audit report.</t>
  </si>
  <si>
    <t xml:space="preserve">Colour legend</t>
  </si>
  <si>
    <t xml:space="preserve">Yellow cells</t>
  </si>
  <si>
    <t xml:space="preserve">Enter or choose a value.</t>
  </si>
  <si>
    <t xml:space="preserve">Grey cells</t>
  </si>
  <si>
    <t xml:space="preserve">Calculated. Do not overwrite.</t>
  </si>
  <si>
    <t xml:space="preserve">White cells</t>
  </si>
  <si>
    <t xml:space="preserve">Copied from the wiki.</t>
  </si>
  <si>
    <t xml:space="preserve">Orange cells (Audit Plan)</t>
  </si>
  <si>
    <t xml:space="preserve">Workbook defaults awaiting agreement.</t>
  </si>
  <si>
    <t xml:space="preserve">Sheets</t>
  </si>
  <si>
    <t xml:space="preserve">Summary</t>
  </si>
  <si>
    <t xml:space="preserve">Results, evidence status, findings and exceptions.</t>
  </si>
  <si>
    <t xml:space="preserve">Audit Plan</t>
  </si>
  <si>
    <t xml:space="preserve">Scope, region, result scale and evidence quality criteria.</t>
  </si>
  <si>
    <t xml:space="preserve">Control Tests</t>
  </si>
  <si>
    <t xml:space="preserve">46 wiki controls with evidence, audit test, owners and result.</t>
  </si>
  <si>
    <t xml:space="preserve">Regional Tests</t>
  </si>
  <si>
    <t xml:space="preserve">GCC and EU T08 audit checklists.</t>
  </si>
  <si>
    <t xml:space="preserve">Evidence Requests</t>
  </si>
  <si>
    <t xml:space="preserve">GCC and EU evidence registers plus blank rows.</t>
  </si>
  <si>
    <t xml:space="preserve">Findings Log</t>
  </si>
  <si>
    <t xml:space="preserve">Findings, owners, due dates and verification.</t>
  </si>
  <si>
    <t xml:space="preserve">Exception Register</t>
  </si>
  <si>
    <t xml:space="preserve">The wiki's exception fields with expiry checks.</t>
  </si>
  <si>
    <t xml:space="preserve">ISO 42001 Readiness</t>
  </si>
  <si>
    <t xml:space="preserve">What ISO/IEC 42006 asks of certification bodies, and the wiki evidence to prepare.</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</si>
  <si>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</si>
  <si>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</si>
  <si>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</si>
  <si>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</si>
  <si>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</si>
  <si>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https://nachi065.github.io/AI-Security-Wiki/06_Testing_and_Assurance/14_AI_Security_Audit_and_Evidence_Checklist.html</t>
  </si>
  <si>
    <t xml:space="preserve">AI Security Control Objectives Library</t>
  </si>
  <si>
    <t xml:space="preserve">https://nachi065.github.io/AI-Security-Wiki/03_Control_Library/03_AI_Security_Control_Objectives_Library.html</t>
  </si>
  <si>
    <t xml:space="preserve">GCC Evidence Register</t>
  </si>
  <si>
    <t xml:space="preserve">https://nachi065.github.io/AI-Security-Wiki/11_GCC_AI_Compliance/08_Evidence_Register.html</t>
  </si>
  <si>
    <t xml:space="preserve">GCC T08 AI Audit Checklist</t>
  </si>
  <si>
    <t xml:space="preserve">https://nachi065.github.io/AI-Security-Wiki/11_GCC_AI_Compliance/T08_Audit_Checklist.html</t>
  </si>
  <si>
    <t xml:space="preserve">EU Evidence Register</t>
  </si>
  <si>
    <t xml:space="preserve">https://nachi065.github.io/AI-Security-Wiki/12_EU_AI_Compliance/08_Evidence_Register.html</t>
  </si>
  <si>
    <t xml:space="preserve">EU T08 AI Audit Checklist</t>
  </si>
  <si>
    <t xml:space="preserve">https://nachi065.github.io/AI-Security-Wiki/12_EU_AI_Compliance/T08_Audit_Checklist.html</t>
  </si>
  <si>
    <t xml:space="preserve">AI Security Audit and Evidence Checklist Copyright (c) 2026 Nachiket Sathaye and Ankush Jain. Licensed under CC BY-SA 4.0 (https://creativecommons.org/licenses/by-sa/4.0/). See the License sheet for credit, ShareAlike and third-party terms.</t>
  </si>
  <si>
    <t xml:space="preserve">AI Security Audit and Evidence Checklist, version 1.1, 24 October 2026</t>
  </si>
  <si>
    <t xml:space="preserve">License notice</t>
  </si>
  <si>
    <t xml:space="preserve">Work</t>
  </si>
  <si>
    <t xml:space="preserve">Copyright</t>
  </si>
  <si>
    <t xml:space="preserve">Copyright (c) 2026 Nachiket Sathaye and Ankush Jain.</t>
  </si>
  <si>
    <t xml:space="preserve">This work, AI Security Audit and Evidence Checklist,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</si>
  <si>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</si>
  <si>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</si>
  <si>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</si>
  <si>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</si>
  <si>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</si>
  <si>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</si>
  <si>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</si>
  <si>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</si>
  <si>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</si>
  <si>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</si>
  <si>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Audit and Evidence Checklist"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</si>
  <si>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</si>
  <si>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Security Audit and Evidence Checklist by Nachiket Sathaye and Ankush Jain (https://nachi065.github.io/AI-Security-Wiki/), CC BY-SA 4.0. Changes: added our own audit results and evidence."</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</si>
  <si>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</si>
  <si>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</si>
  <si>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</si>
  <si>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</si>
  <si>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</si>
  <si>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</si>
  <si>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</si>
  <si>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</si>
  <si>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</si>
  <si>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</si>
  <si>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</si>
  <si>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</si>
  <si>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</si>
  <si>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</si>
  <si>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</si>
  <si>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</si>
  <si>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</si>
  <si>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Audit Summary</t>
  </si>
  <si>
    <t xml:space="preserve">Calculated from the other sheets. Total tests: E, P, I and N counts as on the wiki T08 summary.</t>
  </si>
  <si>
    <t xml:space="preserve">Results</t>
  </si>
  <si>
    <t xml:space="preserve">E</t>
  </si>
  <si>
    <t xml:space="preserve">P</t>
  </si>
  <si>
    <t xml:space="preserve">I</t>
  </si>
  <si>
    <t xml:space="preserve">N</t>
  </si>
  <si>
    <t xml:space="preserve">Not yet tested</t>
  </si>
  <si>
    <t xml:space="preserve">Control tests</t>
  </si>
  <si>
    <t xml:space="preserve">Regional tests</t>
  </si>
  <si>
    <t xml:space="preserve">Total</t>
  </si>
  <si>
    <t xml:space="preserve">Evidence requests (in scope)</t>
  </si>
  <si>
    <t xml:space="preserve">Received</t>
  </si>
  <si>
    <t xml:space="preserve">Requested</t>
  </si>
  <si>
    <t xml:space="preserve">Due soon</t>
  </si>
  <si>
    <t xml:space="preserve">Overdue</t>
  </si>
  <si>
    <t xml:space="preserve">Not requested</t>
  </si>
  <si>
    <t xml:space="preserve">Findings</t>
  </si>
  <si>
    <t xml:space="preserve">Severity</t>
  </si>
  <si>
    <t xml:space="preserve">Open (not closed or accepted)</t>
  </si>
  <si>
    <t xml:space="preserve">Closed</t>
  </si>
  <si>
    <t xml:space="preserve">High</t>
  </si>
  <si>
    <t xml:space="preserve">Medium</t>
  </si>
  <si>
    <t xml:space="preserve">Low</t>
  </si>
  <si>
    <t xml:space="preserve">Exceptions and control evidence</t>
  </si>
  <si>
    <t xml:space="preserve">Exceptions expired</t>
  </si>
  <si>
    <t xml:space="preserve">Exceptions expiring within 30 days</t>
  </si>
  <si>
    <t xml:space="preserve">Exceptions incomplete</t>
  </si>
  <si>
    <t xml:space="preserve">Controls rated E with all 6 quality criteria met</t>
  </si>
  <si>
    <t xml:space="preserve">Controls rated E needing an evidence ref</t>
  </si>
  <si>
    <t xml:space="preserve">Top findings and limitations</t>
  </si>
  <si>
    <t xml:space="preserve">Top findings</t>
  </si>
  <si>
    <t xml:space="preserve">Limitations</t>
  </si>
  <si>
    <t xml:space="preserve">Criteria summarised from secondary sources; no legal opinion.</t>
  </si>
  <si>
    <t xml:space="preserve">Scope of this audit. Choose which regional checklists apply; out-of-scope rows show "Not in scope".</t>
  </si>
  <si>
    <t xml:space="preserve">Audit</t>
  </si>
  <si>
    <t xml:space="preserve">Notes</t>
  </si>
  <si>
    <t xml:space="preserve">Audit name</t>
  </si>
  <si>
    <t xml:space="preserve">AI system(s) in scope</t>
  </si>
  <si>
    <t xml:space="preserve">Period covered</t>
  </si>
  <si>
    <t xml:space="preserve">Lead auditor</t>
  </si>
  <si>
    <t xml:space="preserve">Audit team and technical experts</t>
  </si>
  <si>
    <t xml:space="preserve">Criteria in scope (and their verification status)</t>
  </si>
  <si>
    <t xml:space="preserve">Regional checklists to include</t>
  </si>
  <si>
    <t xml:space="preserve">GCC and EU</t>
  </si>
  <si>
    <t xml:space="preserve">Fieldwork start</t>
  </si>
  <si>
    <t xml:space="preserve">Fieldwork end</t>
  </si>
  <si>
    <t xml:space="preserve">Report due</t>
  </si>
  <si>
    <t xml:space="preserve">Due-soon window for evidence requests (days)</t>
  </si>
  <si>
    <t xml:space="preserve">Result scale (wiki T08)</t>
  </si>
  <si>
    <t xml:space="preserve">E - Effective</t>
  </si>
  <si>
    <t xml:space="preserve">Control designed and operating as intended in the period.</t>
  </si>
  <si>
    <t xml:space="preserve">P - Partially effective</t>
  </si>
  <si>
    <t xml:space="preserve">Control works in part; finding raised.</t>
  </si>
  <si>
    <t xml:space="preserve">I - Ineffective</t>
  </si>
  <si>
    <t xml:space="preserve">Control missing or not operating; finding raised.</t>
  </si>
  <si>
    <t xml:space="preserve">N - Not tested</t>
  </si>
  <si>
    <t xml:space="preserve">Not tested in this audit; state why.</t>
  </si>
  <si>
    <t xml:space="preserve">Evidence quality criteria (wiki): evidence should be</t>
  </si>
  <si>
    <t xml:space="preserve">Exportable</t>
  </si>
  <si>
    <t xml:space="preserve">Timestamped</t>
  </si>
  <si>
    <t xml:space="preserve">Attributable to user, device or application where applicable</t>
  </si>
  <si>
    <t xml:space="preserve">Linked to a policy or control ID</t>
  </si>
  <si>
    <t xml:space="preserve">Retained according to approved retention requirements</t>
  </si>
  <si>
    <t xml:space="preserve">Sufficient for incident reconstruction and audit sampling</t>
  </si>
  <si>
    <t xml:space="preserve">One row per wiki control. Evidence, audit test, owner and frequency come from the Control Objectives Library; evidence owner from the Audit and Evidence Checklist.</t>
  </si>
  <si>
    <t xml:space="preserve">Control ID</t>
  </si>
  <si>
    <t xml:space="preserve">Control</t>
  </si>
  <si>
    <t xml:space="preserve">Control Area</t>
  </si>
  <si>
    <t xml:space="preserve">Tier</t>
  </si>
  <si>
    <t xml:space="preserve">Evidence Required</t>
  </si>
  <si>
    <t xml:space="preserve">Audit Test Procedure</t>
  </si>
  <si>
    <t xml:space="preserve">Control Owner</t>
  </si>
  <si>
    <t xml:space="preserve">Evidence Owner</t>
  </si>
  <si>
    <t xml:space="preserve">Review Frequency</t>
  </si>
  <si>
    <t xml:space="preserve">In Scope</t>
  </si>
  <si>
    <t xml:space="preserve">Sample Size</t>
  </si>
  <si>
    <t xml:space="preserve">Result</t>
  </si>
  <si>
    <t xml:space="preserve">Evidence Ref</t>
  </si>
  <si>
    <t xml:space="preserve">Evidence Collection Date</t>
  </si>
  <si>
    <t xml:space="preserve">Attributable</t>
  </si>
  <si>
    <t xml:space="preserve">Linked to control ID</t>
  </si>
  <si>
    <t xml:space="preserve">Retained</t>
  </si>
  <si>
    <t xml:space="preserve">Sufficient to reconstruct</t>
  </si>
  <si>
    <t xml:space="preserve">Quality Criteria Met</t>
  </si>
  <si>
    <t xml:space="preserve">Finding ID</t>
  </si>
  <si>
    <t xml:space="preserve">Auditor Notes</t>
  </si>
  <si>
    <t xml:space="preserve">Status</t>
  </si>
  <si>
    <t xml:space="preserve">Assurance Stage</t>
  </si>
  <si>
    <t xml:space="preserve">Deployment Model</t>
  </si>
  <si>
    <t xml:space="preserve">AI-CTRL-001</t>
  </si>
  <si>
    <t xml:space="preserve">AI Discovery</t>
  </si>
  <si>
    <t xml:space="preserve">Discovery and Workforce AI Use</t>
  </si>
  <si>
    <t xml:space="preserve">Baseline</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</si>
  <si>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</si>
  <si>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</si>
  <si>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Security Engineering</t>
  </si>
  <si>
    <t xml:space="preserve">Quarterly</t>
  </si>
  <si>
    <t xml:space="preserve">Yes</t>
  </si>
  <si>
    <t xml:space="preserve">Discovery</t>
  </si>
  <si>
    <t xml:space="preserve">All</t>
  </si>
  <si>
    <t xml:space="preserve">AI-CTRL-002</t>
  </si>
  <si>
    <t xml:space="preserve">Prompt Inspection</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</si>
  <si>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</si>
  <si>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</si>
  <si>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 Security Team</t>
  </si>
  <si>
    <t xml:space="preserve">Implementation</t>
  </si>
  <si>
    <t xml:space="preserve">AI-CTRL-003</t>
  </si>
  <si>
    <t xml:space="preserve">File Upload Protection</t>
  </si>
  <si>
    <t xml:space="preserve">Advanced</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</si>
  <si>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</si>
  <si>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</si>
  <si>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DLP Team</t>
  </si>
  <si>
    <t xml:space="preserve">AI-CTRL-004</t>
  </si>
  <si>
    <t xml:space="preserve">IDE AI Governance</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</si>
  <si>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</si>
  <si>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</si>
  <si>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DevSecOps</t>
  </si>
  <si>
    <t xml:space="preserve">AI-CTRL-005</t>
  </si>
  <si>
    <t xml:space="preserve">Runtime AI Security</t>
  </si>
  <si>
    <t xml:space="preserve">Application Runtime</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</si>
  <si>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</si>
  <si>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</si>
  <si>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AppSec</t>
  </si>
  <si>
    <t xml:space="preserve">Before each release and quarterly</t>
  </si>
  <si>
    <t xml:space="preserve">AI-CTRL-006</t>
  </si>
  <si>
    <t xml:space="preserve">Agent Governance</t>
  </si>
  <si>
    <t xml:space="preserve">Agents and Tools</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</si>
  <si>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</si>
  <si>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</si>
  <si>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 Platform Team</t>
  </si>
  <si>
    <t xml:space="preserve">Design</t>
  </si>
  <si>
    <t xml:space="preserve">AI-CTRL-007</t>
  </si>
  <si>
    <t xml:space="preserve">Data Sovereignty</t>
  </si>
  <si>
    <t xml:space="preserve">Governance and Compliance</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</si>
  <si>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</si>
  <si>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</si>
  <si>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GRC / Legal</t>
  </si>
  <si>
    <t xml:space="preserve">Annually and on vendor change</t>
  </si>
  <si>
    <t xml:space="preserve">Cloud</t>
  </si>
  <si>
    <t xml:space="preserve">AI-CTRL-008</t>
  </si>
  <si>
    <t xml:space="preserve">Auditability</t>
  </si>
  <si>
    <t xml:space="preserve">Detection and Response</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</si>
  <si>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</si>
  <si>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</si>
  <si>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Semi-annually</t>
  </si>
  <si>
    <t xml:space="preserve">Platform</t>
  </si>
  <si>
    <t xml:space="preserve">AI-CTRL-009</t>
  </si>
  <si>
    <t xml:space="preserve">SOC Integration</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</si>
  <si>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</si>
  <si>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</si>
  <si>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SOC</t>
  </si>
  <si>
    <t xml:space="preserve">Production</t>
  </si>
  <si>
    <t xml:space="preserve">AI-CTRL-010</t>
  </si>
  <si>
    <t xml:space="preserve">Policy Enforcement</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</si>
  <si>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</si>
  <si>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</si>
  <si>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AI-CTRL-011</t>
  </si>
  <si>
    <t xml:space="preserve">AI Use-Case Registry and Risk Tiering</t>
  </si>
  <si>
    <t xml:space="preserve">Use-case registry; intake and approval records; tiering criteria; re-tiering history.</t>
  </si>
  <si>
    <t xml:space="preserve">Sample use cases in production and confirm each has a registry entry, an owner and a tier consistent with the criteria. Sample registry entries and confirm they match what is deployed.</t>
  </si>
  <si>
    <t xml:space="preserve">AI Governance Lead</t>
  </si>
  <si>
    <t xml:space="preserve">AI-CTRL-012</t>
  </si>
  <si>
    <t xml:space="preserve">AI Policy, Roles and Acceptable Use</t>
  </si>
  <si>
    <t xml:space="preserve">Approved policy;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</si>
  <si>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</si>
  <si>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GRC</t>
  </si>
  <si>
    <t xml:space="preserve">Annually</t>
  </si>
  <si>
    <t xml:space="preserve">AI-CTRL-013</t>
  </si>
  <si>
    <t xml:space="preserve">Privacy and Regulatory Compliance</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</si>
  <si>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</si>
  <si>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</si>
  <si>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Privacy Office / Legal</t>
  </si>
  <si>
    <t xml:space="preserve">Annually and on material change</t>
  </si>
  <si>
    <t xml:space="preserve">AI-CTRL-014</t>
  </si>
  <si>
    <t xml:space="preserve">Third-Party and Vendor AI Assurance</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</si>
  <si>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</si>
  <si>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</si>
  <si>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Procurement / GRC</t>
  </si>
  <si>
    <t xml:space="preserve">AI-CTRL-015</t>
  </si>
  <si>
    <t xml:space="preserve">Human and Agent Identity</t>
  </si>
  <si>
    <t xml:space="preserve">Identity and Access</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</si>
  <si>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</si>
  <si>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</si>
  <si>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IAM Team</t>
  </si>
  <si>
    <t xml:space="preserve">AI-CTRL-016</t>
  </si>
  <si>
    <t xml:space="preserve">Least Privilege and Scoped Credentials</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</si>
  <si>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</si>
  <si>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</si>
  <si>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AI-CTRL-017</t>
  </si>
  <si>
    <t xml:space="preserve">Data Protection in AI Pipelines</t>
  </si>
  <si>
    <t xml:space="preserve">Data and Retrieval</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</si>
  <si>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</si>
  <si>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</si>
  <si>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Data Owner / Security Engineering</t>
  </si>
  <si>
    <t xml:space="preserve">AI-CTRL-018</t>
  </si>
  <si>
    <t xml:space="preserve">Retrieval Access Control</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</si>
  <si>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</si>
  <si>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</si>
  <si>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Application Owner</t>
  </si>
  <si>
    <t xml:space="preserve">AI-CTRL-019</t>
  </si>
  <si>
    <t xml:space="preserve">Knowledge Base Integrity</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</si>
  <si>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</si>
  <si>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</si>
  <si>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AI-CTRL-020</t>
  </si>
  <si>
    <t xml:space="preserve">Output Handling</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</si>
  <si>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</si>
  <si>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</si>
  <si>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AI-CTRL-021</t>
  </si>
  <si>
    <t xml:space="preserve">Multimodal and Voice Input Security</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</si>
  <si>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</si>
  <si>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</si>
  <si>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AI-CTRL-022</t>
  </si>
  <si>
    <t xml:space="preserve">Deterministic Action Authorization</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</si>
  <si>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</si>
  <si>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</si>
  <si>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Security Architecture</t>
  </si>
  <si>
    <t xml:space="preserve">AI-CTRL-023</t>
  </si>
  <si>
    <t xml:space="preserve">Human Approval for Sensitive Actions</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</si>
  <si>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</si>
  <si>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</si>
  <si>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AI-CTRL-024</t>
  </si>
  <si>
    <t xml:space="preserve">Tool and MCP Server Governance</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</si>
  <si>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</si>
  <si>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</si>
  <si>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AI-CTRL-025</t>
  </si>
  <si>
    <t xml:space="preserve">Agent Containment and Kill Switch</t>
  </si>
  <si>
    <t xml:space="preserve">Kill switch procedure; test records with timings; task limits configuration.</t>
  </si>
  <si>
    <t xml:space="preserve">Start a long-running test agent and stop it. Measure the time until no further actions occur and credentials are invalid.</t>
  </si>
  <si>
    <t xml:space="preserve">AI Platform Team / SOC</t>
  </si>
  <si>
    <t xml:space="preserve">AI-CTRL-026</t>
  </si>
  <si>
    <t xml:space="preserve">Agent Memory and Context Integrity</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</si>
  <si>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</si>
  <si>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</si>
  <si>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AI-CTRL-027</t>
  </si>
  <si>
    <t xml:space="preserve">Agent Execution Isolation</t>
  </si>
  <si>
    <t xml:space="preserve">Sandbox configuration; egress rules; isolation test results.</t>
  </si>
  <si>
    <t xml:space="preserve">Have a test agent run code that tries to reach the network, read secrets and write outside its workspace. Confirm each attempt fails and is logged.</t>
  </si>
  <si>
    <t xml:space="preserve">Platform Engineering</t>
  </si>
  <si>
    <t xml:space="preserve">AI-CTRL-028</t>
  </si>
  <si>
    <t xml:space="preserve">Model Protection</t>
  </si>
  <si>
    <t xml:space="preserve">Model, Training and Pipeline</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</si>
  <si>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</si>
  <si>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</si>
  <si>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ML Engineering</t>
  </si>
  <si>
    <t xml:space="preserve">PaaS/IaaS/Self-hosted</t>
  </si>
  <si>
    <t xml:space="preserve">AI-CTRL-029</t>
  </si>
  <si>
    <t xml:space="preserve">Training and Fine-Tuning Data Integrity</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</si>
  <si>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</si>
  <si>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</si>
  <si>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ML Engineering / Data Owner</t>
  </si>
  <si>
    <t xml:space="preserve">Before each training run</t>
  </si>
  <si>
    <t xml:space="preserve">AI-CTRL-030</t>
  </si>
  <si>
    <t xml:space="preserve">ML Pipeline and Model Registry Security</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</si>
  <si>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</si>
  <si>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</si>
  <si>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MLOps / DevSecOps</t>
  </si>
  <si>
    <t xml:space="preserve">AI-CTRL-031</t>
  </si>
  <si>
    <t xml:space="preserve">AI Supply Chain and AI-BOM</t>
  </si>
  <si>
    <t xml:space="preserve">Supply Chain, Infrastructure and Resilience</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</si>
  <si>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</si>
  <si>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</si>
  <si>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AI-CTRL-032</t>
  </si>
  <si>
    <t xml:space="preserve">AI Infrastructure Hardening</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</si>
  <si>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</si>
  <si>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</si>
  <si>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AI-CTRL-033</t>
  </si>
  <si>
    <t xml:space="preserve">AI Security Review and Release Gate</t>
  </si>
  <si>
    <t xml:space="preserve">Assurance and Testing</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</si>
  <si>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</si>
  <si>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</si>
  <si>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Before each release and annually</t>
  </si>
  <si>
    <t xml:space="preserve">AI-CTRL-034</t>
  </si>
  <si>
    <t xml:space="preserve">Adversarial Testing and Continuous Evaluation</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</si>
  <si>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</si>
  <si>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</si>
  <si>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 Red Team / AppSec</t>
  </si>
  <si>
    <t xml:space="preserve">Before each release and continuously</t>
  </si>
  <si>
    <t xml:space="preserve">AI-CTRL-035</t>
  </si>
  <si>
    <t xml:space="preserve">AI Incident Response and Forensics</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</si>
  <si>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</si>
  <si>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</si>
  <si>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SOC / Incident Response</t>
  </si>
  <si>
    <t xml:space="preserve">Annually and after each incident</t>
  </si>
  <si>
    <t xml:space="preserve">AI-CTRL-036</t>
  </si>
  <si>
    <t xml:space="preserve">AI Cost and Abuse Controls</t>
  </si>
  <si>
    <t xml:space="preserve">Cost and Abuse</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</si>
  <si>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</si>
  <si>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</si>
  <si>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FinOps / AI Platform Team</t>
  </si>
  <si>
    <t xml:space="preserve">AI-CTRL-037</t>
  </si>
  <si>
    <t xml:space="preserve">AI Risk Assessment and Exception Management</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</si>
  <si>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</si>
  <si>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</si>
  <si>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Cyber Risk / GRC</t>
  </si>
  <si>
    <t xml:space="preserve">AI-CTRL-038</t>
  </si>
  <si>
    <t xml:space="preserve">Control Assurance and Audit Evidence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</si>
  <si>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</si>
  <si>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</si>
  <si>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GRC / Internal Audit</t>
  </si>
  <si>
    <t xml:space="preserve">AI-CTRL-039</t>
  </si>
  <si>
    <t xml:space="preserve">Output Reliability and Content Safety</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</si>
  <si>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</si>
  <si>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</si>
  <si>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Application Owner / AppSec</t>
  </si>
  <si>
    <t xml:space="preserve">AI-CTRL-040</t>
  </si>
  <si>
    <t xml:space="preserve">AI Service Resilience and Fail-Safe Operation</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</si>
  <si>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</si>
  <si>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</si>
  <si>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Platform Engineering / Application Owner</t>
  </si>
  <si>
    <t xml:space="preserve">AI-CTRL-041</t>
  </si>
  <si>
    <t xml:space="preserve">Fairness, Bias Testing and Explainability</t>
  </si>
  <si>
    <t xml:space="preserve">Bias test plan and results;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</si>
  <si>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</si>
  <si>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 Governance Lead / Model Risk</t>
  </si>
  <si>
    <t xml:space="preserve">Annually and on material model change</t>
  </si>
  <si>
    <t xml:space="preserve">AI-CTRL-042</t>
  </si>
  <si>
    <t xml:space="preserve">Fundamental Rights and Data Protection Impact Assessment</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</si>
  <si>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</si>
  <si>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</si>
  <si>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Data Protection Officer / AI Governance Lead</t>
  </si>
  <si>
    <t xml:space="preserve">Before deployment, annually and on material change</t>
  </si>
  <si>
    <t xml:space="preserve">AI-CTRL-043</t>
  </si>
  <si>
    <t xml:space="preserve">Regulator and Authority Engagement</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</si>
  <si>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</si>
  <si>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</si>
  <si>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Legal / Compliance</t>
  </si>
  <si>
    <t xml:space="preserve">AI-CTRL-044</t>
  </si>
  <si>
    <t xml:space="preserve">AI Literacy and Role-Based Competence</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</si>
  <si>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</si>
  <si>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</si>
  <si>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 Governance Lead / HR</t>
  </si>
  <si>
    <t xml:space="preserve">Annually and on role change</t>
  </si>
  <si>
    <t xml:space="preserve">AI-CTRL-045</t>
  </si>
  <si>
    <t xml:space="preserve">Human Oversight Design and Effectiveness</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</si>
  <si>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</si>
  <si>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</si>
  <si>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 Governance Lead / Application Owner</t>
  </si>
  <si>
    <t xml:space="preserve">Semi-annually and on material change</t>
  </si>
  <si>
    <t xml:space="preserve">AI-CTRL-046</t>
  </si>
  <si>
    <t xml:space="preserve">Intellectual Property and Copyright Governance</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</si>
  <si>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</si>
  <si>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</si>
  <si>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Annually and when vendor terms change</t>
  </si>
  <si>
    <t xml:space="preserve">Regional Audit Tests (GCC and EU T08)</t>
  </si>
  <si>
    <t xml:space="preserve">The wiki's GCC and EU audit checklists. Their regional criteria are summarised from secondary sources and must be verified; this is not legal advice.</t>
  </si>
  <si>
    <t xml:space="preserve">Region</t>
  </si>
  <si>
    <t xml:space="preserve">#</t>
  </si>
  <si>
    <t xml:space="preserve">Section</t>
  </si>
  <si>
    <t xml:space="preserve">Test</t>
  </si>
  <si>
    <t xml:space="preserve">Wiki control</t>
  </si>
  <si>
    <t xml:space="preserve">Note</t>
  </si>
  <si>
    <t xml:space="preserve">GCC</t>
  </si>
  <si>
    <t xml:space="preserve">1.1</t>
  </si>
  <si>
    <t xml:space="preserve">Governance</t>
  </si>
  <si>
    <t xml:space="preserve">AI policy approved, dated within review cycle</t>
  </si>
  <si>
    <t xml:space="preserve">1.2</t>
  </si>
  <si>
    <t xml:space="preserve">Roles and accountability named incl. executive owner</t>
  </si>
  <si>
    <t xml:space="preserve">1.3</t>
  </si>
  <si>
    <t xml:space="preserve">Board or executive reporting on AI risk in period</t>
  </si>
  <si>
    <t xml:space="preserve">1.4</t>
  </si>
  <si>
    <t xml:space="preserve">Regulator and jurisdiction register current (T11)</t>
  </si>
  <si>
    <t xml:space="preserve">1.5</t>
  </si>
  <si>
    <t xml:space="preserve">Ethics review or equivalent for high-impact systems</t>
  </si>
  <si>
    <t xml:space="preserve">2.1</t>
  </si>
  <si>
    <t xml:space="preserve">Inventory and tiering</t>
  </si>
  <si>
    <t xml:space="preserve">Inventory exists with owner, purpose, tier, vendor, location</t>
  </si>
  <si>
    <t xml:space="preserve">2.2</t>
  </si>
  <si>
    <t xml:space="preserve">Completeness: 5 discovered systems appear in register</t>
  </si>
  <si>
    <t xml:space="preserve">2.3</t>
  </si>
  <si>
    <t xml:space="preserve">Tier decisions follow documented criteria (T01)</t>
  </si>
  <si>
    <t xml:space="preserve">2.4</t>
  </si>
  <si>
    <t xml:space="preserve">Vendor-embedded AI included</t>
  </si>
  <si>
    <t xml:space="preserve">AI-CTRL-011, AI-CTRL-014</t>
  </si>
  <si>
    <t xml:space="preserve">3.1</t>
  </si>
  <si>
    <t xml:space="preserve">Privacy and regulatory</t>
  </si>
  <si>
    <t xml:space="preserve">Lawful basis recorded for personal data use</t>
  </si>
  <si>
    <t xml:space="preserve">3.2</t>
  </si>
  <si>
    <t xml:space="preserve">Impact assessment completed before go-live (T02)</t>
  </si>
  <si>
    <t xml:space="preserve">AI-CTRL-013, AI-CTRL-037</t>
  </si>
  <si>
    <t xml:space="preserve">3.3</t>
  </si>
  <si>
    <t xml:space="preserve">Rights handling process tested</t>
  </si>
  <si>
    <t xml:space="preserve">3.4</t>
  </si>
  <si>
    <t xml:space="preserve">Notices in Arabic and English where required (T06)</t>
  </si>
  <si>
    <t xml:space="preserve">4.1</t>
  </si>
  <si>
    <t xml:space="preserve">Residency</t>
  </si>
  <si>
    <t xml:space="preserve">Attestation (T04) current and signed</t>
  </si>
  <si>
    <t xml:space="preserve">4.2</t>
  </si>
  <si>
    <t xml:space="preserve">Attestation matches cloud configuration (logs, backups, vector stores)</t>
  </si>
  <si>
    <t xml:space="preserve">4.3</t>
  </si>
  <si>
    <t xml:space="preserve">Transfers have a recorded legal view</t>
  </si>
  <si>
    <t xml:space="preserve">AI-CTRL-007, AI-CTRL-013</t>
  </si>
  <si>
    <t xml:space="preserve">5.1</t>
  </si>
  <si>
    <t xml:space="preserve">Vendors</t>
  </si>
  <si>
    <t xml:space="preserve">Due diligence (T03) before contract</t>
  </si>
  <si>
    <t xml:space="preserve">5.2</t>
  </si>
  <si>
    <t xml:space="preserve">Contract has training-use restriction, sub-processor notice, incident SLA, audit rights</t>
  </si>
  <si>
    <t xml:space="preserve">5.3</t>
  </si>
  <si>
    <t xml:space="preserve">Model-change notices handled</t>
  </si>
  <si>
    <t xml:space="preserve">6.1</t>
  </si>
  <si>
    <t xml:space="preserve">Oversight and safety</t>
  </si>
  <si>
    <t xml:space="preserve">Human approval step exists for high-impact decisions</t>
  </si>
  <si>
    <t xml:space="preserve">6.2</t>
  </si>
  <si>
    <t xml:space="preserve">Reviewer challenge evidenced (not rubber-stamp)</t>
  </si>
  <si>
    <t xml:space="preserve">6.3</t>
  </si>
  <si>
    <t xml:space="preserve">Kill switch tested in period</t>
  </si>
  <si>
    <t xml:space="preserve">6.4</t>
  </si>
  <si>
    <t xml:space="preserve">Accuracy, safety and robustness tests current, incl. Arabic</t>
  </si>
  <si>
    <t xml:space="preserve">6.5</t>
  </si>
  <si>
    <t xml:space="preserve">Prompt-injection and exfiltration testing for generative or agentic systems</t>
  </si>
  <si>
    <t xml:space="preserve">AI-CTRL-005, AI-CTRL-039</t>
  </si>
  <si>
    <t xml:space="preserve">7.1</t>
  </si>
  <si>
    <t xml:space="preserve">Fairness (AI-CTRL-041)</t>
  </si>
  <si>
    <t xml:space="preserve">High-impact decisions defined</t>
  </si>
  <si>
    <t xml:space="preserve">7.2</t>
  </si>
  <si>
    <t xml:space="preserve">Bias test current (pre-release, annual, on change)</t>
  </si>
  <si>
    <t xml:space="preserve">7.3</t>
  </si>
  <si>
    <t xml:space="preserve">Re-performance of one test</t>
  </si>
  <si>
    <t xml:space="preserve">7.4</t>
  </si>
  <si>
    <t xml:space="preserve">Explanation record traced for sample</t>
  </si>
  <si>
    <t xml:space="preserve">8.1</t>
  </si>
  <si>
    <t xml:space="preserve">Incident</t>
  </si>
  <si>
    <t xml:space="preserve">Playbook includes AI incident types</t>
  </si>
  <si>
    <t xml:space="preserve">8.2</t>
  </si>
  <si>
    <t xml:space="preserve">Notification matrix complete (T05)</t>
  </si>
  <si>
    <t xml:space="preserve">8.3</t>
  </si>
  <si>
    <t xml:space="preserve">Exercise held in period</t>
  </si>
  <si>
    <t xml:space="preserve">8.4</t>
  </si>
  <si>
    <t xml:space="preserve">Incidents in period notified on time</t>
  </si>
  <si>
    <t xml:space="preserve">9.1</t>
  </si>
  <si>
    <t xml:space="preserve">Evidence and assurance</t>
  </si>
  <si>
    <t xml:space="preserve">Evidence retained and retrievable</t>
  </si>
  <si>
    <t xml:space="preserve">9.2</t>
  </si>
  <si>
    <t xml:space="preserve">Previous findings closed</t>
  </si>
  <si>
    <t xml:space="preserve">EU</t>
  </si>
  <si>
    <t xml:space="preserve">Governance and literacy</t>
  </si>
  <si>
    <t xml:space="preserve">AI policy approved and current</t>
  </si>
  <si>
    <t xml:space="preserve">Roles and executive accountability named</t>
  </si>
  <si>
    <t xml:space="preserve">Board reporting in period</t>
  </si>
  <si>
    <t xml:space="preserve">AI literacy programme with records (T07)</t>
  </si>
  <si>
    <t xml:space="preserve">Authority register current (T11)</t>
  </si>
  <si>
    <t xml:space="preserve">Inventory and classification</t>
  </si>
  <si>
    <t xml:space="preserve">Inventory complete with owner, role, tier (T09)</t>
  </si>
  <si>
    <t xml:space="preserve">Completeness test: 5 discovered systems appear in register</t>
  </si>
  <si>
    <t xml:space="preserve">Independent re-classification of a sample agrees</t>
  </si>
  <si>
    <t xml:space="preserve">Prohibited screen recorded</t>
  </si>
  <si>
    <t xml:space="preserve">2.5</t>
  </si>
  <si>
    <t xml:space="preserve">Art. 6(3) cases documented and registered</t>
  </si>
  <si>
    <t xml:space="preserve">2.6</t>
  </si>
  <si>
    <t xml:space="preserve">Provider requirements (high-risk)</t>
  </si>
  <si>
    <t xml:space="preserve">Risk management process across lifecycle</t>
  </si>
  <si>
    <t xml:space="preserve">Data governance and bias examination</t>
  </si>
  <si>
    <t xml:space="preserve">AI-CTRL-013, AI-CTRL-041</t>
  </si>
  <si>
    <t xml:space="preserve">Technical documentation complete (T10)</t>
  </si>
  <si>
    <t xml:space="preserve">Logging reconstructs a decision</t>
  </si>
  <si>
    <t xml:space="preserve">AI-CTRL-008, AI-CTRL-038</t>
  </si>
  <si>
    <t xml:space="preserve">3.5</t>
  </si>
  <si>
    <t xml:space="preserve">Instructions for use adequate</t>
  </si>
  <si>
    <t xml:space="preserve">3.6</t>
  </si>
  <si>
    <t xml:space="preserve">Human oversight design</t>
  </si>
  <si>
    <t xml:space="preserve">3.7</t>
  </si>
  <si>
    <t xml:space="preserve">Accuracy, robustness, cybersecurity tested</t>
  </si>
  <si>
    <t xml:space="preserve">AI-CTRL-005, AI-CTRL-034, AI-CTRL-039</t>
  </si>
  <si>
    <t xml:space="preserve">3.8</t>
  </si>
  <si>
    <t xml:space="preserve">QMS in place</t>
  </si>
  <si>
    <t xml:space="preserve">3.9</t>
  </si>
  <si>
    <t xml:space="preserve">Conformity route, declaration, CE marking, registration</t>
  </si>
  <si>
    <t xml:space="preserve">3.10</t>
  </si>
  <si>
    <t xml:space="preserve">Post-market monitoring active</t>
  </si>
  <si>
    <t xml:space="preserve">Deployer requirements</t>
  </si>
  <si>
    <t xml:space="preserve">Used per instructions</t>
  </si>
  <si>
    <t xml:space="preserve">Oversight assigned to competent staff</t>
  </si>
  <si>
    <t xml:space="preserve">Input data relevance checked</t>
  </si>
  <si>
    <t xml:space="preserve">4.4</t>
  </si>
  <si>
    <t xml:space="preserve">Logs retained for required period</t>
  </si>
  <si>
    <t xml:space="preserve">4.5</t>
  </si>
  <si>
    <t xml:space="preserve">Workers informed</t>
  </si>
  <si>
    <t xml:space="preserve">4.6</t>
  </si>
  <si>
    <t xml:space="preserve">FRIA done where required</t>
  </si>
  <si>
    <t xml:space="preserve">4.7</t>
  </si>
  <si>
    <t xml:space="preserve">Serious incidents reported to provider and authority</t>
  </si>
  <si>
    <t xml:space="preserve">Privacy</t>
  </si>
  <si>
    <t xml:space="preserve">Lawful basis recorded</t>
  </si>
  <si>
    <t xml:space="preserve">DPIA before go-live (T02)</t>
  </si>
  <si>
    <t xml:space="preserve">AI-CTRL-013, AI-CTRL-042</t>
  </si>
  <si>
    <t xml:space="preserve">Rights handling tested</t>
  </si>
  <si>
    <t xml:space="preserve">5.4</t>
  </si>
  <si>
    <t xml:space="preserve">Art. 22 safeguards for automated decisions</t>
  </si>
  <si>
    <t xml:space="preserve">AI-CTRL-013, AI-CTRL-023</t>
  </si>
  <si>
    <t xml:space="preserve">5.5</t>
  </si>
  <si>
    <t xml:space="preserve">Transfers assessed (T04)</t>
  </si>
  <si>
    <t xml:space="preserve">Transparency</t>
  </si>
  <si>
    <t xml:space="preserve">AI interaction disclosed</t>
  </si>
  <si>
    <t xml:space="preserve">Synthetic content marked and tested</t>
  </si>
  <si>
    <t xml:space="preserve">Deepfake labels</t>
  </si>
  <si>
    <t xml:space="preserve">Notice reviewed in required languages (T06)</t>
  </si>
  <si>
    <t xml:space="preserve">Fairness</t>
  </si>
  <si>
    <t xml:space="preserve">Bias test current</t>
  </si>
  <si>
    <t xml:space="preserve">Special category necessity record</t>
  </si>
  <si>
    <t xml:space="preserve">7.5</t>
  </si>
  <si>
    <t xml:space="preserve">Explanation traced for sample</t>
  </si>
  <si>
    <t xml:space="preserve">Suppliers</t>
  </si>
  <si>
    <t xml:space="preserve">Due diligence before contract (T03)</t>
  </si>
  <si>
    <t xml:space="preserve">Contract clauses present</t>
  </si>
  <si>
    <t xml:space="preserve">Supplier documentation available</t>
  </si>
  <si>
    <t xml:space="preserve">GPAI downstream information held (T12)</t>
  </si>
  <si>
    <t xml:space="preserve">Multi-regime playbook (T05)</t>
  </si>
  <si>
    <t xml:space="preserve">Notification matrix complete</t>
  </si>
  <si>
    <t xml:space="preserve">9.3</t>
  </si>
  <si>
    <t xml:space="preserve">Exercise in period</t>
  </si>
  <si>
    <t xml:space="preserve">9.4</t>
  </si>
  <si>
    <t xml:space="preserve">Incidents notified on time</t>
  </si>
  <si>
    <t xml:space="preserve">10.1</t>
  </si>
  <si>
    <t xml:space="preserve">Evidence</t>
  </si>
  <si>
    <t xml:space="preserve">10.2</t>
  </si>
  <si>
    <t xml:space="preserve">Prior findings closed</t>
  </si>
  <si>
    <t xml:space="preserve">Evidence Request Register</t>
  </si>
  <si>
    <t xml:space="preserve">Starter evidence lists from the wiki's GCC and EU evidence registers. Add rows for anything else you request. Status is calculated.</t>
  </si>
  <si>
    <t xml:space="preserve">Ref</t>
  </si>
  <si>
    <t xml:space="preserve">Family</t>
  </si>
  <si>
    <t xml:space="preserve">Evidence item</t>
  </si>
  <si>
    <t xml:space="preserve">Format</t>
  </si>
  <si>
    <t xml:space="preserve">Requested From</t>
  </si>
  <si>
    <t xml:space="preserve">Requested Date</t>
  </si>
  <si>
    <t xml:space="preserve">Due Date</t>
  </si>
  <si>
    <t xml:space="preserve">Received Date</t>
  </si>
  <si>
    <t xml:space="preserve">Location or Link</t>
  </si>
  <si>
    <t xml:space="preserve">GCC-E01</t>
  </si>
  <si>
    <t xml:space="preserve">AI policy approved and dated</t>
  </si>
  <si>
    <t xml:space="preserve">Policy document</t>
  </si>
  <si>
    <t xml:space="preserve">GCC-E02</t>
  </si>
  <si>
    <t xml:space="preserve">Role and accountability matrix</t>
  </si>
  <si>
    <t xml:space="preserve">RACI</t>
  </si>
  <si>
    <t xml:space="preserve">GCC-E03</t>
  </si>
  <si>
    <t xml:space="preserve">Board or executive AI risk reports</t>
  </si>
  <si>
    <t xml:space="preserve">Minutes, packs</t>
  </si>
  <si>
    <t xml:space="preserve">GCC-E04</t>
  </si>
  <si>
    <t xml:space="preserve">Inventory</t>
  </si>
  <si>
    <t xml:space="preserve">AI inventory (T09)</t>
  </si>
  <si>
    <t xml:space="preserve">Register export</t>
  </si>
  <si>
    <t xml:space="preserve">GCC-E05</t>
  </si>
  <si>
    <t xml:space="preserve">Discovery sweep output</t>
  </si>
  <si>
    <t xml:space="preserve">Procurement / SaaS / cloud list</t>
  </si>
  <si>
    <t xml:space="preserve">GCC-E06</t>
  </si>
  <si>
    <t xml:space="preserve">Tiering records (T01)</t>
  </si>
  <si>
    <t xml:space="preserve">Completed forms</t>
  </si>
  <si>
    <t xml:space="preserve">GCC-E07</t>
  </si>
  <si>
    <t xml:space="preserve">Impact assessments (T02)</t>
  </si>
  <si>
    <t xml:space="preserve">Signed assessments</t>
  </si>
  <si>
    <t xml:space="preserve">GCC-E08</t>
  </si>
  <si>
    <t xml:space="preserve">Lawful basis record</t>
  </si>
  <si>
    <t xml:space="preserve">DPO record</t>
  </si>
  <si>
    <t xml:space="preserve">GCC-E09</t>
  </si>
  <si>
    <t xml:space="preserve">Rights-request log and test</t>
  </si>
  <si>
    <t xml:space="preserve">Log, test record</t>
  </si>
  <si>
    <t xml:space="preserve">GCC-E10</t>
  </si>
  <si>
    <t xml:space="preserve">Bilingual notices (T06)</t>
  </si>
  <si>
    <t xml:space="preserve">Screenshots, version history</t>
  </si>
  <si>
    <t xml:space="preserve">GCC-E11</t>
  </si>
  <si>
    <t xml:space="preserve">Attestation (T04)</t>
  </si>
  <si>
    <t xml:space="preserve">Signed form</t>
  </si>
  <si>
    <t xml:space="preserve">GCC-E12</t>
  </si>
  <si>
    <t xml:space="preserve">Cloud region configuration export</t>
  </si>
  <si>
    <t xml:space="preserve">Config export</t>
  </si>
  <si>
    <t xml:space="preserve">GCC-E13</t>
  </si>
  <si>
    <t xml:space="preserve">Vendor</t>
  </si>
  <si>
    <t xml:space="preserve">Due diligence (T03)</t>
  </si>
  <si>
    <t xml:space="preserve">Completed addendum</t>
  </si>
  <si>
    <t xml:space="preserve">GCC-E14</t>
  </si>
  <si>
    <t xml:space="preserve">Contract clauses</t>
  </si>
  <si>
    <t xml:space="preserve">Contract extract</t>
  </si>
  <si>
    <t xml:space="preserve">GCC-E15</t>
  </si>
  <si>
    <t xml:space="preserve">Oversight</t>
  </si>
  <si>
    <t xml:space="preserve">Human review log with overrides</t>
  </si>
  <si>
    <t xml:space="preserve">Log extract</t>
  </si>
  <si>
    <t xml:space="preserve">GCC-E16</t>
  </si>
  <si>
    <t xml:space="preserve">Kill-switch test record</t>
  </si>
  <si>
    <t xml:space="preserve">Test report</t>
  </si>
  <si>
    <t xml:space="preserve">GCC-E17</t>
  </si>
  <si>
    <t xml:space="preserve">Safety</t>
  </si>
  <si>
    <t xml:space="preserve">Accuracy, robustness, safety test reports (incl. Arabic)</t>
  </si>
  <si>
    <t xml:space="preserve">Reports</t>
  </si>
  <si>
    <t xml:space="preserve">GCC-E18</t>
  </si>
  <si>
    <t xml:space="preserve">Security</t>
  </si>
  <si>
    <t xml:space="preserve">Prompt-injection / exfiltration test</t>
  </si>
  <si>
    <t xml:space="preserve">AI-CTRL-005; AI-CTRL-039</t>
  </si>
  <si>
    <t xml:space="preserve">Pen-test report</t>
  </si>
  <si>
    <t xml:space="preserve">GCC-E19</t>
  </si>
  <si>
    <t xml:space="preserve">Bias test records (T10)</t>
  </si>
  <si>
    <t xml:space="preserve">Records, code hash</t>
  </si>
  <si>
    <t xml:space="preserve">GCC-E20</t>
  </si>
  <si>
    <t xml:space="preserve">Explanation records sample</t>
  </si>
  <si>
    <t xml:space="preserve">Sample</t>
  </si>
  <si>
    <t xml:space="preserve">GCC-E21</t>
  </si>
  <si>
    <t xml:space="preserve">Playbook and notification matrix (T05)</t>
  </si>
  <si>
    <t xml:space="preserve">Documents</t>
  </si>
  <si>
    <t xml:space="preserve">GCC-E22</t>
  </si>
  <si>
    <t xml:space="preserve">Tabletop exercise report</t>
  </si>
  <si>
    <t xml:space="preserve">Report</t>
  </si>
  <si>
    <t xml:space="preserve">GCC-E23</t>
  </si>
  <si>
    <t xml:space="preserve">Incident register</t>
  </si>
  <si>
    <t xml:space="preserve">Register</t>
  </si>
  <si>
    <t xml:space="preserve">GCC-E24</t>
  </si>
  <si>
    <t xml:space="preserve">Regulator</t>
  </si>
  <si>
    <t xml:space="preserve">Authority register and contact log (T11)</t>
  </si>
  <si>
    <t xml:space="preserve">T11</t>
  </si>
  <si>
    <t xml:space="preserve">GCC-E25</t>
  </si>
  <si>
    <t xml:space="preserve">Risk</t>
  </si>
  <si>
    <t xml:space="preserve">Risk register (T12)</t>
  </si>
  <si>
    <t xml:space="preserve">GCC-E26</t>
  </si>
  <si>
    <t xml:space="preserve">Assurance</t>
  </si>
  <si>
    <t xml:space="preserve">Evidence retention rule</t>
  </si>
  <si>
    <t xml:space="preserve">Policy</t>
  </si>
  <si>
    <t xml:space="preserve">GCC-E27</t>
  </si>
  <si>
    <t xml:space="preserve">Prior findings tracker</t>
  </si>
  <si>
    <t xml:space="preserve">Tracker</t>
  </si>
  <si>
    <t xml:space="preserve">EU-E01</t>
  </si>
  <si>
    <t xml:space="preserve">AI policy approved</t>
  </si>
  <si>
    <t xml:space="preserve">EU-E02</t>
  </si>
  <si>
    <t xml:space="preserve">Roles and accountability matrix</t>
  </si>
  <si>
    <t xml:space="preserve">EU-E03</t>
  </si>
  <si>
    <t xml:space="preserve">Board AI risk reporting</t>
  </si>
  <si>
    <t xml:space="preserve">Minutes</t>
  </si>
  <si>
    <t xml:space="preserve">EU-E04</t>
  </si>
  <si>
    <t xml:space="preserve">Literacy</t>
  </si>
  <si>
    <t xml:space="preserve">Programme and completion records (T07)</t>
  </si>
  <si>
    <t xml:space="preserve">Records</t>
  </si>
  <si>
    <t xml:space="preserve">EU-E05</t>
  </si>
  <si>
    <t xml:space="preserve">Export</t>
  </si>
  <si>
    <t xml:space="preserve">EU-E06</t>
  </si>
  <si>
    <t xml:space="preserve">List</t>
  </si>
  <si>
    <t xml:space="preserve">EU-E07</t>
  </si>
  <si>
    <t xml:space="preserve">Classification</t>
  </si>
  <si>
    <t xml:space="preserve">Classification records incl. role and Art. 5 screen (T01)</t>
  </si>
  <si>
    <t xml:space="preserve">Forms</t>
  </si>
  <si>
    <t xml:space="preserve">EU-E08</t>
  </si>
  <si>
    <t xml:space="preserve">Art. 6(3) assessments and registration</t>
  </si>
  <si>
    <t xml:space="preserve">EU-E09</t>
  </si>
  <si>
    <t xml:space="preserve">Risk management records</t>
  </si>
  <si>
    <t xml:space="preserve">EU-E10</t>
  </si>
  <si>
    <t xml:space="preserve">Data</t>
  </si>
  <si>
    <t xml:space="preserve">Data governance and bias examination (T10)</t>
  </si>
  <si>
    <t xml:space="preserve">AI-CTRL-013; AI-CTRL-041</t>
  </si>
  <si>
    <t xml:space="preserve">EU-E11</t>
  </si>
  <si>
    <t xml:space="preserve">Documentation</t>
  </si>
  <si>
    <t xml:space="preserve">Technical file (T10)</t>
  </si>
  <si>
    <t xml:space="preserve">File index</t>
  </si>
  <si>
    <t xml:space="preserve">EU-E12</t>
  </si>
  <si>
    <t xml:space="preserve">Instructions for use</t>
  </si>
  <si>
    <t xml:space="preserve">Document</t>
  </si>
  <si>
    <t xml:space="preserve">EU-E13</t>
  </si>
  <si>
    <t xml:space="preserve">Logging</t>
  </si>
  <si>
    <t xml:space="preserve">Log design and sample reconstruction</t>
  </si>
  <si>
    <t xml:space="preserve">AI-CTRL-008; AI-CTRL-038</t>
  </si>
  <si>
    <t xml:space="preserve">Samples</t>
  </si>
  <si>
    <t xml:space="preserve">EU-E14</t>
  </si>
  <si>
    <t xml:space="preserve">Oversight design and review logs with overrides</t>
  </si>
  <si>
    <t xml:space="preserve">Logs</t>
  </si>
  <si>
    <t xml:space="preserve">EU-E15</t>
  </si>
  <si>
    <t xml:space="preserve">EU-E16</t>
  </si>
  <si>
    <t xml:space="preserve">Robustness and adversarial test reports</t>
  </si>
  <si>
    <t xml:space="preserve">AI-CTRL-005; AI-CTRL-034; AI-CTRL-039</t>
  </si>
  <si>
    <t xml:space="preserve">EU-E17</t>
  </si>
  <si>
    <t xml:space="preserve">Conformity</t>
  </si>
  <si>
    <t xml:space="preserve">Declaration, CE marking, registration evidence</t>
  </si>
  <si>
    <t xml:space="preserve">Copies</t>
  </si>
  <si>
    <t xml:space="preserve">EU-E18</t>
  </si>
  <si>
    <t xml:space="preserve">DPIA/FRIA (T02) with DPO advice</t>
  </si>
  <si>
    <t xml:space="preserve">AI-CTRL-013; AI-CTRL-042</t>
  </si>
  <si>
    <t xml:space="preserve">Assessments</t>
  </si>
  <si>
    <t xml:space="preserve">EU-E19</t>
  </si>
  <si>
    <t xml:space="preserve">Lawful basis records</t>
  </si>
  <si>
    <t xml:space="preserve">EU-E20</t>
  </si>
  <si>
    <t xml:space="preserve">Rights request log and test</t>
  </si>
  <si>
    <t xml:space="preserve">Log</t>
  </si>
  <si>
    <t xml:space="preserve">EU-E21</t>
  </si>
  <si>
    <t xml:space="preserve">Transfers</t>
  </si>
  <si>
    <t xml:space="preserve">Location and transfer record (T04) with TIA</t>
  </si>
  <si>
    <t xml:space="preserve">EU-E22</t>
  </si>
  <si>
    <t xml:space="preserve">Notices and marking tests (T06)</t>
  </si>
  <si>
    <t xml:space="preserve">Screenshots, tests</t>
  </si>
  <si>
    <t xml:space="preserve">EU-E23</t>
  </si>
  <si>
    <t xml:space="preserve">Bias test records</t>
  </si>
  <si>
    <t xml:space="preserve">EU-E24</t>
  </si>
  <si>
    <t xml:space="preserve">EU-E25</t>
  </si>
  <si>
    <t xml:space="preserve">Due diligence (T03) and contracts</t>
  </si>
  <si>
    <t xml:space="preserve">EU-E26</t>
  </si>
  <si>
    <t xml:space="preserve">GPAI</t>
  </si>
  <si>
    <t xml:space="preserve">GPAI checklist (T12)</t>
  </si>
  <si>
    <t xml:space="preserve">Checklist</t>
  </si>
  <si>
    <t xml:space="preserve">EU-E27</t>
  </si>
  <si>
    <t xml:space="preserve">Playbook and regime matrix (T05)</t>
  </si>
  <si>
    <t xml:space="preserve">EU-E28</t>
  </si>
  <si>
    <t xml:space="preserve">Tabletop report and incident register</t>
  </si>
  <si>
    <t xml:space="preserve">EU-E29</t>
  </si>
  <si>
    <t xml:space="preserve">Post-market</t>
  </si>
  <si>
    <t xml:space="preserve">Monitoring plan and results</t>
  </si>
  <si>
    <t xml:space="preserve">EU-E30</t>
  </si>
  <si>
    <t xml:space="preserve">Authorities</t>
  </si>
  <si>
    <t xml:space="preserve">EU-E31</t>
  </si>
  <si>
    <t xml:space="preserve">Evidence retention rule and prior findings tracker</t>
  </si>
  <si>
    <t xml:space="preserve">Every P or I result needs a finding. Prior findings must be closed (wiki T08 test 9.2 / 10.2).</t>
  </si>
  <si>
    <t xml:space="preserve">Control or Test Ref</t>
  </si>
  <si>
    <t xml:space="preserve">Finding</t>
  </si>
  <si>
    <t xml:space="preserve">Root Cause</t>
  </si>
  <si>
    <t xml:space="preserve">Recommendation</t>
  </si>
  <si>
    <t xml:space="preserve">Management Response</t>
  </si>
  <si>
    <t xml:space="preserve">Action Owner</t>
  </si>
  <si>
    <t xml:space="preserve">Closed Date</t>
  </si>
  <si>
    <t xml:space="preserve">Verified By</t>
  </si>
  <si>
    <t xml:space="preserve">Alert</t>
  </si>
  <si>
    <t xml:space="preserve">F-001</t>
  </si>
  <si>
    <t xml:space="preserve">F-002</t>
  </si>
  <si>
    <t xml:space="preserve">F-003</t>
  </si>
  <si>
    <t xml:space="preserve">F-004</t>
  </si>
  <si>
    <t xml:space="preserve">F-005</t>
  </si>
  <si>
    <t xml:space="preserve">F-006</t>
  </si>
  <si>
    <t xml:space="preserve">F-007</t>
  </si>
  <si>
    <t xml:space="preserve">F-008</t>
  </si>
  <si>
    <t xml:space="preserve">F-009</t>
  </si>
  <si>
    <t xml:space="preserve">F-010</t>
  </si>
  <si>
    <t xml:space="preserve">F-011</t>
  </si>
  <si>
    <t xml:space="preserve">F-012</t>
  </si>
  <si>
    <t xml:space="preserve">F-013</t>
  </si>
  <si>
    <t xml:space="preserve">F-014</t>
  </si>
  <si>
    <t xml:space="preserve">F-015</t>
  </si>
  <si>
    <t xml:space="preserve">F-016</t>
  </si>
  <si>
    <t xml:space="preserve">F-017</t>
  </si>
  <si>
    <t xml:space="preserve">F-018</t>
  </si>
  <si>
    <t xml:space="preserve">F-019</t>
  </si>
  <si>
    <t xml:space="preserve">F-020</t>
  </si>
  <si>
    <t xml:space="preserve">F-021</t>
  </si>
  <si>
    <t xml:space="preserve">F-022</t>
  </si>
  <si>
    <t xml:space="preserve">F-023</t>
  </si>
  <si>
    <t xml:space="preserve">F-024</t>
  </si>
  <si>
    <t xml:space="preserve">F-025</t>
  </si>
  <si>
    <t xml:space="preserve">F-026</t>
  </si>
  <si>
    <t xml:space="preserve">F-027</t>
  </si>
  <si>
    <t xml:space="preserve">F-028</t>
  </si>
  <si>
    <t xml:space="preserve">F-029</t>
  </si>
  <si>
    <t xml:space="preserve">F-030</t>
  </si>
  <si>
    <t xml:space="preserve">F-031</t>
  </si>
  <si>
    <t xml:space="preserve">F-032</t>
  </si>
  <si>
    <t xml:space="preserve">F-033</t>
  </si>
  <si>
    <t xml:space="preserve">F-034</t>
  </si>
  <si>
    <t xml:space="preserve">F-035</t>
  </si>
  <si>
    <t xml:space="preserve">F-036</t>
  </si>
  <si>
    <t xml:space="preserve">F-037</t>
  </si>
  <si>
    <t xml:space="preserve">F-038</t>
  </si>
  <si>
    <t xml:space="preserve">F-039</t>
  </si>
  <si>
    <t xml:space="preserve">F-040</t>
  </si>
  <si>
    <t xml:space="preserve">F-041</t>
  </si>
  <si>
    <t xml:space="preserve">F-042</t>
  </si>
  <si>
    <t xml:space="preserve">F-043</t>
  </si>
  <si>
    <t xml:space="preserve">F-044</t>
  </si>
  <si>
    <t xml:space="preserve">F-045</t>
  </si>
  <si>
    <t xml:space="preserve">F-046</t>
  </si>
  <si>
    <t xml:space="preserve">F-047</t>
  </si>
  <si>
    <t xml:space="preserve">F-048</t>
  </si>
  <si>
    <t xml:space="preserve">F-049</t>
  </si>
  <si>
    <t xml:space="preserve">F-050</t>
  </si>
  <si>
    <t xml:space="preserve">F-051</t>
  </si>
  <si>
    <t xml:space="preserve">F-052</t>
  </si>
  <si>
    <t xml:space="preserve">F-053</t>
  </si>
  <si>
    <t xml:space="preserve">F-054</t>
  </si>
  <si>
    <t xml:space="preserve">F-055</t>
  </si>
  <si>
    <t xml:space="preserve">F-056</t>
  </si>
  <si>
    <t xml:space="preserve">F-057</t>
  </si>
  <si>
    <t xml:space="preserve">F-058</t>
  </si>
  <si>
    <t xml:space="preserve">F-059</t>
  </si>
  <si>
    <t xml:space="preserve">F-060</t>
  </si>
  <si>
    <t xml:space="preserve">F-061</t>
  </si>
  <si>
    <t xml:space="preserve">F-062</t>
  </si>
  <si>
    <t xml:space="preserve">F-063</t>
  </si>
  <si>
    <t xml:space="preserve">F-064</t>
  </si>
  <si>
    <t xml:space="preserve">F-065</t>
  </si>
  <si>
    <t xml:space="preserve">F-066</t>
  </si>
  <si>
    <t xml:space="preserve">F-067</t>
  </si>
  <si>
    <t xml:space="preserve">F-068</t>
  </si>
  <si>
    <t xml:space="preserve">F-069</t>
  </si>
  <si>
    <t xml:space="preserve">F-070</t>
  </si>
  <si>
    <t xml:space="preserve">F-071</t>
  </si>
  <si>
    <t xml:space="preserve">F-072</t>
  </si>
  <si>
    <t xml:space="preserve">F-073</t>
  </si>
  <si>
    <t xml:space="preserve">F-074</t>
  </si>
  <si>
    <t xml:space="preserve">F-075</t>
  </si>
  <si>
    <t xml:space="preserve">F-076</t>
  </si>
  <si>
    <t xml:space="preserve">F-077</t>
  </si>
  <si>
    <t xml:space="preserve">F-078</t>
  </si>
  <si>
    <t xml:space="preserve">F-079</t>
  </si>
  <si>
    <t xml:space="preserve">F-080</t>
  </si>
  <si>
    <t xml:space="preserve">F-081</t>
  </si>
  <si>
    <t xml:space="preserve">F-082</t>
  </si>
  <si>
    <t xml:space="preserve">F-083</t>
  </si>
  <si>
    <t xml:space="preserve">F-084</t>
  </si>
  <si>
    <t xml:space="preserve">F-085</t>
  </si>
  <si>
    <t xml:space="preserve">F-086</t>
  </si>
  <si>
    <t xml:space="preserve">F-087</t>
  </si>
  <si>
    <t xml:space="preserve">F-088</t>
  </si>
  <si>
    <t xml:space="preserve">F-089</t>
  </si>
  <si>
    <t xml:space="preserve">F-090</t>
  </si>
  <si>
    <t xml:space="preserve">F-091</t>
  </si>
  <si>
    <t xml:space="preserve">F-092</t>
  </si>
  <si>
    <t xml:space="preserve">F-093</t>
  </si>
  <si>
    <t xml:space="preserve">F-094</t>
  </si>
  <si>
    <t xml:space="preserve">F-095</t>
  </si>
  <si>
    <t xml:space="preserve">F-096</t>
  </si>
  <si>
    <t xml:space="preserve">F-097</t>
  </si>
  <si>
    <t xml:space="preserve">F-098</t>
  </si>
  <si>
    <t xml:space="preserve">F-099</t>
  </si>
  <si>
    <t xml:space="preserve">F-100</t>
  </si>
  <si>
    <t xml:space="preserve">F-101</t>
  </si>
  <si>
    <t xml:space="preserve">F-102</t>
  </si>
  <si>
    <t xml:space="preserve">F-103</t>
  </si>
  <si>
    <t xml:space="preserve">F-104</t>
  </si>
  <si>
    <t xml:space="preserve">F-105</t>
  </si>
  <si>
    <t xml:space="preserve">F-106</t>
  </si>
  <si>
    <t xml:space="preserve">F-107</t>
  </si>
  <si>
    <t xml:space="preserve">F-108</t>
  </si>
  <si>
    <t xml:space="preserve">F-109</t>
  </si>
  <si>
    <t xml:space="preserve">F-110</t>
  </si>
  <si>
    <t xml:space="preserve">F-111</t>
  </si>
  <si>
    <t xml:space="preserve">F-112</t>
  </si>
  <si>
    <t xml:space="preserve">F-113</t>
  </si>
  <si>
    <t xml:space="preserve">F-114</t>
  </si>
  <si>
    <t xml:space="preserve">F-115</t>
  </si>
  <si>
    <t xml:space="preserve">F-116</t>
  </si>
  <si>
    <t xml:space="preserve">F-117</t>
  </si>
  <si>
    <t xml:space="preserve">F-118</t>
  </si>
  <si>
    <t xml:space="preserve">F-119</t>
  </si>
  <si>
    <t xml:space="preserve">F-120</t>
  </si>
  <si>
    <t xml:space="preserve">F-121</t>
  </si>
  <si>
    <t xml:space="preserve">F-122</t>
  </si>
  <si>
    <t xml:space="preserve">F-123</t>
  </si>
  <si>
    <t xml:space="preserve">F-124</t>
  </si>
  <si>
    <t xml:space="preserve">F-125</t>
  </si>
  <si>
    <t xml:space="preserve">F-126</t>
  </si>
  <si>
    <t xml:space="preserve">F-127</t>
  </si>
  <si>
    <t xml:space="preserve">F-128</t>
  </si>
  <si>
    <t xml:space="preserve">F-129</t>
  </si>
  <si>
    <t xml:space="preserve">F-130</t>
  </si>
  <si>
    <t xml:space="preserve">F-131</t>
  </si>
  <si>
    <t xml:space="preserve">F-132</t>
  </si>
  <si>
    <t xml:space="preserve">F-133</t>
  </si>
  <si>
    <t xml:space="preserve">F-134</t>
  </si>
  <si>
    <t xml:space="preserve">F-135</t>
  </si>
  <si>
    <t xml:space="preserve">F-136</t>
  </si>
  <si>
    <t xml:space="preserve">F-137</t>
  </si>
  <si>
    <t xml:space="preserve">F-138</t>
  </si>
  <si>
    <t xml:space="preserve">F-139</t>
  </si>
  <si>
    <t xml:space="preserve">F-140</t>
  </si>
  <si>
    <t xml:space="preserve">F-141</t>
  </si>
  <si>
    <t xml:space="preserve">F-142</t>
  </si>
  <si>
    <t xml:space="preserve">F-143</t>
  </si>
  <si>
    <t xml:space="preserve">F-144</t>
  </si>
  <si>
    <t xml:space="preserve">F-145</t>
  </si>
  <si>
    <t xml:space="preserve">F-146</t>
  </si>
  <si>
    <t xml:space="preserve">F-147</t>
  </si>
  <si>
    <t xml:space="preserve">F-148</t>
  </si>
  <si>
    <t xml:space="preserve">F-149</t>
  </si>
  <si>
    <t xml:space="preserve">F-150</t>
  </si>
  <si>
    <t xml:space="preserve">F-151</t>
  </si>
  <si>
    <t xml:space="preserve">F-152</t>
  </si>
  <si>
    <t xml:space="preserve">F-153</t>
  </si>
  <si>
    <t xml:space="preserve">F-154</t>
  </si>
  <si>
    <t xml:space="preserve">F-155</t>
  </si>
  <si>
    <t xml:space="preserve">F-156</t>
  </si>
  <si>
    <t xml:space="preserve">F-157</t>
  </si>
  <si>
    <t xml:space="preserve">F-158</t>
  </si>
  <si>
    <t xml:space="preserve">F-159</t>
  </si>
  <si>
    <t xml:space="preserve">F-160</t>
  </si>
  <si>
    <t xml:space="preserve">F-161</t>
  </si>
  <si>
    <t xml:space="preserve">F-162</t>
  </si>
  <si>
    <t xml:space="preserve">F-163</t>
  </si>
  <si>
    <t xml:space="preserve">F-164</t>
  </si>
  <si>
    <t xml:space="preserve">F-165</t>
  </si>
  <si>
    <t xml:space="preserve">F-166</t>
  </si>
  <si>
    <t xml:space="preserve">F-167</t>
  </si>
  <si>
    <t xml:space="preserve">F-168</t>
  </si>
  <si>
    <t xml:space="preserve">F-169</t>
  </si>
  <si>
    <t xml:space="preserve">F-170</t>
  </si>
  <si>
    <t xml:space="preserve">F-171</t>
  </si>
  <si>
    <t xml:space="preserve">F-172</t>
  </si>
  <si>
    <t xml:space="preserve">F-173</t>
  </si>
  <si>
    <t xml:space="preserve">F-174</t>
  </si>
  <si>
    <t xml:space="preserve">F-175</t>
  </si>
  <si>
    <t xml:space="preserve">F-176</t>
  </si>
  <si>
    <t xml:space="preserve">F-177</t>
  </si>
  <si>
    <t xml:space="preserve">F-178</t>
  </si>
  <si>
    <t xml:space="preserve">F-179</t>
  </si>
  <si>
    <t xml:space="preserve">F-180</t>
  </si>
  <si>
    <t xml:space="preserve">F-181</t>
  </si>
  <si>
    <t xml:space="preserve">F-182</t>
  </si>
  <si>
    <t xml:space="preserve">F-183</t>
  </si>
  <si>
    <t xml:space="preserve">F-184</t>
  </si>
  <si>
    <t xml:space="preserve">F-185</t>
  </si>
  <si>
    <t xml:space="preserve">F-186</t>
  </si>
  <si>
    <t xml:space="preserve">F-187</t>
  </si>
  <si>
    <t xml:space="preserve">F-188</t>
  </si>
  <si>
    <t xml:space="preserve">F-189</t>
  </si>
  <si>
    <t xml:space="preserve">F-190</t>
  </si>
  <si>
    <t xml:space="preserve">F-191</t>
  </si>
  <si>
    <t xml:space="preserve">F-192</t>
  </si>
  <si>
    <t xml:space="preserve">F-193</t>
  </si>
  <si>
    <t xml:space="preserve">F-194</t>
  </si>
  <si>
    <t xml:space="preserve">F-195</t>
  </si>
  <si>
    <t xml:space="preserve">F-196</t>
  </si>
  <si>
    <t xml:space="preserve">F-197</t>
  </si>
  <si>
    <t xml:space="preserve">F-198</t>
  </si>
  <si>
    <t xml:space="preserve">F-199</t>
  </si>
  <si>
    <t xml:space="preserve">F-200</t>
  </si>
  <si>
    <t xml:space="preserve">Fields from the wiki's exception register. Every exception needs a compensating control, an approval and an expiry date.</t>
  </si>
  <si>
    <t xml:space="preserve">Exception ID</t>
  </si>
  <si>
    <t xml:space="preserve">AI System / Vendor</t>
  </si>
  <si>
    <t xml:space="preserve">Reason for Exception</t>
  </si>
  <si>
    <t xml:space="preserve">Compensating Control</t>
  </si>
  <si>
    <t xml:space="preserve">Business Owner</t>
  </si>
  <si>
    <t xml:space="preserve">Risk Owner</t>
  </si>
  <si>
    <t xml:space="preserve">Approval Date</t>
  </si>
  <si>
    <t xml:space="preserve">Expiry Date</t>
  </si>
  <si>
    <t xml:space="preserve">Review Status</t>
  </si>
  <si>
    <t xml:space="preserve">Expiry Check</t>
  </si>
  <si>
    <t xml:space="preserve">EX-001</t>
  </si>
  <si>
    <t xml:space="preserve">EX-002</t>
  </si>
  <si>
    <t xml:space="preserve">EX-003</t>
  </si>
  <si>
    <t xml:space="preserve">EX-004</t>
  </si>
  <si>
    <t xml:space="preserve">EX-005</t>
  </si>
  <si>
    <t xml:space="preserve">EX-006</t>
  </si>
  <si>
    <t xml:space="preserve">EX-007</t>
  </si>
  <si>
    <t xml:space="preserve">EX-008</t>
  </si>
  <si>
    <t xml:space="preserve">EX-009</t>
  </si>
  <si>
    <t xml:space="preserve">EX-010</t>
  </si>
  <si>
    <t xml:space="preserve">EX-011</t>
  </si>
  <si>
    <t xml:space="preserve">EX-012</t>
  </si>
  <si>
    <t xml:space="preserve">EX-013</t>
  </si>
  <si>
    <t xml:space="preserve">EX-014</t>
  </si>
  <si>
    <t xml:space="preserve">EX-015</t>
  </si>
  <si>
    <t xml:space="preserve">EX-016</t>
  </si>
  <si>
    <t xml:space="preserve">EX-017</t>
  </si>
  <si>
    <t xml:space="preserve">EX-018</t>
  </si>
  <si>
    <t xml:space="preserve">EX-019</t>
  </si>
  <si>
    <t xml:space="preserve">EX-020</t>
  </si>
  <si>
    <t xml:space="preserve">EX-021</t>
  </si>
  <si>
    <t xml:space="preserve">EX-022</t>
  </si>
  <si>
    <t xml:space="preserve">EX-023</t>
  </si>
  <si>
    <t xml:space="preserve">EX-024</t>
  </si>
  <si>
    <t xml:space="preserve">EX-025</t>
  </si>
  <si>
    <t xml:space="preserve">EX-026</t>
  </si>
  <si>
    <t xml:space="preserve">EX-027</t>
  </si>
  <si>
    <t xml:space="preserve">EX-028</t>
  </si>
  <si>
    <t xml:space="preserve">EX-029</t>
  </si>
  <si>
    <t xml:space="preserve">EX-030</t>
  </si>
  <si>
    <t xml:space="preserve">EX-031</t>
  </si>
  <si>
    <t xml:space="preserve">EX-032</t>
  </si>
  <si>
    <t xml:space="preserve">EX-033</t>
  </si>
  <si>
    <t xml:space="preserve">EX-034</t>
  </si>
  <si>
    <t xml:space="preserve">EX-035</t>
  </si>
  <si>
    <t xml:space="preserve">EX-036</t>
  </si>
  <si>
    <t xml:space="preserve">EX-037</t>
  </si>
  <si>
    <t xml:space="preserve">EX-038</t>
  </si>
  <si>
    <t xml:space="preserve">EX-039</t>
  </si>
  <si>
    <t xml:space="preserve">EX-040</t>
  </si>
  <si>
    <t xml:space="preserve">EX-041</t>
  </si>
  <si>
    <t xml:space="preserve">EX-042</t>
  </si>
  <si>
    <t xml:space="preserve">EX-043</t>
  </si>
  <si>
    <t xml:space="preserve">EX-044</t>
  </si>
  <si>
    <t xml:space="preserve">EX-045</t>
  </si>
  <si>
    <t xml:space="preserve">EX-046</t>
  </si>
  <si>
    <t xml:space="preserve">EX-047</t>
  </si>
  <si>
    <t xml:space="preserve">EX-048</t>
  </si>
  <si>
    <t xml:space="preserve">EX-049</t>
  </si>
  <si>
    <t xml:space="preserve">EX-050</t>
  </si>
  <si>
    <t xml:space="preserve">EX-051</t>
  </si>
  <si>
    <t xml:space="preserve">EX-052</t>
  </si>
  <si>
    <t xml:space="preserve">EX-053</t>
  </si>
  <si>
    <t xml:space="preserve">EX-054</t>
  </si>
  <si>
    <t xml:space="preserve">EX-055</t>
  </si>
  <si>
    <t xml:space="preserve">EX-056</t>
  </si>
  <si>
    <t xml:space="preserve">EX-057</t>
  </si>
  <si>
    <t xml:space="preserve">EX-058</t>
  </si>
  <si>
    <t xml:space="preserve">EX-059</t>
  </si>
  <si>
    <t xml:space="preserve">EX-060</t>
  </si>
  <si>
    <t xml:space="preserve">EX-061</t>
  </si>
  <si>
    <t xml:space="preserve">EX-062</t>
  </si>
  <si>
    <t xml:space="preserve">EX-063</t>
  </si>
  <si>
    <t xml:space="preserve">EX-064</t>
  </si>
  <si>
    <t xml:space="preserve">EX-065</t>
  </si>
  <si>
    <t xml:space="preserve">EX-066</t>
  </si>
  <si>
    <t xml:space="preserve">EX-067</t>
  </si>
  <si>
    <t xml:space="preserve">EX-068</t>
  </si>
  <si>
    <t xml:space="preserve">EX-069</t>
  </si>
  <si>
    <t xml:space="preserve">EX-070</t>
  </si>
  <si>
    <t xml:space="preserve">EX-071</t>
  </si>
  <si>
    <t xml:space="preserve">EX-072</t>
  </si>
  <si>
    <t xml:space="preserve">EX-073</t>
  </si>
  <si>
    <t xml:space="preserve">EX-074</t>
  </si>
  <si>
    <t xml:space="preserve">EX-075</t>
  </si>
  <si>
    <t xml:space="preserve">EX-076</t>
  </si>
  <si>
    <t xml:space="preserve">EX-077</t>
  </si>
  <si>
    <t xml:space="preserve">EX-078</t>
  </si>
  <si>
    <t xml:space="preserve">EX-079</t>
  </si>
  <si>
    <t xml:space="preserve">EX-080</t>
  </si>
  <si>
    <t xml:space="preserve">EX-081</t>
  </si>
  <si>
    <t xml:space="preserve">EX-082</t>
  </si>
  <si>
    <t xml:space="preserve">EX-083</t>
  </si>
  <si>
    <t xml:space="preserve">EX-084</t>
  </si>
  <si>
    <t xml:space="preserve">EX-085</t>
  </si>
  <si>
    <t xml:space="preserve">EX-086</t>
  </si>
  <si>
    <t xml:space="preserve">EX-087</t>
  </si>
  <si>
    <t xml:space="preserve">EX-088</t>
  </si>
  <si>
    <t xml:space="preserve">EX-089</t>
  </si>
  <si>
    <t xml:space="preserve">EX-090</t>
  </si>
  <si>
    <t xml:space="preserve">EX-091</t>
  </si>
  <si>
    <t xml:space="preserve">EX-092</t>
  </si>
  <si>
    <t xml:space="preserve">EX-093</t>
  </si>
  <si>
    <t xml:space="preserve">EX-094</t>
  </si>
  <si>
    <t xml:space="preserve">EX-095</t>
  </si>
  <si>
    <t xml:space="preserve">EX-096</t>
  </si>
  <si>
    <t xml:space="preserve">EX-097</t>
  </si>
  <si>
    <t xml:space="preserve">EX-098</t>
  </si>
  <si>
    <t xml:space="preserve">EX-099</t>
  </si>
  <si>
    <t xml:space="preserve">EX-100</t>
  </si>
  <si>
    <t xml:space="preserve">Preparing for ISO/IEC 42001 Certification</t>
  </si>
  <si>
    <t xml:space="preserve">From the wiki. Clause numbers and headings were checked by the wiki against the publisher's contents preview on 15 October 2026; the clause text was not read.</t>
  </si>
  <si>
    <t xml:space="preserve">ISO/IEC 42006 clause</t>
  </si>
  <si>
    <t xml:space="preserve">What it means for the organization being audited</t>
  </si>
  <si>
    <t xml:space="preserve">Wiki evidence to prepare</t>
  </si>
  <si>
    <t xml:space="preserve">Readiness</t>
  </si>
  <si>
    <t xml:space="preserve">Owner</t>
  </si>
  <si>
    <t xml:space="preserve">7.1.3 Specific technical competence requirements</t>
  </si>
  <si>
    <t xml:space="preserve">Expect auditors, or technical experts with them, who can examine AI-specific controls, not only management-system documents.</t>
  </si>
  <si>
    <t xml:space="preserve">The evidence in the tables above, by control</t>
  </si>
  <si>
    <t xml:space="preserve">8.4.2 Access to the documentation of the organization</t>
  </si>
  <si>
    <t xml:space="preserve">Agree in advance how auditors will see confidential material such as model documentation and test results.</t>
  </si>
  <si>
    <t xml:space="preserve">Evidence packs (AI-CTRL-038)</t>
  </si>
  <si>
    <t xml:space="preserve">9.1.3 Scope of certification</t>
  </si>
  <si>
    <t xml:space="preserve">The certificate states which AI systems and activities are in scope. Make sure the scope matches the AI systems you actually run.</t>
  </si>
  <si>
    <t xml:space="preserve">AI use-case registry (AI-CTRL-011)</t>
  </si>
  <si>
    <t xml:space="preserve">9.1.4 Determining audit time, and Annex A (normative) Audit time</t>
  </si>
  <si>
    <t xml:space="preserve">Audit effort depends on the AI management system's scope. A secondary source reports that the factors include the number of AI systems, high-risk uses and third-party AI; check this against the standard.</t>
  </si>
  <si>
    <t xml:space="preserve">Registry counts by risk tier; vendor AI list (AI-CTRL-014)</t>
  </si>
  <si>
    <t xml:space="preserve">9.6 Maintaining certification</t>
  </si>
  <si>
    <t xml:space="preserve">Surveillance audits sample controls between certification cycles, so evidence must stay current.</t>
  </si>
  <si>
    <t xml:space="preserve">Review dates in the control library; AI-CTRL-038</t>
  </si>
  <si>
    <t xml:space="preserve">When you rely on a supplier's ISO/IEC 42001 certificate, ask which AI systems it covers and which body issued it.</t>
  </si>
  <si>
    <t xml:space="preserve">YesNo</t>
  </si>
  <si>
    <t xml:space="preserve">FStatus</t>
  </si>
  <si>
    <t xml:space="preserve">Review</t>
  </si>
  <si>
    <t xml:space="preserve">Prep</t>
  </si>
  <si>
    <t xml:space="preserve">Open</t>
  </si>
  <si>
    <t xml:space="preserve">Active</t>
  </si>
  <si>
    <t xml:space="preserve">Not started</t>
  </si>
  <si>
    <t xml:space="preserve">No</t>
  </si>
  <si>
    <t xml:space="preserve">GCC only</t>
  </si>
  <si>
    <t xml:space="preserve">In remediation</t>
  </si>
  <si>
    <t xml:space="preserve">Under review</t>
  </si>
  <si>
    <t xml:space="preserve">In progress</t>
  </si>
  <si>
    <t xml:space="preserve">EU only</t>
  </si>
  <si>
    <t xml:space="preserve">Ready to verify</t>
  </si>
  <si>
    <t xml:space="preserve">Renewed</t>
  </si>
  <si>
    <t xml:space="preserve">Ready</t>
  </si>
  <si>
    <t xml:space="preserve">Neither (core controls only)</t>
  </si>
  <si>
    <t xml:space="preserve">Risk accepted</t>
  </si>
</sst>
</file>

<file path=xl/styles.xml><?xml version="1.0" encoding="utf-8"?>
<styleSheet xmlns="http://schemas.openxmlformats.org/spreadsheetml/2006/main">
  <numFmts count="3">
    <numFmt numFmtId="164" formatCode="General"/>
    <numFmt numFmtId="165" formatCode="General"/>
    <numFmt numFmtId="166" formatCode="yyyy\-mm\-dd"/>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s>
  <fills count="24">
    <fill>
      <patternFill patternType="none"/>
    </fill>
    <fill>
      <patternFill patternType="gray125"/>
    </fill>
    <fill>
      <patternFill patternType="solid">
        <fgColor rgb="FFC00000"/>
        <bgColor rgb="FF800000"/>
      </patternFill>
    </fill>
    <fill>
      <patternFill patternType="solid">
        <fgColor rgb="FFFFFFFF"/>
        <bgColor rgb="FFEEF3FA"/>
      </patternFill>
    </fill>
    <fill>
      <patternFill patternType="solid">
        <fgColor rgb="FFFBEAEA"/>
        <bgColor rgb="FFFCE4D6"/>
      </patternFill>
    </fill>
    <fill>
      <patternFill patternType="solid">
        <fgColor rgb="FF3A3A3A"/>
        <bgColor rgb="FF333300"/>
      </patternFill>
    </fill>
    <fill>
      <patternFill patternType="solid">
        <fgColor rgb="FF548235"/>
        <bgColor rgb="FF595959"/>
      </patternFill>
    </fill>
    <fill>
      <patternFill patternType="solid">
        <fgColor rgb="FFC6EFCE"/>
        <bgColor rgb="FFE2EFDA"/>
      </patternFill>
    </fill>
    <fill>
      <patternFill patternType="solid">
        <fgColor rgb="FFFFEB9C"/>
        <bgColor rgb="FFFFF2CC"/>
      </patternFill>
    </fill>
    <fill>
      <patternFill patternType="solid">
        <fgColor rgb="FFFF7C80"/>
        <bgColor rgb="FFFF9900"/>
      </patternFill>
    </fill>
    <fill>
      <patternFill patternType="solid">
        <fgColor rgb="FFD9D9D9"/>
        <bgColor rgb="FFE7E6E6"/>
      </patternFill>
    </fill>
    <fill>
      <patternFill patternType="solid">
        <fgColor rgb="FFE7E6E6"/>
        <bgColor rgb="FFE2EFDA"/>
      </patternFill>
    </fill>
    <fill>
      <patternFill patternType="solid">
        <fgColor rgb="FFE2EFDA"/>
        <bgColor rgb="FFE7E6E6"/>
      </patternFill>
    </fill>
    <fill>
      <patternFill patternType="solid">
        <fgColor rgb="FFBDD7EE"/>
        <bgColor rgb="FFD9D9D9"/>
      </patternFill>
    </fill>
    <fill>
      <patternFill patternType="solid">
        <fgColor rgb="FFFCE4D6"/>
        <bgColor rgb="FFFBEAEA"/>
      </patternFill>
    </fill>
    <fill>
      <patternFill patternType="solid">
        <fgColor rgb="FFFFF2CC"/>
        <bgColor rgb="FFFCE4D6"/>
      </patternFill>
    </fill>
    <fill>
      <patternFill patternType="solid">
        <fgColor rgb="FFC55A11"/>
        <bgColor rgb="FF806000"/>
      </patternFill>
    </fill>
    <fill>
      <patternFill patternType="solid">
        <fgColor rgb="FF2F5597"/>
        <bgColor rgb="FF1F6E8C"/>
      </patternFill>
    </fill>
    <fill>
      <patternFill patternType="solid">
        <fgColor rgb="FFEEF3FA"/>
        <bgColor rgb="FFDDEBF7"/>
      </patternFill>
    </fill>
    <fill>
      <patternFill patternType="solid">
        <fgColor rgb="FF7030A0"/>
        <bgColor rgb="FF993366"/>
      </patternFill>
    </fill>
    <fill>
      <patternFill patternType="solid">
        <fgColor rgb="FFDDEBF7"/>
        <bgColor rgb="FFE7E6E6"/>
      </patternFill>
    </fill>
    <fill>
      <patternFill patternType="solid">
        <fgColor rgb="FF806000"/>
        <bgColor rgb="FF7F6000"/>
      </patternFill>
    </fill>
    <fill>
      <patternFill patternType="solid">
        <fgColor rgb="FF7F6000"/>
        <bgColor rgb="FF806000"/>
      </patternFill>
    </fill>
    <fill>
      <patternFill patternType="solid">
        <fgColor rgb="FF1F6E8C"/>
        <bgColor rgb="FF2F559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4" fillId="5"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6"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4" fontId="7" fillId="9" borderId="1" xfId="0" applyFont="true" applyBorder="true" applyAlignment="true" applyProtection="false">
      <alignment horizontal="center" vertical="top" textRotation="0" wrapText="true" indent="0" shrinkToFit="false"/>
      <protection locked="true" hidden="false"/>
    </xf>
    <xf numFmtId="164" fontId="7" fillId="10" borderId="1" xfId="0" applyFont="true" applyBorder="true" applyAlignment="true" applyProtection="false">
      <alignment horizontal="center" vertical="top" textRotation="0" wrapText="true" indent="0" shrinkToFit="false"/>
      <protection locked="true" hidden="false"/>
    </xf>
    <xf numFmtId="165" fontId="7" fillId="11" borderId="1" xfId="0" applyFont="true" applyBorder="true" applyAlignment="true" applyProtection="false">
      <alignment horizontal="center"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7" fillId="13" borderId="1" xfId="0" applyFont="true" applyBorder="true" applyAlignment="true" applyProtection="false">
      <alignment horizontal="general"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4" fontId="7" fillId="14"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4" fillId="16" borderId="0" xfId="0" applyFont="true" applyBorder="false" applyAlignment="true" applyProtection="false">
      <alignment horizontal="general" vertical="center"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6" fillId="16" borderId="0" xfId="0" applyFont="true" applyBorder="false" applyAlignment="false" applyProtection="false">
      <alignment horizontal="general" vertical="bottom" textRotation="0" wrapText="false" indent="0" shrinkToFit="false"/>
      <protection locked="true" hidden="false"/>
    </xf>
    <xf numFmtId="164" fontId="11" fillId="16" borderId="0" xfId="0" applyFont="true" applyBorder="false" applyAlignment="false" applyProtection="false">
      <alignment horizontal="general" vertical="bottom" textRotation="0" wrapText="fals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6" fontId="8" fillId="15" borderId="1" xfId="0" applyFont="true" applyBorder="true" applyAlignment="true" applyProtection="false">
      <alignment horizontal="general"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4" fontId="4" fillId="17" borderId="0" xfId="0" applyFont="true" applyBorder="false" applyAlignment="true" applyProtection="false">
      <alignment horizontal="general" vertical="center" textRotation="0" wrapText="false" indent="0" shrinkToFit="false"/>
      <protection locked="true" hidden="false"/>
    </xf>
    <xf numFmtId="164" fontId="0" fillId="17" borderId="0" xfId="0" applyFont="false" applyBorder="false" applyAlignment="false" applyProtection="false">
      <alignment horizontal="general" vertical="bottom" textRotation="0" wrapText="false" indent="0" shrinkToFit="false"/>
      <protection locked="true" hidden="false"/>
    </xf>
    <xf numFmtId="164" fontId="11" fillId="17" borderId="1" xfId="0" applyFont="true" applyBorder="true" applyAlignment="true" applyProtection="false">
      <alignment horizontal="center"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center" vertical="top" textRotation="0" wrapText="true" indent="0" shrinkToFit="false"/>
      <protection locked="true" hidden="false"/>
    </xf>
    <xf numFmtId="166" fontId="8" fillId="15"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8" fillId="18" borderId="1" xfId="0" applyFont="true" applyBorder="true" applyAlignment="true" applyProtection="false">
      <alignment horizontal="general" vertical="top" textRotation="0" wrapText="true" indent="0" shrinkToFit="false"/>
      <protection locked="true" hidden="false"/>
    </xf>
    <xf numFmtId="164" fontId="4" fillId="19" borderId="0" xfId="0" applyFont="true" applyBorder="false" applyAlignment="true" applyProtection="false">
      <alignment horizontal="general" vertical="center"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11" fillId="19" borderId="1" xfId="0" applyFont="true" applyBorder="true" applyAlignment="true" applyProtection="false">
      <alignment horizontal="center" vertical="top" textRotation="0" wrapText="true" indent="0" shrinkToFit="false"/>
      <protection locked="true" hidden="false"/>
    </xf>
    <xf numFmtId="164" fontId="7" fillId="14" borderId="1" xfId="0" applyFont="true" applyBorder="true" applyAlignment="true" applyProtection="false">
      <alignment horizontal="center" vertical="top" textRotation="0" wrapText="true" indent="0" shrinkToFit="false"/>
      <protection locked="true" hidden="false"/>
    </xf>
    <xf numFmtId="164" fontId="7" fillId="20" borderId="1" xfId="0" applyFont="true" applyBorder="true" applyAlignment="true" applyProtection="false">
      <alignment horizontal="center" vertical="top" textRotation="0" wrapText="true" indent="0" shrinkToFit="false"/>
      <protection locked="true" hidden="false"/>
    </xf>
    <xf numFmtId="164" fontId="4" fillId="21" borderId="0" xfId="0" applyFont="true" applyBorder="false" applyAlignment="true" applyProtection="false">
      <alignment horizontal="general" vertical="center" textRotation="0" wrapText="false" indent="0" shrinkToFit="false"/>
      <protection locked="true" hidden="false"/>
    </xf>
    <xf numFmtId="164" fontId="0" fillId="21" borderId="0" xfId="0" applyFont="false" applyBorder="false" applyAlignment="false" applyProtection="false">
      <alignment horizontal="general" vertical="bottom" textRotation="0" wrapText="false" indent="0" shrinkToFit="false"/>
      <protection locked="true" hidden="false"/>
    </xf>
    <xf numFmtId="164" fontId="11" fillId="21" borderId="1" xfId="0" applyFont="true" applyBorder="true" applyAlignment="true" applyProtection="false">
      <alignment horizontal="center" vertical="top" textRotation="0" wrapText="true" indent="0" shrinkToFit="false"/>
      <protection locked="true" hidden="false"/>
    </xf>
    <xf numFmtId="164" fontId="8" fillId="14" borderId="1" xfId="0" applyFont="true" applyBorder="true" applyAlignment="true" applyProtection="false">
      <alignment horizontal="center" vertical="top" textRotation="0" wrapText="true" indent="0" shrinkToFit="false"/>
      <protection locked="true" hidden="false"/>
    </xf>
    <xf numFmtId="164" fontId="8" fillId="11" borderId="1" xfId="0" applyFont="true" applyBorder="true" applyAlignment="false" applyProtection="false">
      <alignment horizontal="general" vertical="bottom" textRotation="0" wrapText="false" indent="0" shrinkToFit="false"/>
      <protection locked="true" hidden="false"/>
    </xf>
    <xf numFmtId="164" fontId="8" fillId="20" borderId="1" xfId="0" applyFont="true" applyBorder="true" applyAlignment="true" applyProtection="false">
      <alignment horizontal="center" vertical="top" textRotation="0" wrapText="true" indent="0" shrinkToFit="false"/>
      <protection locked="true" hidden="false"/>
    </xf>
    <xf numFmtId="164" fontId="11" fillId="2" borderId="1" xfId="0" applyFont="true" applyBorder="true" applyAlignment="true" applyProtection="false">
      <alignment horizontal="center" vertical="top" textRotation="0" wrapText="true" indent="0" shrinkToFit="false"/>
      <protection locked="true" hidden="false"/>
    </xf>
    <xf numFmtId="164" fontId="4" fillId="22" borderId="0" xfId="0" applyFont="true" applyBorder="false" applyAlignment="true" applyProtection="false">
      <alignment horizontal="general" vertical="center" textRotation="0" wrapText="false" indent="0" shrinkToFit="false"/>
      <protection locked="true" hidden="false"/>
    </xf>
    <xf numFmtId="164" fontId="0" fillId="22" borderId="0" xfId="0" applyFont="false" applyBorder="false" applyAlignment="false" applyProtection="false">
      <alignment horizontal="general" vertical="bottom" textRotation="0" wrapText="false" indent="0" shrinkToFit="false"/>
      <protection locked="true" hidden="false"/>
    </xf>
    <xf numFmtId="164" fontId="11" fillId="22" borderId="1" xfId="0" applyFont="true" applyBorder="true" applyAlignment="true" applyProtection="false">
      <alignment horizontal="center" vertical="top" textRotation="0" wrapText="true" indent="0" shrinkToFit="false"/>
      <protection locked="true" hidden="false"/>
    </xf>
    <xf numFmtId="164" fontId="4" fillId="23" borderId="0" xfId="0" applyFont="true" applyBorder="false" applyAlignment="true" applyProtection="false">
      <alignment horizontal="general" vertical="center" textRotation="0" wrapText="false" indent="0" shrinkToFit="false"/>
      <protection locked="true" hidden="false"/>
    </xf>
    <xf numFmtId="164" fontId="0" fillId="23" borderId="0" xfId="0" applyFont="false" applyBorder="false" applyAlignment="false" applyProtection="false">
      <alignment horizontal="general" vertical="bottom" textRotation="0" wrapText="false" indent="0" shrinkToFit="false"/>
      <protection locked="true" hidden="false"/>
    </xf>
    <xf numFmtId="164" fontId="11" fillId="23"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FF7C80"/>
        </patternFill>
      </fill>
    </dxf>
    <dxf>
      <fill>
        <patternFill>
          <bgColor rgb="FFF8CBAD"/>
        </patternFill>
      </fill>
    </dxf>
    <dxf>
      <fill>
        <patternFill patternType="solid">
          <fgColor rgb="FF2F5597"/>
          <bgColor rgb="FF000000"/>
        </patternFill>
      </fill>
    </dxf>
    <dxf>
      <fill>
        <patternFill patternType="solid">
          <fgColor rgb="FFFFFFFF"/>
          <bgColor rgb="FF000000"/>
        </patternFill>
      </fill>
    </dxf>
    <dxf>
      <fill>
        <patternFill patternType="solid">
          <fgColor rgb="FF1F3864"/>
          <bgColor rgb="FF000000"/>
        </patternFill>
      </fill>
    </dxf>
    <dxf>
      <fill>
        <patternFill patternType="solid">
          <fgColor rgb="FFEEF3FA"/>
          <bgColor rgb="FF000000"/>
        </patternFill>
      </fill>
    </dxf>
    <dxf>
      <fill>
        <patternFill patternType="solid">
          <bgColor rgb="FF000000"/>
        </patternFill>
      </fill>
    </dxf>
    <dxf>
      <fill>
        <patternFill patternType="solid">
          <fgColor rgb="FFBDD7EE"/>
          <bgColor rgb="FF000000"/>
        </patternFill>
      </fill>
    </dxf>
    <dxf>
      <fill>
        <patternFill patternType="solid">
          <fgColor rgb="FFF8CBAD"/>
          <bgColor rgb="FF000000"/>
        </patternFill>
      </fill>
    </dxf>
    <dxf>
      <fill>
        <patternFill patternType="solid">
          <fgColor rgb="FF548235"/>
          <bgColor rgb="FF000000"/>
        </patternFill>
      </fill>
    </dxf>
    <dxf>
      <fill>
        <patternFill patternType="solid">
          <fgColor rgb="FFFFF2CC"/>
          <bgColor rgb="FF000000"/>
        </patternFill>
      </fill>
    </dxf>
    <dxf>
      <fill>
        <patternFill patternType="solid">
          <fgColor rgb="FFE7E6E6"/>
          <bgColor rgb="FF000000"/>
        </patternFill>
      </fill>
    </dxf>
    <dxf>
      <fill>
        <patternFill patternType="solid">
          <fgColor rgb="FFFCE4D6"/>
          <bgColor rgb="FF000000"/>
        </patternFill>
      </fill>
    </dxf>
    <dxf>
      <font>
        <name val="Arial"/>
        <charset val="1"/>
        <family val="0"/>
        <b val="1"/>
      </font>
      <fill>
        <patternFill>
          <bgColor rgb="FFC6EFCE"/>
        </patternFill>
      </fill>
    </dxf>
    <dxf>
      <font>
        <name val="Arial"/>
        <charset val="1"/>
        <family val="0"/>
        <b val="1"/>
      </font>
      <fill>
        <patternFill>
          <bgColor rgb="FFFFEB9C"/>
        </patternFill>
      </fill>
    </dxf>
    <dxf>
      <font>
        <name val="Arial"/>
        <charset val="1"/>
        <family val="0"/>
        <b val="1"/>
      </font>
      <fill>
        <patternFill>
          <bgColor rgb="FFFF7C80"/>
        </patternFill>
      </fill>
    </dxf>
    <dxf>
      <font>
        <name val="Arial"/>
        <charset val="1"/>
        <family val="0"/>
        <b val="1"/>
      </font>
      <fill>
        <patternFill>
          <bgColor rgb="FFD9D9D9"/>
        </patternFill>
      </fill>
    </dxf>
    <dxf>
      <font>
        <name val="Arial"/>
        <charset val="1"/>
        <family val="0"/>
      </font>
      <fill>
        <patternFill>
          <bgColor rgb="FFC6EFCE"/>
        </patternFill>
      </fill>
    </dxf>
    <dxf>
      <font>
        <name val="Arial"/>
        <charset val="1"/>
        <family val="0"/>
      </font>
      <fill>
        <patternFill>
          <bgColor rgb="FFFF7C80"/>
        </patternFill>
      </fill>
    </dxf>
    <dxf>
      <font>
        <name val="Arial"/>
        <charset val="1"/>
        <family val="0"/>
      </font>
      <fill>
        <patternFill>
          <bgColor rgb="FFBDD7EE"/>
        </patternFill>
      </fill>
    </dxf>
    <dxf>
      <font>
        <name val="Arial"/>
        <charset val="1"/>
        <family val="0"/>
      </font>
      <fill>
        <patternFill>
          <bgColor rgb="FFD9C3E9"/>
        </patternFill>
      </fill>
    </dxf>
    <dxf>
      <font>
        <name val="Arial"/>
        <charset val="1"/>
        <family val="0"/>
      </font>
      <fill>
        <patternFill>
          <bgColor rgb="FFF8CBAD"/>
        </patternFill>
      </fill>
    </dxf>
    <dxf>
      <font>
        <name val="Arial"/>
        <charset val="1"/>
        <family val="0"/>
      </font>
      <fill>
        <patternFill>
          <bgColor rgb="FFD9D9D9"/>
        </patternFill>
      </fill>
    </dxf>
    <dxf>
      <font>
        <name val="Arial"/>
        <charset val="1"/>
        <family val="0"/>
      </font>
      <fill>
        <patternFill>
          <bgColor rgb="FFFCE4D6"/>
        </patternFill>
      </fill>
    </dxf>
    <dxf>
      <font>
        <name val="Arial"/>
        <charset val="1"/>
        <family val="0"/>
      </font>
      <fill>
        <patternFill>
          <bgColor rgb="FFFFEB9C"/>
        </patternFill>
      </fill>
    </dxf>
    <dxf>
      <font>
        <name val="Arial"/>
        <charset val="1"/>
        <family val="0"/>
        <color rgb="FFA6A6A6"/>
      </font>
    </dxf>
    <dxf>
      <fill>
        <patternFill patternType="solid">
          <fgColor rgb="FF7030A0"/>
          <bgColor rgb="FF000000"/>
        </patternFill>
      </fill>
    </dxf>
    <dxf>
      <fill>
        <patternFill patternType="solid">
          <fgColor rgb="FFDDEBF7"/>
          <bgColor rgb="FF000000"/>
        </patternFill>
      </fill>
    </dxf>
    <dxf>
      <fill>
        <patternFill patternType="solid">
          <fgColor rgb="FF806000"/>
          <bgColor rgb="FF000000"/>
        </patternFill>
      </fill>
    </dxf>
    <dxf>
      <fill>
        <patternFill>
          <bgColor rgb="FFFCE4D6"/>
        </patternFill>
      </fill>
    </dxf>
  </dxfs>
  <colors>
    <indexedColors>
      <rgbColor rgb="FF000000"/>
      <rgbColor rgb="FFFFFFFF"/>
      <rgbColor rgb="FFC00000"/>
      <rgbColor rgb="FF00FF00"/>
      <rgbColor rgb="FF0000FF"/>
      <rgbColor rgb="FFE2EFDA"/>
      <rgbColor rgb="FFFF00FF"/>
      <rgbColor rgb="FF00FFFF"/>
      <rgbColor rgb="FF800000"/>
      <rgbColor rgb="FF008000"/>
      <rgbColor rgb="FF000080"/>
      <rgbColor rgb="FF806000"/>
      <rgbColor rgb="FF800080"/>
      <rgbColor rgb="FF1F6E8C"/>
      <rgbColor rgb="FFBFBFBF"/>
      <rgbColor rgb="FF7F7F7F"/>
      <rgbColor rgb="FFE7E6E6"/>
      <rgbColor rgb="FF7030A0"/>
      <rgbColor rgb="FFFFF2CC"/>
      <rgbColor rgb="FFDDEBF7"/>
      <rgbColor rgb="FF660066"/>
      <rgbColor rgb="FFFF7C80"/>
      <rgbColor rgb="FF0563C1"/>
      <rgbColor rgb="FFD9C3E9"/>
      <rgbColor rgb="FF000080"/>
      <rgbColor rgb="FFFF00FF"/>
      <rgbColor rgb="FFFBEAEA"/>
      <rgbColor rgb="FF00FFFF"/>
      <rgbColor rgb="FF800080"/>
      <rgbColor rgb="FF800000"/>
      <rgbColor rgb="FF008080"/>
      <rgbColor rgb="FF0000FF"/>
      <rgbColor rgb="FF00CCFF"/>
      <rgbColor rgb="FFEEF3FA"/>
      <rgbColor rgb="FFC6EFCE"/>
      <rgbColor rgb="FFFFEB9C"/>
      <rgbColor rgb="FFBDD7EE"/>
      <rgbColor rgb="FFFCE4D6"/>
      <rgbColor rgb="FFD9D9D9"/>
      <rgbColor rgb="FFF8CBAD"/>
      <rgbColor rgb="FF3366FF"/>
      <rgbColor rgb="FF33CCCC"/>
      <rgbColor rgb="FF99CC00"/>
      <rgbColor rgb="FFFFCC00"/>
      <rgbColor rgb="FFFF9900"/>
      <rgbColor rgb="FFC55A11"/>
      <rgbColor rgb="FF595959"/>
      <rgbColor rgb="FFA6A6A6"/>
      <rgbColor rgb="FF1F3864"/>
      <rgbColor rgb="FF548235"/>
      <rgbColor rgb="FF003300"/>
      <rgbColor rgb="FF333300"/>
      <rgbColor rgb="FF7F6000"/>
      <rgbColor rgb="FF993366"/>
      <rgbColor rgb="FF2F5597"/>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6_Testing_and_Assurance/14_AI_Security_Audit_and_Evidence_Checklist.html" TargetMode="External"/><Relationship Id="rId2" Type="http://schemas.openxmlformats.org/officeDocument/2006/relationships/hyperlink" Target="https://nachi065.github.io/AI-Security-Wiki/03_Control_Library/03_AI_Security_Control_Objectives_Library.html" TargetMode="External"/><Relationship Id="rId3" Type="http://schemas.openxmlformats.org/officeDocument/2006/relationships/hyperlink" Target="https://nachi065.github.io/AI-Security-Wiki/11_GCC_AI_Compliance/08_Evidence_Register.html" TargetMode="External"/><Relationship Id="rId4" Type="http://schemas.openxmlformats.org/officeDocument/2006/relationships/hyperlink" Target="https://nachi065.github.io/AI-Security-Wiki/11_GCC_AI_Compliance/T08_Audit_Checklist.html" TargetMode="External"/><Relationship Id="rId5" Type="http://schemas.openxmlformats.org/officeDocument/2006/relationships/hyperlink" Target="https://nachi065.github.io/AI-Security-Wiki/12_EU_AI_Compliance/08_Evidence_Register.html" TargetMode="External"/><Relationship Id="rId6" Type="http://schemas.openxmlformats.org/officeDocument/2006/relationships/hyperlink" Target="https://nachi065.github.io/AI-Security-Wiki/12_EU_AI_Compliance/T08_Audit_Checklist.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30" hidden="false" customHeight="true" outlineLevel="0" collapsed="false">
      <c r="A1" s="1" t="s">
        <v>0</v>
      </c>
      <c r="B1" s="2"/>
    </row>
    <row r="2" customFormat="false" ht="15" hidden="false" customHeight="false" outlineLevel="0" collapsed="false">
      <c r="A2" s="3" t="s">
        <v>1</v>
      </c>
    </row>
    <row r="4" customFormat="false" ht="15" hidden="false" customHeight="false" outlineLevel="0" collapsed="false">
      <c r="A4" s="4" t="s">
        <v>2</v>
      </c>
      <c r="B4" s="2"/>
    </row>
    <row r="5" customFormat="false" ht="23.85" hidden="false" customHeight="false" outlineLevel="0" collapsed="false">
      <c r="A5" s="5" t="s">
        <v>3</v>
      </c>
      <c r="B5" s="6" t="s">
        <v>4</v>
      </c>
    </row>
    <row r="6" customFormat="false" ht="23.85" hidden="false" customHeight="false" outlineLevel="0" collapsed="false">
      <c r="A6" s="7" t="s">
        <v>5</v>
      </c>
      <c r="B6" s="8" t="s">
        <v>6</v>
      </c>
    </row>
    <row r="7" customFormat="false" ht="23.85" hidden="false" customHeight="false" outlineLevel="0" collapsed="false">
      <c r="A7" s="5" t="s">
        <v>7</v>
      </c>
      <c r="B7" s="6" t="s">
        <v>8</v>
      </c>
    </row>
    <row r="9" customFormat="false" ht="15" hidden="false" customHeight="false" outlineLevel="0" collapsed="false">
      <c r="A9" s="4" t="s">
        <v>9</v>
      </c>
      <c r="B9" s="2"/>
    </row>
    <row r="10" customFormat="false" ht="15" hidden="false" customHeight="false" outlineLevel="0" collapsed="false">
      <c r="A10" s="7" t="s">
        <v>10</v>
      </c>
      <c r="B10" s="8" t="s">
        <v>11</v>
      </c>
    </row>
    <row r="11" customFormat="false" ht="15" hidden="false" customHeight="false" outlineLevel="0" collapsed="false">
      <c r="A11" s="5" t="s">
        <v>12</v>
      </c>
      <c r="B11" s="6" t="s">
        <v>13</v>
      </c>
    </row>
    <row r="12" customFormat="false" ht="23.85" hidden="false" customHeight="false" outlineLevel="0" collapsed="false">
      <c r="A12" s="7" t="s">
        <v>14</v>
      </c>
      <c r="B12" s="8" t="s">
        <v>15</v>
      </c>
    </row>
    <row r="13" customFormat="false" ht="15" hidden="false" customHeight="false" outlineLevel="0" collapsed="false">
      <c r="A13" s="5" t="s">
        <v>16</v>
      </c>
      <c r="B13" s="6" t="s">
        <v>17</v>
      </c>
    </row>
    <row r="14" customFormat="false" ht="15" hidden="false" customHeight="false" outlineLevel="0" collapsed="false">
      <c r="A14" s="7" t="s">
        <v>18</v>
      </c>
      <c r="B14" s="8" t="s">
        <v>19</v>
      </c>
    </row>
    <row r="15" customFormat="false" ht="15" hidden="false" customHeight="false" outlineLevel="0" collapsed="false">
      <c r="A15" s="5" t="s">
        <v>20</v>
      </c>
      <c r="B15" s="6" t="s">
        <v>21</v>
      </c>
    </row>
    <row r="16" customFormat="false" ht="15" hidden="false" customHeight="false" outlineLevel="0" collapsed="false">
      <c r="A16" s="7" t="s">
        <v>22</v>
      </c>
      <c r="B16" s="8" t="s">
        <v>23</v>
      </c>
    </row>
    <row r="18" customFormat="false" ht="15" hidden="false" customHeight="false" outlineLevel="0" collapsed="false">
      <c r="A18" s="4" t="s">
        <v>24</v>
      </c>
      <c r="B18" s="2"/>
    </row>
    <row r="19" customFormat="false" ht="15" hidden="false" customHeight="false" outlineLevel="0" collapsed="false">
      <c r="A19" s="5" t="s">
        <v>25</v>
      </c>
      <c r="B19" s="6" t="s">
        <v>26</v>
      </c>
    </row>
    <row r="20" customFormat="false" ht="15" hidden="false" customHeight="false" outlineLevel="0" collapsed="false">
      <c r="A20" s="7" t="s">
        <v>27</v>
      </c>
      <c r="B20" s="8" t="s">
        <v>28</v>
      </c>
    </row>
    <row r="21" customFormat="false" ht="15" hidden="false" customHeight="false" outlineLevel="0" collapsed="false">
      <c r="A21" s="5" t="s">
        <v>29</v>
      </c>
      <c r="B21" s="6" t="s">
        <v>30</v>
      </c>
    </row>
    <row r="22" customFormat="false" ht="15" hidden="false" customHeight="false" outlineLevel="0" collapsed="false">
      <c r="A22" s="7" t="s">
        <v>31</v>
      </c>
      <c r="B22" s="8" t="s">
        <v>32</v>
      </c>
    </row>
    <row r="24" customFormat="false" ht="15" hidden="false" customHeight="false" outlineLevel="0" collapsed="false">
      <c r="A24" s="4" t="s">
        <v>33</v>
      </c>
      <c r="B24" s="2"/>
    </row>
    <row r="25" customFormat="false" ht="15" hidden="false" customHeight="false" outlineLevel="0" collapsed="false">
      <c r="A25" s="5" t="s">
        <v>34</v>
      </c>
      <c r="B25" s="6" t="s">
        <v>35</v>
      </c>
    </row>
    <row r="26" customFormat="false" ht="15" hidden="false" customHeight="false" outlineLevel="0" collapsed="false">
      <c r="A26" s="7" t="s">
        <v>36</v>
      </c>
      <c r="B26" s="8" t="s">
        <v>37</v>
      </c>
    </row>
    <row r="27" customFormat="false" ht="15" hidden="false" customHeight="false" outlineLevel="0" collapsed="false">
      <c r="A27" s="5" t="s">
        <v>38</v>
      </c>
      <c r="B27" s="6" t="s">
        <v>39</v>
      </c>
    </row>
    <row r="28" customFormat="false" ht="15" hidden="false" customHeight="false" outlineLevel="0" collapsed="false">
      <c r="A28" s="7" t="s">
        <v>40</v>
      </c>
      <c r="B28" s="8" t="s">
        <v>41</v>
      </c>
    </row>
    <row r="29" customFormat="false" ht="15" hidden="false" customHeight="false" outlineLevel="0" collapsed="false">
      <c r="A29" s="5" t="s">
        <v>42</v>
      </c>
      <c r="B29" s="6" t="s">
        <v>43</v>
      </c>
    </row>
    <row r="30" customFormat="false" ht="15" hidden="false" customHeight="false" outlineLevel="0" collapsed="false">
      <c r="A30" s="7" t="s">
        <v>44</v>
      </c>
      <c r="B30" s="8" t="s">
        <v>45</v>
      </c>
    </row>
    <row r="31" customFormat="false" ht="15" hidden="false" customHeight="false" outlineLevel="0" collapsed="false">
      <c r="A31" s="5" t="s">
        <v>46</v>
      </c>
      <c r="B31" s="6" t="s">
        <v>47</v>
      </c>
    </row>
    <row r="32" customFormat="false" ht="15" hidden="false" customHeight="false" outlineLevel="0" collapsed="false">
      <c r="A32" s="7" t="s">
        <v>48</v>
      </c>
      <c r="B32" s="8" t="s">
        <v>49</v>
      </c>
    </row>
    <row r="33" customFormat="false" ht="15" hidden="false" customHeight="false" outlineLevel="0" collapsed="false">
      <c r="A33" s="5" t="s">
        <v>50</v>
      </c>
      <c r="B33" s="6" t="s">
        <v>51</v>
      </c>
    </row>
    <row r="34" customFormat="false" ht="15" hidden="false" customHeight="false" outlineLevel="0" collapsed="false">
      <c r="A34" s="7" t="s">
        <v>52</v>
      </c>
      <c r="B34" s="8" t="s">
        <v>53</v>
      </c>
    </row>
    <row r="36" customFormat="false" ht="15" hidden="false" customHeight="false" outlineLevel="0" collapsed="false">
      <c r="A36" s="4" t="s">
        <v>54</v>
      </c>
      <c r="B36" s="2"/>
    </row>
    <row r="37" customFormat="false" ht="23.85" hidden="false" customHeight="false" outlineLevel="0" collapsed="false">
      <c r="A37" s="5" t="s">
        <v>0</v>
      </c>
      <c r="B37" s="9" t="s">
        <v>55</v>
      </c>
    </row>
    <row r="38" customFormat="false" ht="15" hidden="false" customHeight="false" outlineLevel="0" collapsed="false">
      <c r="A38" s="7" t="s">
        <v>56</v>
      </c>
      <c r="B38" s="10" t="s">
        <v>57</v>
      </c>
    </row>
    <row r="39" customFormat="false" ht="15" hidden="false" customHeight="false" outlineLevel="0" collapsed="false">
      <c r="A39" s="5" t="s">
        <v>58</v>
      </c>
      <c r="B39" s="9" t="s">
        <v>59</v>
      </c>
    </row>
    <row r="40" customFormat="false" ht="15" hidden="false" customHeight="false" outlineLevel="0" collapsed="false">
      <c r="A40" s="7" t="s">
        <v>60</v>
      </c>
      <c r="B40" s="10" t="s">
        <v>61</v>
      </c>
    </row>
    <row r="41" customFormat="false" ht="15" hidden="false" customHeight="false" outlineLevel="0" collapsed="false">
      <c r="A41" s="5" t="s">
        <v>62</v>
      </c>
      <c r="B41" s="9" t="s">
        <v>63</v>
      </c>
    </row>
    <row r="42" customFormat="false" ht="15" hidden="false" customHeight="false" outlineLevel="0" collapsed="false">
      <c r="A42" s="7" t="s">
        <v>64</v>
      </c>
      <c r="B42" s="10" t="s">
        <v>65</v>
      </c>
    </row>
    <row r="44" customFormat="false" ht="27.75" hidden="false" customHeight="true" outlineLevel="0" collapsed="false">
      <c r="A44" s="11" t="s">
        <v>66</v>
      </c>
      <c r="B44" s="11"/>
    </row>
  </sheetData>
  <mergeCells count="1">
    <mergeCell ref="A44:B44"/>
  </mergeCells>
  <hyperlinks>
    <hyperlink ref="B37" r:id="rId1" display="https://nachi065.github.io/AI-Security-Wiki/06_Testing_and_Assurance/14_AI_Security_Audit_and_Evidence_Checklist.html"/>
    <hyperlink ref="B38" r:id="rId2" display="https://nachi065.github.io/AI-Security-Wiki/03_Control_Library/03_AI_Security_Control_Objectives_Library.html"/>
    <hyperlink ref="B39" r:id="rId3" display="https://nachi065.github.io/AI-Security-Wiki/11_GCC_AI_Compliance/08_Evidence_Register.html"/>
    <hyperlink ref="B40" r:id="rId4" display="https://nachi065.github.io/AI-Security-Wiki/11_GCC_AI_Compliance/T08_Audit_Checklist.html"/>
    <hyperlink ref="B41" r:id="rId5" display="https://nachi065.github.io/AI-Security-Wiki/12_EU_AI_Compliance/08_Evidence_Register.html"/>
    <hyperlink ref="B42" r:id="rId6" display="https://nachi065.github.io/AI-Security-Wiki/12_EU_AI_Compliance/T08_Audit_Checklist.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30" hidden="false" customHeight="true" outlineLevel="0" collapsed="false">
      <c r="A1" s="12" t="s">
        <v>52</v>
      </c>
      <c r="B1" s="13"/>
    </row>
    <row r="2" customFormat="false" ht="15" hidden="false" customHeight="false" outlineLevel="0" collapsed="false">
      <c r="A2" s="3" t="s">
        <v>67</v>
      </c>
    </row>
    <row r="4" customFormat="false" ht="15" hidden="false" customHeight="false" outlineLevel="0" collapsed="false">
      <c r="A4" s="14" t="s">
        <v>68</v>
      </c>
      <c r="B4" s="13"/>
    </row>
    <row r="5" customFormat="false" ht="15" hidden="false" customHeight="false" outlineLevel="0" collapsed="false">
      <c r="A5" s="5" t="s">
        <v>69</v>
      </c>
      <c r="B5" s="6" t="s">
        <v>0</v>
      </c>
    </row>
    <row r="6" customFormat="false" ht="15" hidden="false" customHeight="false" outlineLevel="0" collapsed="false">
      <c r="A6" s="5" t="s">
        <v>70</v>
      </c>
      <c r="B6" s="6" t="s">
        <v>71</v>
      </c>
    </row>
    <row r="7" customFormat="false" ht="23.85" hidden="false" customHeight="false" outlineLevel="0" collapsed="false">
      <c r="A7" s="5" t="s">
        <v>52</v>
      </c>
      <c r="B7" s="6" t="s">
        <v>72</v>
      </c>
    </row>
    <row r="8" customFormat="false" ht="15" hidden="false" customHeight="false" outlineLevel="0" collapsed="false">
      <c r="A8" s="5" t="s">
        <v>73</v>
      </c>
      <c r="B8" s="9" t="s">
        <v>74</v>
      </c>
    </row>
    <row r="9" customFormat="false" ht="15" hidden="false" customHeight="false" outlineLevel="0" collapsed="false">
      <c r="A9" s="5" t="s">
        <v>75</v>
      </c>
      <c r="B9" s="9" t="s">
        <v>76</v>
      </c>
    </row>
    <row r="10" customFormat="false" ht="15" hidden="false" customHeight="false" outlineLevel="0" collapsed="false">
      <c r="A10" s="5" t="s">
        <v>77</v>
      </c>
      <c r="B10" s="9" t="s">
        <v>78</v>
      </c>
    </row>
    <row r="11" customFormat="false" ht="15" hidden="false" customHeight="false" outlineLevel="0" collapsed="false">
      <c r="A11" s="5" t="s">
        <v>79</v>
      </c>
      <c r="B11" s="9" t="s">
        <v>80</v>
      </c>
    </row>
    <row r="13" customFormat="false" ht="15" hidden="false" customHeight="false" outlineLevel="0" collapsed="false">
      <c r="A13" s="14" t="s">
        <v>81</v>
      </c>
      <c r="B13" s="13"/>
    </row>
    <row r="14" customFormat="false" ht="23.85" hidden="false" customHeight="false" outlineLevel="0" collapsed="false">
      <c r="A14" s="5" t="s">
        <v>82</v>
      </c>
      <c r="B14" s="6" t="s">
        <v>83</v>
      </c>
    </row>
    <row r="15" customFormat="false" ht="35.05" hidden="false" customHeight="false" outlineLevel="0" collapsed="false">
      <c r="A15" s="5" t="s">
        <v>84</v>
      </c>
      <c r="B15" s="6" t="s">
        <v>85</v>
      </c>
    </row>
    <row r="16" customFormat="false" ht="23.85" hidden="false" customHeight="false" outlineLevel="0" collapsed="false">
      <c r="A16" s="5" t="s">
        <v>86</v>
      </c>
      <c r="B16" s="6" t="s">
        <v>87</v>
      </c>
    </row>
    <row r="18" customFormat="false" ht="15" hidden="false" customHeight="false" outlineLevel="0" collapsed="false">
      <c r="A18" s="14" t="s">
        <v>88</v>
      </c>
      <c r="B18" s="13"/>
    </row>
    <row r="19" customFormat="false" ht="23.85" hidden="false" customHeight="false" outlineLevel="0" collapsed="false">
      <c r="A19" s="5" t="s">
        <v>89</v>
      </c>
      <c r="B19" s="6" t="s">
        <v>90</v>
      </c>
    </row>
    <row r="20" customFormat="false" ht="15" hidden="false" customHeight="false" outlineLevel="0" collapsed="false">
      <c r="A20" s="5" t="s">
        <v>91</v>
      </c>
      <c r="B20" s="6" t="s">
        <v>92</v>
      </c>
    </row>
    <row r="22" customFormat="false" ht="15" hidden="false" customHeight="false" outlineLevel="0" collapsed="false">
      <c r="A22" s="14" t="s">
        <v>93</v>
      </c>
      <c r="B22" s="13"/>
    </row>
    <row r="23" customFormat="false" ht="35.05" hidden="false" customHeight="false" outlineLevel="0" collapsed="false">
      <c r="A23" s="5" t="s">
        <v>94</v>
      </c>
      <c r="B23" s="6" t="s">
        <v>95</v>
      </c>
    </row>
    <row r="25" customFormat="false" ht="15" hidden="false" customHeight="false" outlineLevel="0" collapsed="false">
      <c r="A25" s="14" t="s">
        <v>96</v>
      </c>
      <c r="B25" s="13"/>
    </row>
    <row r="26" customFormat="false" ht="35.05" hidden="false" customHeight="false" outlineLevel="0" collapsed="false">
      <c r="A26" s="5" t="s">
        <v>97</v>
      </c>
      <c r="B26" s="6" t="s">
        <v>98</v>
      </c>
    </row>
    <row r="27" customFormat="false" ht="23.85" hidden="false" customHeight="false" outlineLevel="0" collapsed="false">
      <c r="A27" s="5" t="s">
        <v>99</v>
      </c>
      <c r="B27" s="6" t="s">
        <v>100</v>
      </c>
    </row>
    <row r="28" customFormat="false" ht="15" hidden="false" customHeight="false" outlineLevel="0" collapsed="false">
      <c r="A28" s="5" t="s">
        <v>101</v>
      </c>
      <c r="B28" s="6" t="s">
        <v>102</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2"/>
  </cols>
  <sheetData>
    <row r="1" customFormat="false" ht="30" hidden="false" customHeight="true" outlineLevel="0" collapsed="false">
      <c r="A1" s="15" t="s">
        <v>103</v>
      </c>
      <c r="B1" s="16"/>
      <c r="C1" s="16"/>
      <c r="D1" s="16"/>
      <c r="E1" s="16"/>
      <c r="F1" s="16"/>
    </row>
    <row r="2" customFormat="false" ht="15" hidden="false" customHeight="false" outlineLevel="0" collapsed="false">
      <c r="A2" s="3" t="s">
        <v>104</v>
      </c>
    </row>
    <row r="4" customFormat="false" ht="23.85" hidden="false" customHeight="false" outlineLevel="0" collapsed="false">
      <c r="A4" s="17" t="s">
        <v>105</v>
      </c>
      <c r="B4" s="18" t="s">
        <v>106</v>
      </c>
      <c r="C4" s="19" t="s">
        <v>107</v>
      </c>
      <c r="D4" s="20" t="s">
        <v>108</v>
      </c>
      <c r="E4" s="21" t="s">
        <v>109</v>
      </c>
      <c r="F4" s="17" t="s">
        <v>110</v>
      </c>
    </row>
    <row r="5" customFormat="false" ht="15" hidden="false" customHeight="false" outlineLevel="0" collapsed="false">
      <c r="A5" s="5" t="s">
        <v>111</v>
      </c>
      <c r="B5" s="22" t="n">
        <f aca="false">COUNTIFS('Control Tests'!L5:L50,"E - Effective",'Control Tests'!X5:X50,"&lt;&gt;Not in scope")</f>
        <v>0</v>
      </c>
      <c r="C5" s="22" t="n">
        <f aca="false">COUNTIFS('Control Tests'!L5:L50,"P - Partially effective",'Control Tests'!X5:X50,"&lt;&gt;Not in scope")</f>
        <v>0</v>
      </c>
      <c r="D5" s="22" t="n">
        <f aca="false">COUNTIFS('Control Tests'!L5:L50,"I - Ineffective",'Control Tests'!X5:X50,"&lt;&gt;Not in scope")</f>
        <v>0</v>
      </c>
      <c r="E5" s="22" t="n">
        <f aca="false">COUNTIFS('Control Tests'!L5:L50,"N - Not tested",'Control Tests'!X5:X50,"&lt;&gt;Not in scope")</f>
        <v>0</v>
      </c>
      <c r="F5" s="22" t="n">
        <f aca="false">COUNTIFS('Control Tests'!X5:X50,"Not yet tested",'Control Tests'!X5:X50,"*")</f>
        <v>46</v>
      </c>
    </row>
    <row r="6" customFormat="false" ht="15" hidden="false" customHeight="false" outlineLevel="0" collapsed="false">
      <c r="A6" s="5" t="s">
        <v>112</v>
      </c>
      <c r="B6" s="22" t="n">
        <f aca="false">COUNTIFS('Regional Tests'!F5:F90,"E - Effective",'Regional Tests'!J5:J90,"&lt;&gt;Not in scope")</f>
        <v>0</v>
      </c>
      <c r="C6" s="22" t="n">
        <f aca="false">COUNTIFS('Regional Tests'!F5:F90,"P - Partially effective",'Regional Tests'!J5:J90,"&lt;&gt;Not in scope")</f>
        <v>0</v>
      </c>
      <c r="D6" s="22" t="n">
        <f aca="false">COUNTIFS('Regional Tests'!F5:F90,"I - Ineffective",'Regional Tests'!J5:J90,"&lt;&gt;Not in scope")</f>
        <v>0</v>
      </c>
      <c r="E6" s="22" t="n">
        <f aca="false">COUNTIFS('Regional Tests'!F5:F90,"N - Not tested",'Regional Tests'!J5:J90,"&lt;&gt;Not in scope")</f>
        <v>0</v>
      </c>
      <c r="F6" s="22" t="n">
        <f aca="false">COUNTIFS('Regional Tests'!J5:J90,"Not yet tested",'Regional Tests'!J5:J90,"*")</f>
        <v>86</v>
      </c>
    </row>
    <row r="7" customFormat="false" ht="15" hidden="false" customHeight="false" outlineLevel="0" collapsed="false">
      <c r="A7" s="23" t="s">
        <v>113</v>
      </c>
      <c r="B7" s="22" t="n">
        <f aca="false">B5+B6</f>
        <v>0</v>
      </c>
      <c r="C7" s="22" t="n">
        <f aca="false">C5+C6</f>
        <v>0</v>
      </c>
      <c r="D7" s="22" t="n">
        <f aca="false">D5+D6</f>
        <v>0</v>
      </c>
      <c r="E7" s="22" t="n">
        <f aca="false">E5+E6</f>
        <v>0</v>
      </c>
      <c r="F7" s="22" t="n">
        <f aca="false">F5+F6</f>
        <v>132</v>
      </c>
    </row>
    <row r="9" customFormat="false" ht="15" hidden="false" customHeight="false" outlineLevel="0" collapsed="false">
      <c r="A9" s="24" t="s">
        <v>114</v>
      </c>
      <c r="B9" s="16"/>
      <c r="C9" s="16"/>
      <c r="D9" s="16"/>
      <c r="E9" s="16"/>
      <c r="F9" s="16"/>
    </row>
    <row r="10" customFormat="false" ht="15" hidden="false" customHeight="false" outlineLevel="0" collapsed="false">
      <c r="A10" s="25" t="s">
        <v>115</v>
      </c>
      <c r="B10" s="22" t="n">
        <f aca="false">COUNTIF('Evidence Requests'!M5:M102,"Received")</f>
        <v>0</v>
      </c>
    </row>
    <row r="11" customFormat="false" ht="15" hidden="false" customHeight="false" outlineLevel="0" collapsed="false">
      <c r="A11" s="26" t="s">
        <v>116</v>
      </c>
      <c r="B11" s="22" t="n">
        <f aca="false">COUNTIF('Evidence Requests'!M5:M102,"Requested")</f>
        <v>0</v>
      </c>
    </row>
    <row r="12" customFormat="false" ht="15" hidden="false" customHeight="false" outlineLevel="0" collapsed="false">
      <c r="A12" s="27" t="s">
        <v>117</v>
      </c>
      <c r="B12" s="22" t="n">
        <f aca="false">COUNTIF('Evidence Requests'!M5:M102,"Due soon")</f>
        <v>0</v>
      </c>
    </row>
    <row r="13" customFormat="false" ht="15" hidden="false" customHeight="false" outlineLevel="0" collapsed="false">
      <c r="A13" s="28" t="s">
        <v>118</v>
      </c>
      <c r="B13" s="22" t="n">
        <f aca="false">COUNTIF('Evidence Requests'!M5:M102,"Overdue")</f>
        <v>0</v>
      </c>
    </row>
    <row r="14" customFormat="false" ht="15" hidden="false" customHeight="false" outlineLevel="0" collapsed="false">
      <c r="A14" s="29" t="s">
        <v>119</v>
      </c>
      <c r="B14" s="22" t="n">
        <f aca="false">COUNTIF('Evidence Requests'!M5:M102,"Not requested")</f>
        <v>58</v>
      </c>
    </row>
    <row r="16" customFormat="false" ht="15" hidden="false" customHeight="false" outlineLevel="0" collapsed="false">
      <c r="A16" s="24" t="s">
        <v>120</v>
      </c>
      <c r="B16" s="16"/>
      <c r="C16" s="16"/>
      <c r="D16" s="16"/>
      <c r="E16" s="16"/>
      <c r="F16" s="16"/>
    </row>
    <row r="17" customFormat="false" ht="35.05" hidden="false" customHeight="false" outlineLevel="0" collapsed="false">
      <c r="A17" s="17" t="s">
        <v>121</v>
      </c>
      <c r="B17" s="17" t="s">
        <v>122</v>
      </c>
      <c r="C17" s="17" t="s">
        <v>118</v>
      </c>
      <c r="D17" s="17" t="s">
        <v>123</v>
      </c>
      <c r="E17" s="17"/>
      <c r="F17" s="17"/>
    </row>
    <row r="18" customFormat="false" ht="15" hidden="false" customHeight="false" outlineLevel="0" collapsed="false">
      <c r="A18" s="28" t="s">
        <v>124</v>
      </c>
      <c r="B18" s="22" t="n">
        <f aca="false">COUNTIFS('Findings Log'!E5:E204,"High",'Findings Log'!M5:M204,"&lt;&gt;Done",'Findings Log'!C5:C204,"&lt;&gt;")</f>
        <v>0</v>
      </c>
      <c r="C18" s="22" t="n">
        <f aca="false">COUNTIFS('Findings Log'!E5:E204,"High",'Findings Log'!M5:M204,"Overdue")</f>
        <v>0</v>
      </c>
      <c r="D18" s="22" t="n">
        <f aca="false">COUNTIFS('Findings Log'!E5:E204,"High",'Findings Log'!J5:J204,"Closed")</f>
        <v>0</v>
      </c>
    </row>
    <row r="19" customFormat="false" ht="15" hidden="false" customHeight="false" outlineLevel="0" collapsed="false">
      <c r="A19" s="27" t="s">
        <v>125</v>
      </c>
      <c r="B19" s="22" t="n">
        <f aca="false">COUNTIFS('Findings Log'!E5:E204,"Medium",'Findings Log'!M5:M204,"&lt;&gt;Done",'Findings Log'!C5:C204,"&lt;&gt;")</f>
        <v>0</v>
      </c>
      <c r="C19" s="22" t="n">
        <f aca="false">COUNTIFS('Findings Log'!E5:E204,"Medium",'Findings Log'!M5:M204,"Overdue")</f>
        <v>0</v>
      </c>
      <c r="D19" s="22" t="n">
        <f aca="false">COUNTIFS('Findings Log'!E5:E204,"Medium",'Findings Log'!J5:J204,"Closed")</f>
        <v>0</v>
      </c>
    </row>
    <row r="20" customFormat="false" ht="15" hidden="false" customHeight="false" outlineLevel="0" collapsed="false">
      <c r="A20" s="25" t="s">
        <v>126</v>
      </c>
      <c r="B20" s="22" t="n">
        <f aca="false">COUNTIFS('Findings Log'!E5:E204,"Low",'Findings Log'!M5:M204,"&lt;&gt;Done",'Findings Log'!C5:C204,"&lt;&gt;")</f>
        <v>0</v>
      </c>
      <c r="C20" s="22" t="n">
        <f aca="false">COUNTIFS('Findings Log'!E5:E204,"Low",'Findings Log'!M5:M204,"Overdue")</f>
        <v>0</v>
      </c>
      <c r="D20" s="22" t="n">
        <f aca="false">COUNTIFS('Findings Log'!E5:E204,"Low",'Findings Log'!J5:J204,"Closed")</f>
        <v>0</v>
      </c>
    </row>
    <row r="22" customFormat="false" ht="15" hidden="false" customHeight="false" outlineLevel="0" collapsed="false">
      <c r="A22" s="24" t="s">
        <v>127</v>
      </c>
      <c r="B22" s="16"/>
      <c r="C22" s="16"/>
      <c r="D22" s="16"/>
      <c r="E22" s="16"/>
      <c r="F22" s="16"/>
    </row>
    <row r="23" customFormat="false" ht="15" hidden="false" customHeight="false" outlineLevel="0" collapsed="false">
      <c r="A23" s="5" t="s">
        <v>128</v>
      </c>
      <c r="B23" s="22" t="n">
        <f aca="false">COUNTIF('Exception Register'!L5:L104,"Expired")</f>
        <v>0</v>
      </c>
    </row>
    <row r="24" customFormat="false" ht="15" hidden="false" customHeight="false" outlineLevel="0" collapsed="false">
      <c r="A24" s="5" t="s">
        <v>129</v>
      </c>
      <c r="B24" s="22" t="n">
        <f aca="false">COUNTIF('Exception Register'!L5:L104,"Expires within 30 days")</f>
        <v>0</v>
      </c>
    </row>
    <row r="25" customFormat="false" ht="15" hidden="false" customHeight="false" outlineLevel="0" collapsed="false">
      <c r="A25" s="5" t="s">
        <v>130</v>
      </c>
      <c r="B25" s="22" t="n">
        <f aca="false">COUNTIF('Exception Register'!L5:L104,"Incomplete*")</f>
        <v>0</v>
      </c>
    </row>
    <row r="26" customFormat="false" ht="23.85" hidden="false" customHeight="false" outlineLevel="0" collapsed="false">
      <c r="A26" s="5" t="s">
        <v>131</v>
      </c>
      <c r="B26" s="22" t="n">
        <f aca="false">COUNTIFS('Control Tests'!L5:L50,"E*",'Control Tests'!U5:U50,"6 of 6")</f>
        <v>0</v>
      </c>
    </row>
    <row r="27" customFormat="false" ht="23.85" hidden="false" customHeight="false" outlineLevel="0" collapsed="false">
      <c r="A27" s="5" t="s">
        <v>132</v>
      </c>
      <c r="B27" s="22" t="n">
        <f aca="false">COUNTIF('Control Tests'!X5:X50,"Effective: add evidence ref")</f>
        <v>0</v>
      </c>
    </row>
    <row r="29" customFormat="false" ht="15" hidden="false" customHeight="false" outlineLevel="0" collapsed="false">
      <c r="A29" s="24" t="s">
        <v>133</v>
      </c>
      <c r="B29" s="16"/>
      <c r="C29" s="16"/>
      <c r="D29" s="16"/>
      <c r="E29" s="16"/>
      <c r="F29" s="16"/>
    </row>
    <row r="30" customFormat="false" ht="48" hidden="false" customHeight="true" outlineLevel="0" collapsed="false">
      <c r="A30" s="5" t="s">
        <v>134</v>
      </c>
      <c r="B30" s="30"/>
      <c r="C30" s="30"/>
      <c r="D30" s="30"/>
      <c r="E30" s="30"/>
      <c r="F30" s="30"/>
    </row>
    <row r="31" customFormat="false" ht="48" hidden="false" customHeight="true" outlineLevel="0" collapsed="false">
      <c r="A31" s="5" t="s">
        <v>135</v>
      </c>
      <c r="B31" s="30" t="s">
        <v>136</v>
      </c>
      <c r="C31" s="30"/>
      <c r="D31" s="30"/>
      <c r="E31" s="30"/>
      <c r="F31" s="30"/>
    </row>
    <row r="33" customFormat="false" ht="27.75" hidden="false" customHeight="true" outlineLevel="0" collapsed="false">
      <c r="A33" s="11" t="s">
        <v>66</v>
      </c>
      <c r="B33" s="11"/>
      <c r="C33" s="11"/>
      <c r="D33" s="11"/>
      <c r="E33" s="11"/>
      <c r="F33" s="11"/>
    </row>
  </sheetData>
  <mergeCells count="3">
    <mergeCell ref="B30:F30"/>
    <mergeCell ref="B31:F31"/>
    <mergeCell ref="A33:F33"/>
  </mergeCells>
  <conditionalFormatting sqref="B13">
    <cfRule type="cellIs" priority="2" operator="greaterThan" aboveAverage="0" equalAverage="0" bottom="0" percent="0" rank="0" text="" dxfId="0">
      <formula>0</formula>
    </cfRule>
  </conditionalFormatting>
  <conditionalFormatting sqref="B23:B25">
    <cfRule type="cellIs" priority="3" operator="greater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C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60"/>
    <col collapsed="false" customWidth="true" hidden="false" outlineLevel="0" max="3" min="3" style="0" width="40"/>
  </cols>
  <sheetData>
    <row r="1" customFormat="false" ht="30" hidden="false" customHeight="true" outlineLevel="0" collapsed="false">
      <c r="A1" s="31" t="s">
        <v>36</v>
      </c>
      <c r="B1" s="32"/>
      <c r="C1" s="32"/>
    </row>
    <row r="2" customFormat="false" ht="15" hidden="false" customHeight="false" outlineLevel="0" collapsed="false">
      <c r="A2" s="3" t="s">
        <v>137</v>
      </c>
    </row>
    <row r="4" customFormat="false" ht="15" hidden="false" customHeight="false" outlineLevel="0" collapsed="false">
      <c r="A4" s="33" t="s">
        <v>138</v>
      </c>
      <c r="B4" s="32"/>
      <c r="C4" s="34" t="s">
        <v>139</v>
      </c>
    </row>
    <row r="5" customFormat="false" ht="15" hidden="false" customHeight="false" outlineLevel="0" collapsed="false">
      <c r="A5" s="5" t="s">
        <v>140</v>
      </c>
      <c r="B5" s="30"/>
      <c r="C5" s="30"/>
    </row>
    <row r="6" customFormat="false" ht="15" hidden="false" customHeight="false" outlineLevel="0" collapsed="false">
      <c r="A6" s="5" t="s">
        <v>141</v>
      </c>
      <c r="B6" s="30"/>
      <c r="C6" s="30"/>
    </row>
    <row r="7" customFormat="false" ht="15" hidden="false" customHeight="false" outlineLevel="0" collapsed="false">
      <c r="A7" s="5" t="s">
        <v>142</v>
      </c>
      <c r="B7" s="30"/>
      <c r="C7" s="30"/>
    </row>
    <row r="8" customFormat="false" ht="15" hidden="false" customHeight="false" outlineLevel="0" collapsed="false">
      <c r="A8" s="5" t="s">
        <v>143</v>
      </c>
      <c r="B8" s="30"/>
      <c r="C8" s="30"/>
    </row>
    <row r="9" customFormat="false" ht="15" hidden="false" customHeight="false" outlineLevel="0" collapsed="false">
      <c r="A9" s="5" t="s">
        <v>144</v>
      </c>
      <c r="B9" s="30"/>
      <c r="C9" s="30"/>
    </row>
    <row r="10" customFormat="false" ht="23.85" hidden="false" customHeight="false" outlineLevel="0" collapsed="false">
      <c r="A10" s="5" t="s">
        <v>145</v>
      </c>
      <c r="B10" s="30"/>
      <c r="C10" s="30"/>
    </row>
    <row r="11" customFormat="false" ht="15" hidden="false" customHeight="false" outlineLevel="0" collapsed="false">
      <c r="A11" s="5" t="s">
        <v>146</v>
      </c>
      <c r="B11" s="35" t="s">
        <v>147</v>
      </c>
      <c r="C11" s="30"/>
    </row>
    <row r="12" customFormat="false" ht="15" hidden="false" customHeight="false" outlineLevel="0" collapsed="false">
      <c r="A12" s="5" t="s">
        <v>148</v>
      </c>
      <c r="B12" s="36"/>
      <c r="C12" s="30"/>
    </row>
    <row r="13" customFormat="false" ht="15" hidden="false" customHeight="false" outlineLevel="0" collapsed="false">
      <c r="A13" s="5" t="s">
        <v>149</v>
      </c>
      <c r="B13" s="36"/>
      <c r="C13" s="30"/>
    </row>
    <row r="14" customFormat="false" ht="15" hidden="false" customHeight="false" outlineLevel="0" collapsed="false">
      <c r="A14" s="5" t="s">
        <v>150</v>
      </c>
      <c r="B14" s="36"/>
      <c r="C14" s="30"/>
    </row>
    <row r="15" customFormat="false" ht="23.85" hidden="false" customHeight="false" outlineLevel="0" collapsed="false">
      <c r="A15" s="5" t="s">
        <v>151</v>
      </c>
      <c r="B15" s="35" t="n">
        <v>7</v>
      </c>
      <c r="C15" s="30"/>
    </row>
    <row r="17" customFormat="false" ht="15" hidden="false" customHeight="false" outlineLevel="0" collapsed="false">
      <c r="A17" s="33" t="s">
        <v>152</v>
      </c>
      <c r="B17" s="32"/>
      <c r="C17" s="32"/>
    </row>
    <row r="18" customFormat="false" ht="15" hidden="false" customHeight="false" outlineLevel="0" collapsed="false">
      <c r="A18" s="25" t="s">
        <v>153</v>
      </c>
      <c r="B18" s="6" t="s">
        <v>154</v>
      </c>
    </row>
    <row r="19" customFormat="false" ht="15" hidden="false" customHeight="false" outlineLevel="0" collapsed="false">
      <c r="A19" s="27" t="s">
        <v>155</v>
      </c>
      <c r="B19" s="6" t="s">
        <v>156</v>
      </c>
    </row>
    <row r="20" customFormat="false" ht="15" hidden="false" customHeight="false" outlineLevel="0" collapsed="false">
      <c r="A20" s="28" t="s">
        <v>157</v>
      </c>
      <c r="B20" s="6" t="s">
        <v>158</v>
      </c>
    </row>
    <row r="21" customFormat="false" ht="15" hidden="false" customHeight="false" outlineLevel="0" collapsed="false">
      <c r="A21" s="37" t="s">
        <v>159</v>
      </c>
      <c r="B21" s="6" t="s">
        <v>160</v>
      </c>
    </row>
    <row r="23" customFormat="false" ht="15" hidden="false" customHeight="false" outlineLevel="0" collapsed="false">
      <c r="A23" s="33" t="s">
        <v>161</v>
      </c>
      <c r="B23" s="32"/>
      <c r="C23" s="32"/>
    </row>
    <row r="24" customFormat="false" ht="15" hidden="false" customHeight="true" outlineLevel="0" collapsed="false">
      <c r="A24" s="5" t="s">
        <v>162</v>
      </c>
      <c r="B24" s="5"/>
      <c r="C24" s="5"/>
    </row>
    <row r="25" customFormat="false" ht="15" hidden="false" customHeight="true" outlineLevel="0" collapsed="false">
      <c r="A25" s="5" t="s">
        <v>163</v>
      </c>
      <c r="B25" s="5"/>
      <c r="C25" s="5"/>
    </row>
    <row r="26" customFormat="false" ht="15" hidden="false" customHeight="true" outlineLevel="0" collapsed="false">
      <c r="A26" s="5" t="s">
        <v>164</v>
      </c>
      <c r="B26" s="5"/>
      <c r="C26" s="5"/>
    </row>
    <row r="27" customFormat="false" ht="15" hidden="false" customHeight="true" outlineLevel="0" collapsed="false">
      <c r="A27" s="5" t="s">
        <v>165</v>
      </c>
      <c r="B27" s="5"/>
      <c r="C27" s="5"/>
    </row>
    <row r="28" customFormat="false" ht="15" hidden="false" customHeight="true" outlineLevel="0" collapsed="false">
      <c r="A28" s="5" t="s">
        <v>166</v>
      </c>
      <c r="B28" s="5"/>
      <c r="C28" s="5"/>
    </row>
    <row r="29" customFormat="false" ht="15" hidden="false" customHeight="true" outlineLevel="0" collapsed="false">
      <c r="A29" s="5" t="s">
        <v>167</v>
      </c>
      <c r="B29" s="5"/>
      <c r="C29" s="5"/>
    </row>
  </sheetData>
  <mergeCells count="6">
    <mergeCell ref="A24:C24"/>
    <mergeCell ref="A25:C25"/>
    <mergeCell ref="A26:C26"/>
    <mergeCell ref="A27:C27"/>
    <mergeCell ref="A28:C28"/>
    <mergeCell ref="A29:C29"/>
  </mergeCells>
  <dataValidations count="4">
    <dataValidation allowBlank="true" error="Choose a value from the list (edit the Lists sheet to change the options)." errorStyle="warning" operator="between" showDropDown="false" showErrorMessage="true" showInputMessage="false" sqref="B11" type="list">
      <formula1>Lists!$C$2:$C$5</formula1>
      <formula2>0</formula2>
    </dataValidation>
    <dataValidation allowBlank="true" error="Enter a date (for example 2026-10-17)." errorStyle="warning" operator="greaterThan" showDropDown="false" showErrorMessage="true" showInputMessage="false" sqref="B12" type="date">
      <formula1>DATE(2000,1,1)</formula1>
      <formula2>0</formula2>
    </dataValidation>
    <dataValidation allowBlank="true" error="Enter a date (for example 2026-10-17)." errorStyle="warning" operator="greaterThan" showDropDown="false" showErrorMessage="true" showInputMessage="false" sqref="B13" type="date">
      <formula1>DATE(2000,1,1)</formula1>
      <formula2>0</formula2>
    </dataValidation>
    <dataValidation allowBlank="true" error="Enter a date (for example 2026-10-17)." errorStyle="warning" operator="greaterThan" showDropDown="false" showErrorMessage="true" showInputMessage="false" sqref="B14"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false"/>
  </sheetPr>
  <dimension ref="A1:Z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22"/>
    <col collapsed="false" customWidth="true" hidden="false" outlineLevel="0" max="4" min="4" style="0" width="10"/>
    <col collapsed="false" customWidth="true" hidden="false" outlineLevel="0" max="5" min="5" style="0" width="40"/>
    <col collapsed="false" customWidth="true" hidden="false" outlineLevel="0" max="6" min="6" style="0" width="48"/>
    <col collapsed="false" customWidth="true" hidden="false" outlineLevel="0" max="8" min="7" style="0" width="18"/>
    <col collapsed="false" customWidth="true" hidden="false" outlineLevel="0" max="9" min="9" style="0" width="12"/>
    <col collapsed="false" customWidth="true" hidden="false" outlineLevel="0" max="11" min="10" style="0" width="9"/>
    <col collapsed="false" customWidth="true" hidden="false" outlineLevel="0" max="12" min="12" style="0" width="18"/>
    <col collapsed="false" customWidth="true" hidden="false" outlineLevel="0" max="13" min="13" style="0" width="16"/>
    <col collapsed="false" customWidth="true" hidden="false" outlineLevel="0" max="14" min="14" style="0" width="12"/>
    <col collapsed="false" customWidth="true" hidden="false" outlineLevel="0" max="21" min="15" style="0" width="10"/>
    <col collapsed="false" customWidth="true" hidden="false" outlineLevel="0" max="22" min="22" style="0" width="11"/>
    <col collapsed="false" customWidth="true" hidden="false" outlineLevel="0" max="23" min="23" style="0" width="30"/>
    <col collapsed="false" customWidth="true" hidden="false" outlineLevel="0" max="24" min="24" style="0" width="22"/>
    <col collapsed="false" customWidth="true" hidden="false" outlineLevel="0" max="26" min="25" style="0" width="14"/>
  </cols>
  <sheetData>
    <row r="1" customFormat="false" ht="30" hidden="false" customHeight="true" outlineLevel="0" collapsed="false">
      <c r="A1" s="38" t="s">
        <v>38</v>
      </c>
      <c r="B1" s="39"/>
      <c r="C1" s="39"/>
      <c r="D1" s="39"/>
      <c r="E1" s="39"/>
      <c r="F1" s="39"/>
      <c r="G1" s="39"/>
      <c r="H1" s="39"/>
      <c r="I1" s="39"/>
      <c r="J1" s="39"/>
      <c r="K1" s="39"/>
      <c r="L1" s="39"/>
      <c r="M1" s="39"/>
      <c r="N1" s="39"/>
      <c r="O1" s="39"/>
      <c r="P1" s="39"/>
      <c r="Q1" s="39"/>
      <c r="R1" s="39"/>
      <c r="S1" s="39"/>
      <c r="T1" s="39"/>
      <c r="U1" s="39"/>
      <c r="V1" s="39"/>
      <c r="W1" s="39"/>
      <c r="X1" s="39"/>
    </row>
    <row r="2" customFormat="false" ht="15" hidden="false" customHeight="false" outlineLevel="0" collapsed="false">
      <c r="A2" s="3" t="s">
        <v>168</v>
      </c>
    </row>
    <row r="4" customFormat="false" ht="45" hidden="false" customHeight="true" outlineLevel="0" collapsed="false">
      <c r="A4" s="40" t="s">
        <v>169</v>
      </c>
      <c r="B4" s="40" t="s">
        <v>170</v>
      </c>
      <c r="C4" s="40" t="s">
        <v>171</v>
      </c>
      <c r="D4" s="40" t="s">
        <v>172</v>
      </c>
      <c r="E4" s="40" t="s">
        <v>173</v>
      </c>
      <c r="F4" s="40" t="s">
        <v>174</v>
      </c>
      <c r="G4" s="40" t="s">
        <v>175</v>
      </c>
      <c r="H4" s="40" t="s">
        <v>176</v>
      </c>
      <c r="I4" s="40" t="s">
        <v>177</v>
      </c>
      <c r="J4" s="17" t="s">
        <v>178</v>
      </c>
      <c r="K4" s="17" t="s">
        <v>179</v>
      </c>
      <c r="L4" s="17" t="s">
        <v>180</v>
      </c>
      <c r="M4" s="17" t="s">
        <v>181</v>
      </c>
      <c r="N4" s="17" t="s">
        <v>182</v>
      </c>
      <c r="O4" s="17" t="s">
        <v>162</v>
      </c>
      <c r="P4" s="17" t="s">
        <v>163</v>
      </c>
      <c r="Q4" s="17" t="s">
        <v>183</v>
      </c>
      <c r="R4" s="17" t="s">
        <v>184</v>
      </c>
      <c r="S4" s="17" t="s">
        <v>185</v>
      </c>
      <c r="T4" s="17" t="s">
        <v>186</v>
      </c>
      <c r="U4" s="17" t="s">
        <v>187</v>
      </c>
      <c r="V4" s="17" t="s">
        <v>188</v>
      </c>
      <c r="W4" s="17" t="s">
        <v>189</v>
      </c>
      <c r="X4" s="17" t="s">
        <v>190</v>
      </c>
      <c r="Y4" s="40" t="s">
        <v>191</v>
      </c>
      <c r="Z4" s="40" t="s">
        <v>192</v>
      </c>
    </row>
    <row r="5" customFormat="false" ht="46.25" hidden="false" customHeight="false" outlineLevel="0" collapsed="false">
      <c r="A5" s="41" t="s">
        <v>193</v>
      </c>
      <c r="B5" s="6" t="s">
        <v>194</v>
      </c>
      <c r="C5" s="6" t="s">
        <v>195</v>
      </c>
      <c r="D5" s="6" t="s">
        <v>196</v>
      </c>
      <c r="E5" s="6" t="s">
        <v>197</v>
      </c>
      <c r="F5" s="6" t="s">
        <v>198</v>
      </c>
      <c r="G5" s="6" t="s">
        <v>199</v>
      </c>
      <c r="H5" s="6" t="s">
        <v>199</v>
      </c>
      <c r="I5" s="6" t="s">
        <v>200</v>
      </c>
      <c r="J5" s="42" t="s">
        <v>201</v>
      </c>
      <c r="K5" s="42"/>
      <c r="L5" s="42"/>
      <c r="M5" s="42"/>
      <c r="N5" s="43"/>
      <c r="O5" s="42"/>
      <c r="P5" s="42"/>
      <c r="Q5" s="42"/>
      <c r="R5" s="42"/>
      <c r="S5" s="42"/>
      <c r="T5" s="42"/>
      <c r="U5" s="44" t="str">
        <f aca="false">IF(COUNTA(O5:T5)=0,"",COUNTIF(O5:T5,"Yes")&amp;" of 6")</f>
        <v/>
      </c>
      <c r="V5" s="42"/>
      <c r="W5" s="42"/>
      <c r="X5" s="45" t="str">
        <f aca="false">IF(J5="No","Not in scope",IF(L5="","Not yet tested",IF(OR(LEFT(L5,1)="P",LEFT(L5,1)="I"),IF(V5="","Raise a finding","Finding "&amp;V5),IF(LEFT(L5,1)="N","Not tested: give reason",IF(M5="","Effective: add evidence ref","Effective")))))</f>
        <v>Not yet tested</v>
      </c>
      <c r="Y5" s="46" t="s">
        <v>202</v>
      </c>
      <c r="Z5" s="46" t="s">
        <v>203</v>
      </c>
    </row>
    <row r="6" customFormat="false" ht="46.25" hidden="false" customHeight="false" outlineLevel="0" collapsed="false">
      <c r="A6" s="41" t="s">
        <v>204</v>
      </c>
      <c r="B6" s="47" t="s">
        <v>205</v>
      </c>
      <c r="C6" s="47" t="s">
        <v>195</v>
      </c>
      <c r="D6" s="47" t="s">
        <v>196</v>
      </c>
      <c r="E6" s="47" t="s">
        <v>206</v>
      </c>
      <c r="F6" s="47" t="s">
        <v>207</v>
      </c>
      <c r="G6" s="47" t="s">
        <v>208</v>
      </c>
      <c r="H6" s="47" t="s">
        <v>208</v>
      </c>
      <c r="I6" s="47" t="s">
        <v>200</v>
      </c>
      <c r="J6" s="42" t="s">
        <v>201</v>
      </c>
      <c r="K6" s="42"/>
      <c r="L6" s="42"/>
      <c r="M6" s="42"/>
      <c r="N6" s="43"/>
      <c r="O6" s="42"/>
      <c r="P6" s="42"/>
      <c r="Q6" s="42"/>
      <c r="R6" s="42"/>
      <c r="S6" s="42"/>
      <c r="T6" s="42"/>
      <c r="U6" s="44" t="str">
        <f aca="false">IF(COUNTA(O6:T6)=0,"",COUNTIF(O6:T6,"Yes")&amp;" of 6")</f>
        <v/>
      </c>
      <c r="V6" s="42"/>
      <c r="W6" s="42"/>
      <c r="X6" s="45" t="str">
        <f aca="false">IF(J6="No","Not in scope",IF(L6="","Not yet tested",IF(OR(LEFT(L6,1)="P",LEFT(L6,1)="I"),IF(V6="","Raise a finding","Finding "&amp;V6),IF(LEFT(L6,1)="N","Not tested: give reason",IF(M6="","Effective: add evidence ref","Effective")))))</f>
        <v>Not yet tested</v>
      </c>
      <c r="Y6" s="46" t="s">
        <v>209</v>
      </c>
      <c r="Z6" s="46" t="s">
        <v>203</v>
      </c>
    </row>
    <row r="7" customFormat="false" ht="35.05" hidden="false" customHeight="false" outlineLevel="0" collapsed="false">
      <c r="A7" s="41" t="s">
        <v>210</v>
      </c>
      <c r="B7" s="6" t="s">
        <v>211</v>
      </c>
      <c r="C7" s="6" t="s">
        <v>195</v>
      </c>
      <c r="D7" s="6" t="s">
        <v>212</v>
      </c>
      <c r="E7" s="6" t="s">
        <v>213</v>
      </c>
      <c r="F7" s="6" t="s">
        <v>214</v>
      </c>
      <c r="G7" s="6" t="s">
        <v>215</v>
      </c>
      <c r="H7" s="6" t="s">
        <v>215</v>
      </c>
      <c r="I7" s="6" t="s">
        <v>200</v>
      </c>
      <c r="J7" s="42" t="s">
        <v>201</v>
      </c>
      <c r="K7" s="42"/>
      <c r="L7" s="42"/>
      <c r="M7" s="42"/>
      <c r="N7" s="43"/>
      <c r="O7" s="42"/>
      <c r="P7" s="42"/>
      <c r="Q7" s="42"/>
      <c r="R7" s="42"/>
      <c r="S7" s="42"/>
      <c r="T7" s="42"/>
      <c r="U7" s="44" t="str">
        <f aca="false">IF(COUNTA(O7:T7)=0,"",COUNTIF(O7:T7,"Yes")&amp;" of 6")</f>
        <v/>
      </c>
      <c r="V7" s="42"/>
      <c r="W7" s="42"/>
      <c r="X7" s="45" t="str">
        <f aca="false">IF(J7="No","Not in scope",IF(L7="","Not yet tested",IF(OR(LEFT(L7,1)="P",LEFT(L7,1)="I"),IF(V7="","Raise a finding","Finding "&amp;V7),IF(LEFT(L7,1)="N","Not tested: give reason",IF(M7="","Effective: add evidence ref","Effective")))))</f>
        <v>Not yet tested</v>
      </c>
      <c r="Y7" s="46" t="s">
        <v>209</v>
      </c>
      <c r="Z7" s="46" t="s">
        <v>203</v>
      </c>
    </row>
    <row r="8" customFormat="false" ht="46.25" hidden="false" customHeight="false" outlineLevel="0" collapsed="false">
      <c r="A8" s="41" t="s">
        <v>216</v>
      </c>
      <c r="B8" s="47" t="s">
        <v>217</v>
      </c>
      <c r="C8" s="47" t="s">
        <v>195</v>
      </c>
      <c r="D8" s="47" t="s">
        <v>212</v>
      </c>
      <c r="E8" s="47" t="s">
        <v>218</v>
      </c>
      <c r="F8" s="47" t="s">
        <v>219</v>
      </c>
      <c r="G8" s="47" t="s">
        <v>220</v>
      </c>
      <c r="H8" s="47" t="s">
        <v>220</v>
      </c>
      <c r="I8" s="47" t="s">
        <v>200</v>
      </c>
      <c r="J8" s="42" t="s">
        <v>201</v>
      </c>
      <c r="K8" s="42"/>
      <c r="L8" s="42"/>
      <c r="M8" s="42"/>
      <c r="N8" s="43"/>
      <c r="O8" s="42"/>
      <c r="P8" s="42"/>
      <c r="Q8" s="42"/>
      <c r="R8" s="42"/>
      <c r="S8" s="42"/>
      <c r="T8" s="42"/>
      <c r="U8" s="44" t="str">
        <f aca="false">IF(COUNTA(O8:T8)=0,"",COUNTIF(O8:T8,"Yes")&amp;" of 6")</f>
        <v/>
      </c>
      <c r="V8" s="42"/>
      <c r="W8" s="42"/>
      <c r="X8" s="45" t="str">
        <f aca="false">IF(J8="No","Not in scope",IF(L8="","Not yet tested",IF(OR(LEFT(L8,1)="P",LEFT(L8,1)="I"),IF(V8="","Raise a finding","Finding "&amp;V8),IF(LEFT(L8,1)="N","Not tested: give reason",IF(M8="","Effective: add evidence ref","Effective")))))</f>
        <v>Not yet tested</v>
      </c>
      <c r="Y8" s="46" t="s">
        <v>209</v>
      </c>
      <c r="Z8" s="46" t="s">
        <v>203</v>
      </c>
    </row>
    <row r="9" customFormat="false" ht="35.05" hidden="false" customHeight="false" outlineLevel="0" collapsed="false">
      <c r="A9" s="41" t="s">
        <v>221</v>
      </c>
      <c r="B9" s="6" t="s">
        <v>222</v>
      </c>
      <c r="C9" s="6" t="s">
        <v>223</v>
      </c>
      <c r="D9" s="6" t="s">
        <v>196</v>
      </c>
      <c r="E9" s="6" t="s">
        <v>224</v>
      </c>
      <c r="F9" s="6" t="s">
        <v>225</v>
      </c>
      <c r="G9" s="6" t="s">
        <v>226</v>
      </c>
      <c r="H9" s="6" t="s">
        <v>226</v>
      </c>
      <c r="I9" s="6" t="s">
        <v>227</v>
      </c>
      <c r="J9" s="42" t="s">
        <v>201</v>
      </c>
      <c r="K9" s="42"/>
      <c r="L9" s="42"/>
      <c r="M9" s="42"/>
      <c r="N9" s="43"/>
      <c r="O9" s="42"/>
      <c r="P9" s="42"/>
      <c r="Q9" s="42"/>
      <c r="R9" s="42"/>
      <c r="S9" s="42"/>
      <c r="T9" s="42"/>
      <c r="U9" s="44" t="str">
        <f aca="false">IF(COUNTA(O9:T9)=0,"",COUNTIF(O9:T9,"Yes")&amp;" of 6")</f>
        <v/>
      </c>
      <c r="V9" s="42"/>
      <c r="W9" s="42"/>
      <c r="X9" s="45" t="str">
        <f aca="false">IF(J9="No","Not in scope",IF(L9="","Not yet tested",IF(OR(LEFT(L9,1)="P",LEFT(L9,1)="I"),IF(V9="","Raise a finding","Finding "&amp;V9),IF(LEFT(L9,1)="N","Not tested: give reason",IF(M9="","Effective: add evidence ref","Effective")))))</f>
        <v>Not yet tested</v>
      </c>
      <c r="Y9" s="46" t="s">
        <v>209</v>
      </c>
      <c r="Z9" s="46" t="s">
        <v>203</v>
      </c>
    </row>
    <row r="10" customFormat="false" ht="35.05" hidden="false" customHeight="false" outlineLevel="0" collapsed="false">
      <c r="A10" s="41" t="s">
        <v>228</v>
      </c>
      <c r="B10" s="47" t="s">
        <v>229</v>
      </c>
      <c r="C10" s="47" t="s">
        <v>230</v>
      </c>
      <c r="D10" s="47" t="s">
        <v>196</v>
      </c>
      <c r="E10" s="47" t="s">
        <v>231</v>
      </c>
      <c r="F10" s="47" t="s">
        <v>232</v>
      </c>
      <c r="G10" s="47" t="s">
        <v>233</v>
      </c>
      <c r="H10" s="47" t="s">
        <v>233</v>
      </c>
      <c r="I10" s="47" t="s">
        <v>200</v>
      </c>
      <c r="J10" s="42" t="s">
        <v>201</v>
      </c>
      <c r="K10" s="42"/>
      <c r="L10" s="42"/>
      <c r="M10" s="42"/>
      <c r="N10" s="43"/>
      <c r="O10" s="42"/>
      <c r="P10" s="42"/>
      <c r="Q10" s="42"/>
      <c r="R10" s="42"/>
      <c r="S10" s="42"/>
      <c r="T10" s="42"/>
      <c r="U10" s="44" t="str">
        <f aca="false">IF(COUNTA(O10:T10)=0,"",COUNTIF(O10:T10,"Yes")&amp;" of 6")</f>
        <v/>
      </c>
      <c r="V10" s="42"/>
      <c r="W10" s="42"/>
      <c r="X10" s="45" t="str">
        <f aca="false">IF(J10="No","Not in scope",IF(L10="","Not yet tested",IF(OR(LEFT(L10,1)="P",LEFT(L10,1)="I"),IF(V10="","Raise a finding","Finding "&amp;V10),IF(LEFT(L10,1)="N","Not tested: give reason",IF(M10="","Effective: add evidence ref","Effective")))))</f>
        <v>Not yet tested</v>
      </c>
      <c r="Y10" s="46" t="s">
        <v>234</v>
      </c>
      <c r="Z10" s="46" t="s">
        <v>203</v>
      </c>
    </row>
    <row r="11" customFormat="false" ht="46.25" hidden="false" customHeight="false" outlineLevel="0" collapsed="false">
      <c r="A11" s="41" t="s">
        <v>235</v>
      </c>
      <c r="B11" s="6" t="s">
        <v>236</v>
      </c>
      <c r="C11" s="6" t="s">
        <v>237</v>
      </c>
      <c r="D11" s="6" t="s">
        <v>212</v>
      </c>
      <c r="E11" s="6" t="s">
        <v>238</v>
      </c>
      <c r="F11" s="6" t="s">
        <v>239</v>
      </c>
      <c r="G11" s="6" t="s">
        <v>240</v>
      </c>
      <c r="H11" s="6" t="s">
        <v>240</v>
      </c>
      <c r="I11" s="6" t="s">
        <v>241</v>
      </c>
      <c r="J11" s="42" t="s">
        <v>201</v>
      </c>
      <c r="K11" s="42"/>
      <c r="L11" s="42"/>
      <c r="M11" s="42"/>
      <c r="N11" s="43"/>
      <c r="O11" s="42"/>
      <c r="P11" s="42"/>
      <c r="Q11" s="42"/>
      <c r="R11" s="42"/>
      <c r="S11" s="42"/>
      <c r="T11" s="42"/>
      <c r="U11" s="44" t="str">
        <f aca="false">IF(COUNTA(O11:T11)=0,"",COUNTIF(O11:T11,"Yes")&amp;" of 6")</f>
        <v/>
      </c>
      <c r="V11" s="42"/>
      <c r="W11" s="42"/>
      <c r="X11" s="45" t="str">
        <f aca="false">IF(J11="No","Not in scope",IF(L11="","Not yet tested",IF(OR(LEFT(L11,1)="P",LEFT(L11,1)="I"),IF(V11="","Raise a finding","Finding "&amp;V11),IF(LEFT(L11,1)="N","Not tested: give reason",IF(M11="","Effective: add evidence ref","Effective")))))</f>
        <v>Not yet tested</v>
      </c>
      <c r="Y11" s="46" t="s">
        <v>202</v>
      </c>
      <c r="Z11" s="46" t="s">
        <v>242</v>
      </c>
    </row>
    <row r="12" customFormat="false" ht="35.05" hidden="false" customHeight="false" outlineLevel="0" collapsed="false">
      <c r="A12" s="41" t="s">
        <v>243</v>
      </c>
      <c r="B12" s="47" t="s">
        <v>244</v>
      </c>
      <c r="C12" s="47" t="s">
        <v>245</v>
      </c>
      <c r="D12" s="47" t="s">
        <v>196</v>
      </c>
      <c r="E12" s="47" t="s">
        <v>246</v>
      </c>
      <c r="F12" s="47" t="s">
        <v>247</v>
      </c>
      <c r="G12" s="47" t="s">
        <v>199</v>
      </c>
      <c r="H12" s="47" t="s">
        <v>199</v>
      </c>
      <c r="I12" s="47" t="s">
        <v>248</v>
      </c>
      <c r="J12" s="42" t="s">
        <v>201</v>
      </c>
      <c r="K12" s="42"/>
      <c r="L12" s="42"/>
      <c r="M12" s="42"/>
      <c r="N12" s="43"/>
      <c r="O12" s="42"/>
      <c r="P12" s="42"/>
      <c r="Q12" s="42"/>
      <c r="R12" s="42"/>
      <c r="S12" s="42"/>
      <c r="T12" s="42"/>
      <c r="U12" s="44" t="str">
        <f aca="false">IF(COUNTA(O12:T12)=0,"",COUNTIF(O12:T12,"Yes")&amp;" of 6")</f>
        <v/>
      </c>
      <c r="V12" s="42"/>
      <c r="W12" s="42"/>
      <c r="X12" s="45" t="str">
        <f aca="false">IF(J12="No","Not in scope",IF(L12="","Not yet tested",IF(OR(LEFT(L12,1)="P",LEFT(L12,1)="I"),IF(V12="","Raise a finding","Finding "&amp;V12),IF(LEFT(L12,1)="N","Not tested: give reason",IF(M12="","Effective: add evidence ref","Effective")))))</f>
        <v>Not yet tested</v>
      </c>
      <c r="Y12" s="46" t="s">
        <v>249</v>
      </c>
      <c r="Z12" s="46" t="s">
        <v>203</v>
      </c>
    </row>
    <row r="13" customFormat="false" ht="35.05" hidden="false" customHeight="false" outlineLevel="0" collapsed="false">
      <c r="A13" s="41" t="s">
        <v>250</v>
      </c>
      <c r="B13" s="6" t="s">
        <v>251</v>
      </c>
      <c r="C13" s="6" t="s">
        <v>245</v>
      </c>
      <c r="D13" s="6" t="s">
        <v>212</v>
      </c>
      <c r="E13" s="6" t="s">
        <v>252</v>
      </c>
      <c r="F13" s="6" t="s">
        <v>253</v>
      </c>
      <c r="G13" s="6" t="s">
        <v>254</v>
      </c>
      <c r="H13" s="6" t="s">
        <v>254</v>
      </c>
      <c r="I13" s="6" t="s">
        <v>248</v>
      </c>
      <c r="J13" s="42" t="s">
        <v>201</v>
      </c>
      <c r="K13" s="42"/>
      <c r="L13" s="42"/>
      <c r="M13" s="42"/>
      <c r="N13" s="43"/>
      <c r="O13" s="42"/>
      <c r="P13" s="42"/>
      <c r="Q13" s="42"/>
      <c r="R13" s="42"/>
      <c r="S13" s="42"/>
      <c r="T13" s="42"/>
      <c r="U13" s="44" t="str">
        <f aca="false">IF(COUNTA(O13:T13)=0,"",COUNTIF(O13:T13,"Yes")&amp;" of 6")</f>
        <v/>
      </c>
      <c r="V13" s="42"/>
      <c r="W13" s="42"/>
      <c r="X13" s="45" t="str">
        <f aca="false">IF(J13="No","Not in scope",IF(L13="","Not yet tested",IF(OR(LEFT(L13,1)="P",LEFT(L13,1)="I"),IF(V13="","Raise a finding","Finding "&amp;V13),IF(LEFT(L13,1)="N","Not tested: give reason",IF(M13="","Effective: add evidence ref","Effective")))))</f>
        <v>Not yet tested</v>
      </c>
      <c r="Y13" s="46" t="s">
        <v>255</v>
      </c>
      <c r="Z13" s="46" t="s">
        <v>203</v>
      </c>
    </row>
    <row r="14" customFormat="false" ht="35.05" hidden="false" customHeight="false" outlineLevel="0" collapsed="false">
      <c r="A14" s="41" t="s">
        <v>256</v>
      </c>
      <c r="B14" s="47" t="s">
        <v>257</v>
      </c>
      <c r="C14" s="47" t="s">
        <v>195</v>
      </c>
      <c r="D14" s="47" t="s">
        <v>212</v>
      </c>
      <c r="E14" s="47" t="s">
        <v>258</v>
      </c>
      <c r="F14" s="47" t="s">
        <v>259</v>
      </c>
      <c r="G14" s="47" t="s">
        <v>208</v>
      </c>
      <c r="H14" s="47" t="s">
        <v>208</v>
      </c>
      <c r="I14" s="47" t="s">
        <v>200</v>
      </c>
      <c r="J14" s="42" t="s">
        <v>201</v>
      </c>
      <c r="K14" s="42"/>
      <c r="L14" s="42"/>
      <c r="M14" s="42"/>
      <c r="N14" s="43"/>
      <c r="O14" s="42"/>
      <c r="P14" s="42"/>
      <c r="Q14" s="42"/>
      <c r="R14" s="42"/>
      <c r="S14" s="42"/>
      <c r="T14" s="42"/>
      <c r="U14" s="44" t="str">
        <f aca="false">IF(COUNTA(O14:T14)=0,"",COUNTIF(O14:T14,"Yes")&amp;" of 6")</f>
        <v/>
      </c>
      <c r="V14" s="42"/>
      <c r="W14" s="42"/>
      <c r="X14" s="45" t="str">
        <f aca="false">IF(J14="No","Not in scope",IF(L14="","Not yet tested",IF(OR(LEFT(L14,1)="P",LEFT(L14,1)="I"),IF(V14="","Raise a finding","Finding "&amp;V14),IF(LEFT(L14,1)="N","Not tested: give reason",IF(M14="","Effective: add evidence ref","Effective")))))</f>
        <v>Not yet tested</v>
      </c>
      <c r="Y14" s="46" t="s">
        <v>209</v>
      </c>
      <c r="Z14" s="46" t="s">
        <v>203</v>
      </c>
    </row>
    <row r="15" customFormat="false" ht="46.25" hidden="false" customHeight="false" outlineLevel="0" collapsed="false">
      <c r="A15" s="41" t="s">
        <v>260</v>
      </c>
      <c r="B15" s="6" t="s">
        <v>261</v>
      </c>
      <c r="C15" s="6" t="s">
        <v>237</v>
      </c>
      <c r="D15" s="6" t="s">
        <v>196</v>
      </c>
      <c r="E15" s="6" t="s">
        <v>262</v>
      </c>
      <c r="F15" s="6" t="s">
        <v>263</v>
      </c>
      <c r="G15" s="6" t="s">
        <v>264</v>
      </c>
      <c r="H15" s="6" t="s">
        <v>264</v>
      </c>
      <c r="I15" s="6" t="s">
        <v>200</v>
      </c>
      <c r="J15" s="42" t="s">
        <v>201</v>
      </c>
      <c r="K15" s="42"/>
      <c r="L15" s="42"/>
      <c r="M15" s="42"/>
      <c r="N15" s="43"/>
      <c r="O15" s="42"/>
      <c r="P15" s="42"/>
      <c r="Q15" s="42"/>
      <c r="R15" s="42"/>
      <c r="S15" s="42"/>
      <c r="T15" s="42"/>
      <c r="U15" s="44" t="str">
        <f aca="false">IF(COUNTA(O15:T15)=0,"",COUNTIF(O15:T15,"Yes")&amp;" of 6")</f>
        <v/>
      </c>
      <c r="V15" s="42"/>
      <c r="W15" s="42"/>
      <c r="X15" s="45" t="str">
        <f aca="false">IF(J15="No","Not in scope",IF(L15="","Not yet tested",IF(OR(LEFT(L15,1)="P",LEFT(L15,1)="I"),IF(V15="","Raise a finding","Finding "&amp;V15),IF(LEFT(L15,1)="N","Not tested: give reason",IF(M15="","Effective: add evidence ref","Effective")))))</f>
        <v>Not yet tested</v>
      </c>
      <c r="Y15" s="46" t="s">
        <v>202</v>
      </c>
      <c r="Z15" s="46" t="s">
        <v>203</v>
      </c>
    </row>
    <row r="16" customFormat="false" ht="46.25" hidden="false" customHeight="false" outlineLevel="0" collapsed="false">
      <c r="A16" s="41" t="s">
        <v>265</v>
      </c>
      <c r="B16" s="47" t="s">
        <v>266</v>
      </c>
      <c r="C16" s="47" t="s">
        <v>237</v>
      </c>
      <c r="D16" s="47" t="s">
        <v>196</v>
      </c>
      <c r="E16" s="47" t="s">
        <v>267</v>
      </c>
      <c r="F16" s="47" t="s">
        <v>268</v>
      </c>
      <c r="G16" s="47" t="s">
        <v>269</v>
      </c>
      <c r="H16" s="47" t="s">
        <v>269</v>
      </c>
      <c r="I16" s="47" t="s">
        <v>270</v>
      </c>
      <c r="J16" s="42" t="s">
        <v>201</v>
      </c>
      <c r="K16" s="42"/>
      <c r="L16" s="42"/>
      <c r="M16" s="42"/>
      <c r="N16" s="43"/>
      <c r="O16" s="42"/>
      <c r="P16" s="42"/>
      <c r="Q16" s="42"/>
      <c r="R16" s="42"/>
      <c r="S16" s="42"/>
      <c r="T16" s="42"/>
      <c r="U16" s="44" t="str">
        <f aca="false">IF(COUNTA(O16:T16)=0,"",COUNTIF(O16:T16,"Yes")&amp;" of 6")</f>
        <v/>
      </c>
      <c r="V16" s="42"/>
      <c r="W16" s="42"/>
      <c r="X16" s="45" t="str">
        <f aca="false">IF(J16="No","Not in scope",IF(L16="","Not yet tested",IF(OR(LEFT(L16,1)="P",LEFT(L16,1)="I"),IF(V16="","Raise a finding","Finding "&amp;V16),IF(LEFT(L16,1)="N","Not tested: give reason",IF(M16="","Effective: add evidence ref","Effective")))))</f>
        <v>Not yet tested</v>
      </c>
      <c r="Y16" s="46" t="s">
        <v>202</v>
      </c>
      <c r="Z16" s="46" t="s">
        <v>203</v>
      </c>
    </row>
    <row r="17" customFormat="false" ht="35.05" hidden="false" customHeight="false" outlineLevel="0" collapsed="false">
      <c r="A17" s="41" t="s">
        <v>271</v>
      </c>
      <c r="B17" s="6" t="s">
        <v>272</v>
      </c>
      <c r="C17" s="6" t="s">
        <v>237</v>
      </c>
      <c r="D17" s="6" t="s">
        <v>196</v>
      </c>
      <c r="E17" s="6" t="s">
        <v>273</v>
      </c>
      <c r="F17" s="6" t="s">
        <v>274</v>
      </c>
      <c r="G17" s="6" t="s">
        <v>275</v>
      </c>
      <c r="H17" s="6" t="s">
        <v>275</v>
      </c>
      <c r="I17" s="6" t="s">
        <v>276</v>
      </c>
      <c r="J17" s="42" t="s">
        <v>201</v>
      </c>
      <c r="K17" s="42"/>
      <c r="L17" s="42"/>
      <c r="M17" s="42"/>
      <c r="N17" s="43"/>
      <c r="O17" s="42"/>
      <c r="P17" s="42"/>
      <c r="Q17" s="42"/>
      <c r="R17" s="42"/>
      <c r="S17" s="42"/>
      <c r="T17" s="42"/>
      <c r="U17" s="44" t="str">
        <f aca="false">IF(COUNTA(O17:T17)=0,"",COUNTIF(O17:T17,"Yes")&amp;" of 6")</f>
        <v/>
      </c>
      <c r="V17" s="42"/>
      <c r="W17" s="42"/>
      <c r="X17" s="45" t="str">
        <f aca="false">IF(J17="No","Not in scope",IF(L17="","Not yet tested",IF(OR(LEFT(L17,1)="P",LEFT(L17,1)="I"),IF(V17="","Raise a finding","Finding "&amp;V17),IF(LEFT(L17,1)="N","Not tested: give reason",IF(M17="","Effective: add evidence ref","Effective")))))</f>
        <v>Not yet tested</v>
      </c>
      <c r="Y17" s="46" t="s">
        <v>234</v>
      </c>
      <c r="Z17" s="46" t="s">
        <v>203</v>
      </c>
    </row>
    <row r="18" customFormat="false" ht="35.05" hidden="false" customHeight="false" outlineLevel="0" collapsed="false">
      <c r="A18" s="41" t="s">
        <v>277</v>
      </c>
      <c r="B18" s="47" t="s">
        <v>278</v>
      </c>
      <c r="C18" s="47" t="s">
        <v>237</v>
      </c>
      <c r="D18" s="47" t="s">
        <v>196</v>
      </c>
      <c r="E18" s="47" t="s">
        <v>279</v>
      </c>
      <c r="F18" s="47" t="s">
        <v>280</v>
      </c>
      <c r="G18" s="47" t="s">
        <v>281</v>
      </c>
      <c r="H18" s="47" t="s">
        <v>281</v>
      </c>
      <c r="I18" s="47" t="s">
        <v>241</v>
      </c>
      <c r="J18" s="42" t="s">
        <v>201</v>
      </c>
      <c r="K18" s="42"/>
      <c r="L18" s="42"/>
      <c r="M18" s="42"/>
      <c r="N18" s="43"/>
      <c r="O18" s="42"/>
      <c r="P18" s="42"/>
      <c r="Q18" s="42"/>
      <c r="R18" s="42"/>
      <c r="S18" s="42"/>
      <c r="T18" s="42"/>
      <c r="U18" s="44" t="str">
        <f aca="false">IF(COUNTA(O18:T18)=0,"",COUNTIF(O18:T18,"Yes")&amp;" of 6")</f>
        <v/>
      </c>
      <c r="V18" s="42"/>
      <c r="W18" s="42"/>
      <c r="X18" s="45" t="str">
        <f aca="false">IF(J18="No","Not in scope",IF(L18="","Not yet tested",IF(OR(LEFT(L18,1)="P",LEFT(L18,1)="I"),IF(V18="","Raise a finding","Finding "&amp;V18),IF(LEFT(L18,1)="N","Not tested: give reason",IF(M18="","Effective: add evidence ref","Effective")))))</f>
        <v>Not yet tested</v>
      </c>
      <c r="Y18" s="46" t="s">
        <v>202</v>
      </c>
      <c r="Z18" s="46" t="s">
        <v>242</v>
      </c>
    </row>
    <row r="19" customFormat="false" ht="35.05" hidden="false" customHeight="false" outlineLevel="0" collapsed="false">
      <c r="A19" s="41" t="s">
        <v>282</v>
      </c>
      <c r="B19" s="6" t="s">
        <v>283</v>
      </c>
      <c r="C19" s="6" t="s">
        <v>284</v>
      </c>
      <c r="D19" s="6" t="s">
        <v>196</v>
      </c>
      <c r="E19" s="6" t="s">
        <v>285</v>
      </c>
      <c r="F19" s="6" t="s">
        <v>286</v>
      </c>
      <c r="G19" s="6" t="s">
        <v>287</v>
      </c>
      <c r="H19" s="6" t="s">
        <v>287</v>
      </c>
      <c r="I19" s="6" t="s">
        <v>248</v>
      </c>
      <c r="J19" s="42" t="s">
        <v>201</v>
      </c>
      <c r="K19" s="42"/>
      <c r="L19" s="42"/>
      <c r="M19" s="42"/>
      <c r="N19" s="43"/>
      <c r="O19" s="42"/>
      <c r="P19" s="42"/>
      <c r="Q19" s="42"/>
      <c r="R19" s="42"/>
      <c r="S19" s="42"/>
      <c r="T19" s="42"/>
      <c r="U19" s="44" t="str">
        <f aca="false">IF(COUNTA(O19:T19)=0,"",COUNTIF(O19:T19,"Yes")&amp;" of 6")</f>
        <v/>
      </c>
      <c r="V19" s="42"/>
      <c r="W19" s="42"/>
      <c r="X19" s="45" t="str">
        <f aca="false">IF(J19="No","Not in scope",IF(L19="","Not yet tested",IF(OR(LEFT(L19,1)="P",LEFT(L19,1)="I"),IF(V19="","Raise a finding","Finding "&amp;V19),IF(LEFT(L19,1)="N","Not tested: give reason",IF(M19="","Effective: add evidence ref","Effective")))))</f>
        <v>Not yet tested</v>
      </c>
      <c r="Y19" s="46" t="s">
        <v>209</v>
      </c>
      <c r="Z19" s="46" t="s">
        <v>203</v>
      </c>
    </row>
    <row r="20" customFormat="false" ht="35.05" hidden="false" customHeight="false" outlineLevel="0" collapsed="false">
      <c r="A20" s="41" t="s">
        <v>288</v>
      </c>
      <c r="B20" s="47" t="s">
        <v>289</v>
      </c>
      <c r="C20" s="47" t="s">
        <v>284</v>
      </c>
      <c r="D20" s="47" t="s">
        <v>196</v>
      </c>
      <c r="E20" s="47" t="s">
        <v>290</v>
      </c>
      <c r="F20" s="47" t="s">
        <v>291</v>
      </c>
      <c r="G20" s="47" t="s">
        <v>287</v>
      </c>
      <c r="H20" s="47" t="s">
        <v>287</v>
      </c>
      <c r="I20" s="47" t="s">
        <v>200</v>
      </c>
      <c r="J20" s="42" t="s">
        <v>201</v>
      </c>
      <c r="K20" s="42"/>
      <c r="L20" s="42"/>
      <c r="M20" s="42"/>
      <c r="N20" s="43"/>
      <c r="O20" s="42"/>
      <c r="P20" s="42"/>
      <c r="Q20" s="42"/>
      <c r="R20" s="42"/>
      <c r="S20" s="42"/>
      <c r="T20" s="42"/>
      <c r="U20" s="44" t="str">
        <f aca="false">IF(COUNTA(O20:T20)=0,"",COUNTIF(O20:T20,"Yes")&amp;" of 6")</f>
        <v/>
      </c>
      <c r="V20" s="42"/>
      <c r="W20" s="42"/>
      <c r="X20" s="45" t="str">
        <f aca="false">IF(J20="No","Not in scope",IF(L20="","Not yet tested",IF(OR(LEFT(L20,1)="P",LEFT(L20,1)="I"),IF(V20="","Raise a finding","Finding "&amp;V20),IF(LEFT(L20,1)="N","Not tested: give reason",IF(M20="","Effective: add evidence ref","Effective")))))</f>
        <v>Not yet tested</v>
      </c>
      <c r="Y20" s="46" t="s">
        <v>209</v>
      </c>
      <c r="Z20" s="46" t="s">
        <v>203</v>
      </c>
    </row>
    <row r="21" customFormat="false" ht="35.05" hidden="false" customHeight="false" outlineLevel="0" collapsed="false">
      <c r="A21" s="41" t="s">
        <v>292</v>
      </c>
      <c r="B21" s="6" t="s">
        <v>293</v>
      </c>
      <c r="C21" s="6" t="s">
        <v>294</v>
      </c>
      <c r="D21" s="6" t="s">
        <v>196</v>
      </c>
      <c r="E21" s="6" t="s">
        <v>295</v>
      </c>
      <c r="F21" s="6" t="s">
        <v>296</v>
      </c>
      <c r="G21" s="6" t="s">
        <v>297</v>
      </c>
      <c r="H21" s="6" t="s">
        <v>297</v>
      </c>
      <c r="I21" s="6" t="s">
        <v>248</v>
      </c>
      <c r="J21" s="42" t="s">
        <v>201</v>
      </c>
      <c r="K21" s="42"/>
      <c r="L21" s="42"/>
      <c r="M21" s="42"/>
      <c r="N21" s="43"/>
      <c r="O21" s="42"/>
      <c r="P21" s="42"/>
      <c r="Q21" s="42"/>
      <c r="R21" s="42"/>
      <c r="S21" s="42"/>
      <c r="T21" s="42"/>
      <c r="U21" s="44" t="str">
        <f aca="false">IF(COUNTA(O21:T21)=0,"",COUNTIF(O21:T21,"Yes")&amp;" of 6")</f>
        <v/>
      </c>
      <c r="V21" s="42"/>
      <c r="W21" s="42"/>
      <c r="X21" s="45" t="str">
        <f aca="false">IF(J21="No","Not in scope",IF(L21="","Not yet tested",IF(OR(LEFT(L21,1)="P",LEFT(L21,1)="I"),IF(V21="","Raise a finding","Finding "&amp;V21),IF(LEFT(L21,1)="N","Not tested: give reason",IF(M21="","Effective: add evidence ref","Effective")))))</f>
        <v>Not yet tested</v>
      </c>
      <c r="Y21" s="46" t="s">
        <v>209</v>
      </c>
      <c r="Z21" s="46" t="s">
        <v>203</v>
      </c>
    </row>
    <row r="22" customFormat="false" ht="46.25" hidden="false" customHeight="false" outlineLevel="0" collapsed="false">
      <c r="A22" s="41" t="s">
        <v>298</v>
      </c>
      <c r="B22" s="47" t="s">
        <v>299</v>
      </c>
      <c r="C22" s="47" t="s">
        <v>294</v>
      </c>
      <c r="D22" s="47" t="s">
        <v>196</v>
      </c>
      <c r="E22" s="47" t="s">
        <v>300</v>
      </c>
      <c r="F22" s="47" t="s">
        <v>301</v>
      </c>
      <c r="G22" s="47" t="s">
        <v>302</v>
      </c>
      <c r="H22" s="47" t="s">
        <v>302</v>
      </c>
      <c r="I22" s="47" t="s">
        <v>200</v>
      </c>
      <c r="J22" s="42" t="s">
        <v>201</v>
      </c>
      <c r="K22" s="42"/>
      <c r="L22" s="42"/>
      <c r="M22" s="42"/>
      <c r="N22" s="43"/>
      <c r="O22" s="42"/>
      <c r="P22" s="42"/>
      <c r="Q22" s="42"/>
      <c r="R22" s="42"/>
      <c r="S22" s="42"/>
      <c r="T22" s="42"/>
      <c r="U22" s="44" t="str">
        <f aca="false">IF(COUNTA(O22:T22)=0,"",COUNTIF(O22:T22,"Yes")&amp;" of 6")</f>
        <v/>
      </c>
      <c r="V22" s="42"/>
      <c r="W22" s="42"/>
      <c r="X22" s="45" t="str">
        <f aca="false">IF(J22="No","Not in scope",IF(L22="","Not yet tested",IF(OR(LEFT(L22,1)="P",LEFT(L22,1)="I"),IF(V22="","Raise a finding","Finding "&amp;V22),IF(LEFT(L22,1)="N","Not tested: give reason",IF(M22="","Effective: add evidence ref","Effective")))))</f>
        <v>Not yet tested</v>
      </c>
      <c r="Y22" s="46" t="s">
        <v>209</v>
      </c>
      <c r="Z22" s="46" t="s">
        <v>203</v>
      </c>
    </row>
    <row r="23" customFormat="false" ht="35.05" hidden="false" customHeight="false" outlineLevel="0" collapsed="false">
      <c r="A23" s="41" t="s">
        <v>303</v>
      </c>
      <c r="B23" s="6" t="s">
        <v>304</v>
      </c>
      <c r="C23" s="6" t="s">
        <v>294</v>
      </c>
      <c r="D23" s="6" t="s">
        <v>212</v>
      </c>
      <c r="E23" s="6" t="s">
        <v>305</v>
      </c>
      <c r="F23" s="6" t="s">
        <v>306</v>
      </c>
      <c r="G23" s="6" t="s">
        <v>302</v>
      </c>
      <c r="H23" s="6" t="s">
        <v>302</v>
      </c>
      <c r="I23" s="6" t="s">
        <v>200</v>
      </c>
      <c r="J23" s="42" t="s">
        <v>201</v>
      </c>
      <c r="K23" s="42"/>
      <c r="L23" s="42"/>
      <c r="M23" s="42"/>
      <c r="N23" s="43"/>
      <c r="O23" s="42"/>
      <c r="P23" s="42"/>
      <c r="Q23" s="42"/>
      <c r="R23" s="42"/>
      <c r="S23" s="42"/>
      <c r="T23" s="42"/>
      <c r="U23" s="44" t="str">
        <f aca="false">IF(COUNTA(O23:T23)=0,"",COUNTIF(O23:T23,"Yes")&amp;" of 6")</f>
        <v/>
      </c>
      <c r="V23" s="42"/>
      <c r="W23" s="42"/>
      <c r="X23" s="45" t="str">
        <f aca="false">IF(J23="No","Not in scope",IF(L23="","Not yet tested",IF(OR(LEFT(L23,1)="P",LEFT(L23,1)="I"),IF(V23="","Raise a finding","Finding "&amp;V23),IF(LEFT(L23,1)="N","Not tested: give reason",IF(M23="","Effective: add evidence ref","Effective")))))</f>
        <v>Not yet tested</v>
      </c>
      <c r="Y23" s="46" t="s">
        <v>209</v>
      </c>
      <c r="Z23" s="46" t="s">
        <v>203</v>
      </c>
    </row>
    <row r="24" customFormat="false" ht="35.05" hidden="false" customHeight="false" outlineLevel="0" collapsed="false">
      <c r="A24" s="41" t="s">
        <v>307</v>
      </c>
      <c r="B24" s="47" t="s">
        <v>308</v>
      </c>
      <c r="C24" s="47" t="s">
        <v>223</v>
      </c>
      <c r="D24" s="47" t="s">
        <v>196</v>
      </c>
      <c r="E24" s="47" t="s">
        <v>309</v>
      </c>
      <c r="F24" s="47" t="s">
        <v>310</v>
      </c>
      <c r="G24" s="47" t="s">
        <v>226</v>
      </c>
      <c r="H24" s="47" t="s">
        <v>226</v>
      </c>
      <c r="I24" s="47" t="s">
        <v>227</v>
      </c>
      <c r="J24" s="42" t="s">
        <v>201</v>
      </c>
      <c r="K24" s="42"/>
      <c r="L24" s="42"/>
      <c r="M24" s="42"/>
      <c r="N24" s="43"/>
      <c r="O24" s="42"/>
      <c r="P24" s="42"/>
      <c r="Q24" s="42"/>
      <c r="R24" s="42"/>
      <c r="S24" s="42"/>
      <c r="T24" s="42"/>
      <c r="U24" s="44" t="str">
        <f aca="false">IF(COUNTA(O24:T24)=0,"",COUNTIF(O24:T24,"Yes")&amp;" of 6")</f>
        <v/>
      </c>
      <c r="V24" s="42"/>
      <c r="W24" s="42"/>
      <c r="X24" s="45" t="str">
        <f aca="false">IF(J24="No","Not in scope",IF(L24="","Not yet tested",IF(OR(LEFT(L24,1)="P",LEFT(L24,1)="I"),IF(V24="","Raise a finding","Finding "&amp;V24),IF(LEFT(L24,1)="N","Not tested: give reason",IF(M24="","Effective: add evidence ref","Effective")))))</f>
        <v>Not yet tested</v>
      </c>
      <c r="Y24" s="46" t="s">
        <v>209</v>
      </c>
      <c r="Z24" s="46" t="s">
        <v>203</v>
      </c>
    </row>
    <row r="25" customFormat="false" ht="35.05" hidden="false" customHeight="false" outlineLevel="0" collapsed="false">
      <c r="A25" s="41" t="s">
        <v>311</v>
      </c>
      <c r="B25" s="6" t="s">
        <v>312</v>
      </c>
      <c r="C25" s="6" t="s">
        <v>223</v>
      </c>
      <c r="D25" s="6" t="s">
        <v>212</v>
      </c>
      <c r="E25" s="6" t="s">
        <v>313</v>
      </c>
      <c r="F25" s="6" t="s">
        <v>314</v>
      </c>
      <c r="G25" s="6" t="s">
        <v>208</v>
      </c>
      <c r="H25" s="6" t="s">
        <v>208</v>
      </c>
      <c r="I25" s="6" t="s">
        <v>248</v>
      </c>
      <c r="J25" s="42" t="s">
        <v>201</v>
      </c>
      <c r="K25" s="42"/>
      <c r="L25" s="42"/>
      <c r="M25" s="42"/>
      <c r="N25" s="43"/>
      <c r="O25" s="42"/>
      <c r="P25" s="42"/>
      <c r="Q25" s="42"/>
      <c r="R25" s="42"/>
      <c r="S25" s="42"/>
      <c r="T25" s="42"/>
      <c r="U25" s="44" t="str">
        <f aca="false">IF(COUNTA(O25:T25)=0,"",COUNTIF(O25:T25,"Yes")&amp;" of 6")</f>
        <v/>
      </c>
      <c r="V25" s="42"/>
      <c r="W25" s="42"/>
      <c r="X25" s="45" t="str">
        <f aca="false">IF(J25="No","Not in scope",IF(L25="","Not yet tested",IF(OR(LEFT(L25,1)="P",LEFT(L25,1)="I"),IF(V25="","Raise a finding","Finding "&amp;V25),IF(LEFT(L25,1)="N","Not tested: give reason",IF(M25="","Effective: add evidence ref","Effective")))))</f>
        <v>Not yet tested</v>
      </c>
      <c r="Y25" s="46" t="s">
        <v>209</v>
      </c>
      <c r="Z25" s="46" t="s">
        <v>203</v>
      </c>
    </row>
    <row r="26" customFormat="false" ht="35.05" hidden="false" customHeight="false" outlineLevel="0" collapsed="false">
      <c r="A26" s="41" t="s">
        <v>315</v>
      </c>
      <c r="B26" s="47" t="s">
        <v>316</v>
      </c>
      <c r="C26" s="47" t="s">
        <v>230</v>
      </c>
      <c r="D26" s="47" t="s">
        <v>196</v>
      </c>
      <c r="E26" s="47" t="s">
        <v>317</v>
      </c>
      <c r="F26" s="47" t="s">
        <v>318</v>
      </c>
      <c r="G26" s="47" t="s">
        <v>319</v>
      </c>
      <c r="H26" s="47" t="s">
        <v>319</v>
      </c>
      <c r="I26" s="47" t="s">
        <v>248</v>
      </c>
      <c r="J26" s="42" t="s">
        <v>201</v>
      </c>
      <c r="K26" s="42"/>
      <c r="L26" s="42"/>
      <c r="M26" s="42"/>
      <c r="N26" s="43"/>
      <c r="O26" s="42"/>
      <c r="P26" s="42"/>
      <c r="Q26" s="42"/>
      <c r="R26" s="42"/>
      <c r="S26" s="42"/>
      <c r="T26" s="42"/>
      <c r="U26" s="44" t="str">
        <f aca="false">IF(COUNTA(O26:T26)=0,"",COUNTIF(O26:T26,"Yes")&amp;" of 6")</f>
        <v/>
      </c>
      <c r="V26" s="42"/>
      <c r="W26" s="42"/>
      <c r="X26" s="45" t="str">
        <f aca="false">IF(J26="No","Not in scope",IF(L26="","Not yet tested",IF(OR(LEFT(L26,1)="P",LEFT(L26,1)="I"),IF(V26="","Raise a finding","Finding "&amp;V26),IF(LEFT(L26,1)="N","Not tested: give reason",IF(M26="","Effective: add evidence ref","Effective")))))</f>
        <v>Not yet tested</v>
      </c>
      <c r="Y26" s="46" t="s">
        <v>234</v>
      </c>
      <c r="Z26" s="46" t="s">
        <v>203</v>
      </c>
    </row>
    <row r="27" customFormat="false" ht="35.05" hidden="false" customHeight="false" outlineLevel="0" collapsed="false">
      <c r="A27" s="41" t="s">
        <v>320</v>
      </c>
      <c r="B27" s="6" t="s">
        <v>321</v>
      </c>
      <c r="C27" s="6" t="s">
        <v>230</v>
      </c>
      <c r="D27" s="6" t="s">
        <v>196</v>
      </c>
      <c r="E27" s="6" t="s">
        <v>322</v>
      </c>
      <c r="F27" s="6" t="s">
        <v>323</v>
      </c>
      <c r="G27" s="6" t="s">
        <v>302</v>
      </c>
      <c r="H27" s="6" t="s">
        <v>302</v>
      </c>
      <c r="I27" s="6" t="s">
        <v>248</v>
      </c>
      <c r="J27" s="42" t="s">
        <v>201</v>
      </c>
      <c r="K27" s="42"/>
      <c r="L27" s="42"/>
      <c r="M27" s="42"/>
      <c r="N27" s="43"/>
      <c r="O27" s="42"/>
      <c r="P27" s="42"/>
      <c r="Q27" s="42"/>
      <c r="R27" s="42"/>
      <c r="S27" s="42"/>
      <c r="T27" s="42"/>
      <c r="U27" s="44" t="str">
        <f aca="false">IF(COUNTA(O27:T27)=0,"",COUNTIF(O27:T27,"Yes")&amp;" of 6")</f>
        <v/>
      </c>
      <c r="V27" s="42"/>
      <c r="W27" s="42"/>
      <c r="X27" s="45" t="str">
        <f aca="false">IF(J27="No","Not in scope",IF(L27="","Not yet tested",IF(OR(LEFT(L27,1)="P",LEFT(L27,1)="I"),IF(V27="","Raise a finding","Finding "&amp;V27),IF(LEFT(L27,1)="N","Not tested: give reason",IF(M27="","Effective: add evidence ref","Effective")))))</f>
        <v>Not yet tested</v>
      </c>
      <c r="Y27" s="46" t="s">
        <v>234</v>
      </c>
      <c r="Z27" s="46" t="s">
        <v>203</v>
      </c>
    </row>
    <row r="28" customFormat="false" ht="35.05" hidden="false" customHeight="false" outlineLevel="0" collapsed="false">
      <c r="A28" s="41" t="s">
        <v>324</v>
      </c>
      <c r="B28" s="47" t="s">
        <v>325</v>
      </c>
      <c r="C28" s="47" t="s">
        <v>230</v>
      </c>
      <c r="D28" s="47" t="s">
        <v>196</v>
      </c>
      <c r="E28" s="47" t="s">
        <v>326</v>
      </c>
      <c r="F28" s="47" t="s">
        <v>327</v>
      </c>
      <c r="G28" s="47" t="s">
        <v>233</v>
      </c>
      <c r="H28" s="47" t="s">
        <v>233</v>
      </c>
      <c r="I28" s="47" t="s">
        <v>200</v>
      </c>
      <c r="J28" s="42" t="s">
        <v>201</v>
      </c>
      <c r="K28" s="42"/>
      <c r="L28" s="42"/>
      <c r="M28" s="42"/>
      <c r="N28" s="43"/>
      <c r="O28" s="42"/>
      <c r="P28" s="42"/>
      <c r="Q28" s="42"/>
      <c r="R28" s="42"/>
      <c r="S28" s="42"/>
      <c r="T28" s="42"/>
      <c r="U28" s="44" t="str">
        <f aca="false">IF(COUNTA(O28:T28)=0,"",COUNTIF(O28:T28,"Yes")&amp;" of 6")</f>
        <v/>
      </c>
      <c r="V28" s="42"/>
      <c r="W28" s="42"/>
      <c r="X28" s="45" t="str">
        <f aca="false">IF(J28="No","Not in scope",IF(L28="","Not yet tested",IF(OR(LEFT(L28,1)="P",LEFT(L28,1)="I"),IF(V28="","Raise a finding","Finding "&amp;V28),IF(LEFT(L28,1)="N","Not tested: give reason",IF(M28="","Effective: add evidence ref","Effective")))))</f>
        <v>Not yet tested</v>
      </c>
      <c r="Y28" s="46" t="s">
        <v>209</v>
      </c>
      <c r="Z28" s="46" t="s">
        <v>203</v>
      </c>
    </row>
    <row r="29" customFormat="false" ht="35.05" hidden="false" customHeight="false" outlineLevel="0" collapsed="false">
      <c r="A29" s="41" t="s">
        <v>328</v>
      </c>
      <c r="B29" s="6" t="s">
        <v>329</v>
      </c>
      <c r="C29" s="6" t="s">
        <v>230</v>
      </c>
      <c r="D29" s="6" t="s">
        <v>196</v>
      </c>
      <c r="E29" s="6" t="s">
        <v>330</v>
      </c>
      <c r="F29" s="6" t="s">
        <v>331</v>
      </c>
      <c r="G29" s="6" t="s">
        <v>332</v>
      </c>
      <c r="H29" s="6" t="s">
        <v>332</v>
      </c>
      <c r="I29" s="6" t="s">
        <v>248</v>
      </c>
      <c r="J29" s="42" t="s">
        <v>201</v>
      </c>
      <c r="K29" s="42"/>
      <c r="L29" s="42"/>
      <c r="M29" s="42"/>
      <c r="N29" s="43"/>
      <c r="O29" s="42"/>
      <c r="P29" s="42"/>
      <c r="Q29" s="42"/>
      <c r="R29" s="42"/>
      <c r="S29" s="42"/>
      <c r="T29" s="42"/>
      <c r="U29" s="44" t="str">
        <f aca="false">IF(COUNTA(O29:T29)=0,"",COUNTIF(O29:T29,"Yes")&amp;" of 6")</f>
        <v/>
      </c>
      <c r="V29" s="42"/>
      <c r="W29" s="42"/>
      <c r="X29" s="45" t="str">
        <f aca="false">IF(J29="No","Not in scope",IF(L29="","Not yet tested",IF(OR(LEFT(L29,1)="P",LEFT(L29,1)="I"),IF(V29="","Raise a finding","Finding "&amp;V29),IF(LEFT(L29,1)="N","Not tested: give reason",IF(M29="","Effective: add evidence ref","Effective")))))</f>
        <v>Not yet tested</v>
      </c>
      <c r="Y29" s="46" t="s">
        <v>255</v>
      </c>
      <c r="Z29" s="46" t="s">
        <v>203</v>
      </c>
    </row>
    <row r="30" customFormat="false" ht="57.45" hidden="false" customHeight="false" outlineLevel="0" collapsed="false">
      <c r="A30" s="41" t="s">
        <v>333</v>
      </c>
      <c r="B30" s="47" t="s">
        <v>334</v>
      </c>
      <c r="C30" s="47" t="s">
        <v>230</v>
      </c>
      <c r="D30" s="47" t="s">
        <v>212</v>
      </c>
      <c r="E30" s="47" t="s">
        <v>335</v>
      </c>
      <c r="F30" s="47" t="s">
        <v>336</v>
      </c>
      <c r="G30" s="47" t="s">
        <v>302</v>
      </c>
      <c r="H30" s="47" t="s">
        <v>302</v>
      </c>
      <c r="I30" s="47" t="s">
        <v>248</v>
      </c>
      <c r="J30" s="42" t="s">
        <v>201</v>
      </c>
      <c r="K30" s="42"/>
      <c r="L30" s="42"/>
      <c r="M30" s="42"/>
      <c r="N30" s="43"/>
      <c r="O30" s="42"/>
      <c r="P30" s="42"/>
      <c r="Q30" s="42"/>
      <c r="R30" s="42"/>
      <c r="S30" s="42"/>
      <c r="T30" s="42"/>
      <c r="U30" s="44" t="str">
        <f aca="false">IF(COUNTA(O30:T30)=0,"",COUNTIF(O30:T30,"Yes")&amp;" of 6")</f>
        <v/>
      </c>
      <c r="V30" s="42"/>
      <c r="W30" s="42"/>
      <c r="X30" s="45" t="str">
        <f aca="false">IF(J30="No","Not in scope",IF(L30="","Not yet tested",IF(OR(LEFT(L30,1)="P",LEFT(L30,1)="I"),IF(V30="","Raise a finding","Finding "&amp;V30),IF(LEFT(L30,1)="N","Not tested: give reason",IF(M30="","Effective: add evidence ref","Effective")))))</f>
        <v>Not yet tested</v>
      </c>
      <c r="Y30" s="46" t="s">
        <v>209</v>
      </c>
      <c r="Z30" s="46" t="s">
        <v>203</v>
      </c>
    </row>
    <row r="31" customFormat="false" ht="35.05" hidden="false" customHeight="false" outlineLevel="0" collapsed="false">
      <c r="A31" s="41" t="s">
        <v>337</v>
      </c>
      <c r="B31" s="6" t="s">
        <v>338</v>
      </c>
      <c r="C31" s="6" t="s">
        <v>230</v>
      </c>
      <c r="D31" s="6" t="s">
        <v>196</v>
      </c>
      <c r="E31" s="6" t="s">
        <v>339</v>
      </c>
      <c r="F31" s="6" t="s">
        <v>340</v>
      </c>
      <c r="G31" s="6" t="s">
        <v>341</v>
      </c>
      <c r="H31" s="6" t="s">
        <v>341</v>
      </c>
      <c r="I31" s="6" t="s">
        <v>248</v>
      </c>
      <c r="J31" s="42" t="s">
        <v>201</v>
      </c>
      <c r="K31" s="42"/>
      <c r="L31" s="42"/>
      <c r="M31" s="42"/>
      <c r="N31" s="43"/>
      <c r="O31" s="42"/>
      <c r="P31" s="42"/>
      <c r="Q31" s="42"/>
      <c r="R31" s="42"/>
      <c r="S31" s="42"/>
      <c r="T31" s="42"/>
      <c r="U31" s="44" t="str">
        <f aca="false">IF(COUNTA(O31:T31)=0,"",COUNTIF(O31:T31,"Yes")&amp;" of 6")</f>
        <v/>
      </c>
      <c r="V31" s="42"/>
      <c r="W31" s="42"/>
      <c r="X31" s="45" t="str">
        <f aca="false">IF(J31="No","Not in scope",IF(L31="","Not yet tested",IF(OR(LEFT(L31,1)="P",LEFT(L31,1)="I"),IF(V31="","Raise a finding","Finding "&amp;V31),IF(LEFT(L31,1)="N","Not tested: give reason",IF(M31="","Effective: add evidence ref","Effective")))))</f>
        <v>Not yet tested</v>
      </c>
      <c r="Y31" s="46" t="s">
        <v>249</v>
      </c>
      <c r="Z31" s="46" t="s">
        <v>203</v>
      </c>
    </row>
    <row r="32" customFormat="false" ht="35.05" hidden="false" customHeight="false" outlineLevel="0" collapsed="false">
      <c r="A32" s="41" t="s">
        <v>342</v>
      </c>
      <c r="B32" s="47" t="s">
        <v>343</v>
      </c>
      <c r="C32" s="47" t="s">
        <v>344</v>
      </c>
      <c r="D32" s="47" t="s">
        <v>212</v>
      </c>
      <c r="E32" s="47" t="s">
        <v>345</v>
      </c>
      <c r="F32" s="47" t="s">
        <v>346</v>
      </c>
      <c r="G32" s="47" t="s">
        <v>347</v>
      </c>
      <c r="H32" s="47" t="s">
        <v>347</v>
      </c>
      <c r="I32" s="47" t="s">
        <v>248</v>
      </c>
      <c r="J32" s="42" t="s">
        <v>201</v>
      </c>
      <c r="K32" s="42"/>
      <c r="L32" s="42"/>
      <c r="M32" s="42"/>
      <c r="N32" s="43"/>
      <c r="O32" s="42"/>
      <c r="P32" s="42"/>
      <c r="Q32" s="42"/>
      <c r="R32" s="42"/>
      <c r="S32" s="42"/>
      <c r="T32" s="42"/>
      <c r="U32" s="44" t="str">
        <f aca="false">IF(COUNTA(O32:T32)=0,"",COUNTIF(O32:T32,"Yes")&amp;" of 6")</f>
        <v/>
      </c>
      <c r="V32" s="42"/>
      <c r="W32" s="42"/>
      <c r="X32" s="45" t="str">
        <f aca="false">IF(J32="No","Not in scope",IF(L32="","Not yet tested",IF(OR(LEFT(L32,1)="P",LEFT(L32,1)="I"),IF(V32="","Raise a finding","Finding "&amp;V32),IF(LEFT(L32,1)="N","Not tested: give reason",IF(M32="","Effective: add evidence ref","Effective")))))</f>
        <v>Not yet tested</v>
      </c>
      <c r="Y32" s="46" t="s">
        <v>249</v>
      </c>
      <c r="Z32" s="46" t="s">
        <v>348</v>
      </c>
    </row>
    <row r="33" customFormat="false" ht="46.25" hidden="false" customHeight="false" outlineLevel="0" collapsed="false">
      <c r="A33" s="41" t="s">
        <v>349</v>
      </c>
      <c r="B33" s="6" t="s">
        <v>350</v>
      </c>
      <c r="C33" s="6" t="s">
        <v>344</v>
      </c>
      <c r="D33" s="6" t="s">
        <v>212</v>
      </c>
      <c r="E33" s="6" t="s">
        <v>351</v>
      </c>
      <c r="F33" s="6" t="s">
        <v>352</v>
      </c>
      <c r="G33" s="6" t="s">
        <v>353</v>
      </c>
      <c r="H33" s="6" t="s">
        <v>353</v>
      </c>
      <c r="I33" s="6" t="s">
        <v>354</v>
      </c>
      <c r="J33" s="42" t="s">
        <v>201</v>
      </c>
      <c r="K33" s="42"/>
      <c r="L33" s="42"/>
      <c r="M33" s="42"/>
      <c r="N33" s="43"/>
      <c r="O33" s="42"/>
      <c r="P33" s="42"/>
      <c r="Q33" s="42"/>
      <c r="R33" s="42"/>
      <c r="S33" s="42"/>
      <c r="T33" s="42"/>
      <c r="U33" s="44" t="str">
        <f aca="false">IF(COUNTA(O33:T33)=0,"",COUNTIF(O33:T33,"Yes")&amp;" of 6")</f>
        <v/>
      </c>
      <c r="V33" s="42"/>
      <c r="W33" s="42"/>
      <c r="X33" s="45" t="str">
        <f aca="false">IF(J33="No","Not in scope",IF(L33="","Not yet tested",IF(OR(LEFT(L33,1)="P",LEFT(L33,1)="I"),IF(V33="","Raise a finding","Finding "&amp;V33),IF(LEFT(L33,1)="N","Not tested: give reason",IF(M33="","Effective: add evidence ref","Effective")))))</f>
        <v>Not yet tested</v>
      </c>
      <c r="Y33" s="46" t="s">
        <v>209</v>
      </c>
      <c r="Z33" s="46" t="s">
        <v>203</v>
      </c>
    </row>
    <row r="34" customFormat="false" ht="35.05" hidden="false" customHeight="false" outlineLevel="0" collapsed="false">
      <c r="A34" s="41" t="s">
        <v>355</v>
      </c>
      <c r="B34" s="47" t="s">
        <v>356</v>
      </c>
      <c r="C34" s="47" t="s">
        <v>344</v>
      </c>
      <c r="D34" s="47" t="s">
        <v>212</v>
      </c>
      <c r="E34" s="47" t="s">
        <v>357</v>
      </c>
      <c r="F34" s="47" t="s">
        <v>358</v>
      </c>
      <c r="G34" s="47" t="s">
        <v>359</v>
      </c>
      <c r="H34" s="47" t="s">
        <v>359</v>
      </c>
      <c r="I34" s="47" t="s">
        <v>248</v>
      </c>
      <c r="J34" s="42" t="s">
        <v>201</v>
      </c>
      <c r="K34" s="42"/>
      <c r="L34" s="42"/>
      <c r="M34" s="42"/>
      <c r="N34" s="43"/>
      <c r="O34" s="42"/>
      <c r="P34" s="42"/>
      <c r="Q34" s="42"/>
      <c r="R34" s="42"/>
      <c r="S34" s="42"/>
      <c r="T34" s="42"/>
      <c r="U34" s="44" t="str">
        <f aca="false">IF(COUNTA(O34:T34)=0,"",COUNTIF(O34:T34,"Yes")&amp;" of 6")</f>
        <v/>
      </c>
      <c r="V34" s="42"/>
      <c r="W34" s="42"/>
      <c r="X34" s="45" t="str">
        <f aca="false">IF(J34="No","Not in scope",IF(L34="","Not yet tested",IF(OR(LEFT(L34,1)="P",LEFT(L34,1)="I"),IF(V34="","Raise a finding","Finding "&amp;V34),IF(LEFT(L34,1)="N","Not tested: give reason",IF(M34="","Effective: add evidence ref","Effective")))))</f>
        <v>Not yet tested</v>
      </c>
      <c r="Y34" s="46" t="s">
        <v>249</v>
      </c>
      <c r="Z34" s="46" t="s">
        <v>348</v>
      </c>
    </row>
    <row r="35" customFormat="false" ht="35.05" hidden="false" customHeight="false" outlineLevel="0" collapsed="false">
      <c r="A35" s="41" t="s">
        <v>360</v>
      </c>
      <c r="B35" s="6" t="s">
        <v>361</v>
      </c>
      <c r="C35" s="6" t="s">
        <v>362</v>
      </c>
      <c r="D35" s="6" t="s">
        <v>212</v>
      </c>
      <c r="E35" s="6" t="s">
        <v>363</v>
      </c>
      <c r="F35" s="6" t="s">
        <v>364</v>
      </c>
      <c r="G35" s="6" t="s">
        <v>220</v>
      </c>
      <c r="H35" s="6" t="s">
        <v>220</v>
      </c>
      <c r="I35" s="6" t="s">
        <v>200</v>
      </c>
      <c r="J35" s="42" t="s">
        <v>201</v>
      </c>
      <c r="K35" s="42"/>
      <c r="L35" s="42"/>
      <c r="M35" s="42"/>
      <c r="N35" s="43"/>
      <c r="O35" s="42"/>
      <c r="P35" s="42"/>
      <c r="Q35" s="42"/>
      <c r="R35" s="42"/>
      <c r="S35" s="42"/>
      <c r="T35" s="42"/>
      <c r="U35" s="44" t="str">
        <f aca="false">IF(COUNTA(O35:T35)=0,"",COUNTIF(O35:T35,"Yes")&amp;" of 6")</f>
        <v/>
      </c>
      <c r="V35" s="42"/>
      <c r="W35" s="42"/>
      <c r="X35" s="45" t="str">
        <f aca="false">IF(J35="No","Not in scope",IF(L35="","Not yet tested",IF(OR(LEFT(L35,1)="P",LEFT(L35,1)="I"),IF(V35="","Raise a finding","Finding "&amp;V35),IF(LEFT(L35,1)="N","Not tested: give reason",IF(M35="","Effective: add evidence ref","Effective")))))</f>
        <v>Not yet tested</v>
      </c>
      <c r="Y35" s="46" t="s">
        <v>209</v>
      </c>
      <c r="Z35" s="46" t="s">
        <v>203</v>
      </c>
    </row>
    <row r="36" customFormat="false" ht="35.05" hidden="false" customHeight="false" outlineLevel="0" collapsed="false">
      <c r="A36" s="41" t="s">
        <v>365</v>
      </c>
      <c r="B36" s="47" t="s">
        <v>366</v>
      </c>
      <c r="C36" s="47" t="s">
        <v>362</v>
      </c>
      <c r="D36" s="47" t="s">
        <v>212</v>
      </c>
      <c r="E36" s="47" t="s">
        <v>367</v>
      </c>
      <c r="F36" s="47" t="s">
        <v>368</v>
      </c>
      <c r="G36" s="47" t="s">
        <v>341</v>
      </c>
      <c r="H36" s="47" t="s">
        <v>341</v>
      </c>
      <c r="I36" s="47" t="s">
        <v>248</v>
      </c>
      <c r="J36" s="42" t="s">
        <v>201</v>
      </c>
      <c r="K36" s="42"/>
      <c r="L36" s="42"/>
      <c r="M36" s="42"/>
      <c r="N36" s="43"/>
      <c r="O36" s="42"/>
      <c r="P36" s="42"/>
      <c r="Q36" s="42"/>
      <c r="R36" s="42"/>
      <c r="S36" s="42"/>
      <c r="T36" s="42"/>
      <c r="U36" s="44" t="str">
        <f aca="false">IF(COUNTA(O36:T36)=0,"",COUNTIF(O36:T36,"Yes")&amp;" of 6")</f>
        <v/>
      </c>
      <c r="V36" s="42"/>
      <c r="W36" s="42"/>
      <c r="X36" s="45" t="str">
        <f aca="false">IF(J36="No","Not in scope",IF(L36="","Not yet tested",IF(OR(LEFT(L36,1)="P",LEFT(L36,1)="I"),IF(V36="","Raise a finding","Finding "&amp;V36),IF(LEFT(L36,1)="N","Not tested: give reason",IF(M36="","Effective: add evidence ref","Effective")))))</f>
        <v>Not yet tested</v>
      </c>
      <c r="Y36" s="46" t="s">
        <v>249</v>
      </c>
      <c r="Z36" s="46" t="s">
        <v>348</v>
      </c>
    </row>
    <row r="37" customFormat="false" ht="35.05" hidden="false" customHeight="false" outlineLevel="0" collapsed="false">
      <c r="A37" s="41" t="s">
        <v>369</v>
      </c>
      <c r="B37" s="6" t="s">
        <v>370</v>
      </c>
      <c r="C37" s="6" t="s">
        <v>371</v>
      </c>
      <c r="D37" s="6" t="s">
        <v>196</v>
      </c>
      <c r="E37" s="6" t="s">
        <v>372</v>
      </c>
      <c r="F37" s="6" t="s">
        <v>373</v>
      </c>
      <c r="G37" s="6" t="s">
        <v>319</v>
      </c>
      <c r="H37" s="6" t="s">
        <v>319</v>
      </c>
      <c r="I37" s="6" t="s">
        <v>374</v>
      </c>
      <c r="J37" s="42" t="s">
        <v>201</v>
      </c>
      <c r="K37" s="42"/>
      <c r="L37" s="42"/>
      <c r="M37" s="42"/>
      <c r="N37" s="43"/>
      <c r="O37" s="42"/>
      <c r="P37" s="42"/>
      <c r="Q37" s="42"/>
      <c r="R37" s="42"/>
      <c r="S37" s="42"/>
      <c r="T37" s="42"/>
      <c r="U37" s="44" t="str">
        <f aca="false">IF(COUNTA(O37:T37)=0,"",COUNTIF(O37:T37,"Yes")&amp;" of 6")</f>
        <v/>
      </c>
      <c r="V37" s="42"/>
      <c r="W37" s="42"/>
      <c r="X37" s="45" t="str">
        <f aca="false">IF(J37="No","Not in scope",IF(L37="","Not yet tested",IF(OR(LEFT(L37,1)="P",LEFT(L37,1)="I"),IF(V37="","Raise a finding","Finding "&amp;V37),IF(LEFT(L37,1)="N","Not tested: give reason",IF(M37="","Effective: add evidence ref","Effective")))))</f>
        <v>Not yet tested</v>
      </c>
      <c r="Y37" s="46" t="s">
        <v>209</v>
      </c>
      <c r="Z37" s="46" t="s">
        <v>203</v>
      </c>
    </row>
    <row r="38" customFormat="false" ht="35.05" hidden="false" customHeight="false" outlineLevel="0" collapsed="false">
      <c r="A38" s="41" t="s">
        <v>375</v>
      </c>
      <c r="B38" s="47" t="s">
        <v>376</v>
      </c>
      <c r="C38" s="47" t="s">
        <v>371</v>
      </c>
      <c r="D38" s="47" t="s">
        <v>212</v>
      </c>
      <c r="E38" s="47" t="s">
        <v>377</v>
      </c>
      <c r="F38" s="47" t="s">
        <v>378</v>
      </c>
      <c r="G38" s="47" t="s">
        <v>379</v>
      </c>
      <c r="H38" s="47" t="s">
        <v>379</v>
      </c>
      <c r="I38" s="47" t="s">
        <v>380</v>
      </c>
      <c r="J38" s="42" t="s">
        <v>201</v>
      </c>
      <c r="K38" s="42"/>
      <c r="L38" s="42"/>
      <c r="M38" s="42"/>
      <c r="N38" s="43"/>
      <c r="O38" s="42"/>
      <c r="P38" s="42"/>
      <c r="Q38" s="42"/>
      <c r="R38" s="42"/>
      <c r="S38" s="42"/>
      <c r="T38" s="42"/>
      <c r="U38" s="44" t="str">
        <f aca="false">IF(COUNTA(O38:T38)=0,"",COUNTIF(O38:T38,"Yes")&amp;" of 6")</f>
        <v/>
      </c>
      <c r="V38" s="42"/>
      <c r="W38" s="42"/>
      <c r="X38" s="45" t="str">
        <f aca="false">IF(J38="No","Not in scope",IF(L38="","Not yet tested",IF(OR(LEFT(L38,1)="P",LEFT(L38,1)="I"),IF(V38="","Raise a finding","Finding "&amp;V38),IF(LEFT(L38,1)="N","Not tested: give reason",IF(M38="","Effective: add evidence ref","Effective")))))</f>
        <v>Not yet tested</v>
      </c>
      <c r="Y38" s="46" t="s">
        <v>209</v>
      </c>
      <c r="Z38" s="46" t="s">
        <v>203</v>
      </c>
    </row>
    <row r="39" customFormat="false" ht="35.05" hidden="false" customHeight="false" outlineLevel="0" collapsed="false">
      <c r="A39" s="41" t="s">
        <v>381</v>
      </c>
      <c r="B39" s="6" t="s">
        <v>382</v>
      </c>
      <c r="C39" s="6" t="s">
        <v>245</v>
      </c>
      <c r="D39" s="6" t="s">
        <v>196</v>
      </c>
      <c r="E39" s="6" t="s">
        <v>383</v>
      </c>
      <c r="F39" s="6" t="s">
        <v>384</v>
      </c>
      <c r="G39" s="6" t="s">
        <v>385</v>
      </c>
      <c r="H39" s="6" t="s">
        <v>385</v>
      </c>
      <c r="I39" s="6" t="s">
        <v>386</v>
      </c>
      <c r="J39" s="42" t="s">
        <v>201</v>
      </c>
      <c r="K39" s="42"/>
      <c r="L39" s="42"/>
      <c r="M39" s="42"/>
      <c r="N39" s="43"/>
      <c r="O39" s="42"/>
      <c r="P39" s="42"/>
      <c r="Q39" s="42"/>
      <c r="R39" s="42"/>
      <c r="S39" s="42"/>
      <c r="T39" s="42"/>
      <c r="U39" s="44" t="str">
        <f aca="false">IF(COUNTA(O39:T39)=0,"",COUNTIF(O39:T39,"Yes")&amp;" of 6")</f>
        <v/>
      </c>
      <c r="V39" s="42"/>
      <c r="W39" s="42"/>
      <c r="X39" s="45" t="str">
        <f aca="false">IF(J39="No","Not in scope",IF(L39="","Not yet tested",IF(OR(LEFT(L39,1)="P",LEFT(L39,1)="I"),IF(V39="","Raise a finding","Finding "&amp;V39),IF(LEFT(L39,1)="N","Not tested: give reason",IF(M39="","Effective: add evidence ref","Effective")))))</f>
        <v>Not yet tested</v>
      </c>
      <c r="Y39" s="46" t="s">
        <v>255</v>
      </c>
      <c r="Z39" s="46" t="s">
        <v>203</v>
      </c>
    </row>
    <row r="40" customFormat="false" ht="35.05" hidden="false" customHeight="false" outlineLevel="0" collapsed="false">
      <c r="A40" s="41" t="s">
        <v>387</v>
      </c>
      <c r="B40" s="47" t="s">
        <v>388</v>
      </c>
      <c r="C40" s="47" t="s">
        <v>389</v>
      </c>
      <c r="D40" s="47" t="s">
        <v>196</v>
      </c>
      <c r="E40" s="47" t="s">
        <v>390</v>
      </c>
      <c r="F40" s="47" t="s">
        <v>391</v>
      </c>
      <c r="G40" s="47" t="s">
        <v>392</v>
      </c>
      <c r="H40" s="47" t="s">
        <v>392</v>
      </c>
      <c r="I40" s="47" t="s">
        <v>200</v>
      </c>
      <c r="J40" s="42" t="s">
        <v>201</v>
      </c>
      <c r="K40" s="42"/>
      <c r="L40" s="42"/>
      <c r="M40" s="42"/>
      <c r="N40" s="43"/>
      <c r="O40" s="42"/>
      <c r="P40" s="42"/>
      <c r="Q40" s="42"/>
      <c r="R40" s="42"/>
      <c r="S40" s="42"/>
      <c r="T40" s="42"/>
      <c r="U40" s="44" t="str">
        <f aca="false">IF(COUNTA(O40:T40)=0,"",COUNTIF(O40:T40,"Yes")&amp;" of 6")</f>
        <v/>
      </c>
      <c r="V40" s="42"/>
      <c r="W40" s="42"/>
      <c r="X40" s="45" t="str">
        <f aca="false">IF(J40="No","Not in scope",IF(L40="","Not yet tested",IF(OR(LEFT(L40,1)="P",LEFT(L40,1)="I"),IF(V40="","Raise a finding","Finding "&amp;V40),IF(LEFT(L40,1)="N","Not tested: give reason",IF(M40="","Effective: add evidence ref","Effective")))))</f>
        <v>Not yet tested</v>
      </c>
      <c r="Y40" s="46" t="s">
        <v>249</v>
      </c>
      <c r="Z40" s="46" t="s">
        <v>203</v>
      </c>
    </row>
    <row r="41" customFormat="false" ht="35.05" hidden="false" customHeight="false" outlineLevel="0" collapsed="false">
      <c r="A41" s="41" t="s">
        <v>393</v>
      </c>
      <c r="B41" s="6" t="s">
        <v>394</v>
      </c>
      <c r="C41" s="6" t="s">
        <v>237</v>
      </c>
      <c r="D41" s="6" t="s">
        <v>212</v>
      </c>
      <c r="E41" s="6" t="s">
        <v>395</v>
      </c>
      <c r="F41" s="6" t="s">
        <v>396</v>
      </c>
      <c r="G41" s="6" t="s">
        <v>397</v>
      </c>
      <c r="H41" s="6" t="s">
        <v>397</v>
      </c>
      <c r="I41" s="6" t="s">
        <v>200</v>
      </c>
      <c r="J41" s="42" t="s">
        <v>201</v>
      </c>
      <c r="K41" s="42"/>
      <c r="L41" s="42"/>
      <c r="M41" s="42"/>
      <c r="N41" s="43"/>
      <c r="O41" s="42"/>
      <c r="P41" s="42"/>
      <c r="Q41" s="42"/>
      <c r="R41" s="42"/>
      <c r="S41" s="42"/>
      <c r="T41" s="42"/>
      <c r="U41" s="44" t="str">
        <f aca="false">IF(COUNTA(O41:T41)=0,"",COUNTIF(O41:T41,"Yes")&amp;" of 6")</f>
        <v/>
      </c>
      <c r="V41" s="42"/>
      <c r="W41" s="42"/>
      <c r="X41" s="45" t="str">
        <f aca="false">IF(J41="No","Not in scope",IF(L41="","Not yet tested",IF(OR(LEFT(L41,1)="P",LEFT(L41,1)="I"),IF(V41="","Raise a finding","Finding "&amp;V41),IF(LEFT(L41,1)="N","Not tested: give reason",IF(M41="","Effective: add evidence ref","Effective")))))</f>
        <v>Not yet tested</v>
      </c>
      <c r="Y41" s="46" t="s">
        <v>234</v>
      </c>
      <c r="Z41" s="46" t="s">
        <v>203</v>
      </c>
    </row>
    <row r="42" customFormat="false" ht="35.05" hidden="false" customHeight="false" outlineLevel="0" collapsed="false">
      <c r="A42" s="41" t="s">
        <v>398</v>
      </c>
      <c r="B42" s="47" t="s">
        <v>399</v>
      </c>
      <c r="C42" s="47" t="s">
        <v>371</v>
      </c>
      <c r="D42" s="47" t="s">
        <v>212</v>
      </c>
      <c r="E42" s="47" t="s">
        <v>400</v>
      </c>
      <c r="F42" s="47" t="s">
        <v>401</v>
      </c>
      <c r="G42" s="47" t="s">
        <v>402</v>
      </c>
      <c r="H42" s="47" t="s">
        <v>402</v>
      </c>
      <c r="I42" s="47" t="s">
        <v>200</v>
      </c>
      <c r="J42" s="42" t="s">
        <v>201</v>
      </c>
      <c r="K42" s="42"/>
      <c r="L42" s="42"/>
      <c r="M42" s="42"/>
      <c r="N42" s="43"/>
      <c r="O42" s="42"/>
      <c r="P42" s="42"/>
      <c r="Q42" s="42"/>
      <c r="R42" s="42"/>
      <c r="S42" s="42"/>
      <c r="T42" s="42"/>
      <c r="U42" s="44" t="str">
        <f aca="false">IF(COUNTA(O42:T42)=0,"",COUNTIF(O42:T42,"Yes")&amp;" of 6")</f>
        <v/>
      </c>
      <c r="V42" s="42"/>
      <c r="W42" s="42"/>
      <c r="X42" s="45" t="str">
        <f aca="false">IF(J42="No","Not in scope",IF(L42="","Not yet tested",IF(OR(LEFT(L42,1)="P",LEFT(L42,1)="I"),IF(V42="","Raise a finding","Finding "&amp;V42),IF(LEFT(L42,1)="N","Not tested: give reason",IF(M42="","Effective: add evidence ref","Effective")))))</f>
        <v>Not yet tested</v>
      </c>
      <c r="Y42" s="46" t="s">
        <v>255</v>
      </c>
      <c r="Z42" s="46" t="s">
        <v>203</v>
      </c>
    </row>
    <row r="43" customFormat="false" ht="35.05" hidden="false" customHeight="false" outlineLevel="0" collapsed="false">
      <c r="A43" s="41" t="s">
        <v>403</v>
      </c>
      <c r="B43" s="6" t="s">
        <v>404</v>
      </c>
      <c r="C43" s="6" t="s">
        <v>223</v>
      </c>
      <c r="D43" s="6" t="s">
        <v>212</v>
      </c>
      <c r="E43" s="6" t="s">
        <v>405</v>
      </c>
      <c r="F43" s="6" t="s">
        <v>406</v>
      </c>
      <c r="G43" s="6" t="s">
        <v>407</v>
      </c>
      <c r="H43" s="6" t="s">
        <v>407</v>
      </c>
      <c r="I43" s="6" t="s">
        <v>227</v>
      </c>
      <c r="J43" s="42" t="s">
        <v>201</v>
      </c>
      <c r="K43" s="42"/>
      <c r="L43" s="42"/>
      <c r="M43" s="42"/>
      <c r="N43" s="43"/>
      <c r="O43" s="42"/>
      <c r="P43" s="42"/>
      <c r="Q43" s="42"/>
      <c r="R43" s="42"/>
      <c r="S43" s="42"/>
      <c r="T43" s="42"/>
      <c r="U43" s="44" t="str">
        <f aca="false">IF(COUNTA(O43:T43)=0,"",COUNTIF(O43:T43,"Yes")&amp;" of 6")</f>
        <v/>
      </c>
      <c r="V43" s="42"/>
      <c r="W43" s="42"/>
      <c r="X43" s="45" t="str">
        <f aca="false">IF(J43="No","Not in scope",IF(L43="","Not yet tested",IF(OR(LEFT(L43,1)="P",LEFT(L43,1)="I"),IF(V43="","Raise a finding","Finding "&amp;V43),IF(LEFT(L43,1)="N","Not tested: give reason",IF(M43="","Effective: add evidence ref","Effective")))))</f>
        <v>Not yet tested</v>
      </c>
      <c r="Y43" s="46" t="s">
        <v>209</v>
      </c>
      <c r="Z43" s="46" t="s">
        <v>203</v>
      </c>
    </row>
    <row r="44" customFormat="false" ht="46.25" hidden="false" customHeight="false" outlineLevel="0" collapsed="false">
      <c r="A44" s="41" t="s">
        <v>408</v>
      </c>
      <c r="B44" s="47" t="s">
        <v>409</v>
      </c>
      <c r="C44" s="47" t="s">
        <v>362</v>
      </c>
      <c r="D44" s="47" t="s">
        <v>212</v>
      </c>
      <c r="E44" s="47" t="s">
        <v>410</v>
      </c>
      <c r="F44" s="47" t="s">
        <v>411</v>
      </c>
      <c r="G44" s="47" t="s">
        <v>412</v>
      </c>
      <c r="H44" s="47" t="s">
        <v>412</v>
      </c>
      <c r="I44" s="47" t="s">
        <v>248</v>
      </c>
      <c r="J44" s="42" t="s">
        <v>201</v>
      </c>
      <c r="K44" s="42"/>
      <c r="L44" s="42"/>
      <c r="M44" s="42"/>
      <c r="N44" s="43"/>
      <c r="O44" s="42"/>
      <c r="P44" s="42"/>
      <c r="Q44" s="42"/>
      <c r="R44" s="42"/>
      <c r="S44" s="42"/>
      <c r="T44" s="42"/>
      <c r="U44" s="44" t="str">
        <f aca="false">IF(COUNTA(O44:T44)=0,"",COUNTIF(O44:T44,"Yes")&amp;" of 6")</f>
        <v/>
      </c>
      <c r="V44" s="42"/>
      <c r="W44" s="42"/>
      <c r="X44" s="45" t="str">
        <f aca="false">IF(J44="No","Not in scope",IF(L44="","Not yet tested",IF(OR(LEFT(L44,1)="P",LEFT(L44,1)="I"),IF(V44="","Raise a finding","Finding "&amp;V44),IF(LEFT(L44,1)="N","Not tested: give reason",IF(M44="","Effective: add evidence ref","Effective")))))</f>
        <v>Not yet tested</v>
      </c>
      <c r="Y44" s="46" t="s">
        <v>249</v>
      </c>
      <c r="Z44" s="46" t="s">
        <v>203</v>
      </c>
    </row>
    <row r="45" customFormat="false" ht="57.45" hidden="false" customHeight="false" outlineLevel="0" collapsed="false">
      <c r="A45" s="41" t="s">
        <v>413</v>
      </c>
      <c r="B45" s="6" t="s">
        <v>414</v>
      </c>
      <c r="C45" s="6" t="s">
        <v>371</v>
      </c>
      <c r="D45" s="6" t="s">
        <v>212</v>
      </c>
      <c r="E45" s="6" t="s">
        <v>415</v>
      </c>
      <c r="F45" s="6" t="s">
        <v>416</v>
      </c>
      <c r="G45" s="6" t="s">
        <v>417</v>
      </c>
      <c r="H45" s="6" t="s">
        <v>417</v>
      </c>
      <c r="I45" s="6" t="s">
        <v>418</v>
      </c>
      <c r="J45" s="42" t="s">
        <v>201</v>
      </c>
      <c r="K45" s="42"/>
      <c r="L45" s="42"/>
      <c r="M45" s="42"/>
      <c r="N45" s="43"/>
      <c r="O45" s="42"/>
      <c r="P45" s="42"/>
      <c r="Q45" s="42"/>
      <c r="R45" s="42"/>
      <c r="S45" s="42"/>
      <c r="T45" s="42"/>
      <c r="U45" s="44" t="str">
        <f aca="false">IF(COUNTA(O45:T45)=0,"",COUNTIF(O45:T45,"Yes")&amp;" of 6")</f>
        <v/>
      </c>
      <c r="V45" s="42"/>
      <c r="W45" s="42"/>
      <c r="X45" s="45" t="str">
        <f aca="false">IF(J45="No","Not in scope",IF(L45="","Not yet tested",IF(OR(LEFT(L45,1)="P",LEFT(L45,1)="I"),IF(V45="","Raise a finding","Finding "&amp;V45),IF(LEFT(L45,1)="N","Not tested: give reason",IF(M45="","Effective: add evidence ref","Effective")))))</f>
        <v>Not yet tested</v>
      </c>
      <c r="Y45" s="46" t="s">
        <v>209</v>
      </c>
      <c r="Z45" s="46" t="s">
        <v>203</v>
      </c>
    </row>
    <row r="46" customFormat="false" ht="57.45" hidden="false" customHeight="false" outlineLevel="0" collapsed="false">
      <c r="A46" s="41" t="s">
        <v>419</v>
      </c>
      <c r="B46" s="47" t="s">
        <v>420</v>
      </c>
      <c r="C46" s="47" t="s">
        <v>237</v>
      </c>
      <c r="D46" s="47" t="s">
        <v>212</v>
      </c>
      <c r="E46" s="47" t="s">
        <v>421</v>
      </c>
      <c r="F46" s="47" t="s">
        <v>422</v>
      </c>
      <c r="G46" s="47" t="s">
        <v>423</v>
      </c>
      <c r="H46" s="47" t="s">
        <v>423</v>
      </c>
      <c r="I46" s="47" t="s">
        <v>424</v>
      </c>
      <c r="J46" s="42" t="s">
        <v>201</v>
      </c>
      <c r="K46" s="42"/>
      <c r="L46" s="42"/>
      <c r="M46" s="42"/>
      <c r="N46" s="43"/>
      <c r="O46" s="42"/>
      <c r="P46" s="42"/>
      <c r="Q46" s="42"/>
      <c r="R46" s="42"/>
      <c r="S46" s="42"/>
      <c r="T46" s="42"/>
      <c r="U46" s="44" t="str">
        <f aca="false">IF(COUNTA(O46:T46)=0,"",COUNTIF(O46:T46,"Yes")&amp;" of 6")</f>
        <v/>
      </c>
      <c r="V46" s="42"/>
      <c r="W46" s="42"/>
      <c r="X46" s="45" t="str">
        <f aca="false">IF(J46="No","Not in scope",IF(L46="","Not yet tested",IF(OR(LEFT(L46,1)="P",LEFT(L46,1)="I"),IF(V46="","Raise a finding","Finding "&amp;V46),IF(LEFT(L46,1)="N","Not tested: give reason",IF(M46="","Effective: add evidence ref","Effective")))))</f>
        <v>Not yet tested</v>
      </c>
      <c r="Y46" s="46" t="s">
        <v>234</v>
      </c>
      <c r="Z46" s="46" t="s">
        <v>203</v>
      </c>
    </row>
    <row r="47" customFormat="false" ht="46.25" hidden="false" customHeight="false" outlineLevel="0" collapsed="false">
      <c r="A47" s="41" t="s">
        <v>425</v>
      </c>
      <c r="B47" s="6" t="s">
        <v>426</v>
      </c>
      <c r="C47" s="6" t="s">
        <v>237</v>
      </c>
      <c r="D47" s="6" t="s">
        <v>212</v>
      </c>
      <c r="E47" s="6" t="s">
        <v>427</v>
      </c>
      <c r="F47" s="6" t="s">
        <v>428</v>
      </c>
      <c r="G47" s="6" t="s">
        <v>429</v>
      </c>
      <c r="H47" s="6" t="s">
        <v>429</v>
      </c>
      <c r="I47" s="6" t="s">
        <v>200</v>
      </c>
      <c r="J47" s="42" t="s">
        <v>201</v>
      </c>
      <c r="K47" s="42"/>
      <c r="L47" s="42"/>
      <c r="M47" s="42"/>
      <c r="N47" s="43"/>
      <c r="O47" s="42"/>
      <c r="P47" s="42"/>
      <c r="Q47" s="42"/>
      <c r="R47" s="42"/>
      <c r="S47" s="42"/>
      <c r="T47" s="42"/>
      <c r="U47" s="44" t="str">
        <f aca="false">IF(COUNTA(O47:T47)=0,"",COUNTIF(O47:T47,"Yes")&amp;" of 6")</f>
        <v/>
      </c>
      <c r="V47" s="42"/>
      <c r="W47" s="42"/>
      <c r="X47" s="45" t="str">
        <f aca="false">IF(J47="No","Not in scope",IF(L47="","Not yet tested",IF(OR(LEFT(L47,1)="P",LEFT(L47,1)="I"),IF(V47="","Raise a finding","Finding "&amp;V47),IF(LEFT(L47,1)="N","Not tested: give reason",IF(M47="","Effective: add evidence ref","Effective")))))</f>
        <v>Not yet tested</v>
      </c>
      <c r="Y47" s="46" t="s">
        <v>255</v>
      </c>
      <c r="Z47" s="46" t="s">
        <v>203</v>
      </c>
    </row>
    <row r="48" customFormat="false" ht="46.25" hidden="false" customHeight="false" outlineLevel="0" collapsed="false">
      <c r="A48" s="41" t="s">
        <v>430</v>
      </c>
      <c r="B48" s="47" t="s">
        <v>431</v>
      </c>
      <c r="C48" s="47" t="s">
        <v>237</v>
      </c>
      <c r="D48" s="47" t="s">
        <v>212</v>
      </c>
      <c r="E48" s="47" t="s">
        <v>432</v>
      </c>
      <c r="F48" s="47" t="s">
        <v>433</v>
      </c>
      <c r="G48" s="47" t="s">
        <v>434</v>
      </c>
      <c r="H48" s="47" t="s">
        <v>434</v>
      </c>
      <c r="I48" s="47" t="s">
        <v>435</v>
      </c>
      <c r="J48" s="42" t="s">
        <v>201</v>
      </c>
      <c r="K48" s="42"/>
      <c r="L48" s="42"/>
      <c r="M48" s="42"/>
      <c r="N48" s="43"/>
      <c r="O48" s="42"/>
      <c r="P48" s="42"/>
      <c r="Q48" s="42"/>
      <c r="R48" s="42"/>
      <c r="S48" s="42"/>
      <c r="T48" s="42"/>
      <c r="U48" s="44" t="str">
        <f aca="false">IF(COUNTA(O48:T48)=0,"",COUNTIF(O48:T48,"Yes")&amp;" of 6")</f>
        <v/>
      </c>
      <c r="V48" s="42"/>
      <c r="W48" s="42"/>
      <c r="X48" s="45" t="str">
        <f aca="false">IF(J48="No","Not in scope",IF(L48="","Not yet tested",IF(OR(LEFT(L48,1)="P",LEFT(L48,1)="I"),IF(V48="","Raise a finding","Finding "&amp;V48),IF(LEFT(L48,1)="N","Not tested: give reason",IF(M48="","Effective: add evidence ref","Effective")))))</f>
        <v>Not yet tested</v>
      </c>
      <c r="Y48" s="46" t="s">
        <v>209</v>
      </c>
      <c r="Z48" s="46" t="s">
        <v>203</v>
      </c>
    </row>
    <row r="49" customFormat="false" ht="68.65" hidden="false" customHeight="false" outlineLevel="0" collapsed="false">
      <c r="A49" s="41" t="s">
        <v>436</v>
      </c>
      <c r="B49" s="6" t="s">
        <v>437</v>
      </c>
      <c r="C49" s="6" t="s">
        <v>237</v>
      </c>
      <c r="D49" s="6" t="s">
        <v>212</v>
      </c>
      <c r="E49" s="6" t="s">
        <v>438</v>
      </c>
      <c r="F49" s="6" t="s">
        <v>439</v>
      </c>
      <c r="G49" s="6" t="s">
        <v>440</v>
      </c>
      <c r="H49" s="6" t="s">
        <v>440</v>
      </c>
      <c r="I49" s="6" t="s">
        <v>441</v>
      </c>
      <c r="J49" s="42" t="s">
        <v>201</v>
      </c>
      <c r="K49" s="42"/>
      <c r="L49" s="42"/>
      <c r="M49" s="42"/>
      <c r="N49" s="43"/>
      <c r="O49" s="42"/>
      <c r="P49" s="42"/>
      <c r="Q49" s="42"/>
      <c r="R49" s="42"/>
      <c r="S49" s="42"/>
      <c r="T49" s="42"/>
      <c r="U49" s="44" t="str">
        <f aca="false">IF(COUNTA(O49:T49)=0,"",COUNTIF(O49:T49,"Yes")&amp;" of 6")</f>
        <v/>
      </c>
      <c r="V49" s="42"/>
      <c r="W49" s="42"/>
      <c r="X49" s="45" t="str">
        <f aca="false">IF(J49="No","Not in scope",IF(L49="","Not yet tested",IF(OR(LEFT(L49,1)="P",LEFT(L49,1)="I"),IF(V49="","Raise a finding","Finding "&amp;V49),IF(LEFT(L49,1)="N","Not tested: give reason",IF(M49="","Effective: add evidence ref","Effective")))))</f>
        <v>Not yet tested</v>
      </c>
      <c r="Y49" s="46" t="s">
        <v>234</v>
      </c>
      <c r="Z49" s="46" t="s">
        <v>203</v>
      </c>
    </row>
    <row r="50" customFormat="false" ht="57.45" hidden="false" customHeight="false" outlineLevel="0" collapsed="false">
      <c r="A50" s="41" t="s">
        <v>442</v>
      </c>
      <c r="B50" s="47" t="s">
        <v>443</v>
      </c>
      <c r="C50" s="47" t="s">
        <v>237</v>
      </c>
      <c r="D50" s="47" t="s">
        <v>212</v>
      </c>
      <c r="E50" s="47" t="s">
        <v>444</v>
      </c>
      <c r="F50" s="47" t="s">
        <v>445</v>
      </c>
      <c r="G50" s="47" t="s">
        <v>429</v>
      </c>
      <c r="H50" s="47" t="s">
        <v>429</v>
      </c>
      <c r="I50" s="47" t="s">
        <v>446</v>
      </c>
      <c r="J50" s="42" t="s">
        <v>201</v>
      </c>
      <c r="K50" s="42"/>
      <c r="L50" s="42"/>
      <c r="M50" s="42"/>
      <c r="N50" s="43"/>
      <c r="O50" s="42"/>
      <c r="P50" s="42"/>
      <c r="Q50" s="42"/>
      <c r="R50" s="42"/>
      <c r="S50" s="42"/>
      <c r="T50" s="42"/>
      <c r="U50" s="44" t="str">
        <f aca="false">IF(COUNTA(O50:T50)=0,"",COUNTIF(O50:T50,"Yes")&amp;" of 6")</f>
        <v/>
      </c>
      <c r="V50" s="42"/>
      <c r="W50" s="42"/>
      <c r="X50" s="45" t="str">
        <f aca="false">IF(J50="No","Not in scope",IF(L50="","Not yet tested",IF(OR(LEFT(L50,1)="P",LEFT(L50,1)="I"),IF(V50="","Raise a finding","Finding "&amp;V50),IF(LEFT(L50,1)="N","Not tested: give reason",IF(M50="","Effective: add evidence ref","Effective")))))</f>
        <v>Not yet tested</v>
      </c>
      <c r="Y50" s="46" t="s">
        <v>234</v>
      </c>
      <c r="Z50" s="46" t="s">
        <v>203</v>
      </c>
    </row>
  </sheetData>
  <autoFilter ref="A4:Z50"/>
  <conditionalFormatting sqref="L5:L50">
    <cfRule type="cellIs" priority="2" operator="equal" aboveAverage="0" equalAverage="0" bottom="0" percent="0" rank="0" text="" dxfId="13">
      <formula>"E - Effective"</formula>
    </cfRule>
    <cfRule type="cellIs" priority="3" operator="equal" aboveAverage="0" equalAverage="0" bottom="0" percent="0" rank="0" text="" dxfId="14">
      <formula>"P - Partially effective"</formula>
    </cfRule>
    <cfRule type="cellIs" priority="4" operator="equal" aboveAverage="0" equalAverage="0" bottom="0" percent="0" rank="0" text="" dxfId="15">
      <formula>"I - Ineffective"</formula>
    </cfRule>
    <cfRule type="cellIs" priority="5" operator="equal" aboveAverage="0" equalAverage="0" bottom="0" percent="0" rank="0" text="" dxfId="16">
      <formula>"N - Not tested"</formula>
    </cfRule>
  </conditionalFormatting>
  <conditionalFormatting sqref="O5:T50">
    <cfRule type="cellIs" priority="6" operator="equal" aboveAverage="0" equalAverage="0" bottom="0" percent="0" rank="0" text="" dxfId="17">
      <formula>"Yes"</formula>
    </cfRule>
    <cfRule type="cellIs" priority="7" operator="equal" aboveAverage="0" equalAverage="0" bottom="0" percent="0" rank="0" text="" dxfId="18">
      <formula>"No"</formula>
    </cfRule>
  </conditionalFormatting>
  <conditionalFormatting sqref="D5:D50">
    <cfRule type="cellIs" priority="8" operator="equal" aboveAverage="0" equalAverage="0" bottom="0" percent="0" rank="0" text="" dxfId="19">
      <formula>"Baseline"</formula>
    </cfRule>
    <cfRule type="cellIs" priority="9" operator="equal" aboveAverage="0" equalAverage="0" bottom="0" percent="0" rank="0" text="" dxfId="20">
      <formula>"Enhanced"</formula>
    </cfRule>
    <cfRule type="cellIs" priority="10" operator="equal" aboveAverage="0" equalAverage="0" bottom="0" percent="0" rank="0" text="" dxfId="21">
      <formula>"Advanced"</formula>
    </cfRule>
  </conditionalFormatting>
  <conditionalFormatting sqref="X5:X50">
    <cfRule type="cellIs" priority="11" operator="equal" aboveAverage="0" equalAverage="0" bottom="0" percent="0" rank="0" text="" dxfId="22">
      <formula>"Not in scope"</formula>
    </cfRule>
    <cfRule type="cellIs" priority="12" operator="equal" aboveAverage="0" equalAverage="0" bottom="0" percent="0" rank="0" text="" dxfId="23">
      <formula>"Not yet tested"</formula>
    </cfRule>
    <cfRule type="cellIs" priority="13" operator="equal" aboveAverage="0" equalAverage="0" bottom="0" percent="0" rank="0" text="" dxfId="18">
      <formula>"Raise a finding"</formula>
    </cfRule>
    <cfRule type="cellIs" priority="14" operator="equal" aboveAverage="0" equalAverage="0" bottom="0" percent="0" rank="0" text="" dxfId="17">
      <formula>"Effective"</formula>
    </cfRule>
    <cfRule type="cellIs" priority="15" operator="equal" aboveAverage="0" equalAverage="0" bottom="0" percent="0" rank="0" text="" dxfId="24">
      <formula>"Effective: add evidence ref"</formula>
    </cfRule>
    <cfRule type="cellIs" priority="16" operator="equal" aboveAverage="0" equalAverage="0" bottom="0" percent="0" rank="0" text="" dxfId="24">
      <formula>"Not tested: give reason"</formula>
    </cfRule>
    <cfRule type="expression" priority="17" aboveAverage="0" equalAverage="0" bottom="0" percent="0" rank="0" text="" dxfId="1">
      <formula>LEFT(X5,8)="Finding "</formula>
    </cfRule>
  </conditionalFormatting>
  <conditionalFormatting sqref="A5:I50">
    <cfRule type="expression" priority="18" aboveAverage="0" equalAverage="0" bottom="0" percent="0" rank="0" text="" dxfId="25">
      <formula>$J5="No"</formula>
    </cfRule>
  </conditionalFormatting>
  <dataValidations count="4">
    <dataValidation allowBlank="true" error="Choose a value from the list (edit the Lists sheet to change the options)." errorStyle="warning" operator="between" showDropDown="false" showErrorMessage="true" showInputMessage="false" sqref="J5:J50" type="list">
      <formula1>Lists!$B$2:$B$3</formula1>
      <formula2>0</formula2>
    </dataValidation>
    <dataValidation allowBlank="true" error="Choose a value from the list (edit the Lists sheet to change the options)." errorStyle="warning" operator="between" showDropDown="false" showErrorMessage="true" showInputMessage="false" sqref="L5:L50" type="list">
      <formula1>Lists!$A$2:$A$5</formula1>
      <formula2>0</formula2>
    </dataValidation>
    <dataValidation allowBlank="true" error="Choose a value from the list (edit the Lists sheet to change the options)." errorStyle="warning" operator="between" showDropDown="false" showErrorMessage="true" showInputMessage="false" sqref="O5:T50" type="list">
      <formula1>Lists!$B$2:$B$3</formula1>
      <formula2>0</formula2>
    </dataValidation>
    <dataValidation allowBlank="true" error="Enter a date (for example 2026-10-17)." errorStyle="warning" operator="greaterThan" showDropDown="false" showErrorMessage="true" showInputMessage="false" sqref="N5:N50"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J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
    <col collapsed="false" customWidth="true" hidden="false" outlineLevel="0" max="3" min="3" style="0" width="26"/>
    <col collapsed="false" customWidth="true" hidden="false" outlineLevel="0" max="4" min="4" style="0" width="54"/>
    <col collapsed="false" customWidth="true" hidden="false" outlineLevel="0" max="5" min="5" style="0" width="22"/>
    <col collapsed="false" customWidth="true" hidden="false" outlineLevel="0" max="6" min="6" style="0" width="18"/>
    <col collapsed="false" customWidth="true" hidden="false" outlineLevel="0" max="7" min="7" style="0" width="16"/>
    <col collapsed="false" customWidth="true" hidden="false" outlineLevel="0" max="8" min="8" style="0" width="11"/>
    <col collapsed="false" customWidth="true" hidden="false" outlineLevel="0" max="9" min="9" style="0" width="30"/>
    <col collapsed="false" customWidth="true" hidden="false" outlineLevel="0" max="10" min="10" style="0" width="22"/>
  </cols>
  <sheetData>
    <row r="1" customFormat="false" ht="30" hidden="false" customHeight="true" outlineLevel="0" collapsed="false">
      <c r="A1" s="48" t="s">
        <v>447</v>
      </c>
      <c r="B1" s="49"/>
      <c r="C1" s="49"/>
      <c r="D1" s="49"/>
      <c r="E1" s="49"/>
      <c r="F1" s="49"/>
      <c r="G1" s="49"/>
      <c r="H1" s="49"/>
      <c r="I1" s="49"/>
      <c r="J1" s="49"/>
    </row>
    <row r="2" customFormat="false" ht="15" hidden="false" customHeight="false" outlineLevel="0" collapsed="false">
      <c r="A2" s="3" t="s">
        <v>448</v>
      </c>
    </row>
    <row r="4" customFormat="false" ht="15" hidden="false" customHeight="false" outlineLevel="0" collapsed="false">
      <c r="A4" s="50" t="s">
        <v>449</v>
      </c>
      <c r="B4" s="50" t="s">
        <v>450</v>
      </c>
      <c r="C4" s="50" t="s">
        <v>451</v>
      </c>
      <c r="D4" s="50" t="s">
        <v>452</v>
      </c>
      <c r="E4" s="50" t="s">
        <v>453</v>
      </c>
      <c r="F4" s="50" t="s">
        <v>180</v>
      </c>
      <c r="G4" s="50" t="s">
        <v>181</v>
      </c>
      <c r="H4" s="50" t="s">
        <v>188</v>
      </c>
      <c r="I4" s="50" t="s">
        <v>454</v>
      </c>
      <c r="J4" s="50" t="s">
        <v>190</v>
      </c>
    </row>
    <row r="5" customFormat="false" ht="15" hidden="false" customHeight="false" outlineLevel="0" collapsed="false">
      <c r="A5" s="51" t="s">
        <v>455</v>
      </c>
      <c r="B5" s="6" t="s">
        <v>456</v>
      </c>
      <c r="C5" s="6" t="s">
        <v>457</v>
      </c>
      <c r="D5" s="6" t="s">
        <v>458</v>
      </c>
      <c r="E5" s="6" t="s">
        <v>265</v>
      </c>
      <c r="F5" s="30"/>
      <c r="G5" s="30"/>
      <c r="H5" s="30"/>
      <c r="I5" s="30"/>
      <c r="J5" s="45" t="str">
        <f aca="false">IF(NOT(OR(A5="All",AND(A5="GCC",OR('Audit Plan'!$B$11="GCC and EU",'Audit Plan'!$B$11="GCC only")),AND(A5="EU",OR('Audit Plan'!$B$11="GCC and EU",'Audit Plan'!$B$11="EU only")))),"Not in scope",IF(F5="","Not yet tested",IF(OR(LEFT(F5,1)="P",LEFT(F5,1)="I"),IF(H5="","Raise a finding","Finding "&amp;H5),IF(LEFT(F5,1)="N","Not tested: give reason","Done"))))</f>
        <v>Not yet tested</v>
      </c>
    </row>
    <row r="6" customFormat="false" ht="15" hidden="false" customHeight="false" outlineLevel="0" collapsed="false">
      <c r="A6" s="51" t="s">
        <v>455</v>
      </c>
      <c r="B6" s="6" t="s">
        <v>459</v>
      </c>
      <c r="C6" s="6" t="s">
        <v>457</v>
      </c>
      <c r="D6" s="6" t="s">
        <v>460</v>
      </c>
      <c r="E6" s="6" t="s">
        <v>265</v>
      </c>
      <c r="F6" s="30"/>
      <c r="G6" s="30"/>
      <c r="H6" s="30"/>
      <c r="I6" s="30"/>
      <c r="J6" s="45" t="str">
        <f aca="false">IF(NOT(OR(A6="All",AND(A6="GCC",OR('Audit Plan'!$B$11="GCC and EU",'Audit Plan'!$B$11="GCC only")),AND(A6="EU",OR('Audit Plan'!$B$11="GCC and EU",'Audit Plan'!$B$11="EU only")))),"Not in scope",IF(F6="","Not yet tested",IF(OR(LEFT(F6,1)="P",LEFT(F6,1)="I"),IF(H6="","Raise a finding","Finding "&amp;H6),IF(LEFT(F6,1)="N","Not tested: give reason","Done"))))</f>
        <v>Not yet tested</v>
      </c>
    </row>
    <row r="7" customFormat="false" ht="15" hidden="false" customHeight="false" outlineLevel="0" collapsed="false">
      <c r="A7" s="51" t="s">
        <v>455</v>
      </c>
      <c r="B7" s="6" t="s">
        <v>461</v>
      </c>
      <c r="C7" s="6" t="s">
        <v>457</v>
      </c>
      <c r="D7" s="6" t="s">
        <v>462</v>
      </c>
      <c r="E7" s="6" t="s">
        <v>393</v>
      </c>
      <c r="F7" s="30"/>
      <c r="G7" s="30"/>
      <c r="H7" s="30"/>
      <c r="I7" s="30"/>
      <c r="J7" s="45" t="str">
        <f aca="false">IF(NOT(OR(A7="All",AND(A7="GCC",OR('Audit Plan'!$B$11="GCC and EU",'Audit Plan'!$B$11="GCC only")),AND(A7="EU",OR('Audit Plan'!$B$11="GCC and EU",'Audit Plan'!$B$11="EU only")))),"Not in scope",IF(F7="","Not yet tested",IF(OR(LEFT(F7,1)="P",LEFT(F7,1)="I"),IF(H7="","Raise a finding","Finding "&amp;H7),IF(LEFT(F7,1)="N","Not tested: give reason","Done"))))</f>
        <v>Not yet tested</v>
      </c>
    </row>
    <row r="8" customFormat="false" ht="15" hidden="false" customHeight="false" outlineLevel="0" collapsed="false">
      <c r="A8" s="51" t="s">
        <v>455</v>
      </c>
      <c r="B8" s="6" t="s">
        <v>463</v>
      </c>
      <c r="C8" s="6" t="s">
        <v>457</v>
      </c>
      <c r="D8" s="6" t="s">
        <v>464</v>
      </c>
      <c r="E8" s="6" t="s">
        <v>271</v>
      </c>
      <c r="F8" s="30"/>
      <c r="G8" s="30"/>
      <c r="H8" s="30"/>
      <c r="I8" s="30"/>
      <c r="J8" s="45" t="str">
        <f aca="false">IF(NOT(OR(A8="All",AND(A8="GCC",OR('Audit Plan'!$B$11="GCC and EU",'Audit Plan'!$B$11="GCC only")),AND(A8="EU",OR('Audit Plan'!$B$11="GCC and EU",'Audit Plan'!$B$11="EU only")))),"Not in scope",IF(F8="","Not yet tested",IF(OR(LEFT(F8,1)="P",LEFT(F8,1)="I"),IF(H8="","Raise a finding","Finding "&amp;H8),IF(LEFT(F8,1)="N","Not tested: give reason","Done"))))</f>
        <v>Not yet tested</v>
      </c>
    </row>
    <row r="9" customFormat="false" ht="15" hidden="false" customHeight="false" outlineLevel="0" collapsed="false">
      <c r="A9" s="51" t="s">
        <v>455</v>
      </c>
      <c r="B9" s="6" t="s">
        <v>465</v>
      </c>
      <c r="C9" s="6" t="s">
        <v>457</v>
      </c>
      <c r="D9" s="6" t="s">
        <v>466</v>
      </c>
      <c r="E9" s="6" t="s">
        <v>265</v>
      </c>
      <c r="F9" s="30"/>
      <c r="G9" s="30"/>
      <c r="H9" s="30"/>
      <c r="I9" s="30"/>
      <c r="J9" s="45" t="str">
        <f aca="false">IF(NOT(OR(A9="All",AND(A9="GCC",OR('Audit Plan'!$B$11="GCC and EU",'Audit Plan'!$B$11="GCC only")),AND(A9="EU",OR('Audit Plan'!$B$11="GCC and EU",'Audit Plan'!$B$11="EU only")))),"Not in scope",IF(F9="","Not yet tested",IF(OR(LEFT(F9,1)="P",LEFT(F9,1)="I"),IF(H9="","Raise a finding","Finding "&amp;H9),IF(LEFT(F9,1)="N","Not tested: give reason","Done"))))</f>
        <v>Not yet tested</v>
      </c>
    </row>
    <row r="10" customFormat="false" ht="15" hidden="false" customHeight="false" outlineLevel="0" collapsed="false">
      <c r="A10" s="51" t="s">
        <v>455</v>
      </c>
      <c r="B10" s="6" t="s">
        <v>467</v>
      </c>
      <c r="C10" s="6" t="s">
        <v>468</v>
      </c>
      <c r="D10" s="6" t="s">
        <v>469</v>
      </c>
      <c r="E10" s="6" t="s">
        <v>260</v>
      </c>
      <c r="F10" s="30"/>
      <c r="G10" s="30"/>
      <c r="H10" s="30"/>
      <c r="I10" s="30"/>
      <c r="J10" s="45" t="str">
        <f aca="false">IF(NOT(OR(A10="All",AND(A10="GCC",OR('Audit Plan'!$B$11="GCC and EU",'Audit Plan'!$B$11="GCC only")),AND(A10="EU",OR('Audit Plan'!$B$11="GCC and EU",'Audit Plan'!$B$11="EU only")))),"Not in scope",IF(F10="","Not yet tested",IF(OR(LEFT(F10,1)="P",LEFT(F10,1)="I"),IF(H10="","Raise a finding","Finding "&amp;H10),IF(LEFT(F10,1)="N","Not tested: give reason","Done"))))</f>
        <v>Not yet tested</v>
      </c>
    </row>
    <row r="11" customFormat="false" ht="15" hidden="false" customHeight="false" outlineLevel="0" collapsed="false">
      <c r="A11" s="51" t="s">
        <v>455</v>
      </c>
      <c r="B11" s="6" t="s">
        <v>470</v>
      </c>
      <c r="C11" s="6" t="s">
        <v>468</v>
      </c>
      <c r="D11" s="6" t="s">
        <v>471</v>
      </c>
      <c r="E11" s="6" t="s">
        <v>260</v>
      </c>
      <c r="F11" s="30"/>
      <c r="G11" s="30"/>
      <c r="H11" s="30"/>
      <c r="I11" s="30"/>
      <c r="J11" s="45" t="str">
        <f aca="false">IF(NOT(OR(A11="All",AND(A11="GCC",OR('Audit Plan'!$B$11="GCC and EU",'Audit Plan'!$B$11="GCC only")),AND(A11="EU",OR('Audit Plan'!$B$11="GCC and EU",'Audit Plan'!$B$11="EU only")))),"Not in scope",IF(F11="","Not yet tested",IF(OR(LEFT(F11,1)="P",LEFT(F11,1)="I"),IF(H11="","Raise a finding","Finding "&amp;H11),IF(LEFT(F11,1)="N","Not tested: give reason","Done"))))</f>
        <v>Not yet tested</v>
      </c>
    </row>
    <row r="12" customFormat="false" ht="15" hidden="false" customHeight="false" outlineLevel="0" collapsed="false">
      <c r="A12" s="51" t="s">
        <v>455</v>
      </c>
      <c r="B12" s="6" t="s">
        <v>472</v>
      </c>
      <c r="C12" s="6" t="s">
        <v>468</v>
      </c>
      <c r="D12" s="6" t="s">
        <v>473</v>
      </c>
      <c r="E12" s="6" t="s">
        <v>260</v>
      </c>
      <c r="F12" s="30"/>
      <c r="G12" s="30"/>
      <c r="H12" s="30"/>
      <c r="I12" s="30"/>
      <c r="J12" s="45" t="str">
        <f aca="false">IF(NOT(OR(A12="All",AND(A12="GCC",OR('Audit Plan'!$B$11="GCC and EU",'Audit Plan'!$B$11="GCC only")),AND(A12="EU",OR('Audit Plan'!$B$11="GCC and EU",'Audit Plan'!$B$11="EU only")))),"Not in scope",IF(F12="","Not yet tested",IF(OR(LEFT(F12,1)="P",LEFT(F12,1)="I"),IF(H12="","Raise a finding","Finding "&amp;H12),IF(LEFT(F12,1)="N","Not tested: give reason","Done"))))</f>
        <v>Not yet tested</v>
      </c>
    </row>
    <row r="13" customFormat="false" ht="23.85" hidden="false" customHeight="false" outlineLevel="0" collapsed="false">
      <c r="A13" s="51" t="s">
        <v>455</v>
      </c>
      <c r="B13" s="6" t="s">
        <v>474</v>
      </c>
      <c r="C13" s="6" t="s">
        <v>468</v>
      </c>
      <c r="D13" s="6" t="s">
        <v>475</v>
      </c>
      <c r="E13" s="6" t="s">
        <v>476</v>
      </c>
      <c r="F13" s="30"/>
      <c r="G13" s="30"/>
      <c r="H13" s="30"/>
      <c r="I13" s="30"/>
      <c r="J13" s="45" t="str">
        <f aca="false">IF(NOT(OR(A13="All",AND(A13="GCC",OR('Audit Plan'!$B$11="GCC and EU",'Audit Plan'!$B$11="GCC only")),AND(A13="EU",OR('Audit Plan'!$B$11="GCC and EU",'Audit Plan'!$B$11="EU only")))),"Not in scope",IF(F13="","Not yet tested",IF(OR(LEFT(F13,1)="P",LEFT(F13,1)="I"),IF(H13="","Raise a finding","Finding "&amp;H13),IF(LEFT(F13,1)="N","Not tested: give reason","Done"))))</f>
        <v>Not yet tested</v>
      </c>
    </row>
    <row r="14" customFormat="false" ht="15" hidden="false" customHeight="false" outlineLevel="0" collapsed="false">
      <c r="A14" s="51" t="s">
        <v>455</v>
      </c>
      <c r="B14" s="6" t="s">
        <v>477</v>
      </c>
      <c r="C14" s="6" t="s">
        <v>478</v>
      </c>
      <c r="D14" s="6" t="s">
        <v>479</v>
      </c>
      <c r="E14" s="6" t="s">
        <v>271</v>
      </c>
      <c r="F14" s="30"/>
      <c r="G14" s="30"/>
      <c r="H14" s="30"/>
      <c r="I14" s="30"/>
      <c r="J14" s="45" t="str">
        <f aca="false">IF(NOT(OR(A14="All",AND(A14="GCC",OR('Audit Plan'!$B$11="GCC and EU",'Audit Plan'!$B$11="GCC only")),AND(A14="EU",OR('Audit Plan'!$B$11="GCC and EU",'Audit Plan'!$B$11="EU only")))),"Not in scope",IF(F14="","Not yet tested",IF(OR(LEFT(F14,1)="P",LEFT(F14,1)="I"),IF(H14="","Raise a finding","Finding "&amp;H14),IF(LEFT(F14,1)="N","Not tested: give reason","Done"))))</f>
        <v>Not yet tested</v>
      </c>
    </row>
    <row r="15" customFormat="false" ht="23.85" hidden="false" customHeight="false" outlineLevel="0" collapsed="false">
      <c r="A15" s="51" t="s">
        <v>455</v>
      </c>
      <c r="B15" s="6" t="s">
        <v>480</v>
      </c>
      <c r="C15" s="6" t="s">
        <v>478</v>
      </c>
      <c r="D15" s="6" t="s">
        <v>481</v>
      </c>
      <c r="E15" s="6" t="s">
        <v>482</v>
      </c>
      <c r="F15" s="30"/>
      <c r="G15" s="30"/>
      <c r="H15" s="30"/>
      <c r="I15" s="30"/>
      <c r="J15" s="45" t="str">
        <f aca="false">IF(NOT(OR(A15="All",AND(A15="GCC",OR('Audit Plan'!$B$11="GCC and EU",'Audit Plan'!$B$11="GCC only")),AND(A15="EU",OR('Audit Plan'!$B$11="GCC and EU",'Audit Plan'!$B$11="EU only")))),"Not in scope",IF(F15="","Not yet tested",IF(OR(LEFT(F15,1)="P",LEFT(F15,1)="I"),IF(H15="","Raise a finding","Finding "&amp;H15),IF(LEFT(F15,1)="N","Not tested: give reason","Done"))))</f>
        <v>Not yet tested</v>
      </c>
    </row>
    <row r="16" customFormat="false" ht="15" hidden="false" customHeight="false" outlineLevel="0" collapsed="false">
      <c r="A16" s="51" t="s">
        <v>455</v>
      </c>
      <c r="B16" s="6" t="s">
        <v>483</v>
      </c>
      <c r="C16" s="6" t="s">
        <v>478</v>
      </c>
      <c r="D16" s="6" t="s">
        <v>484</v>
      </c>
      <c r="E16" s="6" t="s">
        <v>292</v>
      </c>
      <c r="F16" s="30"/>
      <c r="G16" s="30"/>
      <c r="H16" s="30"/>
      <c r="I16" s="30"/>
      <c r="J16" s="45" t="str">
        <f aca="false">IF(NOT(OR(A16="All",AND(A16="GCC",OR('Audit Plan'!$B$11="GCC and EU",'Audit Plan'!$B$11="GCC only")),AND(A16="EU",OR('Audit Plan'!$B$11="GCC and EU",'Audit Plan'!$B$11="EU only")))),"Not in scope",IF(F16="","Not yet tested",IF(OR(LEFT(F16,1)="P",LEFT(F16,1)="I"),IF(H16="","Raise a finding","Finding "&amp;H16),IF(LEFT(F16,1)="N","Not tested: give reason","Done"))))</f>
        <v>Not yet tested</v>
      </c>
    </row>
    <row r="17" customFormat="false" ht="15" hidden="false" customHeight="false" outlineLevel="0" collapsed="false">
      <c r="A17" s="51" t="s">
        <v>455</v>
      </c>
      <c r="B17" s="6" t="s">
        <v>485</v>
      </c>
      <c r="C17" s="6" t="s">
        <v>478</v>
      </c>
      <c r="D17" s="6" t="s">
        <v>486</v>
      </c>
      <c r="E17" s="6" t="s">
        <v>271</v>
      </c>
      <c r="F17" s="30"/>
      <c r="G17" s="30"/>
      <c r="H17" s="30"/>
      <c r="I17" s="30"/>
      <c r="J17" s="45" t="str">
        <f aca="false">IF(NOT(OR(A17="All",AND(A17="GCC",OR('Audit Plan'!$B$11="GCC and EU",'Audit Plan'!$B$11="GCC only")),AND(A17="EU",OR('Audit Plan'!$B$11="GCC and EU",'Audit Plan'!$B$11="EU only")))),"Not in scope",IF(F17="","Not yet tested",IF(OR(LEFT(F17,1)="P",LEFT(F17,1)="I"),IF(H17="","Raise a finding","Finding "&amp;H17),IF(LEFT(F17,1)="N","Not tested: give reason","Done"))))</f>
        <v>Not yet tested</v>
      </c>
    </row>
    <row r="18" customFormat="false" ht="15" hidden="false" customHeight="false" outlineLevel="0" collapsed="false">
      <c r="A18" s="51" t="s">
        <v>455</v>
      </c>
      <c r="B18" s="6" t="s">
        <v>487</v>
      </c>
      <c r="C18" s="6" t="s">
        <v>488</v>
      </c>
      <c r="D18" s="6" t="s">
        <v>489</v>
      </c>
      <c r="E18" s="6" t="s">
        <v>235</v>
      </c>
      <c r="F18" s="30"/>
      <c r="G18" s="30"/>
      <c r="H18" s="30"/>
      <c r="I18" s="30"/>
      <c r="J18" s="45" t="str">
        <f aca="false">IF(NOT(OR(A18="All",AND(A18="GCC",OR('Audit Plan'!$B$11="GCC and EU",'Audit Plan'!$B$11="GCC only")),AND(A18="EU",OR('Audit Plan'!$B$11="GCC and EU",'Audit Plan'!$B$11="EU only")))),"Not in scope",IF(F18="","Not yet tested",IF(OR(LEFT(F18,1)="P",LEFT(F18,1)="I"),IF(H18="","Raise a finding","Finding "&amp;H18),IF(LEFT(F18,1)="N","Not tested: give reason","Done"))))</f>
        <v>Not yet tested</v>
      </c>
    </row>
    <row r="19" customFormat="false" ht="23.85" hidden="false" customHeight="false" outlineLevel="0" collapsed="false">
      <c r="A19" s="51" t="s">
        <v>455</v>
      </c>
      <c r="B19" s="6" t="s">
        <v>490</v>
      </c>
      <c r="C19" s="6" t="s">
        <v>488</v>
      </c>
      <c r="D19" s="6" t="s">
        <v>491</v>
      </c>
      <c r="E19" s="6" t="s">
        <v>235</v>
      </c>
      <c r="F19" s="30"/>
      <c r="G19" s="30"/>
      <c r="H19" s="30"/>
      <c r="I19" s="30"/>
      <c r="J19" s="45" t="str">
        <f aca="false">IF(NOT(OR(A19="All",AND(A19="GCC",OR('Audit Plan'!$B$11="GCC and EU",'Audit Plan'!$B$11="GCC only")),AND(A19="EU",OR('Audit Plan'!$B$11="GCC and EU",'Audit Plan'!$B$11="EU only")))),"Not in scope",IF(F19="","Not yet tested",IF(OR(LEFT(F19,1)="P",LEFT(F19,1)="I"),IF(H19="","Raise a finding","Finding "&amp;H19),IF(LEFT(F19,1)="N","Not tested: give reason","Done"))))</f>
        <v>Not yet tested</v>
      </c>
    </row>
    <row r="20" customFormat="false" ht="23.85" hidden="false" customHeight="false" outlineLevel="0" collapsed="false">
      <c r="A20" s="51" t="s">
        <v>455</v>
      </c>
      <c r="B20" s="6" t="s">
        <v>492</v>
      </c>
      <c r="C20" s="6" t="s">
        <v>488</v>
      </c>
      <c r="D20" s="6" t="s">
        <v>493</v>
      </c>
      <c r="E20" s="6" t="s">
        <v>494</v>
      </c>
      <c r="F20" s="30"/>
      <c r="G20" s="30"/>
      <c r="H20" s="30"/>
      <c r="I20" s="30"/>
      <c r="J20" s="45" t="str">
        <f aca="false">IF(NOT(OR(A20="All",AND(A20="GCC",OR('Audit Plan'!$B$11="GCC and EU",'Audit Plan'!$B$11="GCC only")),AND(A20="EU",OR('Audit Plan'!$B$11="GCC and EU",'Audit Plan'!$B$11="EU only")))),"Not in scope",IF(F20="","Not yet tested",IF(OR(LEFT(F20,1)="P",LEFT(F20,1)="I"),IF(H20="","Raise a finding","Finding "&amp;H20),IF(LEFT(F20,1)="N","Not tested: give reason","Done"))))</f>
        <v>Not yet tested</v>
      </c>
    </row>
    <row r="21" customFormat="false" ht="15" hidden="false" customHeight="false" outlineLevel="0" collapsed="false">
      <c r="A21" s="51" t="s">
        <v>455</v>
      </c>
      <c r="B21" s="6" t="s">
        <v>495</v>
      </c>
      <c r="C21" s="6" t="s">
        <v>496</v>
      </c>
      <c r="D21" s="6" t="s">
        <v>497</v>
      </c>
      <c r="E21" s="6" t="s">
        <v>277</v>
      </c>
      <c r="F21" s="30"/>
      <c r="G21" s="30"/>
      <c r="H21" s="30"/>
      <c r="I21" s="30"/>
      <c r="J21" s="45" t="str">
        <f aca="false">IF(NOT(OR(A21="All",AND(A21="GCC",OR('Audit Plan'!$B$11="GCC and EU",'Audit Plan'!$B$11="GCC only")),AND(A21="EU",OR('Audit Plan'!$B$11="GCC and EU",'Audit Plan'!$B$11="EU only")))),"Not in scope",IF(F21="","Not yet tested",IF(OR(LEFT(F21,1)="P",LEFT(F21,1)="I"),IF(H21="","Raise a finding","Finding "&amp;H21),IF(LEFT(F21,1)="N","Not tested: give reason","Done"))))</f>
        <v>Not yet tested</v>
      </c>
    </row>
    <row r="22" customFormat="false" ht="23.85" hidden="false" customHeight="false" outlineLevel="0" collapsed="false">
      <c r="A22" s="51" t="s">
        <v>455</v>
      </c>
      <c r="B22" s="6" t="s">
        <v>498</v>
      </c>
      <c r="C22" s="6" t="s">
        <v>496</v>
      </c>
      <c r="D22" s="6" t="s">
        <v>499</v>
      </c>
      <c r="E22" s="6" t="s">
        <v>277</v>
      </c>
      <c r="F22" s="30"/>
      <c r="G22" s="30"/>
      <c r="H22" s="30"/>
      <c r="I22" s="30"/>
      <c r="J22" s="45" t="str">
        <f aca="false">IF(NOT(OR(A22="All",AND(A22="GCC",OR('Audit Plan'!$B$11="GCC and EU",'Audit Plan'!$B$11="GCC only")),AND(A22="EU",OR('Audit Plan'!$B$11="GCC and EU",'Audit Plan'!$B$11="EU only")))),"Not in scope",IF(F22="","Not yet tested",IF(OR(LEFT(F22,1)="P",LEFT(F22,1)="I"),IF(H22="","Raise a finding","Finding "&amp;H22),IF(LEFT(F22,1)="N","Not tested: give reason","Done"))))</f>
        <v>Not yet tested</v>
      </c>
    </row>
    <row r="23" customFormat="false" ht="15" hidden="false" customHeight="false" outlineLevel="0" collapsed="false">
      <c r="A23" s="51" t="s">
        <v>455</v>
      </c>
      <c r="B23" s="6" t="s">
        <v>500</v>
      </c>
      <c r="C23" s="6" t="s">
        <v>496</v>
      </c>
      <c r="D23" s="6" t="s">
        <v>501</v>
      </c>
      <c r="E23" s="6" t="s">
        <v>277</v>
      </c>
      <c r="F23" s="30"/>
      <c r="G23" s="30"/>
      <c r="H23" s="30"/>
      <c r="I23" s="30"/>
      <c r="J23" s="45" t="str">
        <f aca="false">IF(NOT(OR(A23="All",AND(A23="GCC",OR('Audit Plan'!$B$11="GCC and EU",'Audit Plan'!$B$11="GCC only")),AND(A23="EU",OR('Audit Plan'!$B$11="GCC and EU",'Audit Plan'!$B$11="EU only")))),"Not in scope",IF(F23="","Not yet tested",IF(OR(LEFT(F23,1)="P",LEFT(F23,1)="I"),IF(H23="","Raise a finding","Finding "&amp;H23),IF(LEFT(F23,1)="N","Not tested: give reason","Done"))))</f>
        <v>Not yet tested</v>
      </c>
    </row>
    <row r="24" customFormat="false" ht="15" hidden="false" customHeight="false" outlineLevel="0" collapsed="false">
      <c r="A24" s="51" t="s">
        <v>455</v>
      </c>
      <c r="B24" s="6" t="s">
        <v>502</v>
      </c>
      <c r="C24" s="6" t="s">
        <v>503</v>
      </c>
      <c r="D24" s="6" t="s">
        <v>504</v>
      </c>
      <c r="E24" s="6" t="s">
        <v>320</v>
      </c>
      <c r="F24" s="30"/>
      <c r="G24" s="30"/>
      <c r="H24" s="30"/>
      <c r="I24" s="30"/>
      <c r="J24" s="45" t="str">
        <f aca="false">IF(NOT(OR(A24="All",AND(A24="GCC",OR('Audit Plan'!$B$11="GCC and EU",'Audit Plan'!$B$11="GCC only")),AND(A24="EU",OR('Audit Plan'!$B$11="GCC and EU",'Audit Plan'!$B$11="EU only")))),"Not in scope",IF(F24="","Not yet tested",IF(OR(LEFT(F24,1)="P",LEFT(F24,1)="I"),IF(H24="","Raise a finding","Finding "&amp;H24),IF(LEFT(F24,1)="N","Not tested: give reason","Done"))))</f>
        <v>Not yet tested</v>
      </c>
    </row>
    <row r="25" customFormat="false" ht="15" hidden="false" customHeight="false" outlineLevel="0" collapsed="false">
      <c r="A25" s="51" t="s">
        <v>455</v>
      </c>
      <c r="B25" s="6" t="s">
        <v>505</v>
      </c>
      <c r="C25" s="6" t="s">
        <v>503</v>
      </c>
      <c r="D25" s="6" t="s">
        <v>506</v>
      </c>
      <c r="E25" s="6" t="s">
        <v>320</v>
      </c>
      <c r="F25" s="30"/>
      <c r="G25" s="30"/>
      <c r="H25" s="30"/>
      <c r="I25" s="30"/>
      <c r="J25" s="45" t="str">
        <f aca="false">IF(NOT(OR(A25="All",AND(A25="GCC",OR('Audit Plan'!$B$11="GCC and EU",'Audit Plan'!$B$11="GCC only")),AND(A25="EU",OR('Audit Plan'!$B$11="GCC and EU",'Audit Plan'!$B$11="EU only")))),"Not in scope",IF(F25="","Not yet tested",IF(OR(LEFT(F25,1)="P",LEFT(F25,1)="I"),IF(H25="","Raise a finding","Finding "&amp;H25),IF(LEFT(F25,1)="N","Not tested: give reason","Done"))))</f>
        <v>Not yet tested</v>
      </c>
    </row>
    <row r="26" customFormat="false" ht="15" hidden="false" customHeight="false" outlineLevel="0" collapsed="false">
      <c r="A26" s="51" t="s">
        <v>455</v>
      </c>
      <c r="B26" s="6" t="s">
        <v>507</v>
      </c>
      <c r="C26" s="6" t="s">
        <v>503</v>
      </c>
      <c r="D26" s="6" t="s">
        <v>508</v>
      </c>
      <c r="E26" s="6" t="s">
        <v>328</v>
      </c>
      <c r="F26" s="30"/>
      <c r="G26" s="30"/>
      <c r="H26" s="30"/>
      <c r="I26" s="30"/>
      <c r="J26" s="45" t="str">
        <f aca="false">IF(NOT(OR(A26="All",AND(A26="GCC",OR('Audit Plan'!$B$11="GCC and EU",'Audit Plan'!$B$11="GCC only")),AND(A26="EU",OR('Audit Plan'!$B$11="GCC and EU",'Audit Plan'!$B$11="EU only")))),"Not in scope",IF(F26="","Not yet tested",IF(OR(LEFT(F26,1)="P",LEFT(F26,1)="I"),IF(H26="","Raise a finding","Finding "&amp;H26),IF(LEFT(F26,1)="N","Not tested: give reason","Done"))))</f>
        <v>Not yet tested</v>
      </c>
    </row>
    <row r="27" customFormat="false" ht="15" hidden="false" customHeight="false" outlineLevel="0" collapsed="false">
      <c r="A27" s="51" t="s">
        <v>455</v>
      </c>
      <c r="B27" s="6" t="s">
        <v>509</v>
      </c>
      <c r="C27" s="6" t="s">
        <v>503</v>
      </c>
      <c r="D27" s="6" t="s">
        <v>510</v>
      </c>
      <c r="E27" s="6" t="s">
        <v>403</v>
      </c>
      <c r="F27" s="30"/>
      <c r="G27" s="30"/>
      <c r="H27" s="30"/>
      <c r="I27" s="30"/>
      <c r="J27" s="45" t="str">
        <f aca="false">IF(NOT(OR(A27="All",AND(A27="GCC",OR('Audit Plan'!$B$11="GCC and EU",'Audit Plan'!$B$11="GCC only")),AND(A27="EU",OR('Audit Plan'!$B$11="GCC and EU",'Audit Plan'!$B$11="EU only")))),"Not in scope",IF(F27="","Not yet tested",IF(OR(LEFT(F27,1)="P",LEFT(F27,1)="I"),IF(H27="","Raise a finding","Finding "&amp;H27),IF(LEFT(F27,1)="N","Not tested: give reason","Done"))))</f>
        <v>Not yet tested</v>
      </c>
    </row>
    <row r="28" customFormat="false" ht="23.85" hidden="false" customHeight="false" outlineLevel="0" collapsed="false">
      <c r="A28" s="51" t="s">
        <v>455</v>
      </c>
      <c r="B28" s="6" t="s">
        <v>511</v>
      </c>
      <c r="C28" s="6" t="s">
        <v>503</v>
      </c>
      <c r="D28" s="6" t="s">
        <v>512</v>
      </c>
      <c r="E28" s="6" t="s">
        <v>513</v>
      </c>
      <c r="F28" s="30"/>
      <c r="G28" s="30"/>
      <c r="H28" s="30"/>
      <c r="I28" s="30"/>
      <c r="J28" s="45" t="str">
        <f aca="false">IF(NOT(OR(A28="All",AND(A28="GCC",OR('Audit Plan'!$B$11="GCC and EU",'Audit Plan'!$B$11="GCC only")),AND(A28="EU",OR('Audit Plan'!$B$11="GCC and EU",'Audit Plan'!$B$11="EU only")))),"Not in scope",IF(F28="","Not yet tested",IF(OR(LEFT(F28,1)="P",LEFT(F28,1)="I"),IF(H28="","Raise a finding","Finding "&amp;H28),IF(LEFT(F28,1)="N","Not tested: give reason","Done"))))</f>
        <v>Not yet tested</v>
      </c>
    </row>
    <row r="29" customFormat="false" ht="15" hidden="false" customHeight="false" outlineLevel="0" collapsed="false">
      <c r="A29" s="51" t="s">
        <v>455</v>
      </c>
      <c r="B29" s="6" t="s">
        <v>514</v>
      </c>
      <c r="C29" s="6" t="s">
        <v>515</v>
      </c>
      <c r="D29" s="6" t="s">
        <v>516</v>
      </c>
      <c r="E29" s="6" t="s">
        <v>413</v>
      </c>
      <c r="F29" s="30"/>
      <c r="G29" s="30"/>
      <c r="H29" s="30"/>
      <c r="I29" s="30"/>
      <c r="J29" s="45" t="str">
        <f aca="false">IF(NOT(OR(A29="All",AND(A29="GCC",OR('Audit Plan'!$B$11="GCC and EU",'Audit Plan'!$B$11="GCC only")),AND(A29="EU",OR('Audit Plan'!$B$11="GCC and EU",'Audit Plan'!$B$11="EU only")))),"Not in scope",IF(F29="","Not yet tested",IF(OR(LEFT(F29,1)="P",LEFT(F29,1)="I"),IF(H29="","Raise a finding","Finding "&amp;H29),IF(LEFT(F29,1)="N","Not tested: give reason","Done"))))</f>
        <v>Not yet tested</v>
      </c>
    </row>
    <row r="30" customFormat="false" ht="15" hidden="false" customHeight="false" outlineLevel="0" collapsed="false">
      <c r="A30" s="51" t="s">
        <v>455</v>
      </c>
      <c r="B30" s="6" t="s">
        <v>517</v>
      </c>
      <c r="C30" s="6" t="s">
        <v>515</v>
      </c>
      <c r="D30" s="6" t="s">
        <v>518</v>
      </c>
      <c r="E30" s="6" t="s">
        <v>413</v>
      </c>
      <c r="F30" s="30"/>
      <c r="G30" s="30"/>
      <c r="H30" s="30"/>
      <c r="I30" s="30"/>
      <c r="J30" s="45" t="str">
        <f aca="false">IF(NOT(OR(A30="All",AND(A30="GCC",OR('Audit Plan'!$B$11="GCC and EU",'Audit Plan'!$B$11="GCC only")),AND(A30="EU",OR('Audit Plan'!$B$11="GCC and EU",'Audit Plan'!$B$11="EU only")))),"Not in scope",IF(F30="","Not yet tested",IF(OR(LEFT(F30,1)="P",LEFT(F30,1)="I"),IF(H30="","Raise a finding","Finding "&amp;H30),IF(LEFT(F30,1)="N","Not tested: give reason","Done"))))</f>
        <v>Not yet tested</v>
      </c>
    </row>
    <row r="31" customFormat="false" ht="15" hidden="false" customHeight="false" outlineLevel="0" collapsed="false">
      <c r="A31" s="51" t="s">
        <v>455</v>
      </c>
      <c r="B31" s="6" t="s">
        <v>519</v>
      </c>
      <c r="C31" s="6" t="s">
        <v>515</v>
      </c>
      <c r="D31" s="6" t="s">
        <v>520</v>
      </c>
      <c r="E31" s="6" t="s">
        <v>413</v>
      </c>
      <c r="F31" s="30"/>
      <c r="G31" s="30"/>
      <c r="H31" s="30"/>
      <c r="I31" s="30"/>
      <c r="J31" s="45" t="str">
        <f aca="false">IF(NOT(OR(A31="All",AND(A31="GCC",OR('Audit Plan'!$B$11="GCC and EU",'Audit Plan'!$B$11="GCC only")),AND(A31="EU",OR('Audit Plan'!$B$11="GCC and EU",'Audit Plan'!$B$11="EU only")))),"Not in scope",IF(F31="","Not yet tested",IF(OR(LEFT(F31,1)="P",LEFT(F31,1)="I"),IF(H31="","Raise a finding","Finding "&amp;H31),IF(LEFT(F31,1)="N","Not tested: give reason","Done"))))</f>
        <v>Not yet tested</v>
      </c>
    </row>
    <row r="32" customFormat="false" ht="15" hidden="false" customHeight="false" outlineLevel="0" collapsed="false">
      <c r="A32" s="51" t="s">
        <v>455</v>
      </c>
      <c r="B32" s="6" t="s">
        <v>521</v>
      </c>
      <c r="C32" s="6" t="s">
        <v>515</v>
      </c>
      <c r="D32" s="6" t="s">
        <v>522</v>
      </c>
      <c r="E32" s="6" t="s">
        <v>413</v>
      </c>
      <c r="F32" s="30"/>
      <c r="G32" s="30"/>
      <c r="H32" s="30"/>
      <c r="I32" s="30"/>
      <c r="J32" s="45" t="str">
        <f aca="false">IF(NOT(OR(A32="All",AND(A32="GCC",OR('Audit Plan'!$B$11="GCC and EU",'Audit Plan'!$B$11="GCC only")),AND(A32="EU",OR('Audit Plan'!$B$11="GCC and EU",'Audit Plan'!$B$11="EU only")))),"Not in scope",IF(F32="","Not yet tested",IF(OR(LEFT(F32,1)="P",LEFT(F32,1)="I"),IF(H32="","Raise a finding","Finding "&amp;H32),IF(LEFT(F32,1)="N","Not tested: give reason","Done"))))</f>
        <v>Not yet tested</v>
      </c>
    </row>
    <row r="33" customFormat="false" ht="15" hidden="false" customHeight="false" outlineLevel="0" collapsed="false">
      <c r="A33" s="51" t="s">
        <v>455</v>
      </c>
      <c r="B33" s="6" t="s">
        <v>523</v>
      </c>
      <c r="C33" s="6" t="s">
        <v>524</v>
      </c>
      <c r="D33" s="6" t="s">
        <v>525</v>
      </c>
      <c r="E33" s="6" t="s">
        <v>381</v>
      </c>
      <c r="F33" s="30"/>
      <c r="G33" s="30"/>
      <c r="H33" s="30"/>
      <c r="I33" s="30"/>
      <c r="J33" s="45" t="str">
        <f aca="false">IF(NOT(OR(A33="All",AND(A33="GCC",OR('Audit Plan'!$B$11="GCC and EU",'Audit Plan'!$B$11="GCC only")),AND(A33="EU",OR('Audit Plan'!$B$11="GCC and EU",'Audit Plan'!$B$11="EU only")))),"Not in scope",IF(F33="","Not yet tested",IF(OR(LEFT(F33,1)="P",LEFT(F33,1)="I"),IF(H33="","Raise a finding","Finding "&amp;H33),IF(LEFT(F33,1)="N","Not tested: give reason","Done"))))</f>
        <v>Not yet tested</v>
      </c>
    </row>
    <row r="34" customFormat="false" ht="15" hidden="false" customHeight="false" outlineLevel="0" collapsed="false">
      <c r="A34" s="51" t="s">
        <v>455</v>
      </c>
      <c r="B34" s="6" t="s">
        <v>526</v>
      </c>
      <c r="C34" s="6" t="s">
        <v>524</v>
      </c>
      <c r="D34" s="6" t="s">
        <v>527</v>
      </c>
      <c r="E34" s="6" t="s">
        <v>381</v>
      </c>
      <c r="F34" s="30"/>
      <c r="G34" s="30"/>
      <c r="H34" s="30"/>
      <c r="I34" s="30"/>
      <c r="J34" s="45" t="str">
        <f aca="false">IF(NOT(OR(A34="All",AND(A34="GCC",OR('Audit Plan'!$B$11="GCC and EU",'Audit Plan'!$B$11="GCC only")),AND(A34="EU",OR('Audit Plan'!$B$11="GCC and EU",'Audit Plan'!$B$11="EU only")))),"Not in scope",IF(F34="","Not yet tested",IF(OR(LEFT(F34,1)="P",LEFT(F34,1)="I"),IF(H34="","Raise a finding","Finding "&amp;H34),IF(LEFT(F34,1)="N","Not tested: give reason","Done"))))</f>
        <v>Not yet tested</v>
      </c>
    </row>
    <row r="35" customFormat="false" ht="15" hidden="false" customHeight="false" outlineLevel="0" collapsed="false">
      <c r="A35" s="51" t="s">
        <v>455</v>
      </c>
      <c r="B35" s="6" t="s">
        <v>528</v>
      </c>
      <c r="C35" s="6" t="s">
        <v>524</v>
      </c>
      <c r="D35" s="6" t="s">
        <v>529</v>
      </c>
      <c r="E35" s="6" t="s">
        <v>381</v>
      </c>
      <c r="F35" s="30"/>
      <c r="G35" s="30"/>
      <c r="H35" s="30"/>
      <c r="I35" s="30"/>
      <c r="J35" s="45" t="str">
        <f aca="false">IF(NOT(OR(A35="All",AND(A35="GCC",OR('Audit Plan'!$B$11="GCC and EU",'Audit Plan'!$B$11="GCC only")),AND(A35="EU",OR('Audit Plan'!$B$11="GCC and EU",'Audit Plan'!$B$11="EU only")))),"Not in scope",IF(F35="","Not yet tested",IF(OR(LEFT(F35,1)="P",LEFT(F35,1)="I"),IF(H35="","Raise a finding","Finding "&amp;H35),IF(LEFT(F35,1)="N","Not tested: give reason","Done"))))</f>
        <v>Not yet tested</v>
      </c>
    </row>
    <row r="36" customFormat="false" ht="15" hidden="false" customHeight="false" outlineLevel="0" collapsed="false">
      <c r="A36" s="51" t="s">
        <v>455</v>
      </c>
      <c r="B36" s="6" t="s">
        <v>530</v>
      </c>
      <c r="C36" s="6" t="s">
        <v>524</v>
      </c>
      <c r="D36" s="6" t="s">
        <v>531</v>
      </c>
      <c r="E36" s="6" t="s">
        <v>381</v>
      </c>
      <c r="F36" s="30"/>
      <c r="G36" s="30"/>
      <c r="H36" s="30"/>
      <c r="I36" s="30"/>
      <c r="J36" s="45" t="str">
        <f aca="false">IF(NOT(OR(A36="All",AND(A36="GCC",OR('Audit Plan'!$B$11="GCC and EU",'Audit Plan'!$B$11="GCC only")),AND(A36="EU",OR('Audit Plan'!$B$11="GCC and EU",'Audit Plan'!$B$11="EU only")))),"Not in scope",IF(F36="","Not yet tested",IF(OR(LEFT(F36,1)="P",LEFT(F36,1)="I"),IF(H36="","Raise a finding","Finding "&amp;H36),IF(LEFT(F36,1)="N","Not tested: give reason","Done"))))</f>
        <v>Not yet tested</v>
      </c>
    </row>
    <row r="37" customFormat="false" ht="15" hidden="false" customHeight="false" outlineLevel="0" collapsed="false">
      <c r="A37" s="51" t="s">
        <v>455</v>
      </c>
      <c r="B37" s="6" t="s">
        <v>532</v>
      </c>
      <c r="C37" s="6" t="s">
        <v>533</v>
      </c>
      <c r="D37" s="6" t="s">
        <v>534</v>
      </c>
      <c r="E37" s="6" t="s">
        <v>398</v>
      </c>
      <c r="F37" s="30"/>
      <c r="G37" s="30"/>
      <c r="H37" s="30"/>
      <c r="I37" s="30"/>
      <c r="J37" s="45" t="str">
        <f aca="false">IF(NOT(OR(A37="All",AND(A37="GCC",OR('Audit Plan'!$B$11="GCC and EU",'Audit Plan'!$B$11="GCC only")),AND(A37="EU",OR('Audit Plan'!$B$11="GCC and EU",'Audit Plan'!$B$11="EU only")))),"Not in scope",IF(F37="","Not yet tested",IF(OR(LEFT(F37,1)="P",LEFT(F37,1)="I"),IF(H37="","Raise a finding","Finding "&amp;H37),IF(LEFT(F37,1)="N","Not tested: give reason","Done"))))</f>
        <v>Not yet tested</v>
      </c>
    </row>
    <row r="38" customFormat="false" ht="15" hidden="false" customHeight="false" outlineLevel="0" collapsed="false">
      <c r="A38" s="51" t="s">
        <v>455</v>
      </c>
      <c r="B38" s="6" t="s">
        <v>535</v>
      </c>
      <c r="C38" s="6" t="s">
        <v>533</v>
      </c>
      <c r="D38" s="6" t="s">
        <v>536</v>
      </c>
      <c r="E38" s="6" t="s">
        <v>398</v>
      </c>
      <c r="F38" s="30"/>
      <c r="G38" s="30"/>
      <c r="H38" s="30"/>
      <c r="I38" s="30"/>
      <c r="J38" s="45" t="str">
        <f aca="false">IF(NOT(OR(A38="All",AND(A38="GCC",OR('Audit Plan'!$B$11="GCC and EU",'Audit Plan'!$B$11="GCC only")),AND(A38="EU",OR('Audit Plan'!$B$11="GCC and EU",'Audit Plan'!$B$11="EU only")))),"Not in scope",IF(F38="","Not yet tested",IF(OR(LEFT(F38,1)="P",LEFT(F38,1)="I"),IF(H38="","Raise a finding","Finding "&amp;H38),IF(LEFT(F38,1)="N","Not tested: give reason","Done"))))</f>
        <v>Not yet tested</v>
      </c>
    </row>
    <row r="39" customFormat="false" ht="15" hidden="false" customHeight="false" outlineLevel="0" collapsed="false">
      <c r="A39" s="52" t="s">
        <v>537</v>
      </c>
      <c r="B39" s="6" t="s">
        <v>456</v>
      </c>
      <c r="C39" s="6" t="s">
        <v>538</v>
      </c>
      <c r="D39" s="6" t="s">
        <v>539</v>
      </c>
      <c r="E39" s="6" t="s">
        <v>265</v>
      </c>
      <c r="F39" s="30"/>
      <c r="G39" s="30"/>
      <c r="H39" s="30"/>
      <c r="I39" s="30"/>
      <c r="J39" s="45" t="str">
        <f aca="false">IF(NOT(OR(A39="All",AND(A39="GCC",OR('Audit Plan'!$B$11="GCC and EU",'Audit Plan'!$B$11="GCC only")),AND(A39="EU",OR('Audit Plan'!$B$11="GCC and EU",'Audit Plan'!$B$11="EU only")))),"Not in scope",IF(F39="","Not yet tested",IF(OR(LEFT(F39,1)="P",LEFT(F39,1)="I"),IF(H39="","Raise a finding","Finding "&amp;H39),IF(LEFT(F39,1)="N","Not tested: give reason","Done"))))</f>
        <v>Not yet tested</v>
      </c>
    </row>
    <row r="40" customFormat="false" ht="15" hidden="false" customHeight="false" outlineLevel="0" collapsed="false">
      <c r="A40" s="52" t="s">
        <v>537</v>
      </c>
      <c r="B40" s="6" t="s">
        <v>459</v>
      </c>
      <c r="C40" s="6" t="s">
        <v>538</v>
      </c>
      <c r="D40" s="6" t="s">
        <v>540</v>
      </c>
      <c r="E40" s="6" t="s">
        <v>265</v>
      </c>
      <c r="F40" s="30"/>
      <c r="G40" s="30"/>
      <c r="H40" s="30"/>
      <c r="I40" s="30"/>
      <c r="J40" s="45" t="str">
        <f aca="false">IF(NOT(OR(A40="All",AND(A40="GCC",OR('Audit Plan'!$B$11="GCC and EU",'Audit Plan'!$B$11="GCC only")),AND(A40="EU",OR('Audit Plan'!$B$11="GCC and EU",'Audit Plan'!$B$11="EU only")))),"Not in scope",IF(F40="","Not yet tested",IF(OR(LEFT(F40,1)="P",LEFT(F40,1)="I"),IF(H40="","Raise a finding","Finding "&amp;H40),IF(LEFT(F40,1)="N","Not tested: give reason","Done"))))</f>
        <v>Not yet tested</v>
      </c>
    </row>
    <row r="41" customFormat="false" ht="15" hidden="false" customHeight="false" outlineLevel="0" collapsed="false">
      <c r="A41" s="52" t="s">
        <v>537</v>
      </c>
      <c r="B41" s="6" t="s">
        <v>461</v>
      </c>
      <c r="C41" s="6" t="s">
        <v>538</v>
      </c>
      <c r="D41" s="6" t="s">
        <v>541</v>
      </c>
      <c r="E41" s="6" t="s">
        <v>393</v>
      </c>
      <c r="F41" s="30"/>
      <c r="G41" s="30"/>
      <c r="H41" s="30"/>
      <c r="I41" s="30"/>
      <c r="J41" s="45" t="str">
        <f aca="false">IF(NOT(OR(A41="All",AND(A41="GCC",OR('Audit Plan'!$B$11="GCC and EU",'Audit Plan'!$B$11="GCC only")),AND(A41="EU",OR('Audit Plan'!$B$11="GCC and EU",'Audit Plan'!$B$11="EU only")))),"Not in scope",IF(F41="","Not yet tested",IF(OR(LEFT(F41,1)="P",LEFT(F41,1)="I"),IF(H41="","Raise a finding","Finding "&amp;H41),IF(LEFT(F41,1)="N","Not tested: give reason","Done"))))</f>
        <v>Not yet tested</v>
      </c>
    </row>
    <row r="42" customFormat="false" ht="15" hidden="false" customHeight="false" outlineLevel="0" collapsed="false">
      <c r="A42" s="52" t="s">
        <v>537</v>
      </c>
      <c r="B42" s="6" t="s">
        <v>463</v>
      </c>
      <c r="C42" s="6" t="s">
        <v>538</v>
      </c>
      <c r="D42" s="6" t="s">
        <v>542</v>
      </c>
      <c r="E42" s="6" t="s">
        <v>265</v>
      </c>
      <c r="F42" s="30"/>
      <c r="G42" s="30"/>
      <c r="H42" s="30"/>
      <c r="I42" s="30"/>
      <c r="J42" s="45" t="str">
        <f aca="false">IF(NOT(OR(A42="All",AND(A42="GCC",OR('Audit Plan'!$B$11="GCC and EU",'Audit Plan'!$B$11="GCC only")),AND(A42="EU",OR('Audit Plan'!$B$11="GCC and EU",'Audit Plan'!$B$11="EU only")))),"Not in scope",IF(F42="","Not yet tested",IF(OR(LEFT(F42,1)="P",LEFT(F42,1)="I"),IF(H42="","Raise a finding","Finding "&amp;H42),IF(LEFT(F42,1)="N","Not tested: give reason","Done"))))</f>
        <v>Not yet tested</v>
      </c>
    </row>
    <row r="43" customFormat="false" ht="15" hidden="false" customHeight="false" outlineLevel="0" collapsed="false">
      <c r="A43" s="52" t="s">
        <v>537</v>
      </c>
      <c r="B43" s="6" t="s">
        <v>465</v>
      </c>
      <c r="C43" s="6" t="s">
        <v>538</v>
      </c>
      <c r="D43" s="6" t="s">
        <v>543</v>
      </c>
      <c r="E43" s="6" t="s">
        <v>271</v>
      </c>
      <c r="F43" s="30"/>
      <c r="G43" s="30"/>
      <c r="H43" s="30"/>
      <c r="I43" s="30"/>
      <c r="J43" s="45" t="str">
        <f aca="false">IF(NOT(OR(A43="All",AND(A43="GCC",OR('Audit Plan'!$B$11="GCC and EU",'Audit Plan'!$B$11="GCC only")),AND(A43="EU",OR('Audit Plan'!$B$11="GCC and EU",'Audit Plan'!$B$11="EU only")))),"Not in scope",IF(F43="","Not yet tested",IF(OR(LEFT(F43,1)="P",LEFT(F43,1)="I"),IF(H43="","Raise a finding","Finding "&amp;H43),IF(LEFT(F43,1)="N","Not tested: give reason","Done"))))</f>
        <v>Not yet tested</v>
      </c>
    </row>
    <row r="44" customFormat="false" ht="15" hidden="false" customHeight="false" outlineLevel="0" collapsed="false">
      <c r="A44" s="52" t="s">
        <v>537</v>
      </c>
      <c r="B44" s="6" t="s">
        <v>467</v>
      </c>
      <c r="C44" s="6" t="s">
        <v>544</v>
      </c>
      <c r="D44" s="6" t="s">
        <v>545</v>
      </c>
      <c r="E44" s="6" t="s">
        <v>260</v>
      </c>
      <c r="F44" s="30"/>
      <c r="G44" s="30"/>
      <c r="H44" s="30"/>
      <c r="I44" s="30"/>
      <c r="J44" s="45" t="str">
        <f aca="false">IF(NOT(OR(A44="All",AND(A44="GCC",OR('Audit Plan'!$B$11="GCC and EU",'Audit Plan'!$B$11="GCC only")),AND(A44="EU",OR('Audit Plan'!$B$11="GCC and EU",'Audit Plan'!$B$11="EU only")))),"Not in scope",IF(F44="","Not yet tested",IF(OR(LEFT(F44,1)="P",LEFT(F44,1)="I"),IF(H44="","Raise a finding","Finding "&amp;H44),IF(LEFT(F44,1)="N","Not tested: give reason","Done"))))</f>
        <v>Not yet tested</v>
      </c>
    </row>
    <row r="45" customFormat="false" ht="15" hidden="false" customHeight="false" outlineLevel="0" collapsed="false">
      <c r="A45" s="52" t="s">
        <v>537</v>
      </c>
      <c r="B45" s="6" t="s">
        <v>470</v>
      </c>
      <c r="C45" s="6" t="s">
        <v>544</v>
      </c>
      <c r="D45" s="6" t="s">
        <v>546</v>
      </c>
      <c r="E45" s="6" t="s">
        <v>260</v>
      </c>
      <c r="F45" s="30"/>
      <c r="G45" s="30"/>
      <c r="H45" s="30"/>
      <c r="I45" s="30"/>
      <c r="J45" s="45" t="str">
        <f aca="false">IF(NOT(OR(A45="All",AND(A45="GCC",OR('Audit Plan'!$B$11="GCC and EU",'Audit Plan'!$B$11="GCC only")),AND(A45="EU",OR('Audit Plan'!$B$11="GCC and EU",'Audit Plan'!$B$11="EU only")))),"Not in scope",IF(F45="","Not yet tested",IF(OR(LEFT(F45,1)="P",LEFT(F45,1)="I"),IF(H45="","Raise a finding","Finding "&amp;H45),IF(LEFT(F45,1)="N","Not tested: give reason","Done"))))</f>
        <v>Not yet tested</v>
      </c>
    </row>
    <row r="46" customFormat="false" ht="15" hidden="false" customHeight="false" outlineLevel="0" collapsed="false">
      <c r="A46" s="52" t="s">
        <v>537</v>
      </c>
      <c r="B46" s="6" t="s">
        <v>472</v>
      </c>
      <c r="C46" s="6" t="s">
        <v>544</v>
      </c>
      <c r="D46" s="6" t="s">
        <v>547</v>
      </c>
      <c r="E46" s="6" t="s">
        <v>260</v>
      </c>
      <c r="F46" s="30"/>
      <c r="G46" s="30"/>
      <c r="H46" s="30"/>
      <c r="I46" s="30"/>
      <c r="J46" s="45" t="str">
        <f aca="false">IF(NOT(OR(A46="All",AND(A46="GCC",OR('Audit Plan'!$B$11="GCC and EU",'Audit Plan'!$B$11="GCC only")),AND(A46="EU",OR('Audit Plan'!$B$11="GCC and EU",'Audit Plan'!$B$11="EU only")))),"Not in scope",IF(F46="","Not yet tested",IF(OR(LEFT(F46,1)="P",LEFT(F46,1)="I"),IF(H46="","Raise a finding","Finding "&amp;H46),IF(LEFT(F46,1)="N","Not tested: give reason","Done"))))</f>
        <v>Not yet tested</v>
      </c>
    </row>
    <row r="47" customFormat="false" ht="15" hidden="false" customHeight="false" outlineLevel="0" collapsed="false">
      <c r="A47" s="52" t="s">
        <v>537</v>
      </c>
      <c r="B47" s="6" t="s">
        <v>474</v>
      </c>
      <c r="C47" s="6" t="s">
        <v>544</v>
      </c>
      <c r="D47" s="6" t="s">
        <v>548</v>
      </c>
      <c r="E47" s="6" t="s">
        <v>265</v>
      </c>
      <c r="F47" s="30"/>
      <c r="G47" s="30"/>
      <c r="H47" s="30"/>
      <c r="I47" s="30"/>
      <c r="J47" s="45" t="str">
        <f aca="false">IF(NOT(OR(A47="All",AND(A47="GCC",OR('Audit Plan'!$B$11="GCC and EU",'Audit Plan'!$B$11="GCC only")),AND(A47="EU",OR('Audit Plan'!$B$11="GCC and EU",'Audit Plan'!$B$11="EU only")))),"Not in scope",IF(F47="","Not yet tested",IF(OR(LEFT(F47,1)="P",LEFT(F47,1)="I"),IF(H47="","Raise a finding","Finding "&amp;H47),IF(LEFT(F47,1)="N","Not tested: give reason","Done"))))</f>
        <v>Not yet tested</v>
      </c>
    </row>
    <row r="48" customFormat="false" ht="15" hidden="false" customHeight="false" outlineLevel="0" collapsed="false">
      <c r="A48" s="52" t="s">
        <v>537</v>
      </c>
      <c r="B48" s="6" t="s">
        <v>549</v>
      </c>
      <c r="C48" s="6" t="s">
        <v>544</v>
      </c>
      <c r="D48" s="6" t="s">
        <v>550</v>
      </c>
      <c r="E48" s="6" t="s">
        <v>260</v>
      </c>
      <c r="F48" s="30"/>
      <c r="G48" s="30"/>
      <c r="H48" s="30"/>
      <c r="I48" s="30"/>
      <c r="J48" s="45" t="str">
        <f aca="false">IF(NOT(OR(A48="All",AND(A48="GCC",OR('Audit Plan'!$B$11="GCC and EU",'Audit Plan'!$B$11="GCC only")),AND(A48="EU",OR('Audit Plan'!$B$11="GCC and EU",'Audit Plan'!$B$11="EU only")))),"Not in scope",IF(F48="","Not yet tested",IF(OR(LEFT(F48,1)="P",LEFT(F48,1)="I"),IF(H48="","Raise a finding","Finding "&amp;H48),IF(LEFT(F48,1)="N","Not tested: give reason","Done"))))</f>
        <v>Not yet tested</v>
      </c>
    </row>
    <row r="49" customFormat="false" ht="15" hidden="false" customHeight="false" outlineLevel="0" collapsed="false">
      <c r="A49" s="52" t="s">
        <v>537</v>
      </c>
      <c r="B49" s="6" t="s">
        <v>551</v>
      </c>
      <c r="C49" s="6" t="s">
        <v>544</v>
      </c>
      <c r="D49" s="6" t="s">
        <v>475</v>
      </c>
      <c r="E49" s="6" t="s">
        <v>277</v>
      </c>
      <c r="F49" s="30"/>
      <c r="G49" s="30"/>
      <c r="H49" s="30"/>
      <c r="I49" s="30"/>
      <c r="J49" s="45" t="str">
        <f aca="false">IF(NOT(OR(A49="All",AND(A49="GCC",OR('Audit Plan'!$B$11="GCC and EU",'Audit Plan'!$B$11="GCC only")),AND(A49="EU",OR('Audit Plan'!$B$11="GCC and EU",'Audit Plan'!$B$11="EU only")))),"Not in scope",IF(F49="","Not yet tested",IF(OR(LEFT(F49,1)="P",LEFT(F49,1)="I"),IF(H49="","Raise a finding","Finding "&amp;H49),IF(LEFT(F49,1)="N","Not tested: give reason","Done"))))</f>
        <v>Not yet tested</v>
      </c>
    </row>
    <row r="50" customFormat="false" ht="23.85" hidden="false" customHeight="false" outlineLevel="0" collapsed="false">
      <c r="A50" s="52" t="s">
        <v>537</v>
      </c>
      <c r="B50" s="6" t="s">
        <v>477</v>
      </c>
      <c r="C50" s="6" t="s">
        <v>552</v>
      </c>
      <c r="D50" s="6" t="s">
        <v>553</v>
      </c>
      <c r="E50" s="6" t="s">
        <v>393</v>
      </c>
      <c r="F50" s="30"/>
      <c r="G50" s="30"/>
      <c r="H50" s="30"/>
      <c r="I50" s="30"/>
      <c r="J50" s="45" t="str">
        <f aca="false">IF(NOT(OR(A50="All",AND(A50="GCC",OR('Audit Plan'!$B$11="GCC and EU",'Audit Plan'!$B$11="GCC only")),AND(A50="EU",OR('Audit Plan'!$B$11="GCC and EU",'Audit Plan'!$B$11="EU only")))),"Not in scope",IF(F50="","Not yet tested",IF(OR(LEFT(F50,1)="P",LEFT(F50,1)="I"),IF(H50="","Raise a finding","Finding "&amp;H50),IF(LEFT(F50,1)="N","Not tested: give reason","Done"))))</f>
        <v>Not yet tested</v>
      </c>
    </row>
    <row r="51" customFormat="false" ht="23.85" hidden="false" customHeight="false" outlineLevel="0" collapsed="false">
      <c r="A51" s="52" t="s">
        <v>537</v>
      </c>
      <c r="B51" s="6" t="s">
        <v>480</v>
      </c>
      <c r="C51" s="6" t="s">
        <v>552</v>
      </c>
      <c r="D51" s="6" t="s">
        <v>554</v>
      </c>
      <c r="E51" s="6" t="s">
        <v>555</v>
      </c>
      <c r="F51" s="30"/>
      <c r="G51" s="30"/>
      <c r="H51" s="30"/>
      <c r="I51" s="30"/>
      <c r="J51" s="45" t="str">
        <f aca="false">IF(NOT(OR(A51="All",AND(A51="GCC",OR('Audit Plan'!$B$11="GCC and EU",'Audit Plan'!$B$11="GCC only")),AND(A51="EU",OR('Audit Plan'!$B$11="GCC and EU",'Audit Plan'!$B$11="EU only")))),"Not in scope",IF(F51="","Not yet tested",IF(OR(LEFT(F51,1)="P",LEFT(F51,1)="I"),IF(H51="","Raise a finding","Finding "&amp;H51),IF(LEFT(F51,1)="N","Not tested: give reason","Done"))))</f>
        <v>Not yet tested</v>
      </c>
    </row>
    <row r="52" customFormat="false" ht="23.85" hidden="false" customHeight="false" outlineLevel="0" collapsed="false">
      <c r="A52" s="52" t="s">
        <v>537</v>
      </c>
      <c r="B52" s="6" t="s">
        <v>483</v>
      </c>
      <c r="C52" s="6" t="s">
        <v>552</v>
      </c>
      <c r="D52" s="6" t="s">
        <v>556</v>
      </c>
      <c r="E52" s="6" t="s">
        <v>398</v>
      </c>
      <c r="F52" s="30"/>
      <c r="G52" s="30"/>
      <c r="H52" s="30"/>
      <c r="I52" s="30"/>
      <c r="J52" s="45" t="str">
        <f aca="false">IF(NOT(OR(A52="All",AND(A52="GCC",OR('Audit Plan'!$B$11="GCC and EU",'Audit Plan'!$B$11="GCC only")),AND(A52="EU",OR('Audit Plan'!$B$11="GCC and EU",'Audit Plan'!$B$11="EU only")))),"Not in scope",IF(F52="","Not yet tested",IF(OR(LEFT(F52,1)="P",LEFT(F52,1)="I"),IF(H52="","Raise a finding","Finding "&amp;H52),IF(LEFT(F52,1)="N","Not tested: give reason","Done"))))</f>
        <v>Not yet tested</v>
      </c>
    </row>
    <row r="53" customFormat="false" ht="23.85" hidden="false" customHeight="false" outlineLevel="0" collapsed="false">
      <c r="A53" s="52" t="s">
        <v>537</v>
      </c>
      <c r="B53" s="6" t="s">
        <v>485</v>
      </c>
      <c r="C53" s="6" t="s">
        <v>552</v>
      </c>
      <c r="D53" s="6" t="s">
        <v>557</v>
      </c>
      <c r="E53" s="6" t="s">
        <v>558</v>
      </c>
      <c r="F53" s="30"/>
      <c r="G53" s="30"/>
      <c r="H53" s="30"/>
      <c r="I53" s="30"/>
      <c r="J53" s="45" t="str">
        <f aca="false">IF(NOT(OR(A53="All",AND(A53="GCC",OR('Audit Plan'!$B$11="GCC and EU",'Audit Plan'!$B$11="GCC only")),AND(A53="EU",OR('Audit Plan'!$B$11="GCC and EU",'Audit Plan'!$B$11="EU only")))),"Not in scope",IF(F53="","Not yet tested",IF(OR(LEFT(F53,1)="P",LEFT(F53,1)="I"),IF(H53="","Raise a finding","Finding "&amp;H53),IF(LEFT(F53,1)="N","Not tested: give reason","Done"))))</f>
        <v>Not yet tested</v>
      </c>
    </row>
    <row r="54" customFormat="false" ht="23.85" hidden="false" customHeight="false" outlineLevel="0" collapsed="false">
      <c r="A54" s="52" t="s">
        <v>537</v>
      </c>
      <c r="B54" s="6" t="s">
        <v>559</v>
      </c>
      <c r="C54" s="6" t="s">
        <v>552</v>
      </c>
      <c r="D54" s="6" t="s">
        <v>560</v>
      </c>
      <c r="E54" s="6" t="s">
        <v>403</v>
      </c>
      <c r="F54" s="30"/>
      <c r="G54" s="30"/>
      <c r="H54" s="30"/>
      <c r="I54" s="30"/>
      <c r="J54" s="45" t="str">
        <f aca="false">IF(NOT(OR(A54="All",AND(A54="GCC",OR('Audit Plan'!$B$11="GCC and EU",'Audit Plan'!$B$11="GCC only")),AND(A54="EU",OR('Audit Plan'!$B$11="GCC and EU",'Audit Plan'!$B$11="EU only")))),"Not in scope",IF(F54="","Not yet tested",IF(OR(LEFT(F54,1)="P",LEFT(F54,1)="I"),IF(H54="","Raise a finding","Finding "&amp;H54),IF(LEFT(F54,1)="N","Not tested: give reason","Done"))))</f>
        <v>Not yet tested</v>
      </c>
    </row>
    <row r="55" customFormat="false" ht="23.85" hidden="false" customHeight="false" outlineLevel="0" collapsed="false">
      <c r="A55" s="52" t="s">
        <v>537</v>
      </c>
      <c r="B55" s="6" t="s">
        <v>561</v>
      </c>
      <c r="C55" s="6" t="s">
        <v>552</v>
      </c>
      <c r="D55" s="6" t="s">
        <v>562</v>
      </c>
      <c r="E55" s="6" t="s">
        <v>320</v>
      </c>
      <c r="F55" s="30"/>
      <c r="G55" s="30"/>
      <c r="H55" s="30"/>
      <c r="I55" s="30"/>
      <c r="J55" s="45" t="str">
        <f aca="false">IF(NOT(OR(A55="All",AND(A55="GCC",OR('Audit Plan'!$B$11="GCC and EU",'Audit Plan'!$B$11="GCC only")),AND(A55="EU",OR('Audit Plan'!$B$11="GCC and EU",'Audit Plan'!$B$11="EU only")))),"Not in scope",IF(F55="","Not yet tested",IF(OR(LEFT(F55,1)="P",LEFT(F55,1)="I"),IF(H55="","Raise a finding","Finding "&amp;H55),IF(LEFT(F55,1)="N","Not tested: give reason","Done"))))</f>
        <v>Not yet tested</v>
      </c>
    </row>
    <row r="56" customFormat="false" ht="23.85" hidden="false" customHeight="false" outlineLevel="0" collapsed="false">
      <c r="A56" s="52" t="s">
        <v>537</v>
      </c>
      <c r="B56" s="6" t="s">
        <v>563</v>
      </c>
      <c r="C56" s="6" t="s">
        <v>552</v>
      </c>
      <c r="D56" s="6" t="s">
        <v>564</v>
      </c>
      <c r="E56" s="6" t="s">
        <v>565</v>
      </c>
      <c r="F56" s="30"/>
      <c r="G56" s="30"/>
      <c r="H56" s="30"/>
      <c r="I56" s="30"/>
      <c r="J56" s="45" t="str">
        <f aca="false">IF(NOT(OR(A56="All",AND(A56="GCC",OR('Audit Plan'!$B$11="GCC and EU",'Audit Plan'!$B$11="GCC only")),AND(A56="EU",OR('Audit Plan'!$B$11="GCC and EU",'Audit Plan'!$B$11="EU only")))),"Not in scope",IF(F56="","Not yet tested",IF(OR(LEFT(F56,1)="P",LEFT(F56,1)="I"),IF(H56="","Raise a finding","Finding "&amp;H56),IF(LEFT(F56,1)="N","Not tested: give reason","Done"))))</f>
        <v>Not yet tested</v>
      </c>
    </row>
    <row r="57" customFormat="false" ht="23.85" hidden="false" customHeight="false" outlineLevel="0" collapsed="false">
      <c r="A57" s="52" t="s">
        <v>537</v>
      </c>
      <c r="B57" s="6" t="s">
        <v>566</v>
      </c>
      <c r="C57" s="6" t="s">
        <v>552</v>
      </c>
      <c r="D57" s="6" t="s">
        <v>567</v>
      </c>
      <c r="E57" s="6" t="s">
        <v>265</v>
      </c>
      <c r="F57" s="30"/>
      <c r="G57" s="30"/>
      <c r="H57" s="30"/>
      <c r="I57" s="30"/>
      <c r="J57" s="45" t="str">
        <f aca="false">IF(NOT(OR(A57="All",AND(A57="GCC",OR('Audit Plan'!$B$11="GCC and EU",'Audit Plan'!$B$11="GCC only")),AND(A57="EU",OR('Audit Plan'!$B$11="GCC and EU",'Audit Plan'!$B$11="EU only")))),"Not in scope",IF(F57="","Not yet tested",IF(OR(LEFT(F57,1)="P",LEFT(F57,1)="I"),IF(H57="","Raise a finding","Finding "&amp;H57),IF(LEFT(F57,1)="N","Not tested: give reason","Done"))))</f>
        <v>Not yet tested</v>
      </c>
    </row>
    <row r="58" customFormat="false" ht="23.85" hidden="false" customHeight="false" outlineLevel="0" collapsed="false">
      <c r="A58" s="52" t="s">
        <v>537</v>
      </c>
      <c r="B58" s="6" t="s">
        <v>568</v>
      </c>
      <c r="C58" s="6" t="s">
        <v>552</v>
      </c>
      <c r="D58" s="6" t="s">
        <v>569</v>
      </c>
      <c r="E58" s="6" t="s">
        <v>398</v>
      </c>
      <c r="F58" s="30"/>
      <c r="G58" s="30"/>
      <c r="H58" s="30"/>
      <c r="I58" s="30"/>
      <c r="J58" s="45" t="str">
        <f aca="false">IF(NOT(OR(A58="All",AND(A58="GCC",OR('Audit Plan'!$B$11="GCC and EU",'Audit Plan'!$B$11="GCC only")),AND(A58="EU",OR('Audit Plan'!$B$11="GCC and EU",'Audit Plan'!$B$11="EU only")))),"Not in scope",IF(F58="","Not yet tested",IF(OR(LEFT(F58,1)="P",LEFT(F58,1)="I"),IF(H58="","Raise a finding","Finding "&amp;H58),IF(LEFT(F58,1)="N","Not tested: give reason","Done"))))</f>
        <v>Not yet tested</v>
      </c>
    </row>
    <row r="59" customFormat="false" ht="23.85" hidden="false" customHeight="false" outlineLevel="0" collapsed="false">
      <c r="A59" s="52" t="s">
        <v>537</v>
      </c>
      <c r="B59" s="6" t="s">
        <v>570</v>
      </c>
      <c r="C59" s="6" t="s">
        <v>552</v>
      </c>
      <c r="D59" s="6" t="s">
        <v>571</v>
      </c>
      <c r="E59" s="6" t="s">
        <v>381</v>
      </c>
      <c r="F59" s="30"/>
      <c r="G59" s="30"/>
      <c r="H59" s="30"/>
      <c r="I59" s="30"/>
      <c r="J59" s="45" t="str">
        <f aca="false">IF(NOT(OR(A59="All",AND(A59="GCC",OR('Audit Plan'!$B$11="GCC and EU",'Audit Plan'!$B$11="GCC only")),AND(A59="EU",OR('Audit Plan'!$B$11="GCC and EU",'Audit Plan'!$B$11="EU only")))),"Not in scope",IF(F59="","Not yet tested",IF(OR(LEFT(F59,1)="P",LEFT(F59,1)="I"),IF(H59="","Raise a finding","Finding "&amp;H59),IF(LEFT(F59,1)="N","Not tested: give reason","Done"))))</f>
        <v>Not yet tested</v>
      </c>
    </row>
    <row r="60" customFormat="false" ht="15" hidden="false" customHeight="false" outlineLevel="0" collapsed="false">
      <c r="A60" s="52" t="s">
        <v>537</v>
      </c>
      <c r="B60" s="6" t="s">
        <v>487</v>
      </c>
      <c r="C60" s="6" t="s">
        <v>572</v>
      </c>
      <c r="D60" s="6" t="s">
        <v>573</v>
      </c>
      <c r="E60" s="6" t="s">
        <v>320</v>
      </c>
      <c r="F60" s="30"/>
      <c r="G60" s="30"/>
      <c r="H60" s="30"/>
      <c r="I60" s="30"/>
      <c r="J60" s="45" t="str">
        <f aca="false">IF(NOT(OR(A60="All",AND(A60="GCC",OR('Audit Plan'!$B$11="GCC and EU",'Audit Plan'!$B$11="GCC only")),AND(A60="EU",OR('Audit Plan'!$B$11="GCC and EU",'Audit Plan'!$B$11="EU only")))),"Not in scope",IF(F60="","Not yet tested",IF(OR(LEFT(F60,1)="P",LEFT(F60,1)="I"),IF(H60="","Raise a finding","Finding "&amp;H60),IF(LEFT(F60,1)="N","Not tested: give reason","Done"))))</f>
        <v>Not yet tested</v>
      </c>
    </row>
    <row r="61" customFormat="false" ht="15" hidden="false" customHeight="false" outlineLevel="0" collapsed="false">
      <c r="A61" s="52" t="s">
        <v>537</v>
      </c>
      <c r="B61" s="6" t="s">
        <v>490</v>
      </c>
      <c r="C61" s="6" t="s">
        <v>572</v>
      </c>
      <c r="D61" s="6" t="s">
        <v>574</v>
      </c>
      <c r="E61" s="6" t="s">
        <v>320</v>
      </c>
      <c r="F61" s="30"/>
      <c r="G61" s="30"/>
      <c r="H61" s="30"/>
      <c r="I61" s="30"/>
      <c r="J61" s="45" t="str">
        <f aca="false">IF(NOT(OR(A61="All",AND(A61="GCC",OR('Audit Plan'!$B$11="GCC and EU",'Audit Plan'!$B$11="GCC only")),AND(A61="EU",OR('Audit Plan'!$B$11="GCC and EU",'Audit Plan'!$B$11="EU only")))),"Not in scope",IF(F61="","Not yet tested",IF(OR(LEFT(F61,1)="P",LEFT(F61,1)="I"),IF(H61="","Raise a finding","Finding "&amp;H61),IF(LEFT(F61,1)="N","Not tested: give reason","Done"))))</f>
        <v>Not yet tested</v>
      </c>
    </row>
    <row r="62" customFormat="false" ht="15" hidden="false" customHeight="false" outlineLevel="0" collapsed="false">
      <c r="A62" s="52" t="s">
        <v>537</v>
      </c>
      <c r="B62" s="6" t="s">
        <v>492</v>
      </c>
      <c r="C62" s="6" t="s">
        <v>572</v>
      </c>
      <c r="D62" s="6" t="s">
        <v>575</v>
      </c>
      <c r="E62" s="6" t="s">
        <v>271</v>
      </c>
      <c r="F62" s="30"/>
      <c r="G62" s="30"/>
      <c r="H62" s="30"/>
      <c r="I62" s="30"/>
      <c r="J62" s="45" t="str">
        <f aca="false">IF(NOT(OR(A62="All",AND(A62="GCC",OR('Audit Plan'!$B$11="GCC and EU",'Audit Plan'!$B$11="GCC only")),AND(A62="EU",OR('Audit Plan'!$B$11="GCC and EU",'Audit Plan'!$B$11="EU only")))),"Not in scope",IF(F62="","Not yet tested",IF(OR(LEFT(F62,1)="P",LEFT(F62,1)="I"),IF(H62="","Raise a finding","Finding "&amp;H62),IF(LEFT(F62,1)="N","Not tested: give reason","Done"))))</f>
        <v>Not yet tested</v>
      </c>
    </row>
    <row r="63" customFormat="false" ht="23.85" hidden="false" customHeight="false" outlineLevel="0" collapsed="false">
      <c r="A63" s="52" t="s">
        <v>537</v>
      </c>
      <c r="B63" s="6" t="s">
        <v>576</v>
      </c>
      <c r="C63" s="6" t="s">
        <v>572</v>
      </c>
      <c r="D63" s="6" t="s">
        <v>577</v>
      </c>
      <c r="E63" s="6" t="s">
        <v>558</v>
      </c>
      <c r="F63" s="30"/>
      <c r="G63" s="30"/>
      <c r="H63" s="30"/>
      <c r="I63" s="30"/>
      <c r="J63" s="45" t="str">
        <f aca="false">IF(NOT(OR(A63="All",AND(A63="GCC",OR('Audit Plan'!$B$11="GCC and EU",'Audit Plan'!$B$11="GCC only")),AND(A63="EU",OR('Audit Plan'!$B$11="GCC and EU",'Audit Plan'!$B$11="EU only")))),"Not in scope",IF(F63="","Not yet tested",IF(OR(LEFT(F63,1)="P",LEFT(F63,1)="I"),IF(H63="","Raise a finding","Finding "&amp;H63),IF(LEFT(F63,1)="N","Not tested: give reason","Done"))))</f>
        <v>Not yet tested</v>
      </c>
    </row>
    <row r="64" customFormat="false" ht="15" hidden="false" customHeight="false" outlineLevel="0" collapsed="false">
      <c r="A64" s="52" t="s">
        <v>537</v>
      </c>
      <c r="B64" s="6" t="s">
        <v>578</v>
      </c>
      <c r="C64" s="6" t="s">
        <v>572</v>
      </c>
      <c r="D64" s="6" t="s">
        <v>579</v>
      </c>
      <c r="E64" s="6" t="s">
        <v>403</v>
      </c>
      <c r="F64" s="30"/>
      <c r="G64" s="30"/>
      <c r="H64" s="30"/>
      <c r="I64" s="30"/>
      <c r="J64" s="45" t="str">
        <f aca="false">IF(NOT(OR(A64="All",AND(A64="GCC",OR('Audit Plan'!$B$11="GCC and EU",'Audit Plan'!$B$11="GCC only")),AND(A64="EU",OR('Audit Plan'!$B$11="GCC and EU",'Audit Plan'!$B$11="EU only")))),"Not in scope",IF(F64="","Not yet tested",IF(OR(LEFT(F64,1)="P",LEFT(F64,1)="I"),IF(H64="","Raise a finding","Finding "&amp;H64),IF(LEFT(F64,1)="N","Not tested: give reason","Done"))))</f>
        <v>Not yet tested</v>
      </c>
    </row>
    <row r="65" customFormat="false" ht="15" hidden="false" customHeight="false" outlineLevel="0" collapsed="false">
      <c r="A65" s="52" t="s">
        <v>537</v>
      </c>
      <c r="B65" s="6" t="s">
        <v>580</v>
      </c>
      <c r="C65" s="6" t="s">
        <v>572</v>
      </c>
      <c r="D65" s="6" t="s">
        <v>581</v>
      </c>
      <c r="E65" s="6" t="s">
        <v>419</v>
      </c>
      <c r="F65" s="30"/>
      <c r="G65" s="30"/>
      <c r="H65" s="30"/>
      <c r="I65" s="30"/>
      <c r="J65" s="45" t="str">
        <f aca="false">IF(NOT(OR(A65="All",AND(A65="GCC",OR('Audit Plan'!$B$11="GCC and EU",'Audit Plan'!$B$11="GCC only")),AND(A65="EU",OR('Audit Plan'!$B$11="GCC and EU",'Audit Plan'!$B$11="EU only")))),"Not in scope",IF(F65="","Not yet tested",IF(OR(LEFT(F65,1)="P",LEFT(F65,1)="I"),IF(H65="","Raise a finding","Finding "&amp;H65),IF(LEFT(F65,1)="N","Not tested: give reason","Done"))))</f>
        <v>Not yet tested</v>
      </c>
    </row>
    <row r="66" customFormat="false" ht="15" hidden="false" customHeight="false" outlineLevel="0" collapsed="false">
      <c r="A66" s="52" t="s">
        <v>537</v>
      </c>
      <c r="B66" s="6" t="s">
        <v>582</v>
      </c>
      <c r="C66" s="6" t="s">
        <v>572</v>
      </c>
      <c r="D66" s="6" t="s">
        <v>583</v>
      </c>
      <c r="E66" s="6" t="s">
        <v>381</v>
      </c>
      <c r="F66" s="30"/>
      <c r="G66" s="30"/>
      <c r="H66" s="30"/>
      <c r="I66" s="30"/>
      <c r="J66" s="45" t="str">
        <f aca="false">IF(NOT(OR(A66="All",AND(A66="GCC",OR('Audit Plan'!$B$11="GCC and EU",'Audit Plan'!$B$11="GCC only")),AND(A66="EU",OR('Audit Plan'!$B$11="GCC and EU",'Audit Plan'!$B$11="EU only")))),"Not in scope",IF(F66="","Not yet tested",IF(OR(LEFT(F66,1)="P",LEFT(F66,1)="I"),IF(H66="","Raise a finding","Finding "&amp;H66),IF(LEFT(F66,1)="N","Not tested: give reason","Done"))))</f>
        <v>Not yet tested</v>
      </c>
    </row>
    <row r="67" customFormat="false" ht="15" hidden="false" customHeight="false" outlineLevel="0" collapsed="false">
      <c r="A67" s="52" t="s">
        <v>537</v>
      </c>
      <c r="B67" s="6" t="s">
        <v>495</v>
      </c>
      <c r="C67" s="6" t="s">
        <v>584</v>
      </c>
      <c r="D67" s="6" t="s">
        <v>585</v>
      </c>
      <c r="E67" s="6" t="s">
        <v>271</v>
      </c>
      <c r="F67" s="30"/>
      <c r="G67" s="30"/>
      <c r="H67" s="30"/>
      <c r="I67" s="30"/>
      <c r="J67" s="45" t="str">
        <f aca="false">IF(NOT(OR(A67="All",AND(A67="GCC",OR('Audit Plan'!$B$11="GCC and EU",'Audit Plan'!$B$11="GCC only")),AND(A67="EU",OR('Audit Plan'!$B$11="GCC and EU",'Audit Plan'!$B$11="EU only")))),"Not in scope",IF(F67="","Not yet tested",IF(OR(LEFT(F67,1)="P",LEFT(F67,1)="I"),IF(H67="","Raise a finding","Finding "&amp;H67),IF(LEFT(F67,1)="N","Not tested: give reason","Done"))))</f>
        <v>Not yet tested</v>
      </c>
    </row>
    <row r="68" customFormat="false" ht="23.85" hidden="false" customHeight="false" outlineLevel="0" collapsed="false">
      <c r="A68" s="52" t="s">
        <v>537</v>
      </c>
      <c r="B68" s="6" t="s">
        <v>498</v>
      </c>
      <c r="C68" s="6" t="s">
        <v>584</v>
      </c>
      <c r="D68" s="6" t="s">
        <v>586</v>
      </c>
      <c r="E68" s="6" t="s">
        <v>587</v>
      </c>
      <c r="F68" s="30"/>
      <c r="G68" s="30"/>
      <c r="H68" s="30"/>
      <c r="I68" s="30"/>
      <c r="J68" s="45" t="str">
        <f aca="false">IF(NOT(OR(A68="All",AND(A68="GCC",OR('Audit Plan'!$B$11="GCC and EU",'Audit Plan'!$B$11="GCC only")),AND(A68="EU",OR('Audit Plan'!$B$11="GCC and EU",'Audit Plan'!$B$11="EU only")))),"Not in scope",IF(F68="","Not yet tested",IF(OR(LEFT(F68,1)="P",LEFT(F68,1)="I"),IF(H68="","Raise a finding","Finding "&amp;H68),IF(LEFT(F68,1)="N","Not tested: give reason","Done"))))</f>
        <v>Not yet tested</v>
      </c>
    </row>
    <row r="69" customFormat="false" ht="15" hidden="false" customHeight="false" outlineLevel="0" collapsed="false">
      <c r="A69" s="52" t="s">
        <v>537</v>
      </c>
      <c r="B69" s="6" t="s">
        <v>500</v>
      </c>
      <c r="C69" s="6" t="s">
        <v>584</v>
      </c>
      <c r="D69" s="6" t="s">
        <v>588</v>
      </c>
      <c r="E69" s="6" t="s">
        <v>292</v>
      </c>
      <c r="F69" s="30"/>
      <c r="G69" s="30"/>
      <c r="H69" s="30"/>
      <c r="I69" s="30"/>
      <c r="J69" s="45" t="str">
        <f aca="false">IF(NOT(OR(A69="All",AND(A69="GCC",OR('Audit Plan'!$B$11="GCC and EU",'Audit Plan'!$B$11="GCC only")),AND(A69="EU",OR('Audit Plan'!$B$11="GCC and EU",'Audit Plan'!$B$11="EU only")))),"Not in scope",IF(F69="","Not yet tested",IF(OR(LEFT(F69,1)="P",LEFT(F69,1)="I"),IF(H69="","Raise a finding","Finding "&amp;H69),IF(LEFT(F69,1)="N","Not tested: give reason","Done"))))</f>
        <v>Not yet tested</v>
      </c>
    </row>
    <row r="70" customFormat="false" ht="23.85" hidden="false" customHeight="false" outlineLevel="0" collapsed="false">
      <c r="A70" s="52" t="s">
        <v>537</v>
      </c>
      <c r="B70" s="6" t="s">
        <v>589</v>
      </c>
      <c r="C70" s="6" t="s">
        <v>584</v>
      </c>
      <c r="D70" s="6" t="s">
        <v>590</v>
      </c>
      <c r="E70" s="6" t="s">
        <v>591</v>
      </c>
      <c r="F70" s="30"/>
      <c r="G70" s="30"/>
      <c r="H70" s="30"/>
      <c r="I70" s="30"/>
      <c r="J70" s="45" t="str">
        <f aca="false">IF(NOT(OR(A70="All",AND(A70="GCC",OR('Audit Plan'!$B$11="GCC and EU",'Audit Plan'!$B$11="GCC only")),AND(A70="EU",OR('Audit Plan'!$B$11="GCC and EU",'Audit Plan'!$B$11="EU only")))),"Not in scope",IF(F70="","Not yet tested",IF(OR(LEFT(F70,1)="P",LEFT(F70,1)="I"),IF(H70="","Raise a finding","Finding "&amp;H70),IF(LEFT(F70,1)="N","Not tested: give reason","Done"))))</f>
        <v>Not yet tested</v>
      </c>
    </row>
    <row r="71" customFormat="false" ht="15" hidden="false" customHeight="false" outlineLevel="0" collapsed="false">
      <c r="A71" s="52" t="s">
        <v>537</v>
      </c>
      <c r="B71" s="6" t="s">
        <v>592</v>
      </c>
      <c r="C71" s="6" t="s">
        <v>584</v>
      </c>
      <c r="D71" s="6" t="s">
        <v>593</v>
      </c>
      <c r="E71" s="6" t="s">
        <v>235</v>
      </c>
      <c r="F71" s="30"/>
      <c r="G71" s="30"/>
      <c r="H71" s="30"/>
      <c r="I71" s="30"/>
      <c r="J71" s="45" t="str">
        <f aca="false">IF(NOT(OR(A71="All",AND(A71="GCC",OR('Audit Plan'!$B$11="GCC and EU",'Audit Plan'!$B$11="GCC only")),AND(A71="EU",OR('Audit Plan'!$B$11="GCC and EU",'Audit Plan'!$B$11="EU only")))),"Not in scope",IF(F71="","Not yet tested",IF(OR(LEFT(F71,1)="P",LEFT(F71,1)="I"),IF(H71="","Raise a finding","Finding "&amp;H71),IF(LEFT(F71,1)="N","Not tested: give reason","Done"))))</f>
        <v>Not yet tested</v>
      </c>
    </row>
    <row r="72" customFormat="false" ht="15" hidden="false" customHeight="false" outlineLevel="0" collapsed="false">
      <c r="A72" s="52" t="s">
        <v>537</v>
      </c>
      <c r="B72" s="6" t="s">
        <v>502</v>
      </c>
      <c r="C72" s="6" t="s">
        <v>594</v>
      </c>
      <c r="D72" s="6" t="s">
        <v>595</v>
      </c>
      <c r="E72" s="6" t="s">
        <v>403</v>
      </c>
      <c r="F72" s="30"/>
      <c r="G72" s="30"/>
      <c r="H72" s="30"/>
      <c r="I72" s="30"/>
      <c r="J72" s="45" t="str">
        <f aca="false">IF(NOT(OR(A72="All",AND(A72="GCC",OR('Audit Plan'!$B$11="GCC and EU",'Audit Plan'!$B$11="GCC only")),AND(A72="EU",OR('Audit Plan'!$B$11="GCC and EU",'Audit Plan'!$B$11="EU only")))),"Not in scope",IF(F72="","Not yet tested",IF(OR(LEFT(F72,1)="P",LEFT(F72,1)="I"),IF(H72="","Raise a finding","Finding "&amp;H72),IF(LEFT(F72,1)="N","Not tested: give reason","Done"))))</f>
        <v>Not yet tested</v>
      </c>
    </row>
    <row r="73" customFormat="false" ht="15" hidden="false" customHeight="false" outlineLevel="0" collapsed="false">
      <c r="A73" s="52" t="s">
        <v>537</v>
      </c>
      <c r="B73" s="6" t="s">
        <v>505</v>
      </c>
      <c r="C73" s="6" t="s">
        <v>594</v>
      </c>
      <c r="D73" s="6" t="s">
        <v>596</v>
      </c>
      <c r="E73" s="6" t="s">
        <v>403</v>
      </c>
      <c r="F73" s="30"/>
      <c r="G73" s="30"/>
      <c r="H73" s="30"/>
      <c r="I73" s="30"/>
      <c r="J73" s="45" t="str">
        <f aca="false">IF(NOT(OR(A73="All",AND(A73="GCC",OR('Audit Plan'!$B$11="GCC and EU",'Audit Plan'!$B$11="GCC only")),AND(A73="EU",OR('Audit Plan'!$B$11="GCC and EU",'Audit Plan'!$B$11="EU only")))),"Not in scope",IF(F73="","Not yet tested",IF(OR(LEFT(F73,1)="P",LEFT(F73,1)="I"),IF(H73="","Raise a finding","Finding "&amp;H73),IF(LEFT(F73,1)="N","Not tested: give reason","Done"))))</f>
        <v>Not yet tested</v>
      </c>
    </row>
    <row r="74" customFormat="false" ht="15" hidden="false" customHeight="false" outlineLevel="0" collapsed="false">
      <c r="A74" s="52" t="s">
        <v>537</v>
      </c>
      <c r="B74" s="6" t="s">
        <v>507</v>
      </c>
      <c r="C74" s="6" t="s">
        <v>594</v>
      </c>
      <c r="D74" s="6" t="s">
        <v>597</v>
      </c>
      <c r="E74" s="6" t="s">
        <v>403</v>
      </c>
      <c r="F74" s="30"/>
      <c r="G74" s="30"/>
      <c r="H74" s="30"/>
      <c r="I74" s="30"/>
      <c r="J74" s="45" t="str">
        <f aca="false">IF(NOT(OR(A74="All",AND(A74="GCC",OR('Audit Plan'!$B$11="GCC and EU",'Audit Plan'!$B$11="GCC only")),AND(A74="EU",OR('Audit Plan'!$B$11="GCC and EU",'Audit Plan'!$B$11="EU only")))),"Not in scope",IF(F74="","Not yet tested",IF(OR(LEFT(F74,1)="P",LEFT(F74,1)="I"),IF(H74="","Raise a finding","Finding "&amp;H74),IF(LEFT(F74,1)="N","Not tested: give reason","Done"))))</f>
        <v>Not yet tested</v>
      </c>
    </row>
    <row r="75" customFormat="false" ht="15" hidden="false" customHeight="false" outlineLevel="0" collapsed="false">
      <c r="A75" s="52" t="s">
        <v>537</v>
      </c>
      <c r="B75" s="6" t="s">
        <v>509</v>
      </c>
      <c r="C75" s="6" t="s">
        <v>594</v>
      </c>
      <c r="D75" s="6" t="s">
        <v>598</v>
      </c>
      <c r="E75" s="6" t="s">
        <v>271</v>
      </c>
      <c r="F75" s="30"/>
      <c r="G75" s="30"/>
      <c r="H75" s="30"/>
      <c r="I75" s="30"/>
      <c r="J75" s="45" t="str">
        <f aca="false">IF(NOT(OR(A75="All",AND(A75="GCC",OR('Audit Plan'!$B$11="GCC and EU",'Audit Plan'!$B$11="GCC only")),AND(A75="EU",OR('Audit Plan'!$B$11="GCC and EU",'Audit Plan'!$B$11="EU only")))),"Not in scope",IF(F75="","Not yet tested",IF(OR(LEFT(F75,1)="P",LEFT(F75,1)="I"),IF(H75="","Raise a finding","Finding "&amp;H75),IF(LEFT(F75,1)="N","Not tested: give reason","Done"))))</f>
        <v>Not yet tested</v>
      </c>
    </row>
    <row r="76" customFormat="false" ht="15" hidden="false" customHeight="false" outlineLevel="0" collapsed="false">
      <c r="A76" s="52" t="s">
        <v>537</v>
      </c>
      <c r="B76" s="6" t="s">
        <v>514</v>
      </c>
      <c r="C76" s="6" t="s">
        <v>599</v>
      </c>
      <c r="D76" s="6" t="s">
        <v>516</v>
      </c>
      <c r="E76" s="6" t="s">
        <v>413</v>
      </c>
      <c r="F76" s="30"/>
      <c r="G76" s="30"/>
      <c r="H76" s="30"/>
      <c r="I76" s="30"/>
      <c r="J76" s="45" t="str">
        <f aca="false">IF(NOT(OR(A76="All",AND(A76="GCC",OR('Audit Plan'!$B$11="GCC and EU",'Audit Plan'!$B$11="GCC only")),AND(A76="EU",OR('Audit Plan'!$B$11="GCC and EU",'Audit Plan'!$B$11="EU only")))),"Not in scope",IF(F76="","Not yet tested",IF(OR(LEFT(F76,1)="P",LEFT(F76,1)="I"),IF(H76="","Raise a finding","Finding "&amp;H76),IF(LEFT(F76,1)="N","Not tested: give reason","Done"))))</f>
        <v>Not yet tested</v>
      </c>
    </row>
    <row r="77" customFormat="false" ht="15" hidden="false" customHeight="false" outlineLevel="0" collapsed="false">
      <c r="A77" s="52" t="s">
        <v>537</v>
      </c>
      <c r="B77" s="6" t="s">
        <v>517</v>
      </c>
      <c r="C77" s="6" t="s">
        <v>599</v>
      </c>
      <c r="D77" s="6" t="s">
        <v>600</v>
      </c>
      <c r="E77" s="6" t="s">
        <v>413</v>
      </c>
      <c r="F77" s="30"/>
      <c r="G77" s="30"/>
      <c r="H77" s="30"/>
      <c r="I77" s="30"/>
      <c r="J77" s="45" t="str">
        <f aca="false">IF(NOT(OR(A77="All",AND(A77="GCC",OR('Audit Plan'!$B$11="GCC and EU",'Audit Plan'!$B$11="GCC only")),AND(A77="EU",OR('Audit Plan'!$B$11="GCC and EU",'Audit Plan'!$B$11="EU only")))),"Not in scope",IF(F77="","Not yet tested",IF(OR(LEFT(F77,1)="P",LEFT(F77,1)="I"),IF(H77="","Raise a finding","Finding "&amp;H77),IF(LEFT(F77,1)="N","Not tested: give reason","Done"))))</f>
        <v>Not yet tested</v>
      </c>
    </row>
    <row r="78" customFormat="false" ht="15" hidden="false" customHeight="false" outlineLevel="0" collapsed="false">
      <c r="A78" s="52" t="s">
        <v>537</v>
      </c>
      <c r="B78" s="6" t="s">
        <v>519</v>
      </c>
      <c r="C78" s="6" t="s">
        <v>599</v>
      </c>
      <c r="D78" s="6" t="s">
        <v>601</v>
      </c>
      <c r="E78" s="6" t="s">
        <v>413</v>
      </c>
      <c r="F78" s="30"/>
      <c r="G78" s="30"/>
      <c r="H78" s="30"/>
      <c r="I78" s="30"/>
      <c r="J78" s="45" t="str">
        <f aca="false">IF(NOT(OR(A78="All",AND(A78="GCC",OR('Audit Plan'!$B$11="GCC and EU",'Audit Plan'!$B$11="GCC only")),AND(A78="EU",OR('Audit Plan'!$B$11="GCC and EU",'Audit Plan'!$B$11="EU only")))),"Not in scope",IF(F78="","Not yet tested",IF(OR(LEFT(F78,1)="P",LEFT(F78,1)="I"),IF(H78="","Raise a finding","Finding "&amp;H78),IF(LEFT(F78,1)="N","Not tested: give reason","Done"))))</f>
        <v>Not yet tested</v>
      </c>
    </row>
    <row r="79" customFormat="false" ht="15" hidden="false" customHeight="false" outlineLevel="0" collapsed="false">
      <c r="A79" s="52" t="s">
        <v>537</v>
      </c>
      <c r="B79" s="6" t="s">
        <v>521</v>
      </c>
      <c r="C79" s="6" t="s">
        <v>599</v>
      </c>
      <c r="D79" s="6" t="s">
        <v>520</v>
      </c>
      <c r="E79" s="6" t="s">
        <v>413</v>
      </c>
      <c r="F79" s="30"/>
      <c r="G79" s="30"/>
      <c r="H79" s="30"/>
      <c r="I79" s="30"/>
      <c r="J79" s="45" t="str">
        <f aca="false">IF(NOT(OR(A79="All",AND(A79="GCC",OR('Audit Plan'!$B$11="GCC and EU",'Audit Plan'!$B$11="GCC only")),AND(A79="EU",OR('Audit Plan'!$B$11="GCC and EU",'Audit Plan'!$B$11="EU only")))),"Not in scope",IF(F79="","Not yet tested",IF(OR(LEFT(F79,1)="P",LEFT(F79,1)="I"),IF(H79="","Raise a finding","Finding "&amp;H79),IF(LEFT(F79,1)="N","Not tested: give reason","Done"))))</f>
        <v>Not yet tested</v>
      </c>
    </row>
    <row r="80" customFormat="false" ht="15" hidden="false" customHeight="false" outlineLevel="0" collapsed="false">
      <c r="A80" s="52" t="s">
        <v>537</v>
      </c>
      <c r="B80" s="6" t="s">
        <v>602</v>
      </c>
      <c r="C80" s="6" t="s">
        <v>599</v>
      </c>
      <c r="D80" s="6" t="s">
        <v>603</v>
      </c>
      <c r="E80" s="6" t="s">
        <v>413</v>
      </c>
      <c r="F80" s="30"/>
      <c r="G80" s="30"/>
      <c r="H80" s="30"/>
      <c r="I80" s="30"/>
      <c r="J80" s="45" t="str">
        <f aca="false">IF(NOT(OR(A80="All",AND(A80="GCC",OR('Audit Plan'!$B$11="GCC and EU",'Audit Plan'!$B$11="GCC only")),AND(A80="EU",OR('Audit Plan'!$B$11="GCC and EU",'Audit Plan'!$B$11="EU only")))),"Not in scope",IF(F80="","Not yet tested",IF(OR(LEFT(F80,1)="P",LEFT(F80,1)="I"),IF(H80="","Raise a finding","Finding "&amp;H80),IF(LEFT(F80,1)="N","Not tested: give reason","Done"))))</f>
        <v>Not yet tested</v>
      </c>
    </row>
    <row r="81" customFormat="false" ht="15" hidden="false" customHeight="false" outlineLevel="0" collapsed="false">
      <c r="A81" s="52" t="s">
        <v>537</v>
      </c>
      <c r="B81" s="6" t="s">
        <v>523</v>
      </c>
      <c r="C81" s="6" t="s">
        <v>604</v>
      </c>
      <c r="D81" s="6" t="s">
        <v>605</v>
      </c>
      <c r="E81" s="6" t="s">
        <v>277</v>
      </c>
      <c r="F81" s="30"/>
      <c r="G81" s="30"/>
      <c r="H81" s="30"/>
      <c r="I81" s="30"/>
      <c r="J81" s="45" t="str">
        <f aca="false">IF(NOT(OR(A81="All",AND(A81="GCC",OR('Audit Plan'!$B$11="GCC and EU",'Audit Plan'!$B$11="GCC only")),AND(A81="EU",OR('Audit Plan'!$B$11="GCC and EU",'Audit Plan'!$B$11="EU only")))),"Not in scope",IF(F81="","Not yet tested",IF(OR(LEFT(F81,1)="P",LEFT(F81,1)="I"),IF(H81="","Raise a finding","Finding "&amp;H81),IF(LEFT(F81,1)="N","Not tested: give reason","Done"))))</f>
        <v>Not yet tested</v>
      </c>
    </row>
    <row r="82" customFormat="false" ht="15" hidden="false" customHeight="false" outlineLevel="0" collapsed="false">
      <c r="A82" s="52" t="s">
        <v>537</v>
      </c>
      <c r="B82" s="6" t="s">
        <v>526</v>
      </c>
      <c r="C82" s="6" t="s">
        <v>604</v>
      </c>
      <c r="D82" s="6" t="s">
        <v>606</v>
      </c>
      <c r="E82" s="6" t="s">
        <v>277</v>
      </c>
      <c r="F82" s="30"/>
      <c r="G82" s="30"/>
      <c r="H82" s="30"/>
      <c r="I82" s="30"/>
      <c r="J82" s="45" t="str">
        <f aca="false">IF(NOT(OR(A82="All",AND(A82="GCC",OR('Audit Plan'!$B$11="GCC and EU",'Audit Plan'!$B$11="GCC only")),AND(A82="EU",OR('Audit Plan'!$B$11="GCC and EU",'Audit Plan'!$B$11="EU only")))),"Not in scope",IF(F82="","Not yet tested",IF(OR(LEFT(F82,1)="P",LEFT(F82,1)="I"),IF(H82="","Raise a finding","Finding "&amp;H82),IF(LEFT(F82,1)="N","Not tested: give reason","Done"))))</f>
        <v>Not yet tested</v>
      </c>
    </row>
    <row r="83" customFormat="false" ht="15" hidden="false" customHeight="false" outlineLevel="0" collapsed="false">
      <c r="A83" s="52" t="s">
        <v>537</v>
      </c>
      <c r="B83" s="6" t="s">
        <v>528</v>
      </c>
      <c r="C83" s="6" t="s">
        <v>604</v>
      </c>
      <c r="D83" s="6" t="s">
        <v>607</v>
      </c>
      <c r="E83" s="6" t="s">
        <v>277</v>
      </c>
      <c r="F83" s="30"/>
      <c r="G83" s="30"/>
      <c r="H83" s="30"/>
      <c r="I83" s="30"/>
      <c r="J83" s="45" t="str">
        <f aca="false">IF(NOT(OR(A83="All",AND(A83="GCC",OR('Audit Plan'!$B$11="GCC and EU",'Audit Plan'!$B$11="GCC only")),AND(A83="EU",OR('Audit Plan'!$B$11="GCC and EU",'Audit Plan'!$B$11="EU only")))),"Not in scope",IF(F83="","Not yet tested",IF(OR(LEFT(F83,1)="P",LEFT(F83,1)="I"),IF(H83="","Raise a finding","Finding "&amp;H83),IF(LEFT(F83,1)="N","Not tested: give reason","Done"))))</f>
        <v>Not yet tested</v>
      </c>
    </row>
    <row r="84" customFormat="false" ht="15" hidden="false" customHeight="false" outlineLevel="0" collapsed="false">
      <c r="A84" s="52" t="s">
        <v>537</v>
      </c>
      <c r="B84" s="6" t="s">
        <v>530</v>
      </c>
      <c r="C84" s="6" t="s">
        <v>604</v>
      </c>
      <c r="D84" s="6" t="s">
        <v>608</v>
      </c>
      <c r="E84" s="6" t="s">
        <v>277</v>
      </c>
      <c r="F84" s="30"/>
      <c r="G84" s="30"/>
      <c r="H84" s="30"/>
      <c r="I84" s="30"/>
      <c r="J84" s="45" t="str">
        <f aca="false">IF(NOT(OR(A84="All",AND(A84="GCC",OR('Audit Plan'!$B$11="GCC and EU",'Audit Plan'!$B$11="GCC only")),AND(A84="EU",OR('Audit Plan'!$B$11="GCC and EU",'Audit Plan'!$B$11="EU only")))),"Not in scope",IF(F84="","Not yet tested",IF(OR(LEFT(F84,1)="P",LEFT(F84,1)="I"),IF(H84="","Raise a finding","Finding "&amp;H84),IF(LEFT(F84,1)="N","Not tested: give reason","Done"))))</f>
        <v>Not yet tested</v>
      </c>
    </row>
    <row r="85" customFormat="false" ht="15" hidden="false" customHeight="false" outlineLevel="0" collapsed="false">
      <c r="A85" s="52" t="s">
        <v>537</v>
      </c>
      <c r="B85" s="6" t="s">
        <v>532</v>
      </c>
      <c r="C85" s="6" t="s">
        <v>524</v>
      </c>
      <c r="D85" s="6" t="s">
        <v>609</v>
      </c>
      <c r="E85" s="6" t="s">
        <v>381</v>
      </c>
      <c r="F85" s="30"/>
      <c r="G85" s="30"/>
      <c r="H85" s="30"/>
      <c r="I85" s="30"/>
      <c r="J85" s="45" t="str">
        <f aca="false">IF(NOT(OR(A85="All",AND(A85="GCC",OR('Audit Plan'!$B$11="GCC and EU",'Audit Plan'!$B$11="GCC only")),AND(A85="EU",OR('Audit Plan'!$B$11="GCC and EU",'Audit Plan'!$B$11="EU only")))),"Not in scope",IF(F85="","Not yet tested",IF(OR(LEFT(F85,1)="P",LEFT(F85,1)="I"),IF(H85="","Raise a finding","Finding "&amp;H85),IF(LEFT(F85,1)="N","Not tested: give reason","Done"))))</f>
        <v>Not yet tested</v>
      </c>
    </row>
    <row r="86" customFormat="false" ht="15" hidden="false" customHeight="false" outlineLevel="0" collapsed="false">
      <c r="A86" s="52" t="s">
        <v>537</v>
      </c>
      <c r="B86" s="6" t="s">
        <v>535</v>
      </c>
      <c r="C86" s="6" t="s">
        <v>524</v>
      </c>
      <c r="D86" s="6" t="s">
        <v>610</v>
      </c>
      <c r="E86" s="6" t="s">
        <v>381</v>
      </c>
      <c r="F86" s="30"/>
      <c r="G86" s="30"/>
      <c r="H86" s="30"/>
      <c r="I86" s="30"/>
      <c r="J86" s="45" t="str">
        <f aca="false">IF(NOT(OR(A86="All",AND(A86="GCC",OR('Audit Plan'!$B$11="GCC and EU",'Audit Plan'!$B$11="GCC only")),AND(A86="EU",OR('Audit Plan'!$B$11="GCC and EU",'Audit Plan'!$B$11="EU only")))),"Not in scope",IF(F86="","Not yet tested",IF(OR(LEFT(F86,1)="P",LEFT(F86,1)="I"),IF(H86="","Raise a finding","Finding "&amp;H86),IF(LEFT(F86,1)="N","Not tested: give reason","Done"))))</f>
        <v>Not yet tested</v>
      </c>
    </row>
    <row r="87" customFormat="false" ht="15" hidden="false" customHeight="false" outlineLevel="0" collapsed="false">
      <c r="A87" s="52" t="s">
        <v>537</v>
      </c>
      <c r="B87" s="6" t="s">
        <v>611</v>
      </c>
      <c r="C87" s="6" t="s">
        <v>524</v>
      </c>
      <c r="D87" s="6" t="s">
        <v>612</v>
      </c>
      <c r="E87" s="6" t="s">
        <v>381</v>
      </c>
      <c r="F87" s="30"/>
      <c r="G87" s="30"/>
      <c r="H87" s="30"/>
      <c r="I87" s="30"/>
      <c r="J87" s="45" t="str">
        <f aca="false">IF(NOT(OR(A87="All",AND(A87="GCC",OR('Audit Plan'!$B$11="GCC and EU",'Audit Plan'!$B$11="GCC only")),AND(A87="EU",OR('Audit Plan'!$B$11="GCC and EU",'Audit Plan'!$B$11="EU only")))),"Not in scope",IF(F87="","Not yet tested",IF(OR(LEFT(F87,1)="P",LEFT(F87,1)="I"),IF(H87="","Raise a finding","Finding "&amp;H87),IF(LEFT(F87,1)="N","Not tested: give reason","Done"))))</f>
        <v>Not yet tested</v>
      </c>
    </row>
    <row r="88" customFormat="false" ht="15" hidden="false" customHeight="false" outlineLevel="0" collapsed="false">
      <c r="A88" s="52" t="s">
        <v>537</v>
      </c>
      <c r="B88" s="6" t="s">
        <v>613</v>
      </c>
      <c r="C88" s="6" t="s">
        <v>524</v>
      </c>
      <c r="D88" s="6" t="s">
        <v>614</v>
      </c>
      <c r="E88" s="6" t="s">
        <v>381</v>
      </c>
      <c r="F88" s="30"/>
      <c r="G88" s="30"/>
      <c r="H88" s="30"/>
      <c r="I88" s="30"/>
      <c r="J88" s="45" t="str">
        <f aca="false">IF(NOT(OR(A88="All",AND(A88="GCC",OR('Audit Plan'!$B$11="GCC and EU",'Audit Plan'!$B$11="GCC only")),AND(A88="EU",OR('Audit Plan'!$B$11="GCC and EU",'Audit Plan'!$B$11="EU only")))),"Not in scope",IF(F88="","Not yet tested",IF(OR(LEFT(F88,1)="P",LEFT(F88,1)="I"),IF(H88="","Raise a finding","Finding "&amp;H88),IF(LEFT(F88,1)="N","Not tested: give reason","Done"))))</f>
        <v>Not yet tested</v>
      </c>
    </row>
    <row r="89" customFormat="false" ht="15" hidden="false" customHeight="false" outlineLevel="0" collapsed="false">
      <c r="A89" s="52" t="s">
        <v>537</v>
      </c>
      <c r="B89" s="6" t="s">
        <v>615</v>
      </c>
      <c r="C89" s="6" t="s">
        <v>616</v>
      </c>
      <c r="D89" s="6" t="s">
        <v>534</v>
      </c>
      <c r="E89" s="6" t="s">
        <v>398</v>
      </c>
      <c r="F89" s="30"/>
      <c r="G89" s="30"/>
      <c r="H89" s="30"/>
      <c r="I89" s="30"/>
      <c r="J89" s="45" t="str">
        <f aca="false">IF(NOT(OR(A89="All",AND(A89="GCC",OR('Audit Plan'!$B$11="GCC and EU",'Audit Plan'!$B$11="GCC only")),AND(A89="EU",OR('Audit Plan'!$B$11="GCC and EU",'Audit Plan'!$B$11="EU only")))),"Not in scope",IF(F89="","Not yet tested",IF(OR(LEFT(F89,1)="P",LEFT(F89,1)="I"),IF(H89="","Raise a finding","Finding "&amp;H89),IF(LEFT(F89,1)="N","Not tested: give reason","Done"))))</f>
        <v>Not yet tested</v>
      </c>
    </row>
    <row r="90" customFormat="false" ht="15" hidden="false" customHeight="false" outlineLevel="0" collapsed="false">
      <c r="A90" s="52" t="s">
        <v>537</v>
      </c>
      <c r="B90" s="6" t="s">
        <v>617</v>
      </c>
      <c r="C90" s="6" t="s">
        <v>616</v>
      </c>
      <c r="D90" s="6" t="s">
        <v>618</v>
      </c>
      <c r="E90" s="6" t="s">
        <v>398</v>
      </c>
      <c r="F90" s="30"/>
      <c r="G90" s="30"/>
      <c r="H90" s="30"/>
      <c r="I90" s="30"/>
      <c r="J90" s="45" t="str">
        <f aca="false">IF(NOT(OR(A90="All",AND(A90="GCC",OR('Audit Plan'!$B$11="GCC and EU",'Audit Plan'!$B$11="GCC only")),AND(A90="EU",OR('Audit Plan'!$B$11="GCC and EU",'Audit Plan'!$B$11="EU only")))),"Not in scope",IF(F90="","Not yet tested",IF(OR(LEFT(F90,1)="P",LEFT(F90,1)="I"),IF(H90="","Raise a finding","Finding "&amp;H90),IF(LEFT(F90,1)="N","Not tested: give reason","Done"))))</f>
        <v>Not yet tested</v>
      </c>
    </row>
  </sheetData>
  <autoFilter ref="A4:J90"/>
  <conditionalFormatting sqref="F5:F90">
    <cfRule type="cellIs" priority="2" operator="equal" aboveAverage="0" equalAverage="0" bottom="0" percent="0" rank="0" text="" dxfId="13">
      <formula>"E - Effective"</formula>
    </cfRule>
    <cfRule type="cellIs" priority="3" operator="equal" aboveAverage="0" equalAverage="0" bottom="0" percent="0" rank="0" text="" dxfId="14">
      <formula>"P - Partially effective"</formula>
    </cfRule>
    <cfRule type="cellIs" priority="4" operator="equal" aboveAverage="0" equalAverage="0" bottom="0" percent="0" rank="0" text="" dxfId="15">
      <formula>"I - Ineffective"</formula>
    </cfRule>
    <cfRule type="cellIs" priority="5" operator="equal" aboveAverage="0" equalAverage="0" bottom="0" percent="0" rank="0" text="" dxfId="16">
      <formula>"N - Not tested"</formula>
    </cfRule>
  </conditionalFormatting>
  <conditionalFormatting sqref="J5:J90">
    <cfRule type="cellIs" priority="6" operator="equal" aboveAverage="0" equalAverage="0" bottom="0" percent="0" rank="0" text="" dxfId="22">
      <formula>"Not in scope"</formula>
    </cfRule>
    <cfRule type="cellIs" priority="7" operator="equal" aboveAverage="0" equalAverage="0" bottom="0" percent="0" rank="0" text="" dxfId="23">
      <formula>"Not yet tested"</formula>
    </cfRule>
    <cfRule type="cellIs" priority="8" operator="equal" aboveAverage="0" equalAverage="0" bottom="0" percent="0" rank="0" text="" dxfId="18">
      <formula>"Raise a finding"</formula>
    </cfRule>
    <cfRule type="cellIs" priority="9" operator="equal" aboveAverage="0" equalAverage="0" bottom="0" percent="0" rank="0" text="" dxfId="17">
      <formula>"Done"</formula>
    </cfRule>
    <cfRule type="cellIs" priority="10" operator="equal" aboveAverage="0" equalAverage="0" bottom="0" percent="0" rank="0" text="" dxfId="24">
      <formula>"Not tested: give reason"</formula>
    </cfRule>
    <cfRule type="expression" priority="11" aboveAverage="0" equalAverage="0" bottom="0" percent="0" rank="0" text="" dxfId="1">
      <formula>LEFT(J5,8)="Finding "</formula>
    </cfRule>
  </conditionalFormatting>
  <conditionalFormatting sqref="B5:E90">
    <cfRule type="expression" priority="12" aboveAverage="0" equalAverage="0" bottom="0" percent="0" rank="0" text="" dxfId="25">
      <formula>$J5="Not in scope"</formula>
    </cfRule>
  </conditionalFormatting>
  <dataValidations count="1">
    <dataValidation allowBlank="true" error="Choose a value from the list (edit the Lists sheet to change the options)." errorStyle="warning" operator="between" showDropDown="false" showErrorMessage="true" showInputMessage="false" sqref="F5:F90" type="list">
      <formula1>Lists!$A$2:$A$5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6000"/>
    <pageSetUpPr fitToPage="true"/>
  </sheetPr>
  <dimension ref="A1:M1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15"/>
    <col collapsed="false" customWidth="true" hidden="false" outlineLevel="0" max="4" min="4" style="0" width="46"/>
    <col collapsed="false" customWidth="true" hidden="false" outlineLevel="0" max="5" min="5" style="0" width="22"/>
    <col collapsed="false" customWidth="true" hidden="false" outlineLevel="0" max="6" min="6" style="0" width="20"/>
    <col collapsed="false" customWidth="true" hidden="false" outlineLevel="0" max="7" min="7" style="0" width="18"/>
    <col collapsed="false" customWidth="true" hidden="false" outlineLevel="0" max="10" min="8" style="0" width="12"/>
    <col collapsed="false" customWidth="true" hidden="false" outlineLevel="0" max="11" min="11" style="0" width="24"/>
    <col collapsed="false" customWidth="true" hidden="false" outlineLevel="0" max="12" min="12" style="0" width="26"/>
    <col collapsed="false" customWidth="true" hidden="false" outlineLevel="0" max="13" min="13" style="0" width="16"/>
  </cols>
  <sheetData>
    <row r="1" customFormat="false" ht="30" hidden="false" customHeight="true" outlineLevel="0" collapsed="false">
      <c r="A1" s="53" t="s">
        <v>619</v>
      </c>
      <c r="B1" s="54"/>
      <c r="C1" s="54"/>
      <c r="D1" s="54"/>
      <c r="E1" s="54"/>
      <c r="F1" s="54"/>
      <c r="G1" s="54"/>
      <c r="H1" s="54"/>
      <c r="I1" s="54"/>
      <c r="J1" s="54"/>
      <c r="K1" s="54"/>
      <c r="L1" s="54"/>
      <c r="M1" s="54"/>
    </row>
    <row r="2" customFormat="false" ht="15" hidden="false" customHeight="false" outlineLevel="0" collapsed="false">
      <c r="A2" s="3" t="s">
        <v>620</v>
      </c>
    </row>
    <row r="4" customFormat="false" ht="23.85" hidden="false" customHeight="false" outlineLevel="0" collapsed="false">
      <c r="A4" s="55" t="s">
        <v>621</v>
      </c>
      <c r="B4" s="55" t="s">
        <v>449</v>
      </c>
      <c r="C4" s="55" t="s">
        <v>622</v>
      </c>
      <c r="D4" s="55" t="s">
        <v>623</v>
      </c>
      <c r="E4" s="55" t="s">
        <v>453</v>
      </c>
      <c r="F4" s="55" t="s">
        <v>624</v>
      </c>
      <c r="G4" s="55" t="s">
        <v>625</v>
      </c>
      <c r="H4" s="55" t="s">
        <v>626</v>
      </c>
      <c r="I4" s="55" t="s">
        <v>627</v>
      </c>
      <c r="J4" s="55" t="s">
        <v>628</v>
      </c>
      <c r="K4" s="55" t="s">
        <v>629</v>
      </c>
      <c r="L4" s="55" t="s">
        <v>139</v>
      </c>
      <c r="M4" s="55" t="s">
        <v>190</v>
      </c>
    </row>
    <row r="5" customFormat="false" ht="15" hidden="false" customHeight="false" outlineLevel="0" collapsed="false">
      <c r="A5" s="5" t="s">
        <v>630</v>
      </c>
      <c r="B5" s="56" t="s">
        <v>455</v>
      </c>
      <c r="C5" s="6" t="s">
        <v>457</v>
      </c>
      <c r="D5" s="6" t="s">
        <v>631</v>
      </c>
      <c r="E5" s="6" t="s">
        <v>265</v>
      </c>
      <c r="F5" s="6" t="s">
        <v>632</v>
      </c>
      <c r="G5" s="30"/>
      <c r="H5" s="36"/>
      <c r="I5" s="36"/>
      <c r="J5" s="36"/>
      <c r="K5" s="30"/>
      <c r="L5" s="30"/>
      <c r="M5" s="57" t="str">
        <f aca="true">IF(AND(D5="",A5=""),"",IF(NOT(OR(B5="All",AND(B5="GCC",OR('Audit Plan'!$B$11="GCC and EU",'Audit Plan'!$B$11="GCC only")),AND(B5="EU",OR('Audit Plan'!$B$11="GCC and EU",'Audit Plan'!$B$11="EU only")))),"Not in scope",IF(J5&lt;&gt;"","Received",IF(H5="","Not requested",IF(I5="","Requested",IF(I5&lt;TODAY(),"Overdue",IF(I5-TODAY()&lt;='Audit Plan'!$B$15,"Due soon","Requested")))))))</f>
        <v>Not requested</v>
      </c>
    </row>
    <row r="6" customFormat="false" ht="15" hidden="false" customHeight="false" outlineLevel="0" collapsed="false">
      <c r="A6" s="5" t="s">
        <v>633</v>
      </c>
      <c r="B6" s="56" t="s">
        <v>455</v>
      </c>
      <c r="C6" s="6" t="s">
        <v>457</v>
      </c>
      <c r="D6" s="6" t="s">
        <v>634</v>
      </c>
      <c r="E6" s="6" t="s">
        <v>265</v>
      </c>
      <c r="F6" s="6" t="s">
        <v>635</v>
      </c>
      <c r="G6" s="30"/>
      <c r="H6" s="36"/>
      <c r="I6" s="36"/>
      <c r="J6" s="36"/>
      <c r="K6" s="30"/>
      <c r="L6" s="30"/>
      <c r="M6" s="57" t="str">
        <f aca="true">IF(AND(D6="",A6=""),"",IF(NOT(OR(B6="All",AND(B6="GCC",OR('Audit Plan'!$B$11="GCC and EU",'Audit Plan'!$B$11="GCC only")),AND(B6="EU",OR('Audit Plan'!$B$11="GCC and EU",'Audit Plan'!$B$11="EU only")))),"Not in scope",IF(J6&lt;&gt;"","Received",IF(H6="","Not requested",IF(I6="","Requested",IF(I6&lt;TODAY(),"Overdue",IF(I6-TODAY()&lt;='Audit Plan'!$B$15,"Due soon","Requested")))))))</f>
        <v>Not requested</v>
      </c>
    </row>
    <row r="7" customFormat="false" ht="15" hidden="false" customHeight="false" outlineLevel="0" collapsed="false">
      <c r="A7" s="5" t="s">
        <v>636</v>
      </c>
      <c r="B7" s="56" t="s">
        <v>455</v>
      </c>
      <c r="C7" s="6" t="s">
        <v>457</v>
      </c>
      <c r="D7" s="6" t="s">
        <v>637</v>
      </c>
      <c r="E7" s="6" t="s">
        <v>393</v>
      </c>
      <c r="F7" s="6" t="s">
        <v>638</v>
      </c>
      <c r="G7" s="30"/>
      <c r="H7" s="36"/>
      <c r="I7" s="36"/>
      <c r="J7" s="36"/>
      <c r="K7" s="30"/>
      <c r="L7" s="30"/>
      <c r="M7" s="57" t="str">
        <f aca="true">IF(AND(D7="",A7=""),"",IF(NOT(OR(B7="All",AND(B7="GCC",OR('Audit Plan'!$B$11="GCC and EU",'Audit Plan'!$B$11="GCC only")),AND(B7="EU",OR('Audit Plan'!$B$11="GCC and EU",'Audit Plan'!$B$11="EU only")))),"Not in scope",IF(J7&lt;&gt;"","Received",IF(H7="","Not requested",IF(I7="","Requested",IF(I7&lt;TODAY(),"Overdue",IF(I7-TODAY()&lt;='Audit Plan'!$B$15,"Due soon","Requested")))))))</f>
        <v>Not requested</v>
      </c>
    </row>
    <row r="8" customFormat="false" ht="15" hidden="false" customHeight="false" outlineLevel="0" collapsed="false">
      <c r="A8" s="5" t="s">
        <v>639</v>
      </c>
      <c r="B8" s="56" t="s">
        <v>455</v>
      </c>
      <c r="C8" s="6" t="s">
        <v>640</v>
      </c>
      <c r="D8" s="6" t="s">
        <v>641</v>
      </c>
      <c r="E8" s="6" t="s">
        <v>260</v>
      </c>
      <c r="F8" s="6" t="s">
        <v>642</v>
      </c>
      <c r="G8" s="30"/>
      <c r="H8" s="36"/>
      <c r="I8" s="36"/>
      <c r="J8" s="36"/>
      <c r="K8" s="30"/>
      <c r="L8" s="30"/>
      <c r="M8" s="57" t="str">
        <f aca="true">IF(AND(D8="",A8=""),"",IF(NOT(OR(B8="All",AND(B8="GCC",OR('Audit Plan'!$B$11="GCC and EU",'Audit Plan'!$B$11="GCC only")),AND(B8="EU",OR('Audit Plan'!$B$11="GCC and EU",'Audit Plan'!$B$11="EU only")))),"Not in scope",IF(J8&lt;&gt;"","Received",IF(H8="","Not requested",IF(I8="","Requested",IF(I8&lt;TODAY(),"Overdue",IF(I8-TODAY()&lt;='Audit Plan'!$B$15,"Due soon","Requested")))))))</f>
        <v>Not requested</v>
      </c>
    </row>
    <row r="9" customFormat="false" ht="23.85" hidden="false" customHeight="false" outlineLevel="0" collapsed="false">
      <c r="A9" s="5" t="s">
        <v>643</v>
      </c>
      <c r="B9" s="56" t="s">
        <v>455</v>
      </c>
      <c r="C9" s="6" t="s">
        <v>640</v>
      </c>
      <c r="D9" s="6" t="s">
        <v>644</v>
      </c>
      <c r="E9" s="6" t="s">
        <v>260</v>
      </c>
      <c r="F9" s="6" t="s">
        <v>645</v>
      </c>
      <c r="G9" s="30"/>
      <c r="H9" s="36"/>
      <c r="I9" s="36"/>
      <c r="J9" s="36"/>
      <c r="K9" s="30"/>
      <c r="L9" s="30"/>
      <c r="M9" s="57" t="str">
        <f aca="true">IF(AND(D9="",A9=""),"",IF(NOT(OR(B9="All",AND(B9="GCC",OR('Audit Plan'!$B$11="GCC and EU",'Audit Plan'!$B$11="GCC only")),AND(B9="EU",OR('Audit Plan'!$B$11="GCC and EU",'Audit Plan'!$B$11="EU only")))),"Not in scope",IF(J9&lt;&gt;"","Received",IF(H9="","Not requested",IF(I9="","Requested",IF(I9&lt;TODAY(),"Overdue",IF(I9-TODAY()&lt;='Audit Plan'!$B$15,"Due soon","Requested")))))))</f>
        <v>Not requested</v>
      </c>
    </row>
    <row r="10" customFormat="false" ht="15" hidden="false" customHeight="false" outlineLevel="0" collapsed="false">
      <c r="A10" s="5" t="s">
        <v>646</v>
      </c>
      <c r="B10" s="56" t="s">
        <v>455</v>
      </c>
      <c r="C10" s="6" t="s">
        <v>640</v>
      </c>
      <c r="D10" s="6" t="s">
        <v>647</v>
      </c>
      <c r="E10" s="6" t="s">
        <v>260</v>
      </c>
      <c r="F10" s="6" t="s">
        <v>648</v>
      </c>
      <c r="G10" s="30"/>
      <c r="H10" s="36"/>
      <c r="I10" s="36"/>
      <c r="J10" s="36"/>
      <c r="K10" s="30"/>
      <c r="L10" s="30"/>
      <c r="M10" s="57" t="str">
        <f aca="true">IF(AND(D10="",A10=""),"",IF(NOT(OR(B10="All",AND(B10="GCC",OR('Audit Plan'!$B$11="GCC and EU",'Audit Plan'!$B$11="GCC only")),AND(B10="EU",OR('Audit Plan'!$B$11="GCC and EU",'Audit Plan'!$B$11="EU only")))),"Not in scope",IF(J10&lt;&gt;"","Received",IF(H10="","Not requested",IF(I10="","Requested",IF(I10&lt;TODAY(),"Overdue",IF(I10-TODAY()&lt;='Audit Plan'!$B$15,"Due soon","Requested")))))))</f>
        <v>Not requested</v>
      </c>
    </row>
    <row r="11" customFormat="false" ht="15" hidden="false" customHeight="false" outlineLevel="0" collapsed="false">
      <c r="A11" s="5" t="s">
        <v>649</v>
      </c>
      <c r="B11" s="56" t="s">
        <v>455</v>
      </c>
      <c r="C11" s="6" t="s">
        <v>584</v>
      </c>
      <c r="D11" s="6" t="s">
        <v>650</v>
      </c>
      <c r="E11" s="6" t="s">
        <v>271</v>
      </c>
      <c r="F11" s="6" t="s">
        <v>651</v>
      </c>
      <c r="G11" s="30"/>
      <c r="H11" s="36"/>
      <c r="I11" s="36"/>
      <c r="J11" s="36"/>
      <c r="K11" s="30"/>
      <c r="L11" s="30"/>
      <c r="M11" s="57" t="str">
        <f aca="true">IF(AND(D11="",A11=""),"",IF(NOT(OR(B11="All",AND(B11="GCC",OR('Audit Plan'!$B$11="GCC and EU",'Audit Plan'!$B$11="GCC only")),AND(B11="EU",OR('Audit Plan'!$B$11="GCC and EU",'Audit Plan'!$B$11="EU only")))),"Not in scope",IF(J11&lt;&gt;"","Received",IF(H11="","Not requested",IF(I11="","Requested",IF(I11&lt;TODAY(),"Overdue",IF(I11-TODAY()&lt;='Audit Plan'!$B$15,"Due soon","Requested")))))))</f>
        <v>Not requested</v>
      </c>
    </row>
    <row r="12" customFormat="false" ht="15" hidden="false" customHeight="false" outlineLevel="0" collapsed="false">
      <c r="A12" s="5" t="s">
        <v>652</v>
      </c>
      <c r="B12" s="56" t="s">
        <v>455</v>
      </c>
      <c r="C12" s="6" t="s">
        <v>584</v>
      </c>
      <c r="D12" s="6" t="s">
        <v>653</v>
      </c>
      <c r="E12" s="6" t="s">
        <v>271</v>
      </c>
      <c r="F12" s="6" t="s">
        <v>654</v>
      </c>
      <c r="G12" s="30"/>
      <c r="H12" s="36"/>
      <c r="I12" s="36"/>
      <c r="J12" s="36"/>
      <c r="K12" s="30"/>
      <c r="L12" s="30"/>
      <c r="M12" s="57" t="str">
        <f aca="true">IF(AND(D12="",A12=""),"",IF(NOT(OR(B12="All",AND(B12="GCC",OR('Audit Plan'!$B$11="GCC and EU",'Audit Plan'!$B$11="GCC only")),AND(B12="EU",OR('Audit Plan'!$B$11="GCC and EU",'Audit Plan'!$B$11="EU only")))),"Not in scope",IF(J12&lt;&gt;"","Received",IF(H12="","Not requested",IF(I12="","Requested",IF(I12&lt;TODAY(),"Overdue",IF(I12-TODAY()&lt;='Audit Plan'!$B$15,"Due soon","Requested")))))))</f>
        <v>Not requested</v>
      </c>
    </row>
    <row r="13" customFormat="false" ht="15" hidden="false" customHeight="false" outlineLevel="0" collapsed="false">
      <c r="A13" s="5" t="s">
        <v>655</v>
      </c>
      <c r="B13" s="56" t="s">
        <v>455</v>
      </c>
      <c r="C13" s="6" t="s">
        <v>584</v>
      </c>
      <c r="D13" s="6" t="s">
        <v>656</v>
      </c>
      <c r="E13" s="6" t="s">
        <v>292</v>
      </c>
      <c r="F13" s="6" t="s">
        <v>657</v>
      </c>
      <c r="G13" s="30"/>
      <c r="H13" s="36"/>
      <c r="I13" s="36"/>
      <c r="J13" s="36"/>
      <c r="K13" s="30"/>
      <c r="L13" s="30"/>
      <c r="M13" s="57" t="str">
        <f aca="true">IF(AND(D13="",A13=""),"",IF(NOT(OR(B13="All",AND(B13="GCC",OR('Audit Plan'!$B$11="GCC and EU",'Audit Plan'!$B$11="GCC only")),AND(B13="EU",OR('Audit Plan'!$B$11="GCC and EU",'Audit Plan'!$B$11="EU only")))),"Not in scope",IF(J13&lt;&gt;"","Received",IF(H13="","Not requested",IF(I13="","Requested",IF(I13&lt;TODAY(),"Overdue",IF(I13-TODAY()&lt;='Audit Plan'!$B$15,"Due soon","Requested")))))))</f>
        <v>Not requested</v>
      </c>
    </row>
    <row r="14" customFormat="false" ht="23.85" hidden="false" customHeight="false" outlineLevel="0" collapsed="false">
      <c r="A14" s="5" t="s">
        <v>658</v>
      </c>
      <c r="B14" s="56" t="s">
        <v>455</v>
      </c>
      <c r="C14" s="6" t="s">
        <v>584</v>
      </c>
      <c r="D14" s="6" t="s">
        <v>659</v>
      </c>
      <c r="E14" s="6" t="s">
        <v>271</v>
      </c>
      <c r="F14" s="6" t="s">
        <v>660</v>
      </c>
      <c r="G14" s="30"/>
      <c r="H14" s="36"/>
      <c r="I14" s="36"/>
      <c r="J14" s="36"/>
      <c r="K14" s="30"/>
      <c r="L14" s="30"/>
      <c r="M14" s="57" t="str">
        <f aca="true">IF(AND(D14="",A14=""),"",IF(NOT(OR(B14="All",AND(B14="GCC",OR('Audit Plan'!$B$11="GCC and EU",'Audit Plan'!$B$11="GCC only")),AND(B14="EU",OR('Audit Plan'!$B$11="GCC and EU",'Audit Plan'!$B$11="EU only")))),"Not in scope",IF(J14&lt;&gt;"","Received",IF(H14="","Not requested",IF(I14="","Requested",IF(I14&lt;TODAY(),"Overdue",IF(I14-TODAY()&lt;='Audit Plan'!$B$15,"Due soon","Requested")))))))</f>
        <v>Not requested</v>
      </c>
    </row>
    <row r="15" customFormat="false" ht="15" hidden="false" customHeight="false" outlineLevel="0" collapsed="false">
      <c r="A15" s="5" t="s">
        <v>661</v>
      </c>
      <c r="B15" s="56" t="s">
        <v>455</v>
      </c>
      <c r="C15" s="6" t="s">
        <v>488</v>
      </c>
      <c r="D15" s="6" t="s">
        <v>662</v>
      </c>
      <c r="E15" s="6" t="s">
        <v>235</v>
      </c>
      <c r="F15" s="6" t="s">
        <v>663</v>
      </c>
      <c r="G15" s="30"/>
      <c r="H15" s="36"/>
      <c r="I15" s="36"/>
      <c r="J15" s="36"/>
      <c r="K15" s="30"/>
      <c r="L15" s="30"/>
      <c r="M15" s="57" t="str">
        <f aca="true">IF(AND(D15="",A15=""),"",IF(NOT(OR(B15="All",AND(B15="GCC",OR('Audit Plan'!$B$11="GCC and EU",'Audit Plan'!$B$11="GCC only")),AND(B15="EU",OR('Audit Plan'!$B$11="GCC and EU",'Audit Plan'!$B$11="EU only")))),"Not in scope",IF(J15&lt;&gt;"","Received",IF(H15="","Not requested",IF(I15="","Requested",IF(I15&lt;TODAY(),"Overdue",IF(I15-TODAY()&lt;='Audit Plan'!$B$15,"Due soon","Requested")))))))</f>
        <v>Not requested</v>
      </c>
    </row>
    <row r="16" customFormat="false" ht="15" hidden="false" customHeight="false" outlineLevel="0" collapsed="false">
      <c r="A16" s="5" t="s">
        <v>664</v>
      </c>
      <c r="B16" s="56" t="s">
        <v>455</v>
      </c>
      <c r="C16" s="6" t="s">
        <v>488</v>
      </c>
      <c r="D16" s="6" t="s">
        <v>665</v>
      </c>
      <c r="E16" s="6" t="s">
        <v>235</v>
      </c>
      <c r="F16" s="6" t="s">
        <v>666</v>
      </c>
      <c r="G16" s="30"/>
      <c r="H16" s="36"/>
      <c r="I16" s="36"/>
      <c r="J16" s="36"/>
      <c r="K16" s="30"/>
      <c r="L16" s="30"/>
      <c r="M16" s="57" t="str">
        <f aca="true">IF(AND(D16="",A16=""),"",IF(NOT(OR(B16="All",AND(B16="GCC",OR('Audit Plan'!$B$11="GCC and EU",'Audit Plan'!$B$11="GCC only")),AND(B16="EU",OR('Audit Plan'!$B$11="GCC and EU",'Audit Plan'!$B$11="EU only")))),"Not in scope",IF(J16&lt;&gt;"","Received",IF(H16="","Not requested",IF(I16="","Requested",IF(I16&lt;TODAY(),"Overdue",IF(I16-TODAY()&lt;='Audit Plan'!$B$15,"Due soon","Requested")))))))</f>
        <v>Not requested</v>
      </c>
    </row>
    <row r="17" customFormat="false" ht="15" hidden="false" customHeight="false" outlineLevel="0" collapsed="false">
      <c r="A17" s="5" t="s">
        <v>667</v>
      </c>
      <c r="B17" s="56" t="s">
        <v>455</v>
      </c>
      <c r="C17" s="6" t="s">
        <v>668</v>
      </c>
      <c r="D17" s="6" t="s">
        <v>669</v>
      </c>
      <c r="E17" s="6" t="s">
        <v>277</v>
      </c>
      <c r="F17" s="6" t="s">
        <v>670</v>
      </c>
      <c r="G17" s="30"/>
      <c r="H17" s="36"/>
      <c r="I17" s="36"/>
      <c r="J17" s="36"/>
      <c r="K17" s="30"/>
      <c r="L17" s="30"/>
      <c r="M17" s="57" t="str">
        <f aca="true">IF(AND(D17="",A17=""),"",IF(NOT(OR(B17="All",AND(B17="GCC",OR('Audit Plan'!$B$11="GCC and EU",'Audit Plan'!$B$11="GCC only")),AND(B17="EU",OR('Audit Plan'!$B$11="GCC and EU",'Audit Plan'!$B$11="EU only")))),"Not in scope",IF(J17&lt;&gt;"","Received",IF(H17="","Not requested",IF(I17="","Requested",IF(I17&lt;TODAY(),"Overdue",IF(I17-TODAY()&lt;='Audit Plan'!$B$15,"Due soon","Requested")))))))</f>
        <v>Not requested</v>
      </c>
    </row>
    <row r="18" customFormat="false" ht="15" hidden="false" customHeight="false" outlineLevel="0" collapsed="false">
      <c r="A18" s="5" t="s">
        <v>671</v>
      </c>
      <c r="B18" s="56" t="s">
        <v>455</v>
      </c>
      <c r="C18" s="6" t="s">
        <v>668</v>
      </c>
      <c r="D18" s="6" t="s">
        <v>672</v>
      </c>
      <c r="E18" s="6" t="s">
        <v>277</v>
      </c>
      <c r="F18" s="6" t="s">
        <v>673</v>
      </c>
      <c r="G18" s="30"/>
      <c r="H18" s="36"/>
      <c r="I18" s="36"/>
      <c r="J18" s="36"/>
      <c r="K18" s="30"/>
      <c r="L18" s="30"/>
      <c r="M18" s="57" t="str">
        <f aca="true">IF(AND(D18="",A18=""),"",IF(NOT(OR(B18="All",AND(B18="GCC",OR('Audit Plan'!$B$11="GCC and EU",'Audit Plan'!$B$11="GCC only")),AND(B18="EU",OR('Audit Plan'!$B$11="GCC and EU",'Audit Plan'!$B$11="EU only")))),"Not in scope",IF(J18&lt;&gt;"","Received",IF(H18="","Not requested",IF(I18="","Requested",IF(I18&lt;TODAY(),"Overdue",IF(I18-TODAY()&lt;='Audit Plan'!$B$15,"Due soon","Requested")))))))</f>
        <v>Not requested</v>
      </c>
    </row>
    <row r="19" customFormat="false" ht="15" hidden="false" customHeight="false" outlineLevel="0" collapsed="false">
      <c r="A19" s="5" t="s">
        <v>674</v>
      </c>
      <c r="B19" s="56" t="s">
        <v>455</v>
      </c>
      <c r="C19" s="6" t="s">
        <v>675</v>
      </c>
      <c r="D19" s="6" t="s">
        <v>676</v>
      </c>
      <c r="E19" s="6" t="s">
        <v>320</v>
      </c>
      <c r="F19" s="6" t="s">
        <v>677</v>
      </c>
      <c r="G19" s="30"/>
      <c r="H19" s="36"/>
      <c r="I19" s="36"/>
      <c r="J19" s="36"/>
      <c r="K19" s="30"/>
      <c r="L19" s="30"/>
      <c r="M19" s="57" t="str">
        <f aca="true">IF(AND(D19="",A19=""),"",IF(NOT(OR(B19="All",AND(B19="GCC",OR('Audit Plan'!$B$11="GCC and EU",'Audit Plan'!$B$11="GCC only")),AND(B19="EU",OR('Audit Plan'!$B$11="GCC and EU",'Audit Plan'!$B$11="EU only")))),"Not in scope",IF(J19&lt;&gt;"","Received",IF(H19="","Not requested",IF(I19="","Requested",IF(I19&lt;TODAY(),"Overdue",IF(I19-TODAY()&lt;='Audit Plan'!$B$15,"Due soon","Requested")))))))</f>
        <v>Not requested</v>
      </c>
    </row>
    <row r="20" customFormat="false" ht="15" hidden="false" customHeight="false" outlineLevel="0" collapsed="false">
      <c r="A20" s="5" t="s">
        <v>678</v>
      </c>
      <c r="B20" s="56" t="s">
        <v>455</v>
      </c>
      <c r="C20" s="6" t="s">
        <v>675</v>
      </c>
      <c r="D20" s="6" t="s">
        <v>679</v>
      </c>
      <c r="E20" s="6" t="s">
        <v>328</v>
      </c>
      <c r="F20" s="6" t="s">
        <v>680</v>
      </c>
      <c r="G20" s="30"/>
      <c r="H20" s="36"/>
      <c r="I20" s="36"/>
      <c r="J20" s="36"/>
      <c r="K20" s="30"/>
      <c r="L20" s="30"/>
      <c r="M20" s="57" t="str">
        <f aca="true">IF(AND(D20="",A20=""),"",IF(NOT(OR(B20="All",AND(B20="GCC",OR('Audit Plan'!$B$11="GCC and EU",'Audit Plan'!$B$11="GCC only")),AND(B20="EU",OR('Audit Plan'!$B$11="GCC and EU",'Audit Plan'!$B$11="EU only")))),"Not in scope",IF(J20&lt;&gt;"","Received",IF(H20="","Not requested",IF(I20="","Requested",IF(I20&lt;TODAY(),"Overdue",IF(I20-TODAY()&lt;='Audit Plan'!$B$15,"Due soon","Requested")))))))</f>
        <v>Not requested</v>
      </c>
    </row>
    <row r="21" customFormat="false" ht="15" hidden="false" customHeight="false" outlineLevel="0" collapsed="false">
      <c r="A21" s="5" t="s">
        <v>681</v>
      </c>
      <c r="B21" s="56" t="s">
        <v>455</v>
      </c>
      <c r="C21" s="6" t="s">
        <v>682</v>
      </c>
      <c r="D21" s="6" t="s">
        <v>683</v>
      </c>
      <c r="E21" s="6" t="s">
        <v>403</v>
      </c>
      <c r="F21" s="6" t="s">
        <v>684</v>
      </c>
      <c r="G21" s="30"/>
      <c r="H21" s="36"/>
      <c r="I21" s="36"/>
      <c r="J21" s="36"/>
      <c r="K21" s="30"/>
      <c r="L21" s="30"/>
      <c r="M21" s="57" t="str">
        <f aca="true">IF(AND(D21="",A21=""),"",IF(NOT(OR(B21="All",AND(B21="GCC",OR('Audit Plan'!$B$11="GCC and EU",'Audit Plan'!$B$11="GCC only")),AND(B21="EU",OR('Audit Plan'!$B$11="GCC and EU",'Audit Plan'!$B$11="EU only")))),"Not in scope",IF(J21&lt;&gt;"","Received",IF(H21="","Not requested",IF(I21="","Requested",IF(I21&lt;TODAY(),"Overdue",IF(I21-TODAY()&lt;='Audit Plan'!$B$15,"Due soon","Requested")))))))</f>
        <v>Not requested</v>
      </c>
    </row>
    <row r="22" customFormat="false" ht="23.85" hidden="false" customHeight="false" outlineLevel="0" collapsed="false">
      <c r="A22" s="5" t="s">
        <v>685</v>
      </c>
      <c r="B22" s="56" t="s">
        <v>455</v>
      </c>
      <c r="C22" s="6" t="s">
        <v>686</v>
      </c>
      <c r="D22" s="6" t="s">
        <v>687</v>
      </c>
      <c r="E22" s="6" t="s">
        <v>688</v>
      </c>
      <c r="F22" s="6" t="s">
        <v>689</v>
      </c>
      <c r="G22" s="30"/>
      <c r="H22" s="36"/>
      <c r="I22" s="36"/>
      <c r="J22" s="36"/>
      <c r="K22" s="30"/>
      <c r="L22" s="30"/>
      <c r="M22" s="57" t="str">
        <f aca="true">IF(AND(D22="",A22=""),"",IF(NOT(OR(B22="All",AND(B22="GCC",OR('Audit Plan'!$B$11="GCC and EU",'Audit Plan'!$B$11="GCC only")),AND(B22="EU",OR('Audit Plan'!$B$11="GCC and EU",'Audit Plan'!$B$11="EU only")))),"Not in scope",IF(J22&lt;&gt;"","Received",IF(H22="","Not requested",IF(I22="","Requested",IF(I22&lt;TODAY(),"Overdue",IF(I22-TODAY()&lt;='Audit Plan'!$B$15,"Due soon","Requested")))))))</f>
        <v>Not requested</v>
      </c>
    </row>
    <row r="23" customFormat="false" ht="15" hidden="false" customHeight="false" outlineLevel="0" collapsed="false">
      <c r="A23" s="5" t="s">
        <v>690</v>
      </c>
      <c r="B23" s="56" t="s">
        <v>455</v>
      </c>
      <c r="C23" s="6" t="s">
        <v>599</v>
      </c>
      <c r="D23" s="6" t="s">
        <v>691</v>
      </c>
      <c r="E23" s="6" t="s">
        <v>413</v>
      </c>
      <c r="F23" s="6" t="s">
        <v>692</v>
      </c>
      <c r="G23" s="30"/>
      <c r="H23" s="36"/>
      <c r="I23" s="36"/>
      <c r="J23" s="36"/>
      <c r="K23" s="30"/>
      <c r="L23" s="30"/>
      <c r="M23" s="57" t="str">
        <f aca="true">IF(AND(D23="",A23=""),"",IF(NOT(OR(B23="All",AND(B23="GCC",OR('Audit Plan'!$B$11="GCC and EU",'Audit Plan'!$B$11="GCC only")),AND(B23="EU",OR('Audit Plan'!$B$11="GCC and EU",'Audit Plan'!$B$11="EU only")))),"Not in scope",IF(J23&lt;&gt;"","Received",IF(H23="","Not requested",IF(I23="","Requested",IF(I23&lt;TODAY(),"Overdue",IF(I23-TODAY()&lt;='Audit Plan'!$B$15,"Due soon","Requested")))))))</f>
        <v>Not requested</v>
      </c>
    </row>
    <row r="24" customFormat="false" ht="15" hidden="false" customHeight="false" outlineLevel="0" collapsed="false">
      <c r="A24" s="5" t="s">
        <v>693</v>
      </c>
      <c r="B24" s="56" t="s">
        <v>455</v>
      </c>
      <c r="C24" s="6" t="s">
        <v>599</v>
      </c>
      <c r="D24" s="6" t="s">
        <v>694</v>
      </c>
      <c r="E24" s="6" t="s">
        <v>413</v>
      </c>
      <c r="F24" s="6" t="s">
        <v>695</v>
      </c>
      <c r="G24" s="30"/>
      <c r="H24" s="36"/>
      <c r="I24" s="36"/>
      <c r="J24" s="36"/>
      <c r="K24" s="30"/>
      <c r="L24" s="30"/>
      <c r="M24" s="57" t="str">
        <f aca="true">IF(AND(D24="",A24=""),"",IF(NOT(OR(B24="All",AND(B24="GCC",OR('Audit Plan'!$B$11="GCC and EU",'Audit Plan'!$B$11="GCC only")),AND(B24="EU",OR('Audit Plan'!$B$11="GCC and EU",'Audit Plan'!$B$11="EU only")))),"Not in scope",IF(J24&lt;&gt;"","Received",IF(H24="","Not requested",IF(I24="","Requested",IF(I24&lt;TODAY(),"Overdue",IF(I24-TODAY()&lt;='Audit Plan'!$B$15,"Due soon","Requested")))))))</f>
        <v>Not requested</v>
      </c>
    </row>
    <row r="25" customFormat="false" ht="15" hidden="false" customHeight="false" outlineLevel="0" collapsed="false">
      <c r="A25" s="5" t="s">
        <v>696</v>
      </c>
      <c r="B25" s="56" t="s">
        <v>455</v>
      </c>
      <c r="C25" s="6" t="s">
        <v>524</v>
      </c>
      <c r="D25" s="6" t="s">
        <v>697</v>
      </c>
      <c r="E25" s="6" t="s">
        <v>381</v>
      </c>
      <c r="F25" s="6" t="s">
        <v>698</v>
      </c>
      <c r="G25" s="30"/>
      <c r="H25" s="36"/>
      <c r="I25" s="36"/>
      <c r="J25" s="36"/>
      <c r="K25" s="30"/>
      <c r="L25" s="30"/>
      <c r="M25" s="57" t="str">
        <f aca="true">IF(AND(D25="",A25=""),"",IF(NOT(OR(B25="All",AND(B25="GCC",OR('Audit Plan'!$B$11="GCC and EU",'Audit Plan'!$B$11="GCC only")),AND(B25="EU",OR('Audit Plan'!$B$11="GCC and EU",'Audit Plan'!$B$11="EU only")))),"Not in scope",IF(J25&lt;&gt;"","Received",IF(H25="","Not requested",IF(I25="","Requested",IF(I25&lt;TODAY(),"Overdue",IF(I25-TODAY()&lt;='Audit Plan'!$B$15,"Due soon","Requested")))))))</f>
        <v>Not requested</v>
      </c>
    </row>
    <row r="26" customFormat="false" ht="15" hidden="false" customHeight="false" outlineLevel="0" collapsed="false">
      <c r="A26" s="5" t="s">
        <v>699</v>
      </c>
      <c r="B26" s="56" t="s">
        <v>455</v>
      </c>
      <c r="C26" s="6" t="s">
        <v>524</v>
      </c>
      <c r="D26" s="6" t="s">
        <v>700</v>
      </c>
      <c r="E26" s="6" t="s">
        <v>381</v>
      </c>
      <c r="F26" s="6" t="s">
        <v>701</v>
      </c>
      <c r="G26" s="30"/>
      <c r="H26" s="36"/>
      <c r="I26" s="36"/>
      <c r="J26" s="36"/>
      <c r="K26" s="30"/>
      <c r="L26" s="30"/>
      <c r="M26" s="57" t="str">
        <f aca="true">IF(AND(D26="",A26=""),"",IF(NOT(OR(B26="All",AND(B26="GCC",OR('Audit Plan'!$B$11="GCC and EU",'Audit Plan'!$B$11="GCC only")),AND(B26="EU",OR('Audit Plan'!$B$11="GCC and EU",'Audit Plan'!$B$11="EU only")))),"Not in scope",IF(J26&lt;&gt;"","Received",IF(H26="","Not requested",IF(I26="","Requested",IF(I26&lt;TODAY(),"Overdue",IF(I26-TODAY()&lt;='Audit Plan'!$B$15,"Due soon","Requested")))))))</f>
        <v>Not requested</v>
      </c>
    </row>
    <row r="27" customFormat="false" ht="15" hidden="false" customHeight="false" outlineLevel="0" collapsed="false">
      <c r="A27" s="5" t="s">
        <v>702</v>
      </c>
      <c r="B27" s="56" t="s">
        <v>455</v>
      </c>
      <c r="C27" s="6" t="s">
        <v>524</v>
      </c>
      <c r="D27" s="6" t="s">
        <v>703</v>
      </c>
      <c r="E27" s="6" t="s">
        <v>381</v>
      </c>
      <c r="F27" s="6" t="s">
        <v>704</v>
      </c>
      <c r="G27" s="30"/>
      <c r="H27" s="36"/>
      <c r="I27" s="36"/>
      <c r="J27" s="36"/>
      <c r="K27" s="30"/>
      <c r="L27" s="30"/>
      <c r="M27" s="57" t="str">
        <f aca="true">IF(AND(D27="",A27=""),"",IF(NOT(OR(B27="All",AND(B27="GCC",OR('Audit Plan'!$B$11="GCC and EU",'Audit Plan'!$B$11="GCC only")),AND(B27="EU",OR('Audit Plan'!$B$11="GCC and EU",'Audit Plan'!$B$11="EU only")))),"Not in scope",IF(J27&lt;&gt;"","Received",IF(H27="","Not requested",IF(I27="","Requested",IF(I27&lt;TODAY(),"Overdue",IF(I27-TODAY()&lt;='Audit Plan'!$B$15,"Due soon","Requested")))))))</f>
        <v>Not requested</v>
      </c>
    </row>
    <row r="28" customFormat="false" ht="15" hidden="false" customHeight="false" outlineLevel="0" collapsed="false">
      <c r="A28" s="5" t="s">
        <v>705</v>
      </c>
      <c r="B28" s="56" t="s">
        <v>455</v>
      </c>
      <c r="C28" s="6" t="s">
        <v>706</v>
      </c>
      <c r="D28" s="6" t="s">
        <v>707</v>
      </c>
      <c r="E28" s="6" t="s">
        <v>271</v>
      </c>
      <c r="F28" s="6" t="s">
        <v>708</v>
      </c>
      <c r="G28" s="30"/>
      <c r="H28" s="36"/>
      <c r="I28" s="36"/>
      <c r="J28" s="36"/>
      <c r="K28" s="30"/>
      <c r="L28" s="30"/>
      <c r="M28" s="57" t="str">
        <f aca="true">IF(AND(D28="",A28=""),"",IF(NOT(OR(B28="All",AND(B28="GCC",OR('Audit Plan'!$B$11="GCC and EU",'Audit Plan'!$B$11="GCC only")),AND(B28="EU",OR('Audit Plan'!$B$11="GCC and EU",'Audit Plan'!$B$11="EU only")))),"Not in scope",IF(J28&lt;&gt;"","Received",IF(H28="","Not requested",IF(I28="","Requested",IF(I28&lt;TODAY(),"Overdue",IF(I28-TODAY()&lt;='Audit Plan'!$B$15,"Due soon","Requested")))))))</f>
        <v>Not requested</v>
      </c>
    </row>
    <row r="29" customFormat="false" ht="15" hidden="false" customHeight="false" outlineLevel="0" collapsed="false">
      <c r="A29" s="5" t="s">
        <v>709</v>
      </c>
      <c r="B29" s="56" t="s">
        <v>455</v>
      </c>
      <c r="C29" s="6" t="s">
        <v>710</v>
      </c>
      <c r="D29" s="6" t="s">
        <v>711</v>
      </c>
      <c r="E29" s="6" t="s">
        <v>393</v>
      </c>
      <c r="F29" s="6" t="s">
        <v>704</v>
      </c>
      <c r="G29" s="30"/>
      <c r="H29" s="36"/>
      <c r="I29" s="36"/>
      <c r="J29" s="36"/>
      <c r="K29" s="30"/>
      <c r="L29" s="30"/>
      <c r="M29" s="57" t="str">
        <f aca="true">IF(AND(D29="",A29=""),"",IF(NOT(OR(B29="All",AND(B29="GCC",OR('Audit Plan'!$B$11="GCC and EU",'Audit Plan'!$B$11="GCC only")),AND(B29="EU",OR('Audit Plan'!$B$11="GCC and EU",'Audit Plan'!$B$11="EU only")))),"Not in scope",IF(J29&lt;&gt;"","Received",IF(H29="","Not requested",IF(I29="","Requested",IF(I29&lt;TODAY(),"Overdue",IF(I29-TODAY()&lt;='Audit Plan'!$B$15,"Due soon","Requested")))))))</f>
        <v>Not requested</v>
      </c>
    </row>
    <row r="30" customFormat="false" ht="15" hidden="false" customHeight="false" outlineLevel="0" collapsed="false">
      <c r="A30" s="5" t="s">
        <v>712</v>
      </c>
      <c r="B30" s="56" t="s">
        <v>455</v>
      </c>
      <c r="C30" s="6" t="s">
        <v>713</v>
      </c>
      <c r="D30" s="6" t="s">
        <v>714</v>
      </c>
      <c r="E30" s="6" t="s">
        <v>398</v>
      </c>
      <c r="F30" s="6" t="s">
        <v>715</v>
      </c>
      <c r="G30" s="30"/>
      <c r="H30" s="36"/>
      <c r="I30" s="36"/>
      <c r="J30" s="36"/>
      <c r="K30" s="30"/>
      <c r="L30" s="30"/>
      <c r="M30" s="57" t="str">
        <f aca="true">IF(AND(D30="",A30=""),"",IF(NOT(OR(B30="All",AND(B30="GCC",OR('Audit Plan'!$B$11="GCC and EU",'Audit Plan'!$B$11="GCC only")),AND(B30="EU",OR('Audit Plan'!$B$11="GCC and EU",'Audit Plan'!$B$11="EU only")))),"Not in scope",IF(J30&lt;&gt;"","Received",IF(H30="","Not requested",IF(I30="","Requested",IF(I30&lt;TODAY(),"Overdue",IF(I30-TODAY()&lt;='Audit Plan'!$B$15,"Due soon","Requested")))))))</f>
        <v>Not requested</v>
      </c>
    </row>
    <row r="31" customFormat="false" ht="15" hidden="false" customHeight="false" outlineLevel="0" collapsed="false">
      <c r="A31" s="5" t="s">
        <v>716</v>
      </c>
      <c r="B31" s="56" t="s">
        <v>455</v>
      </c>
      <c r="C31" s="6" t="s">
        <v>713</v>
      </c>
      <c r="D31" s="6" t="s">
        <v>717</v>
      </c>
      <c r="E31" s="6" t="s">
        <v>398</v>
      </c>
      <c r="F31" s="6" t="s">
        <v>718</v>
      </c>
      <c r="G31" s="30"/>
      <c r="H31" s="36"/>
      <c r="I31" s="36"/>
      <c r="J31" s="36"/>
      <c r="K31" s="30"/>
      <c r="L31" s="30"/>
      <c r="M31" s="57" t="str">
        <f aca="true">IF(AND(D31="",A31=""),"",IF(NOT(OR(B31="All",AND(B31="GCC",OR('Audit Plan'!$B$11="GCC and EU",'Audit Plan'!$B$11="GCC only")),AND(B31="EU",OR('Audit Plan'!$B$11="GCC and EU",'Audit Plan'!$B$11="EU only")))),"Not in scope",IF(J31&lt;&gt;"","Received",IF(H31="","Not requested",IF(I31="","Requested",IF(I31&lt;TODAY(),"Overdue",IF(I31-TODAY()&lt;='Audit Plan'!$B$15,"Due soon","Requested")))))))</f>
        <v>Not requested</v>
      </c>
    </row>
    <row r="32" customFormat="false" ht="15" hidden="false" customHeight="false" outlineLevel="0" collapsed="false">
      <c r="A32" s="5" t="s">
        <v>719</v>
      </c>
      <c r="B32" s="58" t="s">
        <v>537</v>
      </c>
      <c r="C32" s="6" t="s">
        <v>457</v>
      </c>
      <c r="D32" s="6" t="s">
        <v>720</v>
      </c>
      <c r="E32" s="6" t="s">
        <v>265</v>
      </c>
      <c r="F32" s="6" t="s">
        <v>715</v>
      </c>
      <c r="G32" s="30"/>
      <c r="H32" s="36"/>
      <c r="I32" s="36"/>
      <c r="J32" s="36"/>
      <c r="K32" s="30"/>
      <c r="L32" s="30"/>
      <c r="M32" s="57" t="str">
        <f aca="true">IF(AND(D32="",A32=""),"",IF(NOT(OR(B32="All",AND(B32="GCC",OR('Audit Plan'!$B$11="GCC and EU",'Audit Plan'!$B$11="GCC only")),AND(B32="EU",OR('Audit Plan'!$B$11="GCC and EU",'Audit Plan'!$B$11="EU only")))),"Not in scope",IF(J32&lt;&gt;"","Received",IF(H32="","Not requested",IF(I32="","Requested",IF(I32&lt;TODAY(),"Overdue",IF(I32-TODAY()&lt;='Audit Plan'!$B$15,"Due soon","Requested")))))))</f>
        <v>Not requested</v>
      </c>
    </row>
    <row r="33" customFormat="false" ht="15" hidden="false" customHeight="false" outlineLevel="0" collapsed="false">
      <c r="A33" s="5" t="s">
        <v>721</v>
      </c>
      <c r="B33" s="58" t="s">
        <v>537</v>
      </c>
      <c r="C33" s="6" t="s">
        <v>457</v>
      </c>
      <c r="D33" s="6" t="s">
        <v>722</v>
      </c>
      <c r="E33" s="6" t="s">
        <v>265</v>
      </c>
      <c r="F33" s="6" t="s">
        <v>635</v>
      </c>
      <c r="G33" s="30"/>
      <c r="H33" s="36"/>
      <c r="I33" s="36"/>
      <c r="J33" s="36"/>
      <c r="K33" s="30"/>
      <c r="L33" s="30"/>
      <c r="M33" s="57" t="str">
        <f aca="true">IF(AND(D33="",A33=""),"",IF(NOT(OR(B33="All",AND(B33="GCC",OR('Audit Plan'!$B$11="GCC and EU",'Audit Plan'!$B$11="GCC only")),AND(B33="EU",OR('Audit Plan'!$B$11="GCC and EU",'Audit Plan'!$B$11="EU only")))),"Not in scope",IF(J33&lt;&gt;"","Received",IF(H33="","Not requested",IF(I33="","Requested",IF(I33&lt;TODAY(),"Overdue",IF(I33-TODAY()&lt;='Audit Plan'!$B$15,"Due soon","Requested")))))))</f>
        <v>Not requested</v>
      </c>
    </row>
    <row r="34" customFormat="false" ht="15" hidden="false" customHeight="false" outlineLevel="0" collapsed="false">
      <c r="A34" s="5" t="s">
        <v>723</v>
      </c>
      <c r="B34" s="58" t="s">
        <v>537</v>
      </c>
      <c r="C34" s="6" t="s">
        <v>457</v>
      </c>
      <c r="D34" s="6" t="s">
        <v>724</v>
      </c>
      <c r="E34" s="6" t="s">
        <v>393</v>
      </c>
      <c r="F34" s="6" t="s">
        <v>725</v>
      </c>
      <c r="G34" s="30"/>
      <c r="H34" s="36"/>
      <c r="I34" s="36"/>
      <c r="J34" s="36"/>
      <c r="K34" s="30"/>
      <c r="L34" s="30"/>
      <c r="M34" s="57" t="str">
        <f aca="true">IF(AND(D34="",A34=""),"",IF(NOT(OR(B34="All",AND(B34="GCC",OR('Audit Plan'!$B$11="GCC and EU",'Audit Plan'!$B$11="GCC only")),AND(B34="EU",OR('Audit Plan'!$B$11="GCC and EU",'Audit Plan'!$B$11="EU only")))),"Not in scope",IF(J34&lt;&gt;"","Received",IF(H34="","Not requested",IF(I34="","Requested",IF(I34&lt;TODAY(),"Overdue",IF(I34-TODAY()&lt;='Audit Plan'!$B$15,"Due soon","Requested")))))))</f>
        <v>Not requested</v>
      </c>
    </row>
    <row r="35" customFormat="false" ht="15" hidden="false" customHeight="false" outlineLevel="0" collapsed="false">
      <c r="A35" s="5" t="s">
        <v>726</v>
      </c>
      <c r="B35" s="58" t="s">
        <v>537</v>
      </c>
      <c r="C35" s="6" t="s">
        <v>727</v>
      </c>
      <c r="D35" s="6" t="s">
        <v>728</v>
      </c>
      <c r="E35" s="6" t="s">
        <v>265</v>
      </c>
      <c r="F35" s="6" t="s">
        <v>729</v>
      </c>
      <c r="G35" s="30"/>
      <c r="H35" s="36"/>
      <c r="I35" s="36"/>
      <c r="J35" s="36"/>
      <c r="K35" s="30"/>
      <c r="L35" s="30"/>
      <c r="M35" s="57" t="str">
        <f aca="true">IF(AND(D35="",A35=""),"",IF(NOT(OR(B35="All",AND(B35="GCC",OR('Audit Plan'!$B$11="GCC and EU",'Audit Plan'!$B$11="GCC only")),AND(B35="EU",OR('Audit Plan'!$B$11="GCC and EU",'Audit Plan'!$B$11="EU only")))),"Not in scope",IF(J35&lt;&gt;"","Received",IF(H35="","Not requested",IF(I35="","Requested",IF(I35&lt;TODAY(),"Overdue",IF(I35-TODAY()&lt;='Audit Plan'!$B$15,"Due soon","Requested")))))))</f>
        <v>Not requested</v>
      </c>
    </row>
    <row r="36" customFormat="false" ht="15" hidden="false" customHeight="false" outlineLevel="0" collapsed="false">
      <c r="A36" s="5" t="s">
        <v>730</v>
      </c>
      <c r="B36" s="58" t="s">
        <v>537</v>
      </c>
      <c r="C36" s="6" t="s">
        <v>640</v>
      </c>
      <c r="D36" s="6" t="s">
        <v>641</v>
      </c>
      <c r="E36" s="6" t="s">
        <v>260</v>
      </c>
      <c r="F36" s="6" t="s">
        <v>731</v>
      </c>
      <c r="G36" s="30"/>
      <c r="H36" s="36"/>
      <c r="I36" s="36"/>
      <c r="J36" s="36"/>
      <c r="K36" s="30"/>
      <c r="L36" s="30"/>
      <c r="M36" s="57" t="str">
        <f aca="true">IF(AND(D36="",A36=""),"",IF(NOT(OR(B36="All",AND(B36="GCC",OR('Audit Plan'!$B$11="GCC and EU",'Audit Plan'!$B$11="GCC only")),AND(B36="EU",OR('Audit Plan'!$B$11="GCC and EU",'Audit Plan'!$B$11="EU only")))),"Not in scope",IF(J36&lt;&gt;"","Received",IF(H36="","Not requested",IF(I36="","Requested",IF(I36&lt;TODAY(),"Overdue",IF(I36-TODAY()&lt;='Audit Plan'!$B$15,"Due soon","Requested")))))))</f>
        <v>Not requested</v>
      </c>
    </row>
    <row r="37" customFormat="false" ht="15" hidden="false" customHeight="false" outlineLevel="0" collapsed="false">
      <c r="A37" s="5" t="s">
        <v>732</v>
      </c>
      <c r="B37" s="58" t="s">
        <v>537</v>
      </c>
      <c r="C37" s="6" t="s">
        <v>640</v>
      </c>
      <c r="D37" s="6" t="s">
        <v>644</v>
      </c>
      <c r="E37" s="6" t="s">
        <v>260</v>
      </c>
      <c r="F37" s="6" t="s">
        <v>733</v>
      </c>
      <c r="G37" s="30"/>
      <c r="H37" s="36"/>
      <c r="I37" s="36"/>
      <c r="J37" s="36"/>
      <c r="K37" s="30"/>
      <c r="L37" s="30"/>
      <c r="M37" s="57" t="str">
        <f aca="true">IF(AND(D37="",A37=""),"",IF(NOT(OR(B37="All",AND(B37="GCC",OR('Audit Plan'!$B$11="GCC and EU",'Audit Plan'!$B$11="GCC only")),AND(B37="EU",OR('Audit Plan'!$B$11="GCC and EU",'Audit Plan'!$B$11="EU only")))),"Not in scope",IF(J37&lt;&gt;"","Received",IF(H37="","Not requested",IF(I37="","Requested",IF(I37&lt;TODAY(),"Overdue",IF(I37-TODAY()&lt;='Audit Plan'!$B$15,"Due soon","Requested")))))))</f>
        <v>Not requested</v>
      </c>
    </row>
    <row r="38" customFormat="false" ht="15" hidden="false" customHeight="false" outlineLevel="0" collapsed="false">
      <c r="A38" s="5" t="s">
        <v>734</v>
      </c>
      <c r="B38" s="58" t="s">
        <v>537</v>
      </c>
      <c r="C38" s="6" t="s">
        <v>735</v>
      </c>
      <c r="D38" s="6" t="s">
        <v>736</v>
      </c>
      <c r="E38" s="6" t="s">
        <v>260</v>
      </c>
      <c r="F38" s="6" t="s">
        <v>737</v>
      </c>
      <c r="G38" s="30"/>
      <c r="H38" s="36"/>
      <c r="I38" s="36"/>
      <c r="J38" s="36"/>
      <c r="K38" s="30"/>
      <c r="L38" s="30"/>
      <c r="M38" s="57" t="str">
        <f aca="true">IF(AND(D38="",A38=""),"",IF(NOT(OR(B38="All",AND(B38="GCC",OR('Audit Plan'!$B$11="GCC and EU",'Audit Plan'!$B$11="GCC only")),AND(B38="EU",OR('Audit Plan'!$B$11="GCC and EU",'Audit Plan'!$B$11="EU only")))),"Not in scope",IF(J38&lt;&gt;"","Received",IF(H38="","Not requested",IF(I38="","Requested",IF(I38&lt;TODAY(),"Overdue",IF(I38-TODAY()&lt;='Audit Plan'!$B$15,"Due soon","Requested")))))))</f>
        <v>Not requested</v>
      </c>
    </row>
    <row r="39" customFormat="false" ht="15" hidden="false" customHeight="false" outlineLevel="0" collapsed="false">
      <c r="A39" s="5" t="s">
        <v>738</v>
      </c>
      <c r="B39" s="58" t="s">
        <v>537</v>
      </c>
      <c r="C39" s="6" t="s">
        <v>735</v>
      </c>
      <c r="D39" s="6" t="s">
        <v>739</v>
      </c>
      <c r="E39" s="6" t="s">
        <v>260</v>
      </c>
      <c r="F39" s="6" t="s">
        <v>729</v>
      </c>
      <c r="G39" s="30"/>
      <c r="H39" s="36"/>
      <c r="I39" s="36"/>
      <c r="J39" s="36"/>
      <c r="K39" s="30"/>
      <c r="L39" s="30"/>
      <c r="M39" s="57" t="str">
        <f aca="true">IF(AND(D39="",A39=""),"",IF(NOT(OR(B39="All",AND(B39="GCC",OR('Audit Plan'!$B$11="GCC and EU",'Audit Plan'!$B$11="GCC only")),AND(B39="EU",OR('Audit Plan'!$B$11="GCC and EU",'Audit Plan'!$B$11="EU only")))),"Not in scope",IF(J39&lt;&gt;"","Received",IF(H39="","Not requested",IF(I39="","Requested",IF(I39&lt;TODAY(),"Overdue",IF(I39-TODAY()&lt;='Audit Plan'!$B$15,"Due soon","Requested")))))))</f>
        <v>Not requested</v>
      </c>
    </row>
    <row r="40" customFormat="false" ht="15" hidden="false" customHeight="false" outlineLevel="0" collapsed="false">
      <c r="A40" s="5" t="s">
        <v>740</v>
      </c>
      <c r="B40" s="58" t="s">
        <v>537</v>
      </c>
      <c r="C40" s="6" t="s">
        <v>710</v>
      </c>
      <c r="D40" s="6" t="s">
        <v>741</v>
      </c>
      <c r="E40" s="6" t="s">
        <v>393</v>
      </c>
      <c r="F40" s="6" t="s">
        <v>704</v>
      </c>
      <c r="G40" s="30"/>
      <c r="H40" s="36"/>
      <c r="I40" s="36"/>
      <c r="J40" s="36"/>
      <c r="K40" s="30"/>
      <c r="L40" s="30"/>
      <c r="M40" s="57" t="str">
        <f aca="true">IF(AND(D40="",A40=""),"",IF(NOT(OR(B40="All",AND(B40="GCC",OR('Audit Plan'!$B$11="GCC and EU",'Audit Plan'!$B$11="GCC only")),AND(B40="EU",OR('Audit Plan'!$B$11="GCC and EU",'Audit Plan'!$B$11="EU only")))),"Not in scope",IF(J40&lt;&gt;"","Received",IF(H40="","Not requested",IF(I40="","Requested",IF(I40&lt;TODAY(),"Overdue",IF(I40-TODAY()&lt;='Audit Plan'!$B$15,"Due soon","Requested")))))))</f>
        <v>Not requested</v>
      </c>
    </row>
    <row r="41" customFormat="false" ht="23.85" hidden="false" customHeight="false" outlineLevel="0" collapsed="false">
      <c r="A41" s="5" t="s">
        <v>742</v>
      </c>
      <c r="B41" s="58" t="s">
        <v>537</v>
      </c>
      <c r="C41" s="6" t="s">
        <v>743</v>
      </c>
      <c r="D41" s="6" t="s">
        <v>744</v>
      </c>
      <c r="E41" s="6" t="s">
        <v>745</v>
      </c>
      <c r="F41" s="6" t="s">
        <v>684</v>
      </c>
      <c r="G41" s="30"/>
      <c r="H41" s="36"/>
      <c r="I41" s="36"/>
      <c r="J41" s="36"/>
      <c r="K41" s="30"/>
      <c r="L41" s="30"/>
      <c r="M41" s="57" t="str">
        <f aca="true">IF(AND(D41="",A41=""),"",IF(NOT(OR(B41="All",AND(B41="GCC",OR('Audit Plan'!$B$11="GCC and EU",'Audit Plan'!$B$11="GCC only")),AND(B41="EU",OR('Audit Plan'!$B$11="GCC and EU",'Audit Plan'!$B$11="EU only")))),"Not in scope",IF(J41&lt;&gt;"","Received",IF(H41="","Not requested",IF(I41="","Requested",IF(I41&lt;TODAY(),"Overdue",IF(I41-TODAY()&lt;='Audit Plan'!$B$15,"Due soon","Requested")))))))</f>
        <v>Not requested</v>
      </c>
    </row>
    <row r="42" customFormat="false" ht="15" hidden="false" customHeight="false" outlineLevel="0" collapsed="false">
      <c r="A42" s="5" t="s">
        <v>746</v>
      </c>
      <c r="B42" s="58" t="s">
        <v>537</v>
      </c>
      <c r="C42" s="6" t="s">
        <v>747</v>
      </c>
      <c r="D42" s="6" t="s">
        <v>748</v>
      </c>
      <c r="E42" s="6" t="s">
        <v>398</v>
      </c>
      <c r="F42" s="6" t="s">
        <v>749</v>
      </c>
      <c r="G42" s="30"/>
      <c r="H42" s="36"/>
      <c r="I42" s="36"/>
      <c r="J42" s="36"/>
      <c r="K42" s="30"/>
      <c r="L42" s="30"/>
      <c r="M42" s="57" t="str">
        <f aca="true">IF(AND(D42="",A42=""),"",IF(NOT(OR(B42="All",AND(B42="GCC",OR('Audit Plan'!$B$11="GCC and EU",'Audit Plan'!$B$11="GCC only")),AND(B42="EU",OR('Audit Plan'!$B$11="GCC and EU",'Audit Plan'!$B$11="EU only")))),"Not in scope",IF(J42&lt;&gt;"","Received",IF(H42="","Not requested",IF(I42="","Requested",IF(I42&lt;TODAY(),"Overdue",IF(I42-TODAY()&lt;='Audit Plan'!$B$15,"Due soon","Requested")))))))</f>
        <v>Not requested</v>
      </c>
    </row>
    <row r="43" customFormat="false" ht="15" hidden="false" customHeight="false" outlineLevel="0" collapsed="false">
      <c r="A43" s="5" t="s">
        <v>750</v>
      </c>
      <c r="B43" s="58" t="s">
        <v>537</v>
      </c>
      <c r="C43" s="6" t="s">
        <v>747</v>
      </c>
      <c r="D43" s="6" t="s">
        <v>751</v>
      </c>
      <c r="E43" s="6" t="s">
        <v>403</v>
      </c>
      <c r="F43" s="6" t="s">
        <v>752</v>
      </c>
      <c r="G43" s="30"/>
      <c r="H43" s="36"/>
      <c r="I43" s="36"/>
      <c r="J43" s="36"/>
      <c r="K43" s="30"/>
      <c r="L43" s="30"/>
      <c r="M43" s="57" t="str">
        <f aca="true">IF(AND(D43="",A43=""),"",IF(NOT(OR(B43="All",AND(B43="GCC",OR('Audit Plan'!$B$11="GCC and EU",'Audit Plan'!$B$11="GCC only")),AND(B43="EU",OR('Audit Plan'!$B$11="GCC and EU",'Audit Plan'!$B$11="EU only")))),"Not in scope",IF(J43&lt;&gt;"","Received",IF(H43="","Not requested",IF(I43="","Requested",IF(I43&lt;TODAY(),"Overdue",IF(I43-TODAY()&lt;='Audit Plan'!$B$15,"Due soon","Requested")))))))</f>
        <v>Not requested</v>
      </c>
    </row>
    <row r="44" customFormat="false" ht="23.85" hidden="false" customHeight="false" outlineLevel="0" collapsed="false">
      <c r="A44" s="5" t="s">
        <v>753</v>
      </c>
      <c r="B44" s="58" t="s">
        <v>537</v>
      </c>
      <c r="C44" s="6" t="s">
        <v>754</v>
      </c>
      <c r="D44" s="6" t="s">
        <v>755</v>
      </c>
      <c r="E44" s="6" t="s">
        <v>756</v>
      </c>
      <c r="F44" s="6" t="s">
        <v>757</v>
      </c>
      <c r="G44" s="30"/>
      <c r="H44" s="36"/>
      <c r="I44" s="36"/>
      <c r="J44" s="36"/>
      <c r="K44" s="30"/>
      <c r="L44" s="30"/>
      <c r="M44" s="57" t="str">
        <f aca="true">IF(AND(D44="",A44=""),"",IF(NOT(OR(B44="All",AND(B44="GCC",OR('Audit Plan'!$B$11="GCC and EU",'Audit Plan'!$B$11="GCC only")),AND(B44="EU",OR('Audit Plan'!$B$11="GCC and EU",'Audit Plan'!$B$11="EU only")))),"Not in scope",IF(J44&lt;&gt;"","Received",IF(H44="","Not requested",IF(I44="","Requested",IF(I44&lt;TODAY(),"Overdue",IF(I44-TODAY()&lt;='Audit Plan'!$B$15,"Due soon","Requested")))))))</f>
        <v>Not requested</v>
      </c>
    </row>
    <row r="45" customFormat="false" ht="15" hidden="false" customHeight="false" outlineLevel="0" collapsed="false">
      <c r="A45" s="5" t="s">
        <v>758</v>
      </c>
      <c r="B45" s="58" t="s">
        <v>537</v>
      </c>
      <c r="C45" s="6" t="s">
        <v>675</v>
      </c>
      <c r="D45" s="6" t="s">
        <v>759</v>
      </c>
      <c r="E45" s="6" t="s">
        <v>320</v>
      </c>
      <c r="F45" s="6" t="s">
        <v>760</v>
      </c>
      <c r="G45" s="30"/>
      <c r="H45" s="36"/>
      <c r="I45" s="36"/>
      <c r="J45" s="36"/>
      <c r="K45" s="30"/>
      <c r="L45" s="30"/>
      <c r="M45" s="57" t="str">
        <f aca="true">IF(AND(D45="",A45=""),"",IF(NOT(OR(B45="All",AND(B45="GCC",OR('Audit Plan'!$B$11="GCC and EU",'Audit Plan'!$B$11="GCC only")),AND(B45="EU",OR('Audit Plan'!$B$11="GCC and EU",'Audit Plan'!$B$11="EU only")))),"Not in scope",IF(J45&lt;&gt;"","Received",IF(H45="","Not requested",IF(I45="","Requested",IF(I45&lt;TODAY(),"Overdue",IF(I45-TODAY()&lt;='Audit Plan'!$B$15,"Due soon","Requested")))))))</f>
        <v>Not requested</v>
      </c>
    </row>
    <row r="46" customFormat="false" ht="15" hidden="false" customHeight="false" outlineLevel="0" collapsed="false">
      <c r="A46" s="5" t="s">
        <v>761</v>
      </c>
      <c r="B46" s="58" t="s">
        <v>537</v>
      </c>
      <c r="C46" s="6" t="s">
        <v>675</v>
      </c>
      <c r="D46" s="6" t="s">
        <v>679</v>
      </c>
      <c r="E46" s="6" t="s">
        <v>328</v>
      </c>
      <c r="F46" s="6" t="s">
        <v>701</v>
      </c>
      <c r="G46" s="30"/>
      <c r="H46" s="36"/>
      <c r="I46" s="36"/>
      <c r="J46" s="36"/>
      <c r="K46" s="30"/>
      <c r="L46" s="30"/>
      <c r="M46" s="57" t="str">
        <f aca="true">IF(AND(D46="",A46=""),"",IF(NOT(OR(B46="All",AND(B46="GCC",OR('Audit Plan'!$B$11="GCC and EU",'Audit Plan'!$B$11="GCC only")),AND(B46="EU",OR('Audit Plan'!$B$11="GCC and EU",'Audit Plan'!$B$11="EU only")))),"Not in scope",IF(J46&lt;&gt;"","Received",IF(H46="","Not requested",IF(I46="","Requested",IF(I46&lt;TODAY(),"Overdue",IF(I46-TODAY()&lt;='Audit Plan'!$B$15,"Due soon","Requested")))))))</f>
        <v>Not requested</v>
      </c>
    </row>
    <row r="47" customFormat="false" ht="23.85" hidden="false" customHeight="false" outlineLevel="0" collapsed="false">
      <c r="A47" s="5" t="s">
        <v>762</v>
      </c>
      <c r="B47" s="58" t="s">
        <v>537</v>
      </c>
      <c r="C47" s="6" t="s">
        <v>686</v>
      </c>
      <c r="D47" s="6" t="s">
        <v>763</v>
      </c>
      <c r="E47" s="6" t="s">
        <v>764</v>
      </c>
      <c r="F47" s="6" t="s">
        <v>684</v>
      </c>
      <c r="G47" s="30"/>
      <c r="H47" s="36"/>
      <c r="I47" s="36"/>
      <c r="J47" s="36"/>
      <c r="K47" s="30"/>
      <c r="L47" s="30"/>
      <c r="M47" s="57" t="str">
        <f aca="true">IF(AND(D47="",A47=""),"",IF(NOT(OR(B47="All",AND(B47="GCC",OR('Audit Plan'!$B$11="GCC and EU",'Audit Plan'!$B$11="GCC only")),AND(B47="EU",OR('Audit Plan'!$B$11="GCC and EU",'Audit Plan'!$B$11="EU only")))),"Not in scope",IF(J47&lt;&gt;"","Received",IF(H47="","Not requested",IF(I47="","Requested",IF(I47&lt;TODAY(),"Overdue",IF(I47-TODAY()&lt;='Audit Plan'!$B$15,"Due soon","Requested")))))))</f>
        <v>Not requested</v>
      </c>
    </row>
    <row r="48" customFormat="false" ht="15" hidden="false" customHeight="false" outlineLevel="0" collapsed="false">
      <c r="A48" s="5" t="s">
        <v>765</v>
      </c>
      <c r="B48" s="58" t="s">
        <v>537</v>
      </c>
      <c r="C48" s="6" t="s">
        <v>766</v>
      </c>
      <c r="D48" s="6" t="s">
        <v>767</v>
      </c>
      <c r="E48" s="6" t="s">
        <v>398</v>
      </c>
      <c r="F48" s="6" t="s">
        <v>768</v>
      </c>
      <c r="G48" s="30"/>
      <c r="H48" s="36"/>
      <c r="I48" s="36"/>
      <c r="J48" s="36"/>
      <c r="K48" s="30"/>
      <c r="L48" s="30"/>
      <c r="M48" s="57" t="str">
        <f aca="true">IF(AND(D48="",A48=""),"",IF(NOT(OR(B48="All",AND(B48="GCC",OR('Audit Plan'!$B$11="GCC and EU",'Audit Plan'!$B$11="GCC only")),AND(B48="EU",OR('Audit Plan'!$B$11="GCC and EU",'Audit Plan'!$B$11="EU only")))),"Not in scope",IF(J48&lt;&gt;"","Received",IF(H48="","Not requested",IF(I48="","Requested",IF(I48&lt;TODAY(),"Overdue",IF(I48-TODAY()&lt;='Audit Plan'!$B$15,"Due soon","Requested")))))))</f>
        <v>Not requested</v>
      </c>
    </row>
    <row r="49" customFormat="false" ht="23.85" hidden="false" customHeight="false" outlineLevel="0" collapsed="false">
      <c r="A49" s="5" t="s">
        <v>769</v>
      </c>
      <c r="B49" s="58" t="s">
        <v>537</v>
      </c>
      <c r="C49" s="6" t="s">
        <v>584</v>
      </c>
      <c r="D49" s="6" t="s">
        <v>770</v>
      </c>
      <c r="E49" s="6" t="s">
        <v>771</v>
      </c>
      <c r="F49" s="6" t="s">
        <v>772</v>
      </c>
      <c r="G49" s="30"/>
      <c r="H49" s="36"/>
      <c r="I49" s="36"/>
      <c r="J49" s="36"/>
      <c r="K49" s="30"/>
      <c r="L49" s="30"/>
      <c r="M49" s="57" t="str">
        <f aca="true">IF(AND(D49="",A49=""),"",IF(NOT(OR(B49="All",AND(B49="GCC",OR('Audit Plan'!$B$11="GCC and EU",'Audit Plan'!$B$11="GCC only")),AND(B49="EU",OR('Audit Plan'!$B$11="GCC and EU",'Audit Plan'!$B$11="EU only")))),"Not in scope",IF(J49&lt;&gt;"","Received",IF(H49="","Not requested",IF(I49="","Requested",IF(I49&lt;TODAY(),"Overdue",IF(I49-TODAY()&lt;='Audit Plan'!$B$15,"Due soon","Requested")))))))</f>
        <v>Not requested</v>
      </c>
    </row>
    <row r="50" customFormat="false" ht="15" hidden="false" customHeight="false" outlineLevel="0" collapsed="false">
      <c r="A50" s="5" t="s">
        <v>773</v>
      </c>
      <c r="B50" s="58" t="s">
        <v>537</v>
      </c>
      <c r="C50" s="6" t="s">
        <v>584</v>
      </c>
      <c r="D50" s="6" t="s">
        <v>774</v>
      </c>
      <c r="E50" s="6" t="s">
        <v>271</v>
      </c>
      <c r="F50" s="6" t="s">
        <v>729</v>
      </c>
      <c r="G50" s="30"/>
      <c r="H50" s="36"/>
      <c r="I50" s="36"/>
      <c r="J50" s="36"/>
      <c r="K50" s="30"/>
      <c r="L50" s="30"/>
      <c r="M50" s="57" t="str">
        <f aca="true">IF(AND(D50="",A50=""),"",IF(NOT(OR(B50="All",AND(B50="GCC",OR('Audit Plan'!$B$11="GCC and EU",'Audit Plan'!$B$11="GCC only")),AND(B50="EU",OR('Audit Plan'!$B$11="GCC and EU",'Audit Plan'!$B$11="EU only")))),"Not in scope",IF(J50&lt;&gt;"","Received",IF(H50="","Not requested",IF(I50="","Requested",IF(I50&lt;TODAY(),"Overdue",IF(I50-TODAY()&lt;='Audit Plan'!$B$15,"Due soon","Requested")))))))</f>
        <v>Not requested</v>
      </c>
    </row>
    <row r="51" customFormat="false" ht="15" hidden="false" customHeight="false" outlineLevel="0" collapsed="false">
      <c r="A51" s="5" t="s">
        <v>775</v>
      </c>
      <c r="B51" s="58" t="s">
        <v>537</v>
      </c>
      <c r="C51" s="6" t="s">
        <v>584</v>
      </c>
      <c r="D51" s="6" t="s">
        <v>776</v>
      </c>
      <c r="E51" s="6" t="s">
        <v>292</v>
      </c>
      <c r="F51" s="6" t="s">
        <v>777</v>
      </c>
      <c r="G51" s="30"/>
      <c r="H51" s="36"/>
      <c r="I51" s="36"/>
      <c r="J51" s="36"/>
      <c r="K51" s="30"/>
      <c r="L51" s="30"/>
      <c r="M51" s="57" t="str">
        <f aca="true">IF(AND(D51="",A51=""),"",IF(NOT(OR(B51="All",AND(B51="GCC",OR('Audit Plan'!$B$11="GCC and EU",'Audit Plan'!$B$11="GCC only")),AND(B51="EU",OR('Audit Plan'!$B$11="GCC and EU",'Audit Plan'!$B$11="EU only")))),"Not in scope",IF(J51&lt;&gt;"","Received",IF(H51="","Not requested",IF(I51="","Requested",IF(I51&lt;TODAY(),"Overdue",IF(I51-TODAY()&lt;='Audit Plan'!$B$15,"Due soon","Requested")))))))</f>
        <v>Not requested</v>
      </c>
    </row>
    <row r="52" customFormat="false" ht="15" hidden="false" customHeight="false" outlineLevel="0" collapsed="false">
      <c r="A52" s="5" t="s">
        <v>778</v>
      </c>
      <c r="B52" s="58" t="s">
        <v>537</v>
      </c>
      <c r="C52" s="6" t="s">
        <v>779</v>
      </c>
      <c r="D52" s="6" t="s">
        <v>780</v>
      </c>
      <c r="E52" s="6" t="s">
        <v>235</v>
      </c>
      <c r="F52" s="6" t="s">
        <v>729</v>
      </c>
      <c r="G52" s="30"/>
      <c r="H52" s="36"/>
      <c r="I52" s="36"/>
      <c r="J52" s="36"/>
      <c r="K52" s="30"/>
      <c r="L52" s="30"/>
      <c r="M52" s="57" t="str">
        <f aca="true">IF(AND(D52="",A52=""),"",IF(NOT(OR(B52="All",AND(B52="GCC",OR('Audit Plan'!$B$11="GCC and EU",'Audit Plan'!$B$11="GCC only")),AND(B52="EU",OR('Audit Plan'!$B$11="GCC and EU",'Audit Plan'!$B$11="EU only")))),"Not in scope",IF(J52&lt;&gt;"","Received",IF(H52="","Not requested",IF(I52="","Requested",IF(I52&lt;TODAY(),"Overdue",IF(I52-TODAY()&lt;='Audit Plan'!$B$15,"Due soon","Requested")))))))</f>
        <v>Not requested</v>
      </c>
    </row>
    <row r="53" customFormat="false" ht="15" hidden="false" customHeight="false" outlineLevel="0" collapsed="false">
      <c r="A53" s="5" t="s">
        <v>781</v>
      </c>
      <c r="B53" s="58" t="s">
        <v>537</v>
      </c>
      <c r="C53" s="6" t="s">
        <v>594</v>
      </c>
      <c r="D53" s="6" t="s">
        <v>782</v>
      </c>
      <c r="E53" s="6" t="s">
        <v>403</v>
      </c>
      <c r="F53" s="6" t="s">
        <v>783</v>
      </c>
      <c r="G53" s="30"/>
      <c r="H53" s="36"/>
      <c r="I53" s="36"/>
      <c r="J53" s="36"/>
      <c r="K53" s="30"/>
      <c r="L53" s="30"/>
      <c r="M53" s="57" t="str">
        <f aca="true">IF(AND(D53="",A53=""),"",IF(NOT(OR(B53="All",AND(B53="GCC",OR('Audit Plan'!$B$11="GCC and EU",'Audit Plan'!$B$11="GCC only")),AND(B53="EU",OR('Audit Plan'!$B$11="GCC and EU",'Audit Plan'!$B$11="EU only")))),"Not in scope",IF(J53&lt;&gt;"","Received",IF(H53="","Not requested",IF(I53="","Requested",IF(I53&lt;TODAY(),"Overdue",IF(I53-TODAY()&lt;='Audit Plan'!$B$15,"Due soon","Requested")))))))</f>
        <v>Not requested</v>
      </c>
    </row>
    <row r="54" customFormat="false" ht="15" hidden="false" customHeight="false" outlineLevel="0" collapsed="false">
      <c r="A54" s="5" t="s">
        <v>784</v>
      </c>
      <c r="B54" s="58" t="s">
        <v>537</v>
      </c>
      <c r="C54" s="6" t="s">
        <v>599</v>
      </c>
      <c r="D54" s="6" t="s">
        <v>785</v>
      </c>
      <c r="E54" s="6" t="s">
        <v>413</v>
      </c>
      <c r="F54" s="6" t="s">
        <v>684</v>
      </c>
      <c r="G54" s="30"/>
      <c r="H54" s="36"/>
      <c r="I54" s="36"/>
      <c r="J54" s="36"/>
      <c r="K54" s="30"/>
      <c r="L54" s="30"/>
      <c r="M54" s="57" t="str">
        <f aca="true">IF(AND(D54="",A54=""),"",IF(NOT(OR(B54="All",AND(B54="GCC",OR('Audit Plan'!$B$11="GCC and EU",'Audit Plan'!$B$11="GCC only")),AND(B54="EU",OR('Audit Plan'!$B$11="GCC and EU",'Audit Plan'!$B$11="EU only")))),"Not in scope",IF(J54&lt;&gt;"","Received",IF(H54="","Not requested",IF(I54="","Requested",IF(I54&lt;TODAY(),"Overdue",IF(I54-TODAY()&lt;='Audit Plan'!$B$15,"Due soon","Requested")))))))</f>
        <v>Not requested</v>
      </c>
    </row>
    <row r="55" customFormat="false" ht="15" hidden="false" customHeight="false" outlineLevel="0" collapsed="false">
      <c r="A55" s="5" t="s">
        <v>786</v>
      </c>
      <c r="B55" s="58" t="s">
        <v>537</v>
      </c>
      <c r="C55" s="6" t="s">
        <v>599</v>
      </c>
      <c r="D55" s="6" t="s">
        <v>694</v>
      </c>
      <c r="E55" s="6" t="s">
        <v>413</v>
      </c>
      <c r="F55" s="6" t="s">
        <v>695</v>
      </c>
      <c r="G55" s="30"/>
      <c r="H55" s="36"/>
      <c r="I55" s="36"/>
      <c r="J55" s="36"/>
      <c r="K55" s="30"/>
      <c r="L55" s="30"/>
      <c r="M55" s="57" t="str">
        <f aca="true">IF(AND(D55="",A55=""),"",IF(NOT(OR(B55="All",AND(B55="GCC",OR('Audit Plan'!$B$11="GCC and EU",'Audit Plan'!$B$11="GCC only")),AND(B55="EU",OR('Audit Plan'!$B$11="GCC and EU",'Audit Plan'!$B$11="EU only")))),"Not in scope",IF(J55&lt;&gt;"","Received",IF(H55="","Not requested",IF(I55="","Requested",IF(I55&lt;TODAY(),"Overdue",IF(I55-TODAY()&lt;='Audit Plan'!$B$15,"Due soon","Requested")))))))</f>
        <v>Not requested</v>
      </c>
    </row>
    <row r="56" customFormat="false" ht="15" hidden="false" customHeight="false" outlineLevel="0" collapsed="false">
      <c r="A56" s="5" t="s">
        <v>787</v>
      </c>
      <c r="B56" s="58" t="s">
        <v>537</v>
      </c>
      <c r="C56" s="6" t="s">
        <v>604</v>
      </c>
      <c r="D56" s="6" t="s">
        <v>788</v>
      </c>
      <c r="E56" s="6" t="s">
        <v>277</v>
      </c>
      <c r="F56" s="6" t="s">
        <v>729</v>
      </c>
      <c r="G56" s="30"/>
      <c r="H56" s="36"/>
      <c r="I56" s="36"/>
      <c r="J56" s="36"/>
      <c r="K56" s="30"/>
      <c r="L56" s="30"/>
      <c r="M56" s="57" t="str">
        <f aca="true">IF(AND(D56="",A56=""),"",IF(NOT(OR(B56="All",AND(B56="GCC",OR('Audit Plan'!$B$11="GCC and EU",'Audit Plan'!$B$11="GCC only")),AND(B56="EU",OR('Audit Plan'!$B$11="GCC and EU",'Audit Plan'!$B$11="EU only")))),"Not in scope",IF(J56&lt;&gt;"","Received",IF(H56="","Not requested",IF(I56="","Requested",IF(I56&lt;TODAY(),"Overdue",IF(I56-TODAY()&lt;='Audit Plan'!$B$15,"Due soon","Requested")))))))</f>
        <v>Not requested</v>
      </c>
    </row>
    <row r="57" customFormat="false" ht="15" hidden="false" customHeight="false" outlineLevel="0" collapsed="false">
      <c r="A57" s="5" t="s">
        <v>789</v>
      </c>
      <c r="B57" s="58" t="s">
        <v>537</v>
      </c>
      <c r="C57" s="6" t="s">
        <v>790</v>
      </c>
      <c r="D57" s="6" t="s">
        <v>791</v>
      </c>
      <c r="E57" s="6" t="s">
        <v>277</v>
      </c>
      <c r="F57" s="6" t="s">
        <v>792</v>
      </c>
      <c r="G57" s="30"/>
      <c r="H57" s="36"/>
      <c r="I57" s="36"/>
      <c r="J57" s="36"/>
      <c r="K57" s="30"/>
      <c r="L57" s="30"/>
      <c r="M57" s="57" t="str">
        <f aca="true">IF(AND(D57="",A57=""),"",IF(NOT(OR(B57="All",AND(B57="GCC",OR('Audit Plan'!$B$11="GCC and EU",'Audit Plan'!$B$11="GCC only")),AND(B57="EU",OR('Audit Plan'!$B$11="GCC and EU",'Audit Plan'!$B$11="EU only")))),"Not in scope",IF(J57&lt;&gt;"","Received",IF(H57="","Not requested",IF(I57="","Requested",IF(I57&lt;TODAY(),"Overdue",IF(I57-TODAY()&lt;='Audit Plan'!$B$15,"Due soon","Requested")))))))</f>
        <v>Not requested</v>
      </c>
    </row>
    <row r="58" customFormat="false" ht="15" hidden="false" customHeight="false" outlineLevel="0" collapsed="false">
      <c r="A58" s="5" t="s">
        <v>793</v>
      </c>
      <c r="B58" s="58" t="s">
        <v>537</v>
      </c>
      <c r="C58" s="6" t="s">
        <v>524</v>
      </c>
      <c r="D58" s="6" t="s">
        <v>794</v>
      </c>
      <c r="E58" s="6" t="s">
        <v>381</v>
      </c>
      <c r="F58" s="6" t="s">
        <v>752</v>
      </c>
      <c r="G58" s="30"/>
      <c r="H58" s="36"/>
      <c r="I58" s="36"/>
      <c r="J58" s="36"/>
      <c r="K58" s="30"/>
      <c r="L58" s="30"/>
      <c r="M58" s="57" t="str">
        <f aca="true">IF(AND(D58="",A58=""),"",IF(NOT(OR(B58="All",AND(B58="GCC",OR('Audit Plan'!$B$11="GCC and EU",'Audit Plan'!$B$11="GCC only")),AND(B58="EU",OR('Audit Plan'!$B$11="GCC and EU",'Audit Plan'!$B$11="EU only")))),"Not in scope",IF(J58&lt;&gt;"","Received",IF(H58="","Not requested",IF(I58="","Requested",IF(I58&lt;TODAY(),"Overdue",IF(I58-TODAY()&lt;='Audit Plan'!$B$15,"Due soon","Requested")))))))</f>
        <v>Not requested</v>
      </c>
    </row>
    <row r="59" customFormat="false" ht="15" hidden="false" customHeight="false" outlineLevel="0" collapsed="false">
      <c r="A59" s="5" t="s">
        <v>795</v>
      </c>
      <c r="B59" s="58" t="s">
        <v>537</v>
      </c>
      <c r="C59" s="6" t="s">
        <v>524</v>
      </c>
      <c r="D59" s="6" t="s">
        <v>796</v>
      </c>
      <c r="E59" s="6" t="s">
        <v>381</v>
      </c>
      <c r="F59" s="6" t="s">
        <v>684</v>
      </c>
      <c r="G59" s="30"/>
      <c r="H59" s="36"/>
      <c r="I59" s="36"/>
      <c r="J59" s="36"/>
      <c r="K59" s="30"/>
      <c r="L59" s="30"/>
      <c r="M59" s="57" t="str">
        <f aca="true">IF(AND(D59="",A59=""),"",IF(NOT(OR(B59="All",AND(B59="GCC",OR('Audit Plan'!$B$11="GCC and EU",'Audit Plan'!$B$11="GCC only")),AND(B59="EU",OR('Audit Plan'!$B$11="GCC and EU",'Audit Plan'!$B$11="EU only")))),"Not in scope",IF(J59&lt;&gt;"","Received",IF(H59="","Not requested",IF(I59="","Requested",IF(I59&lt;TODAY(),"Overdue",IF(I59-TODAY()&lt;='Audit Plan'!$B$15,"Due soon","Requested")))))))</f>
        <v>Not requested</v>
      </c>
    </row>
    <row r="60" customFormat="false" ht="15" hidden="false" customHeight="false" outlineLevel="0" collapsed="false">
      <c r="A60" s="5" t="s">
        <v>797</v>
      </c>
      <c r="B60" s="58" t="s">
        <v>537</v>
      </c>
      <c r="C60" s="6" t="s">
        <v>798</v>
      </c>
      <c r="D60" s="6" t="s">
        <v>799</v>
      </c>
      <c r="E60" s="6" t="s">
        <v>381</v>
      </c>
      <c r="F60" s="6" t="s">
        <v>684</v>
      </c>
      <c r="G60" s="30"/>
      <c r="H60" s="36"/>
      <c r="I60" s="36"/>
      <c r="J60" s="36"/>
      <c r="K60" s="30"/>
      <c r="L60" s="30"/>
      <c r="M60" s="57" t="str">
        <f aca="true">IF(AND(D60="",A60=""),"",IF(NOT(OR(B60="All",AND(B60="GCC",OR('Audit Plan'!$B$11="GCC and EU",'Audit Plan'!$B$11="GCC only")),AND(B60="EU",OR('Audit Plan'!$B$11="GCC and EU",'Audit Plan'!$B$11="EU only")))),"Not in scope",IF(J60&lt;&gt;"","Received",IF(H60="","Not requested",IF(I60="","Requested",IF(I60&lt;TODAY(),"Overdue",IF(I60-TODAY()&lt;='Audit Plan'!$B$15,"Due soon","Requested")))))))</f>
        <v>Not requested</v>
      </c>
    </row>
    <row r="61" customFormat="false" ht="15" hidden="false" customHeight="false" outlineLevel="0" collapsed="false">
      <c r="A61" s="5" t="s">
        <v>800</v>
      </c>
      <c r="B61" s="58" t="s">
        <v>537</v>
      </c>
      <c r="C61" s="6" t="s">
        <v>801</v>
      </c>
      <c r="D61" s="6" t="s">
        <v>707</v>
      </c>
      <c r="E61" s="6" t="s">
        <v>271</v>
      </c>
      <c r="F61" s="6" t="s">
        <v>777</v>
      </c>
      <c r="G61" s="30"/>
      <c r="H61" s="36"/>
      <c r="I61" s="36"/>
      <c r="J61" s="36"/>
      <c r="K61" s="30"/>
      <c r="L61" s="30"/>
      <c r="M61" s="57" t="str">
        <f aca="true">IF(AND(D61="",A61=""),"",IF(NOT(OR(B61="All",AND(B61="GCC",OR('Audit Plan'!$B$11="GCC and EU",'Audit Plan'!$B$11="GCC only")),AND(B61="EU",OR('Audit Plan'!$B$11="GCC and EU",'Audit Plan'!$B$11="EU only")))),"Not in scope",IF(J61&lt;&gt;"","Received",IF(H61="","Not requested",IF(I61="","Requested",IF(I61&lt;TODAY(),"Overdue",IF(I61-TODAY()&lt;='Audit Plan'!$B$15,"Due soon","Requested")))))))</f>
        <v>Not requested</v>
      </c>
    </row>
    <row r="62" customFormat="false" ht="15" hidden="false" customHeight="false" outlineLevel="0" collapsed="false">
      <c r="A62" s="5" t="s">
        <v>802</v>
      </c>
      <c r="B62" s="58" t="s">
        <v>537</v>
      </c>
      <c r="C62" s="6" t="s">
        <v>713</v>
      </c>
      <c r="D62" s="6" t="s">
        <v>803</v>
      </c>
      <c r="E62" s="6" t="s">
        <v>398</v>
      </c>
      <c r="F62" s="6" t="s">
        <v>715</v>
      </c>
      <c r="G62" s="30"/>
      <c r="H62" s="36"/>
      <c r="I62" s="36"/>
      <c r="J62" s="36"/>
      <c r="K62" s="30"/>
      <c r="L62" s="30"/>
      <c r="M62" s="57" t="str">
        <f aca="true">IF(AND(D62="",A62=""),"",IF(NOT(OR(B62="All",AND(B62="GCC",OR('Audit Plan'!$B$11="GCC and EU",'Audit Plan'!$B$11="GCC only")),AND(B62="EU",OR('Audit Plan'!$B$11="GCC and EU",'Audit Plan'!$B$11="EU only")))),"Not in scope",IF(J62&lt;&gt;"","Received",IF(H62="","Not requested",IF(I62="","Requested",IF(I62&lt;TODAY(),"Overdue",IF(I62-TODAY()&lt;='Audit Plan'!$B$15,"Due soon","Requested")))))))</f>
        <v>Not requested</v>
      </c>
    </row>
    <row r="63" customFormat="false" ht="15" hidden="false" customHeight="false" outlineLevel="0" collapsed="false">
      <c r="A63" s="30"/>
      <c r="B63" s="42" t="s">
        <v>203</v>
      </c>
      <c r="C63" s="30"/>
      <c r="D63" s="30"/>
      <c r="E63" s="30"/>
      <c r="F63" s="30"/>
      <c r="G63" s="30"/>
      <c r="H63" s="36"/>
      <c r="I63" s="36"/>
      <c r="J63" s="36"/>
      <c r="K63" s="30"/>
      <c r="L63" s="30"/>
      <c r="M63" s="57" t="str">
        <f aca="true">IF(AND(D63="",A63=""),"",IF(NOT(OR(B63="All",AND(B63="GCC",OR('Audit Plan'!$B$11="GCC and EU",'Audit Plan'!$B$11="GCC only")),AND(B63="EU",OR('Audit Plan'!$B$11="GCC and EU",'Audit Plan'!$B$11="EU only")))),"Not in scope",IF(J63&lt;&gt;"","Received",IF(H63="","Not requested",IF(I63="","Requested",IF(I63&lt;TODAY(),"Overdue",IF(I63-TODAY()&lt;='Audit Plan'!$B$15,"Due soon","Requested")))))))</f>
        <v/>
      </c>
    </row>
    <row r="64" customFormat="false" ht="15" hidden="false" customHeight="false" outlineLevel="0" collapsed="false">
      <c r="A64" s="30"/>
      <c r="B64" s="42" t="s">
        <v>203</v>
      </c>
      <c r="C64" s="30"/>
      <c r="D64" s="30"/>
      <c r="E64" s="30"/>
      <c r="F64" s="30"/>
      <c r="G64" s="30"/>
      <c r="H64" s="36"/>
      <c r="I64" s="36"/>
      <c r="J64" s="36"/>
      <c r="K64" s="30"/>
      <c r="L64" s="30"/>
      <c r="M64" s="57" t="str">
        <f aca="true">IF(AND(D64="",A64=""),"",IF(NOT(OR(B64="All",AND(B64="GCC",OR('Audit Plan'!$B$11="GCC and EU",'Audit Plan'!$B$11="GCC only")),AND(B64="EU",OR('Audit Plan'!$B$11="GCC and EU",'Audit Plan'!$B$11="EU only")))),"Not in scope",IF(J64&lt;&gt;"","Received",IF(H64="","Not requested",IF(I64="","Requested",IF(I64&lt;TODAY(),"Overdue",IF(I64-TODAY()&lt;='Audit Plan'!$B$15,"Due soon","Requested")))))))</f>
        <v/>
      </c>
    </row>
    <row r="65" customFormat="false" ht="15" hidden="false" customHeight="false" outlineLevel="0" collapsed="false">
      <c r="A65" s="30"/>
      <c r="B65" s="42" t="s">
        <v>203</v>
      </c>
      <c r="C65" s="30"/>
      <c r="D65" s="30"/>
      <c r="E65" s="30"/>
      <c r="F65" s="30"/>
      <c r="G65" s="30"/>
      <c r="H65" s="36"/>
      <c r="I65" s="36"/>
      <c r="J65" s="36"/>
      <c r="K65" s="30"/>
      <c r="L65" s="30"/>
      <c r="M65" s="57" t="str">
        <f aca="true">IF(AND(D65="",A65=""),"",IF(NOT(OR(B65="All",AND(B65="GCC",OR('Audit Plan'!$B$11="GCC and EU",'Audit Plan'!$B$11="GCC only")),AND(B65="EU",OR('Audit Plan'!$B$11="GCC and EU",'Audit Plan'!$B$11="EU only")))),"Not in scope",IF(J65&lt;&gt;"","Received",IF(H65="","Not requested",IF(I65="","Requested",IF(I65&lt;TODAY(),"Overdue",IF(I65-TODAY()&lt;='Audit Plan'!$B$15,"Due soon","Requested")))))))</f>
        <v/>
      </c>
    </row>
    <row r="66" customFormat="false" ht="15" hidden="false" customHeight="false" outlineLevel="0" collapsed="false">
      <c r="A66" s="30"/>
      <c r="B66" s="42" t="s">
        <v>203</v>
      </c>
      <c r="C66" s="30"/>
      <c r="D66" s="30"/>
      <c r="E66" s="30"/>
      <c r="F66" s="30"/>
      <c r="G66" s="30"/>
      <c r="H66" s="36"/>
      <c r="I66" s="36"/>
      <c r="J66" s="36"/>
      <c r="K66" s="30"/>
      <c r="L66" s="30"/>
      <c r="M66" s="57" t="str">
        <f aca="true">IF(AND(D66="",A66=""),"",IF(NOT(OR(B66="All",AND(B66="GCC",OR('Audit Plan'!$B$11="GCC and EU",'Audit Plan'!$B$11="GCC only")),AND(B66="EU",OR('Audit Plan'!$B$11="GCC and EU",'Audit Plan'!$B$11="EU only")))),"Not in scope",IF(J66&lt;&gt;"","Received",IF(H66="","Not requested",IF(I66="","Requested",IF(I66&lt;TODAY(),"Overdue",IF(I66-TODAY()&lt;='Audit Plan'!$B$15,"Due soon","Requested")))))))</f>
        <v/>
      </c>
    </row>
    <row r="67" customFormat="false" ht="15" hidden="false" customHeight="false" outlineLevel="0" collapsed="false">
      <c r="A67" s="30"/>
      <c r="B67" s="42" t="s">
        <v>203</v>
      </c>
      <c r="C67" s="30"/>
      <c r="D67" s="30"/>
      <c r="E67" s="30"/>
      <c r="F67" s="30"/>
      <c r="G67" s="30"/>
      <c r="H67" s="36"/>
      <c r="I67" s="36"/>
      <c r="J67" s="36"/>
      <c r="K67" s="30"/>
      <c r="L67" s="30"/>
      <c r="M67" s="57" t="str">
        <f aca="true">IF(AND(D67="",A67=""),"",IF(NOT(OR(B67="All",AND(B67="GCC",OR('Audit Plan'!$B$11="GCC and EU",'Audit Plan'!$B$11="GCC only")),AND(B67="EU",OR('Audit Plan'!$B$11="GCC and EU",'Audit Plan'!$B$11="EU only")))),"Not in scope",IF(J67&lt;&gt;"","Received",IF(H67="","Not requested",IF(I67="","Requested",IF(I67&lt;TODAY(),"Overdue",IF(I67-TODAY()&lt;='Audit Plan'!$B$15,"Due soon","Requested")))))))</f>
        <v/>
      </c>
    </row>
    <row r="68" customFormat="false" ht="15" hidden="false" customHeight="false" outlineLevel="0" collapsed="false">
      <c r="A68" s="30"/>
      <c r="B68" s="42" t="s">
        <v>203</v>
      </c>
      <c r="C68" s="30"/>
      <c r="D68" s="30"/>
      <c r="E68" s="30"/>
      <c r="F68" s="30"/>
      <c r="G68" s="30"/>
      <c r="H68" s="36"/>
      <c r="I68" s="36"/>
      <c r="J68" s="36"/>
      <c r="K68" s="30"/>
      <c r="L68" s="30"/>
      <c r="M68" s="57" t="str">
        <f aca="true">IF(AND(D68="",A68=""),"",IF(NOT(OR(B68="All",AND(B68="GCC",OR('Audit Plan'!$B$11="GCC and EU",'Audit Plan'!$B$11="GCC only")),AND(B68="EU",OR('Audit Plan'!$B$11="GCC and EU",'Audit Plan'!$B$11="EU only")))),"Not in scope",IF(J68&lt;&gt;"","Received",IF(H68="","Not requested",IF(I68="","Requested",IF(I68&lt;TODAY(),"Overdue",IF(I68-TODAY()&lt;='Audit Plan'!$B$15,"Due soon","Requested")))))))</f>
        <v/>
      </c>
    </row>
    <row r="69" customFormat="false" ht="15" hidden="false" customHeight="false" outlineLevel="0" collapsed="false">
      <c r="A69" s="30"/>
      <c r="B69" s="42" t="s">
        <v>203</v>
      </c>
      <c r="C69" s="30"/>
      <c r="D69" s="30"/>
      <c r="E69" s="30"/>
      <c r="F69" s="30"/>
      <c r="G69" s="30"/>
      <c r="H69" s="36"/>
      <c r="I69" s="36"/>
      <c r="J69" s="36"/>
      <c r="K69" s="30"/>
      <c r="L69" s="30"/>
      <c r="M69" s="57" t="str">
        <f aca="true">IF(AND(D69="",A69=""),"",IF(NOT(OR(B69="All",AND(B69="GCC",OR('Audit Plan'!$B$11="GCC and EU",'Audit Plan'!$B$11="GCC only")),AND(B69="EU",OR('Audit Plan'!$B$11="GCC and EU",'Audit Plan'!$B$11="EU only")))),"Not in scope",IF(J69&lt;&gt;"","Received",IF(H69="","Not requested",IF(I69="","Requested",IF(I69&lt;TODAY(),"Overdue",IF(I69-TODAY()&lt;='Audit Plan'!$B$15,"Due soon","Requested")))))))</f>
        <v/>
      </c>
    </row>
    <row r="70" customFormat="false" ht="15" hidden="false" customHeight="false" outlineLevel="0" collapsed="false">
      <c r="A70" s="30"/>
      <c r="B70" s="42" t="s">
        <v>203</v>
      </c>
      <c r="C70" s="30"/>
      <c r="D70" s="30"/>
      <c r="E70" s="30"/>
      <c r="F70" s="30"/>
      <c r="G70" s="30"/>
      <c r="H70" s="36"/>
      <c r="I70" s="36"/>
      <c r="J70" s="36"/>
      <c r="K70" s="30"/>
      <c r="L70" s="30"/>
      <c r="M70" s="57" t="str">
        <f aca="true">IF(AND(D70="",A70=""),"",IF(NOT(OR(B70="All",AND(B70="GCC",OR('Audit Plan'!$B$11="GCC and EU",'Audit Plan'!$B$11="GCC only")),AND(B70="EU",OR('Audit Plan'!$B$11="GCC and EU",'Audit Plan'!$B$11="EU only")))),"Not in scope",IF(J70&lt;&gt;"","Received",IF(H70="","Not requested",IF(I70="","Requested",IF(I70&lt;TODAY(),"Overdue",IF(I70-TODAY()&lt;='Audit Plan'!$B$15,"Due soon","Requested")))))))</f>
        <v/>
      </c>
    </row>
    <row r="71" customFormat="false" ht="15" hidden="false" customHeight="false" outlineLevel="0" collapsed="false">
      <c r="A71" s="30"/>
      <c r="B71" s="42" t="s">
        <v>203</v>
      </c>
      <c r="C71" s="30"/>
      <c r="D71" s="30"/>
      <c r="E71" s="30"/>
      <c r="F71" s="30"/>
      <c r="G71" s="30"/>
      <c r="H71" s="36"/>
      <c r="I71" s="36"/>
      <c r="J71" s="36"/>
      <c r="K71" s="30"/>
      <c r="L71" s="30"/>
      <c r="M71" s="57" t="str">
        <f aca="true">IF(AND(D71="",A71=""),"",IF(NOT(OR(B71="All",AND(B71="GCC",OR('Audit Plan'!$B$11="GCC and EU",'Audit Plan'!$B$11="GCC only")),AND(B71="EU",OR('Audit Plan'!$B$11="GCC and EU",'Audit Plan'!$B$11="EU only")))),"Not in scope",IF(J71&lt;&gt;"","Received",IF(H71="","Not requested",IF(I71="","Requested",IF(I71&lt;TODAY(),"Overdue",IF(I71-TODAY()&lt;='Audit Plan'!$B$15,"Due soon","Requested")))))))</f>
        <v/>
      </c>
    </row>
    <row r="72" customFormat="false" ht="15" hidden="false" customHeight="false" outlineLevel="0" collapsed="false">
      <c r="A72" s="30"/>
      <c r="B72" s="42" t="s">
        <v>203</v>
      </c>
      <c r="C72" s="30"/>
      <c r="D72" s="30"/>
      <c r="E72" s="30"/>
      <c r="F72" s="30"/>
      <c r="G72" s="30"/>
      <c r="H72" s="36"/>
      <c r="I72" s="36"/>
      <c r="J72" s="36"/>
      <c r="K72" s="30"/>
      <c r="L72" s="30"/>
      <c r="M72" s="57" t="str">
        <f aca="true">IF(AND(D72="",A72=""),"",IF(NOT(OR(B72="All",AND(B72="GCC",OR('Audit Plan'!$B$11="GCC and EU",'Audit Plan'!$B$11="GCC only")),AND(B72="EU",OR('Audit Plan'!$B$11="GCC and EU",'Audit Plan'!$B$11="EU only")))),"Not in scope",IF(J72&lt;&gt;"","Received",IF(H72="","Not requested",IF(I72="","Requested",IF(I72&lt;TODAY(),"Overdue",IF(I72-TODAY()&lt;='Audit Plan'!$B$15,"Due soon","Requested")))))))</f>
        <v/>
      </c>
    </row>
    <row r="73" customFormat="false" ht="15" hidden="false" customHeight="false" outlineLevel="0" collapsed="false">
      <c r="A73" s="30"/>
      <c r="B73" s="42" t="s">
        <v>203</v>
      </c>
      <c r="C73" s="30"/>
      <c r="D73" s="30"/>
      <c r="E73" s="30"/>
      <c r="F73" s="30"/>
      <c r="G73" s="30"/>
      <c r="H73" s="36"/>
      <c r="I73" s="36"/>
      <c r="J73" s="36"/>
      <c r="K73" s="30"/>
      <c r="L73" s="30"/>
      <c r="M73" s="57" t="str">
        <f aca="true">IF(AND(D73="",A73=""),"",IF(NOT(OR(B73="All",AND(B73="GCC",OR('Audit Plan'!$B$11="GCC and EU",'Audit Plan'!$B$11="GCC only")),AND(B73="EU",OR('Audit Plan'!$B$11="GCC and EU",'Audit Plan'!$B$11="EU only")))),"Not in scope",IF(J73&lt;&gt;"","Received",IF(H73="","Not requested",IF(I73="","Requested",IF(I73&lt;TODAY(),"Overdue",IF(I73-TODAY()&lt;='Audit Plan'!$B$15,"Due soon","Requested")))))))</f>
        <v/>
      </c>
    </row>
    <row r="74" customFormat="false" ht="15" hidden="false" customHeight="false" outlineLevel="0" collapsed="false">
      <c r="A74" s="30"/>
      <c r="B74" s="42" t="s">
        <v>203</v>
      </c>
      <c r="C74" s="30"/>
      <c r="D74" s="30"/>
      <c r="E74" s="30"/>
      <c r="F74" s="30"/>
      <c r="G74" s="30"/>
      <c r="H74" s="36"/>
      <c r="I74" s="36"/>
      <c r="J74" s="36"/>
      <c r="K74" s="30"/>
      <c r="L74" s="30"/>
      <c r="M74" s="57" t="str">
        <f aca="true">IF(AND(D74="",A74=""),"",IF(NOT(OR(B74="All",AND(B74="GCC",OR('Audit Plan'!$B$11="GCC and EU",'Audit Plan'!$B$11="GCC only")),AND(B74="EU",OR('Audit Plan'!$B$11="GCC and EU",'Audit Plan'!$B$11="EU only")))),"Not in scope",IF(J74&lt;&gt;"","Received",IF(H74="","Not requested",IF(I74="","Requested",IF(I74&lt;TODAY(),"Overdue",IF(I74-TODAY()&lt;='Audit Plan'!$B$15,"Due soon","Requested")))))))</f>
        <v/>
      </c>
    </row>
    <row r="75" customFormat="false" ht="15" hidden="false" customHeight="false" outlineLevel="0" collapsed="false">
      <c r="A75" s="30"/>
      <c r="B75" s="42" t="s">
        <v>203</v>
      </c>
      <c r="C75" s="30"/>
      <c r="D75" s="30"/>
      <c r="E75" s="30"/>
      <c r="F75" s="30"/>
      <c r="G75" s="30"/>
      <c r="H75" s="36"/>
      <c r="I75" s="36"/>
      <c r="J75" s="36"/>
      <c r="K75" s="30"/>
      <c r="L75" s="30"/>
      <c r="M75" s="57" t="str">
        <f aca="true">IF(AND(D75="",A75=""),"",IF(NOT(OR(B75="All",AND(B75="GCC",OR('Audit Plan'!$B$11="GCC and EU",'Audit Plan'!$B$11="GCC only")),AND(B75="EU",OR('Audit Plan'!$B$11="GCC and EU",'Audit Plan'!$B$11="EU only")))),"Not in scope",IF(J75&lt;&gt;"","Received",IF(H75="","Not requested",IF(I75="","Requested",IF(I75&lt;TODAY(),"Overdue",IF(I75-TODAY()&lt;='Audit Plan'!$B$15,"Due soon","Requested")))))))</f>
        <v/>
      </c>
    </row>
    <row r="76" customFormat="false" ht="15" hidden="false" customHeight="false" outlineLevel="0" collapsed="false">
      <c r="A76" s="30"/>
      <c r="B76" s="42" t="s">
        <v>203</v>
      </c>
      <c r="C76" s="30"/>
      <c r="D76" s="30"/>
      <c r="E76" s="30"/>
      <c r="F76" s="30"/>
      <c r="G76" s="30"/>
      <c r="H76" s="36"/>
      <c r="I76" s="36"/>
      <c r="J76" s="36"/>
      <c r="K76" s="30"/>
      <c r="L76" s="30"/>
      <c r="M76" s="57" t="str">
        <f aca="true">IF(AND(D76="",A76=""),"",IF(NOT(OR(B76="All",AND(B76="GCC",OR('Audit Plan'!$B$11="GCC and EU",'Audit Plan'!$B$11="GCC only")),AND(B76="EU",OR('Audit Plan'!$B$11="GCC and EU",'Audit Plan'!$B$11="EU only")))),"Not in scope",IF(J76&lt;&gt;"","Received",IF(H76="","Not requested",IF(I76="","Requested",IF(I76&lt;TODAY(),"Overdue",IF(I76-TODAY()&lt;='Audit Plan'!$B$15,"Due soon","Requested")))))))</f>
        <v/>
      </c>
    </row>
    <row r="77" customFormat="false" ht="15" hidden="false" customHeight="false" outlineLevel="0" collapsed="false">
      <c r="A77" s="30"/>
      <c r="B77" s="42" t="s">
        <v>203</v>
      </c>
      <c r="C77" s="30"/>
      <c r="D77" s="30"/>
      <c r="E77" s="30"/>
      <c r="F77" s="30"/>
      <c r="G77" s="30"/>
      <c r="H77" s="36"/>
      <c r="I77" s="36"/>
      <c r="J77" s="36"/>
      <c r="K77" s="30"/>
      <c r="L77" s="30"/>
      <c r="M77" s="57" t="str">
        <f aca="true">IF(AND(D77="",A77=""),"",IF(NOT(OR(B77="All",AND(B77="GCC",OR('Audit Plan'!$B$11="GCC and EU",'Audit Plan'!$B$11="GCC only")),AND(B77="EU",OR('Audit Plan'!$B$11="GCC and EU",'Audit Plan'!$B$11="EU only")))),"Not in scope",IF(J77&lt;&gt;"","Received",IF(H77="","Not requested",IF(I77="","Requested",IF(I77&lt;TODAY(),"Overdue",IF(I77-TODAY()&lt;='Audit Plan'!$B$15,"Due soon","Requested")))))))</f>
        <v/>
      </c>
    </row>
    <row r="78" customFormat="false" ht="15" hidden="false" customHeight="false" outlineLevel="0" collapsed="false">
      <c r="A78" s="30"/>
      <c r="B78" s="42" t="s">
        <v>203</v>
      </c>
      <c r="C78" s="30"/>
      <c r="D78" s="30"/>
      <c r="E78" s="30"/>
      <c r="F78" s="30"/>
      <c r="G78" s="30"/>
      <c r="H78" s="36"/>
      <c r="I78" s="36"/>
      <c r="J78" s="36"/>
      <c r="K78" s="30"/>
      <c r="L78" s="30"/>
      <c r="M78" s="57" t="str">
        <f aca="true">IF(AND(D78="",A78=""),"",IF(NOT(OR(B78="All",AND(B78="GCC",OR('Audit Plan'!$B$11="GCC and EU",'Audit Plan'!$B$11="GCC only")),AND(B78="EU",OR('Audit Plan'!$B$11="GCC and EU",'Audit Plan'!$B$11="EU only")))),"Not in scope",IF(J78&lt;&gt;"","Received",IF(H78="","Not requested",IF(I78="","Requested",IF(I78&lt;TODAY(),"Overdue",IF(I78-TODAY()&lt;='Audit Plan'!$B$15,"Due soon","Requested")))))))</f>
        <v/>
      </c>
    </row>
    <row r="79" customFormat="false" ht="15" hidden="false" customHeight="false" outlineLevel="0" collapsed="false">
      <c r="A79" s="30"/>
      <c r="B79" s="42" t="s">
        <v>203</v>
      </c>
      <c r="C79" s="30"/>
      <c r="D79" s="30"/>
      <c r="E79" s="30"/>
      <c r="F79" s="30"/>
      <c r="G79" s="30"/>
      <c r="H79" s="36"/>
      <c r="I79" s="36"/>
      <c r="J79" s="36"/>
      <c r="K79" s="30"/>
      <c r="L79" s="30"/>
      <c r="M79" s="57" t="str">
        <f aca="true">IF(AND(D79="",A79=""),"",IF(NOT(OR(B79="All",AND(B79="GCC",OR('Audit Plan'!$B$11="GCC and EU",'Audit Plan'!$B$11="GCC only")),AND(B79="EU",OR('Audit Plan'!$B$11="GCC and EU",'Audit Plan'!$B$11="EU only")))),"Not in scope",IF(J79&lt;&gt;"","Received",IF(H79="","Not requested",IF(I79="","Requested",IF(I79&lt;TODAY(),"Overdue",IF(I79-TODAY()&lt;='Audit Plan'!$B$15,"Due soon","Requested")))))))</f>
        <v/>
      </c>
    </row>
    <row r="80" customFormat="false" ht="15" hidden="false" customHeight="false" outlineLevel="0" collapsed="false">
      <c r="A80" s="30"/>
      <c r="B80" s="42" t="s">
        <v>203</v>
      </c>
      <c r="C80" s="30"/>
      <c r="D80" s="30"/>
      <c r="E80" s="30"/>
      <c r="F80" s="30"/>
      <c r="G80" s="30"/>
      <c r="H80" s="36"/>
      <c r="I80" s="36"/>
      <c r="J80" s="36"/>
      <c r="K80" s="30"/>
      <c r="L80" s="30"/>
      <c r="M80" s="57" t="str">
        <f aca="true">IF(AND(D80="",A80=""),"",IF(NOT(OR(B80="All",AND(B80="GCC",OR('Audit Plan'!$B$11="GCC and EU",'Audit Plan'!$B$11="GCC only")),AND(B80="EU",OR('Audit Plan'!$B$11="GCC and EU",'Audit Plan'!$B$11="EU only")))),"Not in scope",IF(J80&lt;&gt;"","Received",IF(H80="","Not requested",IF(I80="","Requested",IF(I80&lt;TODAY(),"Overdue",IF(I80-TODAY()&lt;='Audit Plan'!$B$15,"Due soon","Requested")))))))</f>
        <v/>
      </c>
    </row>
    <row r="81" customFormat="false" ht="15" hidden="false" customHeight="false" outlineLevel="0" collapsed="false">
      <c r="A81" s="30"/>
      <c r="B81" s="42" t="s">
        <v>203</v>
      </c>
      <c r="C81" s="30"/>
      <c r="D81" s="30"/>
      <c r="E81" s="30"/>
      <c r="F81" s="30"/>
      <c r="G81" s="30"/>
      <c r="H81" s="36"/>
      <c r="I81" s="36"/>
      <c r="J81" s="36"/>
      <c r="K81" s="30"/>
      <c r="L81" s="30"/>
      <c r="M81" s="57" t="str">
        <f aca="true">IF(AND(D81="",A81=""),"",IF(NOT(OR(B81="All",AND(B81="GCC",OR('Audit Plan'!$B$11="GCC and EU",'Audit Plan'!$B$11="GCC only")),AND(B81="EU",OR('Audit Plan'!$B$11="GCC and EU",'Audit Plan'!$B$11="EU only")))),"Not in scope",IF(J81&lt;&gt;"","Received",IF(H81="","Not requested",IF(I81="","Requested",IF(I81&lt;TODAY(),"Overdue",IF(I81-TODAY()&lt;='Audit Plan'!$B$15,"Due soon","Requested")))))))</f>
        <v/>
      </c>
    </row>
    <row r="82" customFormat="false" ht="15" hidden="false" customHeight="false" outlineLevel="0" collapsed="false">
      <c r="A82" s="30"/>
      <c r="B82" s="42" t="s">
        <v>203</v>
      </c>
      <c r="C82" s="30"/>
      <c r="D82" s="30"/>
      <c r="E82" s="30"/>
      <c r="F82" s="30"/>
      <c r="G82" s="30"/>
      <c r="H82" s="36"/>
      <c r="I82" s="36"/>
      <c r="J82" s="36"/>
      <c r="K82" s="30"/>
      <c r="L82" s="30"/>
      <c r="M82" s="57" t="str">
        <f aca="true">IF(AND(D82="",A82=""),"",IF(NOT(OR(B82="All",AND(B82="GCC",OR('Audit Plan'!$B$11="GCC and EU",'Audit Plan'!$B$11="GCC only")),AND(B82="EU",OR('Audit Plan'!$B$11="GCC and EU",'Audit Plan'!$B$11="EU only")))),"Not in scope",IF(J82&lt;&gt;"","Received",IF(H82="","Not requested",IF(I82="","Requested",IF(I82&lt;TODAY(),"Overdue",IF(I82-TODAY()&lt;='Audit Plan'!$B$15,"Due soon","Requested")))))))</f>
        <v/>
      </c>
    </row>
    <row r="83" customFormat="false" ht="15" hidden="false" customHeight="false" outlineLevel="0" collapsed="false">
      <c r="A83" s="30"/>
      <c r="B83" s="42" t="s">
        <v>203</v>
      </c>
      <c r="C83" s="30"/>
      <c r="D83" s="30"/>
      <c r="E83" s="30"/>
      <c r="F83" s="30"/>
      <c r="G83" s="30"/>
      <c r="H83" s="36"/>
      <c r="I83" s="36"/>
      <c r="J83" s="36"/>
      <c r="K83" s="30"/>
      <c r="L83" s="30"/>
      <c r="M83" s="57" t="str">
        <f aca="true">IF(AND(D83="",A83=""),"",IF(NOT(OR(B83="All",AND(B83="GCC",OR('Audit Plan'!$B$11="GCC and EU",'Audit Plan'!$B$11="GCC only")),AND(B83="EU",OR('Audit Plan'!$B$11="GCC and EU",'Audit Plan'!$B$11="EU only")))),"Not in scope",IF(J83&lt;&gt;"","Received",IF(H83="","Not requested",IF(I83="","Requested",IF(I83&lt;TODAY(),"Overdue",IF(I83-TODAY()&lt;='Audit Plan'!$B$15,"Due soon","Requested")))))))</f>
        <v/>
      </c>
    </row>
    <row r="84" customFormat="false" ht="15" hidden="false" customHeight="false" outlineLevel="0" collapsed="false">
      <c r="A84" s="30"/>
      <c r="B84" s="42" t="s">
        <v>203</v>
      </c>
      <c r="C84" s="30"/>
      <c r="D84" s="30"/>
      <c r="E84" s="30"/>
      <c r="F84" s="30"/>
      <c r="G84" s="30"/>
      <c r="H84" s="36"/>
      <c r="I84" s="36"/>
      <c r="J84" s="36"/>
      <c r="K84" s="30"/>
      <c r="L84" s="30"/>
      <c r="M84" s="57" t="str">
        <f aca="true">IF(AND(D84="",A84=""),"",IF(NOT(OR(B84="All",AND(B84="GCC",OR('Audit Plan'!$B$11="GCC and EU",'Audit Plan'!$B$11="GCC only")),AND(B84="EU",OR('Audit Plan'!$B$11="GCC and EU",'Audit Plan'!$B$11="EU only")))),"Not in scope",IF(J84&lt;&gt;"","Received",IF(H84="","Not requested",IF(I84="","Requested",IF(I84&lt;TODAY(),"Overdue",IF(I84-TODAY()&lt;='Audit Plan'!$B$15,"Due soon","Requested")))))))</f>
        <v/>
      </c>
    </row>
    <row r="85" customFormat="false" ht="15" hidden="false" customHeight="false" outlineLevel="0" collapsed="false">
      <c r="A85" s="30"/>
      <c r="B85" s="42" t="s">
        <v>203</v>
      </c>
      <c r="C85" s="30"/>
      <c r="D85" s="30"/>
      <c r="E85" s="30"/>
      <c r="F85" s="30"/>
      <c r="G85" s="30"/>
      <c r="H85" s="36"/>
      <c r="I85" s="36"/>
      <c r="J85" s="36"/>
      <c r="K85" s="30"/>
      <c r="L85" s="30"/>
      <c r="M85" s="57" t="str">
        <f aca="true">IF(AND(D85="",A85=""),"",IF(NOT(OR(B85="All",AND(B85="GCC",OR('Audit Plan'!$B$11="GCC and EU",'Audit Plan'!$B$11="GCC only")),AND(B85="EU",OR('Audit Plan'!$B$11="GCC and EU",'Audit Plan'!$B$11="EU only")))),"Not in scope",IF(J85&lt;&gt;"","Received",IF(H85="","Not requested",IF(I85="","Requested",IF(I85&lt;TODAY(),"Overdue",IF(I85-TODAY()&lt;='Audit Plan'!$B$15,"Due soon","Requested")))))))</f>
        <v/>
      </c>
    </row>
    <row r="86" customFormat="false" ht="15" hidden="false" customHeight="false" outlineLevel="0" collapsed="false">
      <c r="A86" s="30"/>
      <c r="B86" s="42" t="s">
        <v>203</v>
      </c>
      <c r="C86" s="30"/>
      <c r="D86" s="30"/>
      <c r="E86" s="30"/>
      <c r="F86" s="30"/>
      <c r="G86" s="30"/>
      <c r="H86" s="36"/>
      <c r="I86" s="36"/>
      <c r="J86" s="36"/>
      <c r="K86" s="30"/>
      <c r="L86" s="30"/>
      <c r="M86" s="57" t="str">
        <f aca="true">IF(AND(D86="",A86=""),"",IF(NOT(OR(B86="All",AND(B86="GCC",OR('Audit Plan'!$B$11="GCC and EU",'Audit Plan'!$B$11="GCC only")),AND(B86="EU",OR('Audit Plan'!$B$11="GCC and EU",'Audit Plan'!$B$11="EU only")))),"Not in scope",IF(J86&lt;&gt;"","Received",IF(H86="","Not requested",IF(I86="","Requested",IF(I86&lt;TODAY(),"Overdue",IF(I86-TODAY()&lt;='Audit Plan'!$B$15,"Due soon","Requested")))))))</f>
        <v/>
      </c>
    </row>
    <row r="87" customFormat="false" ht="15" hidden="false" customHeight="false" outlineLevel="0" collapsed="false">
      <c r="A87" s="30"/>
      <c r="B87" s="42" t="s">
        <v>203</v>
      </c>
      <c r="C87" s="30"/>
      <c r="D87" s="30"/>
      <c r="E87" s="30"/>
      <c r="F87" s="30"/>
      <c r="G87" s="30"/>
      <c r="H87" s="36"/>
      <c r="I87" s="36"/>
      <c r="J87" s="36"/>
      <c r="K87" s="30"/>
      <c r="L87" s="30"/>
      <c r="M87" s="57" t="str">
        <f aca="true">IF(AND(D87="",A87=""),"",IF(NOT(OR(B87="All",AND(B87="GCC",OR('Audit Plan'!$B$11="GCC and EU",'Audit Plan'!$B$11="GCC only")),AND(B87="EU",OR('Audit Plan'!$B$11="GCC and EU",'Audit Plan'!$B$11="EU only")))),"Not in scope",IF(J87&lt;&gt;"","Received",IF(H87="","Not requested",IF(I87="","Requested",IF(I87&lt;TODAY(),"Overdue",IF(I87-TODAY()&lt;='Audit Plan'!$B$15,"Due soon","Requested")))))))</f>
        <v/>
      </c>
    </row>
    <row r="88" customFormat="false" ht="15" hidden="false" customHeight="false" outlineLevel="0" collapsed="false">
      <c r="A88" s="30"/>
      <c r="B88" s="42" t="s">
        <v>203</v>
      </c>
      <c r="C88" s="30"/>
      <c r="D88" s="30"/>
      <c r="E88" s="30"/>
      <c r="F88" s="30"/>
      <c r="G88" s="30"/>
      <c r="H88" s="36"/>
      <c r="I88" s="36"/>
      <c r="J88" s="36"/>
      <c r="K88" s="30"/>
      <c r="L88" s="30"/>
      <c r="M88" s="57" t="str">
        <f aca="true">IF(AND(D88="",A88=""),"",IF(NOT(OR(B88="All",AND(B88="GCC",OR('Audit Plan'!$B$11="GCC and EU",'Audit Plan'!$B$11="GCC only")),AND(B88="EU",OR('Audit Plan'!$B$11="GCC and EU",'Audit Plan'!$B$11="EU only")))),"Not in scope",IF(J88&lt;&gt;"","Received",IF(H88="","Not requested",IF(I88="","Requested",IF(I88&lt;TODAY(),"Overdue",IF(I88-TODAY()&lt;='Audit Plan'!$B$15,"Due soon","Requested")))))))</f>
        <v/>
      </c>
    </row>
    <row r="89" customFormat="false" ht="15" hidden="false" customHeight="false" outlineLevel="0" collapsed="false">
      <c r="A89" s="30"/>
      <c r="B89" s="42" t="s">
        <v>203</v>
      </c>
      <c r="C89" s="30"/>
      <c r="D89" s="30"/>
      <c r="E89" s="30"/>
      <c r="F89" s="30"/>
      <c r="G89" s="30"/>
      <c r="H89" s="36"/>
      <c r="I89" s="36"/>
      <c r="J89" s="36"/>
      <c r="K89" s="30"/>
      <c r="L89" s="30"/>
      <c r="M89" s="57" t="str">
        <f aca="true">IF(AND(D89="",A89=""),"",IF(NOT(OR(B89="All",AND(B89="GCC",OR('Audit Plan'!$B$11="GCC and EU",'Audit Plan'!$B$11="GCC only")),AND(B89="EU",OR('Audit Plan'!$B$11="GCC and EU",'Audit Plan'!$B$11="EU only")))),"Not in scope",IF(J89&lt;&gt;"","Received",IF(H89="","Not requested",IF(I89="","Requested",IF(I89&lt;TODAY(),"Overdue",IF(I89-TODAY()&lt;='Audit Plan'!$B$15,"Due soon","Requested")))))))</f>
        <v/>
      </c>
    </row>
    <row r="90" customFormat="false" ht="15" hidden="false" customHeight="false" outlineLevel="0" collapsed="false">
      <c r="A90" s="30"/>
      <c r="B90" s="42" t="s">
        <v>203</v>
      </c>
      <c r="C90" s="30"/>
      <c r="D90" s="30"/>
      <c r="E90" s="30"/>
      <c r="F90" s="30"/>
      <c r="G90" s="30"/>
      <c r="H90" s="36"/>
      <c r="I90" s="36"/>
      <c r="J90" s="36"/>
      <c r="K90" s="30"/>
      <c r="L90" s="30"/>
      <c r="M90" s="57" t="str">
        <f aca="true">IF(AND(D90="",A90=""),"",IF(NOT(OR(B90="All",AND(B90="GCC",OR('Audit Plan'!$B$11="GCC and EU",'Audit Plan'!$B$11="GCC only")),AND(B90="EU",OR('Audit Plan'!$B$11="GCC and EU",'Audit Plan'!$B$11="EU only")))),"Not in scope",IF(J90&lt;&gt;"","Received",IF(H90="","Not requested",IF(I90="","Requested",IF(I90&lt;TODAY(),"Overdue",IF(I90-TODAY()&lt;='Audit Plan'!$B$15,"Due soon","Requested")))))))</f>
        <v/>
      </c>
    </row>
    <row r="91" customFormat="false" ht="15" hidden="false" customHeight="false" outlineLevel="0" collapsed="false">
      <c r="A91" s="30"/>
      <c r="B91" s="42" t="s">
        <v>203</v>
      </c>
      <c r="C91" s="30"/>
      <c r="D91" s="30"/>
      <c r="E91" s="30"/>
      <c r="F91" s="30"/>
      <c r="G91" s="30"/>
      <c r="H91" s="36"/>
      <c r="I91" s="36"/>
      <c r="J91" s="36"/>
      <c r="K91" s="30"/>
      <c r="L91" s="30"/>
      <c r="M91" s="57" t="str">
        <f aca="true">IF(AND(D91="",A91=""),"",IF(NOT(OR(B91="All",AND(B91="GCC",OR('Audit Plan'!$B$11="GCC and EU",'Audit Plan'!$B$11="GCC only")),AND(B91="EU",OR('Audit Plan'!$B$11="GCC and EU",'Audit Plan'!$B$11="EU only")))),"Not in scope",IF(J91&lt;&gt;"","Received",IF(H91="","Not requested",IF(I91="","Requested",IF(I91&lt;TODAY(),"Overdue",IF(I91-TODAY()&lt;='Audit Plan'!$B$15,"Due soon","Requested")))))))</f>
        <v/>
      </c>
    </row>
    <row r="92" customFormat="false" ht="15" hidden="false" customHeight="false" outlineLevel="0" collapsed="false">
      <c r="A92" s="30"/>
      <c r="B92" s="42" t="s">
        <v>203</v>
      </c>
      <c r="C92" s="30"/>
      <c r="D92" s="30"/>
      <c r="E92" s="30"/>
      <c r="F92" s="30"/>
      <c r="G92" s="30"/>
      <c r="H92" s="36"/>
      <c r="I92" s="36"/>
      <c r="J92" s="36"/>
      <c r="K92" s="30"/>
      <c r="L92" s="30"/>
      <c r="M92" s="57" t="str">
        <f aca="true">IF(AND(D92="",A92=""),"",IF(NOT(OR(B92="All",AND(B92="GCC",OR('Audit Plan'!$B$11="GCC and EU",'Audit Plan'!$B$11="GCC only")),AND(B92="EU",OR('Audit Plan'!$B$11="GCC and EU",'Audit Plan'!$B$11="EU only")))),"Not in scope",IF(J92&lt;&gt;"","Received",IF(H92="","Not requested",IF(I92="","Requested",IF(I92&lt;TODAY(),"Overdue",IF(I92-TODAY()&lt;='Audit Plan'!$B$15,"Due soon","Requested")))))))</f>
        <v/>
      </c>
    </row>
    <row r="93" customFormat="false" ht="15" hidden="false" customHeight="false" outlineLevel="0" collapsed="false">
      <c r="A93" s="30"/>
      <c r="B93" s="42" t="s">
        <v>203</v>
      </c>
      <c r="C93" s="30"/>
      <c r="D93" s="30"/>
      <c r="E93" s="30"/>
      <c r="F93" s="30"/>
      <c r="G93" s="30"/>
      <c r="H93" s="36"/>
      <c r="I93" s="36"/>
      <c r="J93" s="36"/>
      <c r="K93" s="30"/>
      <c r="L93" s="30"/>
      <c r="M93" s="57" t="str">
        <f aca="true">IF(AND(D93="",A93=""),"",IF(NOT(OR(B93="All",AND(B93="GCC",OR('Audit Plan'!$B$11="GCC and EU",'Audit Plan'!$B$11="GCC only")),AND(B93="EU",OR('Audit Plan'!$B$11="GCC and EU",'Audit Plan'!$B$11="EU only")))),"Not in scope",IF(J93&lt;&gt;"","Received",IF(H93="","Not requested",IF(I93="","Requested",IF(I93&lt;TODAY(),"Overdue",IF(I93-TODAY()&lt;='Audit Plan'!$B$15,"Due soon","Requested")))))))</f>
        <v/>
      </c>
    </row>
    <row r="94" customFormat="false" ht="15" hidden="false" customHeight="false" outlineLevel="0" collapsed="false">
      <c r="A94" s="30"/>
      <c r="B94" s="42" t="s">
        <v>203</v>
      </c>
      <c r="C94" s="30"/>
      <c r="D94" s="30"/>
      <c r="E94" s="30"/>
      <c r="F94" s="30"/>
      <c r="G94" s="30"/>
      <c r="H94" s="36"/>
      <c r="I94" s="36"/>
      <c r="J94" s="36"/>
      <c r="K94" s="30"/>
      <c r="L94" s="30"/>
      <c r="M94" s="57" t="str">
        <f aca="true">IF(AND(D94="",A94=""),"",IF(NOT(OR(B94="All",AND(B94="GCC",OR('Audit Plan'!$B$11="GCC and EU",'Audit Plan'!$B$11="GCC only")),AND(B94="EU",OR('Audit Plan'!$B$11="GCC and EU",'Audit Plan'!$B$11="EU only")))),"Not in scope",IF(J94&lt;&gt;"","Received",IF(H94="","Not requested",IF(I94="","Requested",IF(I94&lt;TODAY(),"Overdue",IF(I94-TODAY()&lt;='Audit Plan'!$B$15,"Due soon","Requested")))))))</f>
        <v/>
      </c>
    </row>
    <row r="95" customFormat="false" ht="15" hidden="false" customHeight="false" outlineLevel="0" collapsed="false">
      <c r="A95" s="30"/>
      <c r="B95" s="42" t="s">
        <v>203</v>
      </c>
      <c r="C95" s="30"/>
      <c r="D95" s="30"/>
      <c r="E95" s="30"/>
      <c r="F95" s="30"/>
      <c r="G95" s="30"/>
      <c r="H95" s="36"/>
      <c r="I95" s="36"/>
      <c r="J95" s="36"/>
      <c r="K95" s="30"/>
      <c r="L95" s="30"/>
      <c r="M95" s="57" t="str">
        <f aca="true">IF(AND(D95="",A95=""),"",IF(NOT(OR(B95="All",AND(B95="GCC",OR('Audit Plan'!$B$11="GCC and EU",'Audit Plan'!$B$11="GCC only")),AND(B95="EU",OR('Audit Plan'!$B$11="GCC and EU",'Audit Plan'!$B$11="EU only")))),"Not in scope",IF(J95&lt;&gt;"","Received",IF(H95="","Not requested",IF(I95="","Requested",IF(I95&lt;TODAY(),"Overdue",IF(I95-TODAY()&lt;='Audit Plan'!$B$15,"Due soon","Requested")))))))</f>
        <v/>
      </c>
    </row>
    <row r="96" customFormat="false" ht="15" hidden="false" customHeight="false" outlineLevel="0" collapsed="false">
      <c r="A96" s="30"/>
      <c r="B96" s="42" t="s">
        <v>203</v>
      </c>
      <c r="C96" s="30"/>
      <c r="D96" s="30"/>
      <c r="E96" s="30"/>
      <c r="F96" s="30"/>
      <c r="G96" s="30"/>
      <c r="H96" s="36"/>
      <c r="I96" s="36"/>
      <c r="J96" s="36"/>
      <c r="K96" s="30"/>
      <c r="L96" s="30"/>
      <c r="M96" s="57" t="str">
        <f aca="true">IF(AND(D96="",A96=""),"",IF(NOT(OR(B96="All",AND(B96="GCC",OR('Audit Plan'!$B$11="GCC and EU",'Audit Plan'!$B$11="GCC only")),AND(B96="EU",OR('Audit Plan'!$B$11="GCC and EU",'Audit Plan'!$B$11="EU only")))),"Not in scope",IF(J96&lt;&gt;"","Received",IF(H96="","Not requested",IF(I96="","Requested",IF(I96&lt;TODAY(),"Overdue",IF(I96-TODAY()&lt;='Audit Plan'!$B$15,"Due soon","Requested")))))))</f>
        <v/>
      </c>
    </row>
    <row r="97" customFormat="false" ht="15" hidden="false" customHeight="false" outlineLevel="0" collapsed="false">
      <c r="A97" s="30"/>
      <c r="B97" s="42" t="s">
        <v>203</v>
      </c>
      <c r="C97" s="30"/>
      <c r="D97" s="30"/>
      <c r="E97" s="30"/>
      <c r="F97" s="30"/>
      <c r="G97" s="30"/>
      <c r="H97" s="36"/>
      <c r="I97" s="36"/>
      <c r="J97" s="36"/>
      <c r="K97" s="30"/>
      <c r="L97" s="30"/>
      <c r="M97" s="57" t="str">
        <f aca="true">IF(AND(D97="",A97=""),"",IF(NOT(OR(B97="All",AND(B97="GCC",OR('Audit Plan'!$B$11="GCC and EU",'Audit Plan'!$B$11="GCC only")),AND(B97="EU",OR('Audit Plan'!$B$11="GCC and EU",'Audit Plan'!$B$11="EU only")))),"Not in scope",IF(J97&lt;&gt;"","Received",IF(H97="","Not requested",IF(I97="","Requested",IF(I97&lt;TODAY(),"Overdue",IF(I97-TODAY()&lt;='Audit Plan'!$B$15,"Due soon","Requested")))))))</f>
        <v/>
      </c>
    </row>
    <row r="98" customFormat="false" ht="15" hidden="false" customHeight="false" outlineLevel="0" collapsed="false">
      <c r="A98" s="30"/>
      <c r="B98" s="42" t="s">
        <v>203</v>
      </c>
      <c r="C98" s="30"/>
      <c r="D98" s="30"/>
      <c r="E98" s="30"/>
      <c r="F98" s="30"/>
      <c r="G98" s="30"/>
      <c r="H98" s="36"/>
      <c r="I98" s="36"/>
      <c r="J98" s="36"/>
      <c r="K98" s="30"/>
      <c r="L98" s="30"/>
      <c r="M98" s="57" t="str">
        <f aca="true">IF(AND(D98="",A98=""),"",IF(NOT(OR(B98="All",AND(B98="GCC",OR('Audit Plan'!$B$11="GCC and EU",'Audit Plan'!$B$11="GCC only")),AND(B98="EU",OR('Audit Plan'!$B$11="GCC and EU",'Audit Plan'!$B$11="EU only")))),"Not in scope",IF(J98&lt;&gt;"","Received",IF(H98="","Not requested",IF(I98="","Requested",IF(I98&lt;TODAY(),"Overdue",IF(I98-TODAY()&lt;='Audit Plan'!$B$15,"Due soon","Requested")))))))</f>
        <v/>
      </c>
    </row>
    <row r="99" customFormat="false" ht="15" hidden="false" customHeight="false" outlineLevel="0" collapsed="false">
      <c r="A99" s="30"/>
      <c r="B99" s="42" t="s">
        <v>203</v>
      </c>
      <c r="C99" s="30"/>
      <c r="D99" s="30"/>
      <c r="E99" s="30"/>
      <c r="F99" s="30"/>
      <c r="G99" s="30"/>
      <c r="H99" s="36"/>
      <c r="I99" s="36"/>
      <c r="J99" s="36"/>
      <c r="K99" s="30"/>
      <c r="L99" s="30"/>
      <c r="M99" s="57" t="str">
        <f aca="true">IF(AND(D99="",A99=""),"",IF(NOT(OR(B99="All",AND(B99="GCC",OR('Audit Plan'!$B$11="GCC and EU",'Audit Plan'!$B$11="GCC only")),AND(B99="EU",OR('Audit Plan'!$B$11="GCC and EU",'Audit Plan'!$B$11="EU only")))),"Not in scope",IF(J99&lt;&gt;"","Received",IF(H99="","Not requested",IF(I99="","Requested",IF(I99&lt;TODAY(),"Overdue",IF(I99-TODAY()&lt;='Audit Plan'!$B$15,"Due soon","Requested")))))))</f>
        <v/>
      </c>
    </row>
    <row r="100" customFormat="false" ht="15" hidden="false" customHeight="false" outlineLevel="0" collapsed="false">
      <c r="A100" s="30"/>
      <c r="B100" s="42" t="s">
        <v>203</v>
      </c>
      <c r="C100" s="30"/>
      <c r="D100" s="30"/>
      <c r="E100" s="30"/>
      <c r="F100" s="30"/>
      <c r="G100" s="30"/>
      <c r="H100" s="36"/>
      <c r="I100" s="36"/>
      <c r="J100" s="36"/>
      <c r="K100" s="30"/>
      <c r="L100" s="30"/>
      <c r="M100" s="57" t="str">
        <f aca="true">IF(AND(D100="",A100=""),"",IF(NOT(OR(B100="All",AND(B100="GCC",OR('Audit Plan'!$B$11="GCC and EU",'Audit Plan'!$B$11="GCC only")),AND(B100="EU",OR('Audit Plan'!$B$11="GCC and EU",'Audit Plan'!$B$11="EU only")))),"Not in scope",IF(J100&lt;&gt;"","Received",IF(H100="","Not requested",IF(I100="","Requested",IF(I100&lt;TODAY(),"Overdue",IF(I100-TODAY()&lt;='Audit Plan'!$B$15,"Due soon","Requested")))))))</f>
        <v/>
      </c>
    </row>
    <row r="101" customFormat="false" ht="15" hidden="false" customHeight="false" outlineLevel="0" collapsed="false">
      <c r="A101" s="30"/>
      <c r="B101" s="42" t="s">
        <v>203</v>
      </c>
      <c r="C101" s="30"/>
      <c r="D101" s="30"/>
      <c r="E101" s="30"/>
      <c r="F101" s="30"/>
      <c r="G101" s="30"/>
      <c r="H101" s="36"/>
      <c r="I101" s="36"/>
      <c r="J101" s="36"/>
      <c r="K101" s="30"/>
      <c r="L101" s="30"/>
      <c r="M101" s="57" t="str">
        <f aca="true">IF(AND(D101="",A101=""),"",IF(NOT(OR(B101="All",AND(B101="GCC",OR('Audit Plan'!$B$11="GCC and EU",'Audit Plan'!$B$11="GCC only")),AND(B101="EU",OR('Audit Plan'!$B$11="GCC and EU",'Audit Plan'!$B$11="EU only")))),"Not in scope",IF(J101&lt;&gt;"","Received",IF(H101="","Not requested",IF(I101="","Requested",IF(I101&lt;TODAY(),"Overdue",IF(I101-TODAY()&lt;='Audit Plan'!$B$15,"Due soon","Requested")))))))</f>
        <v/>
      </c>
    </row>
    <row r="102" customFormat="false" ht="15" hidden="false" customHeight="false" outlineLevel="0" collapsed="false">
      <c r="A102" s="30"/>
      <c r="B102" s="42" t="s">
        <v>203</v>
      </c>
      <c r="C102" s="30"/>
      <c r="D102" s="30"/>
      <c r="E102" s="30"/>
      <c r="F102" s="30"/>
      <c r="G102" s="30"/>
      <c r="H102" s="36"/>
      <c r="I102" s="36"/>
      <c r="J102" s="36"/>
      <c r="K102" s="30"/>
      <c r="L102" s="30"/>
      <c r="M102" s="57" t="str">
        <f aca="true">IF(AND(D102="",A102=""),"",IF(NOT(OR(B102="All",AND(B102="GCC",OR('Audit Plan'!$B$11="GCC and EU",'Audit Plan'!$B$11="GCC only")),AND(B102="EU",OR('Audit Plan'!$B$11="GCC and EU",'Audit Plan'!$B$11="EU only")))),"Not in scope",IF(J102&lt;&gt;"","Received",IF(H102="","Not requested",IF(I102="","Requested",IF(I102&lt;TODAY(),"Overdue",IF(I102-TODAY()&lt;='Audit Plan'!$B$15,"Due soon","Requested")))))))</f>
        <v/>
      </c>
    </row>
  </sheetData>
  <autoFilter ref="A4:M102"/>
  <conditionalFormatting sqref="M5:M102">
    <cfRule type="cellIs" priority="2" operator="equal" aboveAverage="0" equalAverage="0" bottom="0" percent="0" rank="0" text="" dxfId="17">
      <formula>"Received"</formula>
    </cfRule>
    <cfRule type="cellIs" priority="3" operator="equal" aboveAverage="0" equalAverage="0" bottom="0" percent="0" rank="0" text="" dxfId="18">
      <formula>"Overdue"</formula>
    </cfRule>
    <cfRule type="cellIs" priority="4" operator="equal" aboveAverage="0" equalAverage="0" bottom="0" percent="0" rank="0" text="" dxfId="24">
      <formula>"Due soon"</formula>
    </cfRule>
    <cfRule type="cellIs" priority="5" operator="equal" aboveAverage="0" equalAverage="0" bottom="0" percent="0" rank="0" text="" dxfId="19">
      <formula>"Requested"</formula>
    </cfRule>
    <cfRule type="cellIs" priority="6" operator="equal" aboveAverage="0" equalAverage="0" bottom="0" percent="0" rank="0" text="" dxfId="23">
      <formula>"Not requested"</formula>
    </cfRule>
    <cfRule type="cellIs" priority="7" operator="equal" aboveAverage="0" equalAverage="0" bottom="0" percent="0" rank="0" text="" dxfId="22">
      <formula>"Not in scope"</formula>
    </cfRule>
  </conditionalFormatting>
  <conditionalFormatting sqref="A5:F102">
    <cfRule type="expression" priority="8" aboveAverage="0" equalAverage="0" bottom="0" percent="0" rank="0" text="" dxfId="25">
      <formula>$M5="Not in scope"</formula>
    </cfRule>
  </conditionalFormatting>
  <dataValidations count="2">
    <dataValidation allowBlank="true" error="Enter a date (for example 2026-10-17)." errorStyle="warning" operator="greaterThan" showDropDown="false" showErrorMessage="true" showInputMessage="false" sqref="H5:J102" type="date">
      <formula1>DATE(2000,1,1)</formula1>
      <formula2>0</formula2>
    </dataValidation>
    <dataValidation allowBlank="true" error="Choose a value from the list (edit the Lists sheet to change the options)." errorStyle="warning" operator="between" showDropDown="false" showErrorMessage="true" showInputMessage="false" sqref="B63:B102" type="list">
      <formula1>"All,GCC,EU"</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0"/>
    <col collapsed="false" customWidth="true" hidden="false" outlineLevel="0" max="5" min="5" style="0" width="10"/>
    <col collapsed="false" customWidth="true" hidden="false" outlineLevel="0" max="7" min="6" style="0" width="34"/>
    <col collapsed="false" customWidth="true" hidden="false" outlineLevel="0" max="8" min="8" style="0" width="18"/>
    <col collapsed="false" customWidth="true" hidden="false" outlineLevel="0" max="9" min="9" style="0" width="12"/>
    <col collapsed="false" customWidth="true" hidden="false" outlineLevel="0" max="10" min="10" style="0" width="15"/>
    <col collapsed="false" customWidth="true" hidden="false" outlineLevel="0" max="11" min="11" style="0" width="12"/>
    <col collapsed="false" customWidth="true" hidden="false" outlineLevel="0" max="12" min="12" style="0" width="16"/>
    <col collapsed="false" customWidth="true" hidden="false" outlineLevel="0" max="13" min="13" style="0" width="14"/>
  </cols>
  <sheetData>
    <row r="1" customFormat="false" ht="30" hidden="false" customHeight="true" outlineLevel="0" collapsed="false">
      <c r="A1" s="1" t="s">
        <v>44</v>
      </c>
      <c r="B1" s="2"/>
      <c r="C1" s="2"/>
      <c r="D1" s="2"/>
      <c r="E1" s="2"/>
      <c r="F1" s="2"/>
      <c r="G1" s="2"/>
      <c r="H1" s="2"/>
      <c r="I1" s="2"/>
      <c r="J1" s="2"/>
      <c r="K1" s="2"/>
      <c r="L1" s="2"/>
      <c r="M1" s="2"/>
    </row>
    <row r="2" customFormat="false" ht="15" hidden="false" customHeight="false" outlineLevel="0" collapsed="false">
      <c r="A2" s="3" t="s">
        <v>804</v>
      </c>
    </row>
    <row r="4" customFormat="false" ht="23.85" hidden="false" customHeight="false" outlineLevel="0" collapsed="false">
      <c r="A4" s="59" t="s">
        <v>188</v>
      </c>
      <c r="B4" s="59" t="s">
        <v>805</v>
      </c>
      <c r="C4" s="59" t="s">
        <v>806</v>
      </c>
      <c r="D4" s="59" t="s">
        <v>807</v>
      </c>
      <c r="E4" s="59" t="s">
        <v>121</v>
      </c>
      <c r="F4" s="59" t="s">
        <v>808</v>
      </c>
      <c r="G4" s="59" t="s">
        <v>809</v>
      </c>
      <c r="H4" s="59" t="s">
        <v>810</v>
      </c>
      <c r="I4" s="59" t="s">
        <v>627</v>
      </c>
      <c r="J4" s="59" t="s">
        <v>190</v>
      </c>
      <c r="K4" s="59" t="s">
        <v>811</v>
      </c>
      <c r="L4" s="59" t="s">
        <v>812</v>
      </c>
      <c r="M4" s="59" t="s">
        <v>813</v>
      </c>
    </row>
    <row r="5" customFormat="false" ht="15" hidden="false" customHeight="false" outlineLevel="0" collapsed="false">
      <c r="A5" s="30" t="s">
        <v>814</v>
      </c>
      <c r="B5" s="30"/>
      <c r="C5" s="30"/>
      <c r="D5" s="30"/>
      <c r="E5" s="30"/>
      <c r="F5" s="30"/>
      <c r="G5" s="30"/>
      <c r="H5" s="30"/>
      <c r="I5" s="36"/>
      <c r="J5" s="30"/>
      <c r="K5" s="36"/>
      <c r="L5" s="30"/>
      <c r="M5" s="57" t="str">
        <f aca="true">IF(C5="","",IF(OR(J5="Closed",J5="Risk accepted"),"Done",IF(I5="","Set due date",IF(I5&lt;TODAY(),"Overdue","On track"))))</f>
        <v/>
      </c>
    </row>
    <row r="6" customFormat="false" ht="15" hidden="false" customHeight="false" outlineLevel="0" collapsed="false">
      <c r="A6" s="30" t="s">
        <v>815</v>
      </c>
      <c r="B6" s="30"/>
      <c r="C6" s="30"/>
      <c r="D6" s="30"/>
      <c r="E6" s="30"/>
      <c r="F6" s="30"/>
      <c r="G6" s="30"/>
      <c r="H6" s="30"/>
      <c r="I6" s="36"/>
      <c r="J6" s="30"/>
      <c r="K6" s="36"/>
      <c r="L6" s="30"/>
      <c r="M6" s="57" t="str">
        <f aca="true">IF(C6="","",IF(OR(J6="Closed",J6="Risk accepted"),"Done",IF(I6="","Set due date",IF(I6&lt;TODAY(),"Overdue","On track"))))</f>
        <v/>
      </c>
    </row>
    <row r="7" customFormat="false" ht="15" hidden="false" customHeight="false" outlineLevel="0" collapsed="false">
      <c r="A7" s="30" t="s">
        <v>816</v>
      </c>
      <c r="B7" s="30"/>
      <c r="C7" s="30"/>
      <c r="D7" s="30"/>
      <c r="E7" s="30"/>
      <c r="F7" s="30"/>
      <c r="G7" s="30"/>
      <c r="H7" s="30"/>
      <c r="I7" s="36"/>
      <c r="J7" s="30"/>
      <c r="K7" s="36"/>
      <c r="L7" s="30"/>
      <c r="M7" s="57" t="str">
        <f aca="true">IF(C7="","",IF(OR(J7="Closed",J7="Risk accepted"),"Done",IF(I7="","Set due date",IF(I7&lt;TODAY(),"Overdue","On track"))))</f>
        <v/>
      </c>
    </row>
    <row r="8" customFormat="false" ht="15" hidden="false" customHeight="false" outlineLevel="0" collapsed="false">
      <c r="A8" s="30" t="s">
        <v>817</v>
      </c>
      <c r="B8" s="30"/>
      <c r="C8" s="30"/>
      <c r="D8" s="30"/>
      <c r="E8" s="30"/>
      <c r="F8" s="30"/>
      <c r="G8" s="30"/>
      <c r="H8" s="30"/>
      <c r="I8" s="36"/>
      <c r="J8" s="30"/>
      <c r="K8" s="36"/>
      <c r="L8" s="30"/>
      <c r="M8" s="57" t="str">
        <f aca="true">IF(C8="","",IF(OR(J8="Closed",J8="Risk accepted"),"Done",IF(I8="","Set due date",IF(I8&lt;TODAY(),"Overdue","On track"))))</f>
        <v/>
      </c>
    </row>
    <row r="9" customFormat="false" ht="15" hidden="false" customHeight="false" outlineLevel="0" collapsed="false">
      <c r="A9" s="30" t="s">
        <v>818</v>
      </c>
      <c r="B9" s="30"/>
      <c r="C9" s="30"/>
      <c r="D9" s="30"/>
      <c r="E9" s="30"/>
      <c r="F9" s="30"/>
      <c r="G9" s="30"/>
      <c r="H9" s="30"/>
      <c r="I9" s="36"/>
      <c r="J9" s="30"/>
      <c r="K9" s="36"/>
      <c r="L9" s="30"/>
      <c r="M9" s="57" t="str">
        <f aca="true">IF(C9="","",IF(OR(J9="Closed",J9="Risk accepted"),"Done",IF(I9="","Set due date",IF(I9&lt;TODAY(),"Overdue","On track"))))</f>
        <v/>
      </c>
    </row>
    <row r="10" customFormat="false" ht="15" hidden="false" customHeight="false" outlineLevel="0" collapsed="false">
      <c r="A10" s="30" t="s">
        <v>819</v>
      </c>
      <c r="B10" s="30"/>
      <c r="C10" s="30"/>
      <c r="D10" s="30"/>
      <c r="E10" s="30"/>
      <c r="F10" s="30"/>
      <c r="G10" s="30"/>
      <c r="H10" s="30"/>
      <c r="I10" s="36"/>
      <c r="J10" s="30"/>
      <c r="K10" s="36"/>
      <c r="L10" s="30"/>
      <c r="M10" s="57" t="str">
        <f aca="true">IF(C10="","",IF(OR(J10="Closed",J10="Risk accepted"),"Done",IF(I10="","Set due date",IF(I10&lt;TODAY(),"Overdue","On track"))))</f>
        <v/>
      </c>
    </row>
    <row r="11" customFormat="false" ht="15" hidden="false" customHeight="false" outlineLevel="0" collapsed="false">
      <c r="A11" s="30" t="s">
        <v>820</v>
      </c>
      <c r="B11" s="30"/>
      <c r="C11" s="30"/>
      <c r="D11" s="30"/>
      <c r="E11" s="30"/>
      <c r="F11" s="30"/>
      <c r="G11" s="30"/>
      <c r="H11" s="30"/>
      <c r="I11" s="36"/>
      <c r="J11" s="30"/>
      <c r="K11" s="36"/>
      <c r="L11" s="30"/>
      <c r="M11" s="57" t="str">
        <f aca="true">IF(C11="","",IF(OR(J11="Closed",J11="Risk accepted"),"Done",IF(I11="","Set due date",IF(I11&lt;TODAY(),"Overdue","On track"))))</f>
        <v/>
      </c>
    </row>
    <row r="12" customFormat="false" ht="15" hidden="false" customHeight="false" outlineLevel="0" collapsed="false">
      <c r="A12" s="30" t="s">
        <v>821</v>
      </c>
      <c r="B12" s="30"/>
      <c r="C12" s="30"/>
      <c r="D12" s="30"/>
      <c r="E12" s="30"/>
      <c r="F12" s="30"/>
      <c r="G12" s="30"/>
      <c r="H12" s="30"/>
      <c r="I12" s="36"/>
      <c r="J12" s="30"/>
      <c r="K12" s="36"/>
      <c r="L12" s="30"/>
      <c r="M12" s="57" t="str">
        <f aca="true">IF(C12="","",IF(OR(J12="Closed",J12="Risk accepted"),"Done",IF(I12="","Set due date",IF(I12&lt;TODAY(),"Overdue","On track"))))</f>
        <v/>
      </c>
    </row>
    <row r="13" customFormat="false" ht="15" hidden="false" customHeight="false" outlineLevel="0" collapsed="false">
      <c r="A13" s="30" t="s">
        <v>822</v>
      </c>
      <c r="B13" s="30"/>
      <c r="C13" s="30"/>
      <c r="D13" s="30"/>
      <c r="E13" s="30"/>
      <c r="F13" s="30"/>
      <c r="G13" s="30"/>
      <c r="H13" s="30"/>
      <c r="I13" s="36"/>
      <c r="J13" s="30"/>
      <c r="K13" s="36"/>
      <c r="L13" s="30"/>
      <c r="M13" s="57" t="str">
        <f aca="true">IF(C13="","",IF(OR(J13="Closed",J13="Risk accepted"),"Done",IF(I13="","Set due date",IF(I13&lt;TODAY(),"Overdue","On track"))))</f>
        <v/>
      </c>
    </row>
    <row r="14" customFormat="false" ht="15" hidden="false" customHeight="false" outlineLevel="0" collapsed="false">
      <c r="A14" s="30" t="s">
        <v>823</v>
      </c>
      <c r="B14" s="30"/>
      <c r="C14" s="30"/>
      <c r="D14" s="30"/>
      <c r="E14" s="30"/>
      <c r="F14" s="30"/>
      <c r="G14" s="30"/>
      <c r="H14" s="30"/>
      <c r="I14" s="36"/>
      <c r="J14" s="30"/>
      <c r="K14" s="36"/>
      <c r="L14" s="30"/>
      <c r="M14" s="57" t="str">
        <f aca="true">IF(C14="","",IF(OR(J14="Closed",J14="Risk accepted"),"Done",IF(I14="","Set due date",IF(I14&lt;TODAY(),"Overdue","On track"))))</f>
        <v/>
      </c>
    </row>
    <row r="15" customFormat="false" ht="15" hidden="false" customHeight="false" outlineLevel="0" collapsed="false">
      <c r="A15" s="30" t="s">
        <v>824</v>
      </c>
      <c r="B15" s="30"/>
      <c r="C15" s="30"/>
      <c r="D15" s="30"/>
      <c r="E15" s="30"/>
      <c r="F15" s="30"/>
      <c r="G15" s="30"/>
      <c r="H15" s="30"/>
      <c r="I15" s="36"/>
      <c r="J15" s="30"/>
      <c r="K15" s="36"/>
      <c r="L15" s="30"/>
      <c r="M15" s="57" t="str">
        <f aca="true">IF(C15="","",IF(OR(J15="Closed",J15="Risk accepted"),"Done",IF(I15="","Set due date",IF(I15&lt;TODAY(),"Overdue","On track"))))</f>
        <v/>
      </c>
    </row>
    <row r="16" customFormat="false" ht="15" hidden="false" customHeight="false" outlineLevel="0" collapsed="false">
      <c r="A16" s="30" t="s">
        <v>825</v>
      </c>
      <c r="B16" s="30"/>
      <c r="C16" s="30"/>
      <c r="D16" s="30"/>
      <c r="E16" s="30"/>
      <c r="F16" s="30"/>
      <c r="G16" s="30"/>
      <c r="H16" s="30"/>
      <c r="I16" s="36"/>
      <c r="J16" s="30"/>
      <c r="K16" s="36"/>
      <c r="L16" s="30"/>
      <c r="M16" s="57" t="str">
        <f aca="true">IF(C16="","",IF(OR(J16="Closed",J16="Risk accepted"),"Done",IF(I16="","Set due date",IF(I16&lt;TODAY(),"Overdue","On track"))))</f>
        <v/>
      </c>
    </row>
    <row r="17" customFormat="false" ht="15" hidden="false" customHeight="false" outlineLevel="0" collapsed="false">
      <c r="A17" s="30" t="s">
        <v>826</v>
      </c>
      <c r="B17" s="30"/>
      <c r="C17" s="30"/>
      <c r="D17" s="30"/>
      <c r="E17" s="30"/>
      <c r="F17" s="30"/>
      <c r="G17" s="30"/>
      <c r="H17" s="30"/>
      <c r="I17" s="36"/>
      <c r="J17" s="30"/>
      <c r="K17" s="36"/>
      <c r="L17" s="30"/>
      <c r="M17" s="57" t="str">
        <f aca="true">IF(C17="","",IF(OR(J17="Closed",J17="Risk accepted"),"Done",IF(I17="","Set due date",IF(I17&lt;TODAY(),"Overdue","On track"))))</f>
        <v/>
      </c>
    </row>
    <row r="18" customFormat="false" ht="15" hidden="false" customHeight="false" outlineLevel="0" collapsed="false">
      <c r="A18" s="30" t="s">
        <v>827</v>
      </c>
      <c r="B18" s="30"/>
      <c r="C18" s="30"/>
      <c r="D18" s="30"/>
      <c r="E18" s="30"/>
      <c r="F18" s="30"/>
      <c r="G18" s="30"/>
      <c r="H18" s="30"/>
      <c r="I18" s="36"/>
      <c r="J18" s="30"/>
      <c r="K18" s="36"/>
      <c r="L18" s="30"/>
      <c r="M18" s="57" t="str">
        <f aca="true">IF(C18="","",IF(OR(J18="Closed",J18="Risk accepted"),"Done",IF(I18="","Set due date",IF(I18&lt;TODAY(),"Overdue","On track"))))</f>
        <v/>
      </c>
    </row>
    <row r="19" customFormat="false" ht="15" hidden="false" customHeight="false" outlineLevel="0" collapsed="false">
      <c r="A19" s="30" t="s">
        <v>828</v>
      </c>
      <c r="B19" s="30"/>
      <c r="C19" s="30"/>
      <c r="D19" s="30"/>
      <c r="E19" s="30"/>
      <c r="F19" s="30"/>
      <c r="G19" s="30"/>
      <c r="H19" s="30"/>
      <c r="I19" s="36"/>
      <c r="J19" s="30"/>
      <c r="K19" s="36"/>
      <c r="L19" s="30"/>
      <c r="M19" s="57" t="str">
        <f aca="true">IF(C19="","",IF(OR(J19="Closed",J19="Risk accepted"),"Done",IF(I19="","Set due date",IF(I19&lt;TODAY(),"Overdue","On track"))))</f>
        <v/>
      </c>
    </row>
    <row r="20" customFormat="false" ht="15" hidden="false" customHeight="false" outlineLevel="0" collapsed="false">
      <c r="A20" s="30" t="s">
        <v>829</v>
      </c>
      <c r="B20" s="30"/>
      <c r="C20" s="30"/>
      <c r="D20" s="30"/>
      <c r="E20" s="30"/>
      <c r="F20" s="30"/>
      <c r="G20" s="30"/>
      <c r="H20" s="30"/>
      <c r="I20" s="36"/>
      <c r="J20" s="30"/>
      <c r="K20" s="36"/>
      <c r="L20" s="30"/>
      <c r="M20" s="57" t="str">
        <f aca="true">IF(C20="","",IF(OR(J20="Closed",J20="Risk accepted"),"Done",IF(I20="","Set due date",IF(I20&lt;TODAY(),"Overdue","On track"))))</f>
        <v/>
      </c>
    </row>
    <row r="21" customFormat="false" ht="15" hidden="false" customHeight="false" outlineLevel="0" collapsed="false">
      <c r="A21" s="30" t="s">
        <v>830</v>
      </c>
      <c r="B21" s="30"/>
      <c r="C21" s="30"/>
      <c r="D21" s="30"/>
      <c r="E21" s="30"/>
      <c r="F21" s="30"/>
      <c r="G21" s="30"/>
      <c r="H21" s="30"/>
      <c r="I21" s="36"/>
      <c r="J21" s="30"/>
      <c r="K21" s="36"/>
      <c r="L21" s="30"/>
      <c r="M21" s="57" t="str">
        <f aca="true">IF(C21="","",IF(OR(J21="Closed",J21="Risk accepted"),"Done",IF(I21="","Set due date",IF(I21&lt;TODAY(),"Overdue","On track"))))</f>
        <v/>
      </c>
    </row>
    <row r="22" customFormat="false" ht="15" hidden="false" customHeight="false" outlineLevel="0" collapsed="false">
      <c r="A22" s="30" t="s">
        <v>831</v>
      </c>
      <c r="B22" s="30"/>
      <c r="C22" s="30"/>
      <c r="D22" s="30"/>
      <c r="E22" s="30"/>
      <c r="F22" s="30"/>
      <c r="G22" s="30"/>
      <c r="H22" s="30"/>
      <c r="I22" s="36"/>
      <c r="J22" s="30"/>
      <c r="K22" s="36"/>
      <c r="L22" s="30"/>
      <c r="M22" s="57" t="str">
        <f aca="true">IF(C22="","",IF(OR(J22="Closed",J22="Risk accepted"),"Done",IF(I22="","Set due date",IF(I22&lt;TODAY(),"Overdue","On track"))))</f>
        <v/>
      </c>
    </row>
    <row r="23" customFormat="false" ht="15" hidden="false" customHeight="false" outlineLevel="0" collapsed="false">
      <c r="A23" s="30" t="s">
        <v>832</v>
      </c>
      <c r="B23" s="30"/>
      <c r="C23" s="30"/>
      <c r="D23" s="30"/>
      <c r="E23" s="30"/>
      <c r="F23" s="30"/>
      <c r="G23" s="30"/>
      <c r="H23" s="30"/>
      <c r="I23" s="36"/>
      <c r="J23" s="30"/>
      <c r="K23" s="36"/>
      <c r="L23" s="30"/>
      <c r="M23" s="57" t="str">
        <f aca="true">IF(C23="","",IF(OR(J23="Closed",J23="Risk accepted"),"Done",IF(I23="","Set due date",IF(I23&lt;TODAY(),"Overdue","On track"))))</f>
        <v/>
      </c>
    </row>
    <row r="24" customFormat="false" ht="15" hidden="false" customHeight="false" outlineLevel="0" collapsed="false">
      <c r="A24" s="30" t="s">
        <v>833</v>
      </c>
      <c r="B24" s="30"/>
      <c r="C24" s="30"/>
      <c r="D24" s="30"/>
      <c r="E24" s="30"/>
      <c r="F24" s="30"/>
      <c r="G24" s="30"/>
      <c r="H24" s="30"/>
      <c r="I24" s="36"/>
      <c r="J24" s="30"/>
      <c r="K24" s="36"/>
      <c r="L24" s="30"/>
      <c r="M24" s="57" t="str">
        <f aca="true">IF(C24="","",IF(OR(J24="Closed",J24="Risk accepted"),"Done",IF(I24="","Set due date",IF(I24&lt;TODAY(),"Overdue","On track"))))</f>
        <v/>
      </c>
    </row>
    <row r="25" customFormat="false" ht="15" hidden="false" customHeight="false" outlineLevel="0" collapsed="false">
      <c r="A25" s="30" t="s">
        <v>834</v>
      </c>
      <c r="B25" s="30"/>
      <c r="C25" s="30"/>
      <c r="D25" s="30"/>
      <c r="E25" s="30"/>
      <c r="F25" s="30"/>
      <c r="G25" s="30"/>
      <c r="H25" s="30"/>
      <c r="I25" s="36"/>
      <c r="J25" s="30"/>
      <c r="K25" s="36"/>
      <c r="L25" s="30"/>
      <c r="M25" s="57" t="str">
        <f aca="true">IF(C25="","",IF(OR(J25="Closed",J25="Risk accepted"),"Done",IF(I25="","Set due date",IF(I25&lt;TODAY(),"Overdue","On track"))))</f>
        <v/>
      </c>
    </row>
    <row r="26" customFormat="false" ht="15" hidden="false" customHeight="false" outlineLevel="0" collapsed="false">
      <c r="A26" s="30" t="s">
        <v>835</v>
      </c>
      <c r="B26" s="30"/>
      <c r="C26" s="30"/>
      <c r="D26" s="30"/>
      <c r="E26" s="30"/>
      <c r="F26" s="30"/>
      <c r="G26" s="30"/>
      <c r="H26" s="30"/>
      <c r="I26" s="36"/>
      <c r="J26" s="30"/>
      <c r="K26" s="36"/>
      <c r="L26" s="30"/>
      <c r="M26" s="57" t="str">
        <f aca="true">IF(C26="","",IF(OR(J26="Closed",J26="Risk accepted"),"Done",IF(I26="","Set due date",IF(I26&lt;TODAY(),"Overdue","On track"))))</f>
        <v/>
      </c>
    </row>
    <row r="27" customFormat="false" ht="15" hidden="false" customHeight="false" outlineLevel="0" collapsed="false">
      <c r="A27" s="30" t="s">
        <v>836</v>
      </c>
      <c r="B27" s="30"/>
      <c r="C27" s="30"/>
      <c r="D27" s="30"/>
      <c r="E27" s="30"/>
      <c r="F27" s="30"/>
      <c r="G27" s="30"/>
      <c r="H27" s="30"/>
      <c r="I27" s="36"/>
      <c r="J27" s="30"/>
      <c r="K27" s="36"/>
      <c r="L27" s="30"/>
      <c r="M27" s="57" t="str">
        <f aca="true">IF(C27="","",IF(OR(J27="Closed",J27="Risk accepted"),"Done",IF(I27="","Set due date",IF(I27&lt;TODAY(),"Overdue","On track"))))</f>
        <v/>
      </c>
    </row>
    <row r="28" customFormat="false" ht="15" hidden="false" customHeight="false" outlineLevel="0" collapsed="false">
      <c r="A28" s="30" t="s">
        <v>837</v>
      </c>
      <c r="B28" s="30"/>
      <c r="C28" s="30"/>
      <c r="D28" s="30"/>
      <c r="E28" s="30"/>
      <c r="F28" s="30"/>
      <c r="G28" s="30"/>
      <c r="H28" s="30"/>
      <c r="I28" s="36"/>
      <c r="J28" s="30"/>
      <c r="K28" s="36"/>
      <c r="L28" s="30"/>
      <c r="M28" s="57" t="str">
        <f aca="true">IF(C28="","",IF(OR(J28="Closed",J28="Risk accepted"),"Done",IF(I28="","Set due date",IF(I28&lt;TODAY(),"Overdue","On track"))))</f>
        <v/>
      </c>
    </row>
    <row r="29" customFormat="false" ht="15" hidden="false" customHeight="false" outlineLevel="0" collapsed="false">
      <c r="A29" s="30" t="s">
        <v>838</v>
      </c>
      <c r="B29" s="30"/>
      <c r="C29" s="30"/>
      <c r="D29" s="30"/>
      <c r="E29" s="30"/>
      <c r="F29" s="30"/>
      <c r="G29" s="30"/>
      <c r="H29" s="30"/>
      <c r="I29" s="36"/>
      <c r="J29" s="30"/>
      <c r="K29" s="36"/>
      <c r="L29" s="30"/>
      <c r="M29" s="57" t="str">
        <f aca="true">IF(C29="","",IF(OR(J29="Closed",J29="Risk accepted"),"Done",IF(I29="","Set due date",IF(I29&lt;TODAY(),"Overdue","On track"))))</f>
        <v/>
      </c>
    </row>
    <row r="30" customFormat="false" ht="15" hidden="false" customHeight="false" outlineLevel="0" collapsed="false">
      <c r="A30" s="30" t="s">
        <v>839</v>
      </c>
      <c r="B30" s="30"/>
      <c r="C30" s="30"/>
      <c r="D30" s="30"/>
      <c r="E30" s="30"/>
      <c r="F30" s="30"/>
      <c r="G30" s="30"/>
      <c r="H30" s="30"/>
      <c r="I30" s="36"/>
      <c r="J30" s="30"/>
      <c r="K30" s="36"/>
      <c r="L30" s="30"/>
      <c r="M30" s="57" t="str">
        <f aca="true">IF(C30="","",IF(OR(J30="Closed",J30="Risk accepted"),"Done",IF(I30="","Set due date",IF(I30&lt;TODAY(),"Overdue","On track"))))</f>
        <v/>
      </c>
    </row>
    <row r="31" customFormat="false" ht="15" hidden="false" customHeight="false" outlineLevel="0" collapsed="false">
      <c r="A31" s="30" t="s">
        <v>840</v>
      </c>
      <c r="B31" s="30"/>
      <c r="C31" s="30"/>
      <c r="D31" s="30"/>
      <c r="E31" s="30"/>
      <c r="F31" s="30"/>
      <c r="G31" s="30"/>
      <c r="H31" s="30"/>
      <c r="I31" s="36"/>
      <c r="J31" s="30"/>
      <c r="K31" s="36"/>
      <c r="L31" s="30"/>
      <c r="M31" s="57" t="str">
        <f aca="true">IF(C31="","",IF(OR(J31="Closed",J31="Risk accepted"),"Done",IF(I31="","Set due date",IF(I31&lt;TODAY(),"Overdue","On track"))))</f>
        <v/>
      </c>
    </row>
    <row r="32" customFormat="false" ht="15" hidden="false" customHeight="false" outlineLevel="0" collapsed="false">
      <c r="A32" s="30" t="s">
        <v>841</v>
      </c>
      <c r="B32" s="30"/>
      <c r="C32" s="30"/>
      <c r="D32" s="30"/>
      <c r="E32" s="30"/>
      <c r="F32" s="30"/>
      <c r="G32" s="30"/>
      <c r="H32" s="30"/>
      <c r="I32" s="36"/>
      <c r="J32" s="30"/>
      <c r="K32" s="36"/>
      <c r="L32" s="30"/>
      <c r="M32" s="57" t="str">
        <f aca="true">IF(C32="","",IF(OR(J32="Closed",J32="Risk accepted"),"Done",IF(I32="","Set due date",IF(I32&lt;TODAY(),"Overdue","On track"))))</f>
        <v/>
      </c>
    </row>
    <row r="33" customFormat="false" ht="15" hidden="false" customHeight="false" outlineLevel="0" collapsed="false">
      <c r="A33" s="30" t="s">
        <v>842</v>
      </c>
      <c r="B33" s="30"/>
      <c r="C33" s="30"/>
      <c r="D33" s="30"/>
      <c r="E33" s="30"/>
      <c r="F33" s="30"/>
      <c r="G33" s="30"/>
      <c r="H33" s="30"/>
      <c r="I33" s="36"/>
      <c r="J33" s="30"/>
      <c r="K33" s="36"/>
      <c r="L33" s="30"/>
      <c r="M33" s="57" t="str">
        <f aca="true">IF(C33="","",IF(OR(J33="Closed",J33="Risk accepted"),"Done",IF(I33="","Set due date",IF(I33&lt;TODAY(),"Overdue","On track"))))</f>
        <v/>
      </c>
    </row>
    <row r="34" customFormat="false" ht="15" hidden="false" customHeight="false" outlineLevel="0" collapsed="false">
      <c r="A34" s="30" t="s">
        <v>843</v>
      </c>
      <c r="B34" s="30"/>
      <c r="C34" s="30"/>
      <c r="D34" s="30"/>
      <c r="E34" s="30"/>
      <c r="F34" s="30"/>
      <c r="G34" s="30"/>
      <c r="H34" s="30"/>
      <c r="I34" s="36"/>
      <c r="J34" s="30"/>
      <c r="K34" s="36"/>
      <c r="L34" s="30"/>
      <c r="M34" s="57" t="str">
        <f aca="true">IF(C34="","",IF(OR(J34="Closed",J34="Risk accepted"),"Done",IF(I34="","Set due date",IF(I34&lt;TODAY(),"Overdue","On track"))))</f>
        <v/>
      </c>
    </row>
    <row r="35" customFormat="false" ht="15" hidden="false" customHeight="false" outlineLevel="0" collapsed="false">
      <c r="A35" s="30" t="s">
        <v>844</v>
      </c>
      <c r="B35" s="30"/>
      <c r="C35" s="30"/>
      <c r="D35" s="30"/>
      <c r="E35" s="30"/>
      <c r="F35" s="30"/>
      <c r="G35" s="30"/>
      <c r="H35" s="30"/>
      <c r="I35" s="36"/>
      <c r="J35" s="30"/>
      <c r="K35" s="36"/>
      <c r="L35" s="30"/>
      <c r="M35" s="57" t="str">
        <f aca="true">IF(C35="","",IF(OR(J35="Closed",J35="Risk accepted"),"Done",IF(I35="","Set due date",IF(I35&lt;TODAY(),"Overdue","On track"))))</f>
        <v/>
      </c>
    </row>
    <row r="36" customFormat="false" ht="15" hidden="false" customHeight="false" outlineLevel="0" collapsed="false">
      <c r="A36" s="30" t="s">
        <v>845</v>
      </c>
      <c r="B36" s="30"/>
      <c r="C36" s="30"/>
      <c r="D36" s="30"/>
      <c r="E36" s="30"/>
      <c r="F36" s="30"/>
      <c r="G36" s="30"/>
      <c r="H36" s="30"/>
      <c r="I36" s="36"/>
      <c r="J36" s="30"/>
      <c r="K36" s="36"/>
      <c r="L36" s="30"/>
      <c r="M36" s="57" t="str">
        <f aca="true">IF(C36="","",IF(OR(J36="Closed",J36="Risk accepted"),"Done",IF(I36="","Set due date",IF(I36&lt;TODAY(),"Overdue","On track"))))</f>
        <v/>
      </c>
    </row>
    <row r="37" customFormat="false" ht="15" hidden="false" customHeight="false" outlineLevel="0" collapsed="false">
      <c r="A37" s="30" t="s">
        <v>846</v>
      </c>
      <c r="B37" s="30"/>
      <c r="C37" s="30"/>
      <c r="D37" s="30"/>
      <c r="E37" s="30"/>
      <c r="F37" s="30"/>
      <c r="G37" s="30"/>
      <c r="H37" s="30"/>
      <c r="I37" s="36"/>
      <c r="J37" s="30"/>
      <c r="K37" s="36"/>
      <c r="L37" s="30"/>
      <c r="M37" s="57" t="str">
        <f aca="true">IF(C37="","",IF(OR(J37="Closed",J37="Risk accepted"),"Done",IF(I37="","Set due date",IF(I37&lt;TODAY(),"Overdue","On track"))))</f>
        <v/>
      </c>
    </row>
    <row r="38" customFormat="false" ht="15" hidden="false" customHeight="false" outlineLevel="0" collapsed="false">
      <c r="A38" s="30" t="s">
        <v>847</v>
      </c>
      <c r="B38" s="30"/>
      <c r="C38" s="30"/>
      <c r="D38" s="30"/>
      <c r="E38" s="30"/>
      <c r="F38" s="30"/>
      <c r="G38" s="30"/>
      <c r="H38" s="30"/>
      <c r="I38" s="36"/>
      <c r="J38" s="30"/>
      <c r="K38" s="36"/>
      <c r="L38" s="30"/>
      <c r="M38" s="57" t="str">
        <f aca="true">IF(C38="","",IF(OR(J38="Closed",J38="Risk accepted"),"Done",IF(I38="","Set due date",IF(I38&lt;TODAY(),"Overdue","On track"))))</f>
        <v/>
      </c>
    </row>
    <row r="39" customFormat="false" ht="15" hidden="false" customHeight="false" outlineLevel="0" collapsed="false">
      <c r="A39" s="30" t="s">
        <v>848</v>
      </c>
      <c r="B39" s="30"/>
      <c r="C39" s="30"/>
      <c r="D39" s="30"/>
      <c r="E39" s="30"/>
      <c r="F39" s="30"/>
      <c r="G39" s="30"/>
      <c r="H39" s="30"/>
      <c r="I39" s="36"/>
      <c r="J39" s="30"/>
      <c r="K39" s="36"/>
      <c r="L39" s="30"/>
      <c r="M39" s="57" t="str">
        <f aca="true">IF(C39="","",IF(OR(J39="Closed",J39="Risk accepted"),"Done",IF(I39="","Set due date",IF(I39&lt;TODAY(),"Overdue","On track"))))</f>
        <v/>
      </c>
    </row>
    <row r="40" customFormat="false" ht="15" hidden="false" customHeight="false" outlineLevel="0" collapsed="false">
      <c r="A40" s="30" t="s">
        <v>849</v>
      </c>
      <c r="B40" s="30"/>
      <c r="C40" s="30"/>
      <c r="D40" s="30"/>
      <c r="E40" s="30"/>
      <c r="F40" s="30"/>
      <c r="G40" s="30"/>
      <c r="H40" s="30"/>
      <c r="I40" s="36"/>
      <c r="J40" s="30"/>
      <c r="K40" s="36"/>
      <c r="L40" s="30"/>
      <c r="M40" s="57" t="str">
        <f aca="true">IF(C40="","",IF(OR(J40="Closed",J40="Risk accepted"),"Done",IF(I40="","Set due date",IF(I40&lt;TODAY(),"Overdue","On track"))))</f>
        <v/>
      </c>
    </row>
    <row r="41" customFormat="false" ht="15" hidden="false" customHeight="false" outlineLevel="0" collapsed="false">
      <c r="A41" s="30" t="s">
        <v>850</v>
      </c>
      <c r="B41" s="30"/>
      <c r="C41" s="30"/>
      <c r="D41" s="30"/>
      <c r="E41" s="30"/>
      <c r="F41" s="30"/>
      <c r="G41" s="30"/>
      <c r="H41" s="30"/>
      <c r="I41" s="36"/>
      <c r="J41" s="30"/>
      <c r="K41" s="36"/>
      <c r="L41" s="30"/>
      <c r="M41" s="57" t="str">
        <f aca="true">IF(C41="","",IF(OR(J41="Closed",J41="Risk accepted"),"Done",IF(I41="","Set due date",IF(I41&lt;TODAY(),"Overdue","On track"))))</f>
        <v/>
      </c>
    </row>
    <row r="42" customFormat="false" ht="15" hidden="false" customHeight="false" outlineLevel="0" collapsed="false">
      <c r="A42" s="30" t="s">
        <v>851</v>
      </c>
      <c r="B42" s="30"/>
      <c r="C42" s="30"/>
      <c r="D42" s="30"/>
      <c r="E42" s="30"/>
      <c r="F42" s="30"/>
      <c r="G42" s="30"/>
      <c r="H42" s="30"/>
      <c r="I42" s="36"/>
      <c r="J42" s="30"/>
      <c r="K42" s="36"/>
      <c r="L42" s="30"/>
      <c r="M42" s="57" t="str">
        <f aca="true">IF(C42="","",IF(OR(J42="Closed",J42="Risk accepted"),"Done",IF(I42="","Set due date",IF(I42&lt;TODAY(),"Overdue","On track"))))</f>
        <v/>
      </c>
    </row>
    <row r="43" customFormat="false" ht="15" hidden="false" customHeight="false" outlineLevel="0" collapsed="false">
      <c r="A43" s="30" t="s">
        <v>852</v>
      </c>
      <c r="B43" s="30"/>
      <c r="C43" s="30"/>
      <c r="D43" s="30"/>
      <c r="E43" s="30"/>
      <c r="F43" s="30"/>
      <c r="G43" s="30"/>
      <c r="H43" s="30"/>
      <c r="I43" s="36"/>
      <c r="J43" s="30"/>
      <c r="K43" s="36"/>
      <c r="L43" s="30"/>
      <c r="M43" s="57" t="str">
        <f aca="true">IF(C43="","",IF(OR(J43="Closed",J43="Risk accepted"),"Done",IF(I43="","Set due date",IF(I43&lt;TODAY(),"Overdue","On track"))))</f>
        <v/>
      </c>
    </row>
    <row r="44" customFormat="false" ht="15" hidden="false" customHeight="false" outlineLevel="0" collapsed="false">
      <c r="A44" s="30" t="s">
        <v>853</v>
      </c>
      <c r="B44" s="30"/>
      <c r="C44" s="30"/>
      <c r="D44" s="30"/>
      <c r="E44" s="30"/>
      <c r="F44" s="30"/>
      <c r="G44" s="30"/>
      <c r="H44" s="30"/>
      <c r="I44" s="36"/>
      <c r="J44" s="30"/>
      <c r="K44" s="36"/>
      <c r="L44" s="30"/>
      <c r="M44" s="57" t="str">
        <f aca="true">IF(C44="","",IF(OR(J44="Closed",J44="Risk accepted"),"Done",IF(I44="","Set due date",IF(I44&lt;TODAY(),"Overdue","On track"))))</f>
        <v/>
      </c>
    </row>
    <row r="45" customFormat="false" ht="15" hidden="false" customHeight="false" outlineLevel="0" collapsed="false">
      <c r="A45" s="30" t="s">
        <v>854</v>
      </c>
      <c r="B45" s="30"/>
      <c r="C45" s="30"/>
      <c r="D45" s="30"/>
      <c r="E45" s="30"/>
      <c r="F45" s="30"/>
      <c r="G45" s="30"/>
      <c r="H45" s="30"/>
      <c r="I45" s="36"/>
      <c r="J45" s="30"/>
      <c r="K45" s="36"/>
      <c r="L45" s="30"/>
      <c r="M45" s="57" t="str">
        <f aca="true">IF(C45="","",IF(OR(J45="Closed",J45="Risk accepted"),"Done",IF(I45="","Set due date",IF(I45&lt;TODAY(),"Overdue","On track"))))</f>
        <v/>
      </c>
    </row>
    <row r="46" customFormat="false" ht="15" hidden="false" customHeight="false" outlineLevel="0" collapsed="false">
      <c r="A46" s="30" t="s">
        <v>855</v>
      </c>
      <c r="B46" s="30"/>
      <c r="C46" s="30"/>
      <c r="D46" s="30"/>
      <c r="E46" s="30"/>
      <c r="F46" s="30"/>
      <c r="G46" s="30"/>
      <c r="H46" s="30"/>
      <c r="I46" s="36"/>
      <c r="J46" s="30"/>
      <c r="K46" s="36"/>
      <c r="L46" s="30"/>
      <c r="M46" s="57" t="str">
        <f aca="true">IF(C46="","",IF(OR(J46="Closed",J46="Risk accepted"),"Done",IF(I46="","Set due date",IF(I46&lt;TODAY(),"Overdue","On track"))))</f>
        <v/>
      </c>
    </row>
    <row r="47" customFormat="false" ht="15" hidden="false" customHeight="false" outlineLevel="0" collapsed="false">
      <c r="A47" s="30" t="s">
        <v>856</v>
      </c>
      <c r="B47" s="30"/>
      <c r="C47" s="30"/>
      <c r="D47" s="30"/>
      <c r="E47" s="30"/>
      <c r="F47" s="30"/>
      <c r="G47" s="30"/>
      <c r="H47" s="30"/>
      <c r="I47" s="36"/>
      <c r="J47" s="30"/>
      <c r="K47" s="36"/>
      <c r="L47" s="30"/>
      <c r="M47" s="57" t="str">
        <f aca="true">IF(C47="","",IF(OR(J47="Closed",J47="Risk accepted"),"Done",IF(I47="","Set due date",IF(I47&lt;TODAY(),"Overdue","On track"))))</f>
        <v/>
      </c>
    </row>
    <row r="48" customFormat="false" ht="15" hidden="false" customHeight="false" outlineLevel="0" collapsed="false">
      <c r="A48" s="30" t="s">
        <v>857</v>
      </c>
      <c r="B48" s="30"/>
      <c r="C48" s="30"/>
      <c r="D48" s="30"/>
      <c r="E48" s="30"/>
      <c r="F48" s="30"/>
      <c r="G48" s="30"/>
      <c r="H48" s="30"/>
      <c r="I48" s="36"/>
      <c r="J48" s="30"/>
      <c r="K48" s="36"/>
      <c r="L48" s="30"/>
      <c r="M48" s="57" t="str">
        <f aca="true">IF(C48="","",IF(OR(J48="Closed",J48="Risk accepted"),"Done",IF(I48="","Set due date",IF(I48&lt;TODAY(),"Overdue","On track"))))</f>
        <v/>
      </c>
    </row>
    <row r="49" customFormat="false" ht="15" hidden="false" customHeight="false" outlineLevel="0" collapsed="false">
      <c r="A49" s="30" t="s">
        <v>858</v>
      </c>
      <c r="B49" s="30"/>
      <c r="C49" s="30"/>
      <c r="D49" s="30"/>
      <c r="E49" s="30"/>
      <c r="F49" s="30"/>
      <c r="G49" s="30"/>
      <c r="H49" s="30"/>
      <c r="I49" s="36"/>
      <c r="J49" s="30"/>
      <c r="K49" s="36"/>
      <c r="L49" s="30"/>
      <c r="M49" s="57" t="str">
        <f aca="true">IF(C49="","",IF(OR(J49="Closed",J49="Risk accepted"),"Done",IF(I49="","Set due date",IF(I49&lt;TODAY(),"Overdue","On track"))))</f>
        <v/>
      </c>
    </row>
    <row r="50" customFormat="false" ht="15" hidden="false" customHeight="false" outlineLevel="0" collapsed="false">
      <c r="A50" s="30" t="s">
        <v>859</v>
      </c>
      <c r="B50" s="30"/>
      <c r="C50" s="30"/>
      <c r="D50" s="30"/>
      <c r="E50" s="30"/>
      <c r="F50" s="30"/>
      <c r="G50" s="30"/>
      <c r="H50" s="30"/>
      <c r="I50" s="36"/>
      <c r="J50" s="30"/>
      <c r="K50" s="36"/>
      <c r="L50" s="30"/>
      <c r="M50" s="57" t="str">
        <f aca="true">IF(C50="","",IF(OR(J50="Closed",J50="Risk accepted"),"Done",IF(I50="","Set due date",IF(I50&lt;TODAY(),"Overdue","On track"))))</f>
        <v/>
      </c>
    </row>
    <row r="51" customFormat="false" ht="15" hidden="false" customHeight="false" outlineLevel="0" collapsed="false">
      <c r="A51" s="30" t="s">
        <v>860</v>
      </c>
      <c r="B51" s="30"/>
      <c r="C51" s="30"/>
      <c r="D51" s="30"/>
      <c r="E51" s="30"/>
      <c r="F51" s="30"/>
      <c r="G51" s="30"/>
      <c r="H51" s="30"/>
      <c r="I51" s="36"/>
      <c r="J51" s="30"/>
      <c r="K51" s="36"/>
      <c r="L51" s="30"/>
      <c r="M51" s="57" t="str">
        <f aca="true">IF(C51="","",IF(OR(J51="Closed",J51="Risk accepted"),"Done",IF(I51="","Set due date",IF(I51&lt;TODAY(),"Overdue","On track"))))</f>
        <v/>
      </c>
    </row>
    <row r="52" customFormat="false" ht="15" hidden="false" customHeight="false" outlineLevel="0" collapsed="false">
      <c r="A52" s="30" t="s">
        <v>861</v>
      </c>
      <c r="B52" s="30"/>
      <c r="C52" s="30"/>
      <c r="D52" s="30"/>
      <c r="E52" s="30"/>
      <c r="F52" s="30"/>
      <c r="G52" s="30"/>
      <c r="H52" s="30"/>
      <c r="I52" s="36"/>
      <c r="J52" s="30"/>
      <c r="K52" s="36"/>
      <c r="L52" s="30"/>
      <c r="M52" s="57" t="str">
        <f aca="true">IF(C52="","",IF(OR(J52="Closed",J52="Risk accepted"),"Done",IF(I52="","Set due date",IF(I52&lt;TODAY(),"Overdue","On track"))))</f>
        <v/>
      </c>
    </row>
    <row r="53" customFormat="false" ht="15" hidden="false" customHeight="false" outlineLevel="0" collapsed="false">
      <c r="A53" s="30" t="s">
        <v>862</v>
      </c>
      <c r="B53" s="30"/>
      <c r="C53" s="30"/>
      <c r="D53" s="30"/>
      <c r="E53" s="30"/>
      <c r="F53" s="30"/>
      <c r="G53" s="30"/>
      <c r="H53" s="30"/>
      <c r="I53" s="36"/>
      <c r="J53" s="30"/>
      <c r="K53" s="36"/>
      <c r="L53" s="30"/>
      <c r="M53" s="57" t="str">
        <f aca="true">IF(C53="","",IF(OR(J53="Closed",J53="Risk accepted"),"Done",IF(I53="","Set due date",IF(I53&lt;TODAY(),"Overdue","On track"))))</f>
        <v/>
      </c>
    </row>
    <row r="54" customFormat="false" ht="15" hidden="false" customHeight="false" outlineLevel="0" collapsed="false">
      <c r="A54" s="30" t="s">
        <v>863</v>
      </c>
      <c r="B54" s="30"/>
      <c r="C54" s="30"/>
      <c r="D54" s="30"/>
      <c r="E54" s="30"/>
      <c r="F54" s="30"/>
      <c r="G54" s="30"/>
      <c r="H54" s="30"/>
      <c r="I54" s="36"/>
      <c r="J54" s="30"/>
      <c r="K54" s="36"/>
      <c r="L54" s="30"/>
      <c r="M54" s="57" t="str">
        <f aca="true">IF(C54="","",IF(OR(J54="Closed",J54="Risk accepted"),"Done",IF(I54="","Set due date",IF(I54&lt;TODAY(),"Overdue","On track"))))</f>
        <v/>
      </c>
    </row>
    <row r="55" customFormat="false" ht="15" hidden="false" customHeight="false" outlineLevel="0" collapsed="false">
      <c r="A55" s="30" t="s">
        <v>864</v>
      </c>
      <c r="B55" s="30"/>
      <c r="C55" s="30"/>
      <c r="D55" s="30"/>
      <c r="E55" s="30"/>
      <c r="F55" s="30"/>
      <c r="G55" s="30"/>
      <c r="H55" s="30"/>
      <c r="I55" s="36"/>
      <c r="J55" s="30"/>
      <c r="K55" s="36"/>
      <c r="L55" s="30"/>
      <c r="M55" s="57" t="str">
        <f aca="true">IF(C55="","",IF(OR(J55="Closed",J55="Risk accepted"),"Done",IF(I55="","Set due date",IF(I55&lt;TODAY(),"Overdue","On track"))))</f>
        <v/>
      </c>
    </row>
    <row r="56" customFormat="false" ht="15" hidden="false" customHeight="false" outlineLevel="0" collapsed="false">
      <c r="A56" s="30" t="s">
        <v>865</v>
      </c>
      <c r="B56" s="30"/>
      <c r="C56" s="30"/>
      <c r="D56" s="30"/>
      <c r="E56" s="30"/>
      <c r="F56" s="30"/>
      <c r="G56" s="30"/>
      <c r="H56" s="30"/>
      <c r="I56" s="36"/>
      <c r="J56" s="30"/>
      <c r="K56" s="36"/>
      <c r="L56" s="30"/>
      <c r="M56" s="57" t="str">
        <f aca="true">IF(C56="","",IF(OR(J56="Closed",J56="Risk accepted"),"Done",IF(I56="","Set due date",IF(I56&lt;TODAY(),"Overdue","On track"))))</f>
        <v/>
      </c>
    </row>
    <row r="57" customFormat="false" ht="15" hidden="false" customHeight="false" outlineLevel="0" collapsed="false">
      <c r="A57" s="30" t="s">
        <v>866</v>
      </c>
      <c r="B57" s="30"/>
      <c r="C57" s="30"/>
      <c r="D57" s="30"/>
      <c r="E57" s="30"/>
      <c r="F57" s="30"/>
      <c r="G57" s="30"/>
      <c r="H57" s="30"/>
      <c r="I57" s="36"/>
      <c r="J57" s="30"/>
      <c r="K57" s="36"/>
      <c r="L57" s="30"/>
      <c r="M57" s="57" t="str">
        <f aca="true">IF(C57="","",IF(OR(J57="Closed",J57="Risk accepted"),"Done",IF(I57="","Set due date",IF(I57&lt;TODAY(),"Overdue","On track"))))</f>
        <v/>
      </c>
    </row>
    <row r="58" customFormat="false" ht="15" hidden="false" customHeight="false" outlineLevel="0" collapsed="false">
      <c r="A58" s="30" t="s">
        <v>867</v>
      </c>
      <c r="B58" s="30"/>
      <c r="C58" s="30"/>
      <c r="D58" s="30"/>
      <c r="E58" s="30"/>
      <c r="F58" s="30"/>
      <c r="G58" s="30"/>
      <c r="H58" s="30"/>
      <c r="I58" s="36"/>
      <c r="J58" s="30"/>
      <c r="K58" s="36"/>
      <c r="L58" s="30"/>
      <c r="M58" s="57" t="str">
        <f aca="true">IF(C58="","",IF(OR(J58="Closed",J58="Risk accepted"),"Done",IF(I58="","Set due date",IF(I58&lt;TODAY(),"Overdue","On track"))))</f>
        <v/>
      </c>
    </row>
    <row r="59" customFormat="false" ht="15" hidden="false" customHeight="false" outlineLevel="0" collapsed="false">
      <c r="A59" s="30" t="s">
        <v>868</v>
      </c>
      <c r="B59" s="30"/>
      <c r="C59" s="30"/>
      <c r="D59" s="30"/>
      <c r="E59" s="30"/>
      <c r="F59" s="30"/>
      <c r="G59" s="30"/>
      <c r="H59" s="30"/>
      <c r="I59" s="36"/>
      <c r="J59" s="30"/>
      <c r="K59" s="36"/>
      <c r="L59" s="30"/>
      <c r="M59" s="57" t="str">
        <f aca="true">IF(C59="","",IF(OR(J59="Closed",J59="Risk accepted"),"Done",IF(I59="","Set due date",IF(I59&lt;TODAY(),"Overdue","On track"))))</f>
        <v/>
      </c>
    </row>
    <row r="60" customFormat="false" ht="15" hidden="false" customHeight="false" outlineLevel="0" collapsed="false">
      <c r="A60" s="30" t="s">
        <v>869</v>
      </c>
      <c r="B60" s="30"/>
      <c r="C60" s="30"/>
      <c r="D60" s="30"/>
      <c r="E60" s="30"/>
      <c r="F60" s="30"/>
      <c r="G60" s="30"/>
      <c r="H60" s="30"/>
      <c r="I60" s="36"/>
      <c r="J60" s="30"/>
      <c r="K60" s="36"/>
      <c r="L60" s="30"/>
      <c r="M60" s="57" t="str">
        <f aca="true">IF(C60="","",IF(OR(J60="Closed",J60="Risk accepted"),"Done",IF(I60="","Set due date",IF(I60&lt;TODAY(),"Overdue","On track"))))</f>
        <v/>
      </c>
    </row>
    <row r="61" customFormat="false" ht="15" hidden="false" customHeight="false" outlineLevel="0" collapsed="false">
      <c r="A61" s="30" t="s">
        <v>870</v>
      </c>
      <c r="B61" s="30"/>
      <c r="C61" s="30"/>
      <c r="D61" s="30"/>
      <c r="E61" s="30"/>
      <c r="F61" s="30"/>
      <c r="G61" s="30"/>
      <c r="H61" s="30"/>
      <c r="I61" s="36"/>
      <c r="J61" s="30"/>
      <c r="K61" s="36"/>
      <c r="L61" s="30"/>
      <c r="M61" s="57" t="str">
        <f aca="true">IF(C61="","",IF(OR(J61="Closed",J61="Risk accepted"),"Done",IF(I61="","Set due date",IF(I61&lt;TODAY(),"Overdue","On track"))))</f>
        <v/>
      </c>
    </row>
    <row r="62" customFormat="false" ht="15" hidden="false" customHeight="false" outlineLevel="0" collapsed="false">
      <c r="A62" s="30" t="s">
        <v>871</v>
      </c>
      <c r="B62" s="30"/>
      <c r="C62" s="30"/>
      <c r="D62" s="30"/>
      <c r="E62" s="30"/>
      <c r="F62" s="30"/>
      <c r="G62" s="30"/>
      <c r="H62" s="30"/>
      <c r="I62" s="36"/>
      <c r="J62" s="30"/>
      <c r="K62" s="36"/>
      <c r="L62" s="30"/>
      <c r="M62" s="57" t="str">
        <f aca="true">IF(C62="","",IF(OR(J62="Closed",J62="Risk accepted"),"Done",IF(I62="","Set due date",IF(I62&lt;TODAY(),"Overdue","On track"))))</f>
        <v/>
      </c>
    </row>
    <row r="63" customFormat="false" ht="15" hidden="false" customHeight="false" outlineLevel="0" collapsed="false">
      <c r="A63" s="30" t="s">
        <v>872</v>
      </c>
      <c r="B63" s="30"/>
      <c r="C63" s="30"/>
      <c r="D63" s="30"/>
      <c r="E63" s="30"/>
      <c r="F63" s="30"/>
      <c r="G63" s="30"/>
      <c r="H63" s="30"/>
      <c r="I63" s="36"/>
      <c r="J63" s="30"/>
      <c r="K63" s="36"/>
      <c r="L63" s="30"/>
      <c r="M63" s="57" t="str">
        <f aca="true">IF(C63="","",IF(OR(J63="Closed",J63="Risk accepted"),"Done",IF(I63="","Set due date",IF(I63&lt;TODAY(),"Overdue","On track"))))</f>
        <v/>
      </c>
    </row>
    <row r="64" customFormat="false" ht="15" hidden="false" customHeight="false" outlineLevel="0" collapsed="false">
      <c r="A64" s="30" t="s">
        <v>873</v>
      </c>
      <c r="B64" s="30"/>
      <c r="C64" s="30"/>
      <c r="D64" s="30"/>
      <c r="E64" s="30"/>
      <c r="F64" s="30"/>
      <c r="G64" s="30"/>
      <c r="H64" s="30"/>
      <c r="I64" s="36"/>
      <c r="J64" s="30"/>
      <c r="K64" s="36"/>
      <c r="L64" s="30"/>
      <c r="M64" s="57" t="str">
        <f aca="true">IF(C64="","",IF(OR(J64="Closed",J64="Risk accepted"),"Done",IF(I64="","Set due date",IF(I64&lt;TODAY(),"Overdue","On track"))))</f>
        <v/>
      </c>
    </row>
    <row r="65" customFormat="false" ht="15" hidden="false" customHeight="false" outlineLevel="0" collapsed="false">
      <c r="A65" s="30" t="s">
        <v>874</v>
      </c>
      <c r="B65" s="30"/>
      <c r="C65" s="30"/>
      <c r="D65" s="30"/>
      <c r="E65" s="30"/>
      <c r="F65" s="30"/>
      <c r="G65" s="30"/>
      <c r="H65" s="30"/>
      <c r="I65" s="36"/>
      <c r="J65" s="30"/>
      <c r="K65" s="36"/>
      <c r="L65" s="30"/>
      <c r="M65" s="57" t="str">
        <f aca="true">IF(C65="","",IF(OR(J65="Closed",J65="Risk accepted"),"Done",IF(I65="","Set due date",IF(I65&lt;TODAY(),"Overdue","On track"))))</f>
        <v/>
      </c>
    </row>
    <row r="66" customFormat="false" ht="15" hidden="false" customHeight="false" outlineLevel="0" collapsed="false">
      <c r="A66" s="30" t="s">
        <v>875</v>
      </c>
      <c r="B66" s="30"/>
      <c r="C66" s="30"/>
      <c r="D66" s="30"/>
      <c r="E66" s="30"/>
      <c r="F66" s="30"/>
      <c r="G66" s="30"/>
      <c r="H66" s="30"/>
      <c r="I66" s="36"/>
      <c r="J66" s="30"/>
      <c r="K66" s="36"/>
      <c r="L66" s="30"/>
      <c r="M66" s="57" t="str">
        <f aca="true">IF(C66="","",IF(OR(J66="Closed",J66="Risk accepted"),"Done",IF(I66="","Set due date",IF(I66&lt;TODAY(),"Overdue","On track"))))</f>
        <v/>
      </c>
    </row>
    <row r="67" customFormat="false" ht="15" hidden="false" customHeight="false" outlineLevel="0" collapsed="false">
      <c r="A67" s="30" t="s">
        <v>876</v>
      </c>
      <c r="B67" s="30"/>
      <c r="C67" s="30"/>
      <c r="D67" s="30"/>
      <c r="E67" s="30"/>
      <c r="F67" s="30"/>
      <c r="G67" s="30"/>
      <c r="H67" s="30"/>
      <c r="I67" s="36"/>
      <c r="J67" s="30"/>
      <c r="K67" s="36"/>
      <c r="L67" s="30"/>
      <c r="M67" s="57" t="str">
        <f aca="true">IF(C67="","",IF(OR(J67="Closed",J67="Risk accepted"),"Done",IF(I67="","Set due date",IF(I67&lt;TODAY(),"Overdue","On track"))))</f>
        <v/>
      </c>
    </row>
    <row r="68" customFormat="false" ht="15" hidden="false" customHeight="false" outlineLevel="0" collapsed="false">
      <c r="A68" s="30" t="s">
        <v>877</v>
      </c>
      <c r="B68" s="30"/>
      <c r="C68" s="30"/>
      <c r="D68" s="30"/>
      <c r="E68" s="30"/>
      <c r="F68" s="30"/>
      <c r="G68" s="30"/>
      <c r="H68" s="30"/>
      <c r="I68" s="36"/>
      <c r="J68" s="30"/>
      <c r="K68" s="36"/>
      <c r="L68" s="30"/>
      <c r="M68" s="57" t="str">
        <f aca="true">IF(C68="","",IF(OR(J68="Closed",J68="Risk accepted"),"Done",IF(I68="","Set due date",IF(I68&lt;TODAY(),"Overdue","On track"))))</f>
        <v/>
      </c>
    </row>
    <row r="69" customFormat="false" ht="15" hidden="false" customHeight="false" outlineLevel="0" collapsed="false">
      <c r="A69" s="30" t="s">
        <v>878</v>
      </c>
      <c r="B69" s="30"/>
      <c r="C69" s="30"/>
      <c r="D69" s="30"/>
      <c r="E69" s="30"/>
      <c r="F69" s="30"/>
      <c r="G69" s="30"/>
      <c r="H69" s="30"/>
      <c r="I69" s="36"/>
      <c r="J69" s="30"/>
      <c r="K69" s="36"/>
      <c r="L69" s="30"/>
      <c r="M69" s="57" t="str">
        <f aca="true">IF(C69="","",IF(OR(J69="Closed",J69="Risk accepted"),"Done",IF(I69="","Set due date",IF(I69&lt;TODAY(),"Overdue","On track"))))</f>
        <v/>
      </c>
    </row>
    <row r="70" customFormat="false" ht="15" hidden="false" customHeight="false" outlineLevel="0" collapsed="false">
      <c r="A70" s="30" t="s">
        <v>879</v>
      </c>
      <c r="B70" s="30"/>
      <c r="C70" s="30"/>
      <c r="D70" s="30"/>
      <c r="E70" s="30"/>
      <c r="F70" s="30"/>
      <c r="G70" s="30"/>
      <c r="H70" s="30"/>
      <c r="I70" s="36"/>
      <c r="J70" s="30"/>
      <c r="K70" s="36"/>
      <c r="L70" s="30"/>
      <c r="M70" s="57" t="str">
        <f aca="true">IF(C70="","",IF(OR(J70="Closed",J70="Risk accepted"),"Done",IF(I70="","Set due date",IF(I70&lt;TODAY(),"Overdue","On track"))))</f>
        <v/>
      </c>
    </row>
    <row r="71" customFormat="false" ht="15" hidden="false" customHeight="false" outlineLevel="0" collapsed="false">
      <c r="A71" s="30" t="s">
        <v>880</v>
      </c>
      <c r="B71" s="30"/>
      <c r="C71" s="30"/>
      <c r="D71" s="30"/>
      <c r="E71" s="30"/>
      <c r="F71" s="30"/>
      <c r="G71" s="30"/>
      <c r="H71" s="30"/>
      <c r="I71" s="36"/>
      <c r="J71" s="30"/>
      <c r="K71" s="36"/>
      <c r="L71" s="30"/>
      <c r="M71" s="57" t="str">
        <f aca="true">IF(C71="","",IF(OR(J71="Closed",J71="Risk accepted"),"Done",IF(I71="","Set due date",IF(I71&lt;TODAY(),"Overdue","On track"))))</f>
        <v/>
      </c>
    </row>
    <row r="72" customFormat="false" ht="15" hidden="false" customHeight="false" outlineLevel="0" collapsed="false">
      <c r="A72" s="30" t="s">
        <v>881</v>
      </c>
      <c r="B72" s="30"/>
      <c r="C72" s="30"/>
      <c r="D72" s="30"/>
      <c r="E72" s="30"/>
      <c r="F72" s="30"/>
      <c r="G72" s="30"/>
      <c r="H72" s="30"/>
      <c r="I72" s="36"/>
      <c r="J72" s="30"/>
      <c r="K72" s="36"/>
      <c r="L72" s="30"/>
      <c r="M72" s="57" t="str">
        <f aca="true">IF(C72="","",IF(OR(J72="Closed",J72="Risk accepted"),"Done",IF(I72="","Set due date",IF(I72&lt;TODAY(),"Overdue","On track"))))</f>
        <v/>
      </c>
    </row>
    <row r="73" customFormat="false" ht="15" hidden="false" customHeight="false" outlineLevel="0" collapsed="false">
      <c r="A73" s="30" t="s">
        <v>882</v>
      </c>
      <c r="B73" s="30"/>
      <c r="C73" s="30"/>
      <c r="D73" s="30"/>
      <c r="E73" s="30"/>
      <c r="F73" s="30"/>
      <c r="G73" s="30"/>
      <c r="H73" s="30"/>
      <c r="I73" s="36"/>
      <c r="J73" s="30"/>
      <c r="K73" s="36"/>
      <c r="L73" s="30"/>
      <c r="M73" s="57" t="str">
        <f aca="true">IF(C73="","",IF(OR(J73="Closed",J73="Risk accepted"),"Done",IF(I73="","Set due date",IF(I73&lt;TODAY(),"Overdue","On track"))))</f>
        <v/>
      </c>
    </row>
    <row r="74" customFormat="false" ht="15" hidden="false" customHeight="false" outlineLevel="0" collapsed="false">
      <c r="A74" s="30" t="s">
        <v>883</v>
      </c>
      <c r="B74" s="30"/>
      <c r="C74" s="30"/>
      <c r="D74" s="30"/>
      <c r="E74" s="30"/>
      <c r="F74" s="30"/>
      <c r="G74" s="30"/>
      <c r="H74" s="30"/>
      <c r="I74" s="36"/>
      <c r="J74" s="30"/>
      <c r="K74" s="36"/>
      <c r="L74" s="30"/>
      <c r="M74" s="57" t="str">
        <f aca="true">IF(C74="","",IF(OR(J74="Closed",J74="Risk accepted"),"Done",IF(I74="","Set due date",IF(I74&lt;TODAY(),"Overdue","On track"))))</f>
        <v/>
      </c>
    </row>
    <row r="75" customFormat="false" ht="15" hidden="false" customHeight="false" outlineLevel="0" collapsed="false">
      <c r="A75" s="30" t="s">
        <v>884</v>
      </c>
      <c r="B75" s="30"/>
      <c r="C75" s="30"/>
      <c r="D75" s="30"/>
      <c r="E75" s="30"/>
      <c r="F75" s="30"/>
      <c r="G75" s="30"/>
      <c r="H75" s="30"/>
      <c r="I75" s="36"/>
      <c r="J75" s="30"/>
      <c r="K75" s="36"/>
      <c r="L75" s="30"/>
      <c r="M75" s="57" t="str">
        <f aca="true">IF(C75="","",IF(OR(J75="Closed",J75="Risk accepted"),"Done",IF(I75="","Set due date",IF(I75&lt;TODAY(),"Overdue","On track"))))</f>
        <v/>
      </c>
    </row>
    <row r="76" customFormat="false" ht="15" hidden="false" customHeight="false" outlineLevel="0" collapsed="false">
      <c r="A76" s="30" t="s">
        <v>885</v>
      </c>
      <c r="B76" s="30"/>
      <c r="C76" s="30"/>
      <c r="D76" s="30"/>
      <c r="E76" s="30"/>
      <c r="F76" s="30"/>
      <c r="G76" s="30"/>
      <c r="H76" s="30"/>
      <c r="I76" s="36"/>
      <c r="J76" s="30"/>
      <c r="K76" s="36"/>
      <c r="L76" s="30"/>
      <c r="M76" s="57" t="str">
        <f aca="true">IF(C76="","",IF(OR(J76="Closed",J76="Risk accepted"),"Done",IF(I76="","Set due date",IF(I76&lt;TODAY(),"Overdue","On track"))))</f>
        <v/>
      </c>
    </row>
    <row r="77" customFormat="false" ht="15" hidden="false" customHeight="false" outlineLevel="0" collapsed="false">
      <c r="A77" s="30" t="s">
        <v>886</v>
      </c>
      <c r="B77" s="30"/>
      <c r="C77" s="30"/>
      <c r="D77" s="30"/>
      <c r="E77" s="30"/>
      <c r="F77" s="30"/>
      <c r="G77" s="30"/>
      <c r="H77" s="30"/>
      <c r="I77" s="36"/>
      <c r="J77" s="30"/>
      <c r="K77" s="36"/>
      <c r="L77" s="30"/>
      <c r="M77" s="57" t="str">
        <f aca="true">IF(C77="","",IF(OR(J77="Closed",J77="Risk accepted"),"Done",IF(I77="","Set due date",IF(I77&lt;TODAY(),"Overdue","On track"))))</f>
        <v/>
      </c>
    </row>
    <row r="78" customFormat="false" ht="15" hidden="false" customHeight="false" outlineLevel="0" collapsed="false">
      <c r="A78" s="30" t="s">
        <v>887</v>
      </c>
      <c r="B78" s="30"/>
      <c r="C78" s="30"/>
      <c r="D78" s="30"/>
      <c r="E78" s="30"/>
      <c r="F78" s="30"/>
      <c r="G78" s="30"/>
      <c r="H78" s="30"/>
      <c r="I78" s="36"/>
      <c r="J78" s="30"/>
      <c r="K78" s="36"/>
      <c r="L78" s="30"/>
      <c r="M78" s="57" t="str">
        <f aca="true">IF(C78="","",IF(OR(J78="Closed",J78="Risk accepted"),"Done",IF(I78="","Set due date",IF(I78&lt;TODAY(),"Overdue","On track"))))</f>
        <v/>
      </c>
    </row>
    <row r="79" customFormat="false" ht="15" hidden="false" customHeight="false" outlineLevel="0" collapsed="false">
      <c r="A79" s="30" t="s">
        <v>888</v>
      </c>
      <c r="B79" s="30"/>
      <c r="C79" s="30"/>
      <c r="D79" s="30"/>
      <c r="E79" s="30"/>
      <c r="F79" s="30"/>
      <c r="G79" s="30"/>
      <c r="H79" s="30"/>
      <c r="I79" s="36"/>
      <c r="J79" s="30"/>
      <c r="K79" s="36"/>
      <c r="L79" s="30"/>
      <c r="M79" s="57" t="str">
        <f aca="true">IF(C79="","",IF(OR(J79="Closed",J79="Risk accepted"),"Done",IF(I79="","Set due date",IF(I79&lt;TODAY(),"Overdue","On track"))))</f>
        <v/>
      </c>
    </row>
    <row r="80" customFormat="false" ht="15" hidden="false" customHeight="false" outlineLevel="0" collapsed="false">
      <c r="A80" s="30" t="s">
        <v>889</v>
      </c>
      <c r="B80" s="30"/>
      <c r="C80" s="30"/>
      <c r="D80" s="30"/>
      <c r="E80" s="30"/>
      <c r="F80" s="30"/>
      <c r="G80" s="30"/>
      <c r="H80" s="30"/>
      <c r="I80" s="36"/>
      <c r="J80" s="30"/>
      <c r="K80" s="36"/>
      <c r="L80" s="30"/>
      <c r="M80" s="57" t="str">
        <f aca="true">IF(C80="","",IF(OR(J80="Closed",J80="Risk accepted"),"Done",IF(I80="","Set due date",IF(I80&lt;TODAY(),"Overdue","On track"))))</f>
        <v/>
      </c>
    </row>
    <row r="81" customFormat="false" ht="15" hidden="false" customHeight="false" outlineLevel="0" collapsed="false">
      <c r="A81" s="30" t="s">
        <v>890</v>
      </c>
      <c r="B81" s="30"/>
      <c r="C81" s="30"/>
      <c r="D81" s="30"/>
      <c r="E81" s="30"/>
      <c r="F81" s="30"/>
      <c r="G81" s="30"/>
      <c r="H81" s="30"/>
      <c r="I81" s="36"/>
      <c r="J81" s="30"/>
      <c r="K81" s="36"/>
      <c r="L81" s="30"/>
      <c r="M81" s="57" t="str">
        <f aca="true">IF(C81="","",IF(OR(J81="Closed",J81="Risk accepted"),"Done",IF(I81="","Set due date",IF(I81&lt;TODAY(),"Overdue","On track"))))</f>
        <v/>
      </c>
    </row>
    <row r="82" customFormat="false" ht="15" hidden="false" customHeight="false" outlineLevel="0" collapsed="false">
      <c r="A82" s="30" t="s">
        <v>891</v>
      </c>
      <c r="B82" s="30"/>
      <c r="C82" s="30"/>
      <c r="D82" s="30"/>
      <c r="E82" s="30"/>
      <c r="F82" s="30"/>
      <c r="G82" s="30"/>
      <c r="H82" s="30"/>
      <c r="I82" s="36"/>
      <c r="J82" s="30"/>
      <c r="K82" s="36"/>
      <c r="L82" s="30"/>
      <c r="M82" s="57" t="str">
        <f aca="true">IF(C82="","",IF(OR(J82="Closed",J82="Risk accepted"),"Done",IF(I82="","Set due date",IF(I82&lt;TODAY(),"Overdue","On track"))))</f>
        <v/>
      </c>
    </row>
    <row r="83" customFormat="false" ht="15" hidden="false" customHeight="false" outlineLevel="0" collapsed="false">
      <c r="A83" s="30" t="s">
        <v>892</v>
      </c>
      <c r="B83" s="30"/>
      <c r="C83" s="30"/>
      <c r="D83" s="30"/>
      <c r="E83" s="30"/>
      <c r="F83" s="30"/>
      <c r="G83" s="30"/>
      <c r="H83" s="30"/>
      <c r="I83" s="36"/>
      <c r="J83" s="30"/>
      <c r="K83" s="36"/>
      <c r="L83" s="30"/>
      <c r="M83" s="57" t="str">
        <f aca="true">IF(C83="","",IF(OR(J83="Closed",J83="Risk accepted"),"Done",IF(I83="","Set due date",IF(I83&lt;TODAY(),"Overdue","On track"))))</f>
        <v/>
      </c>
    </row>
    <row r="84" customFormat="false" ht="15" hidden="false" customHeight="false" outlineLevel="0" collapsed="false">
      <c r="A84" s="30" t="s">
        <v>893</v>
      </c>
      <c r="B84" s="30"/>
      <c r="C84" s="30"/>
      <c r="D84" s="30"/>
      <c r="E84" s="30"/>
      <c r="F84" s="30"/>
      <c r="G84" s="30"/>
      <c r="H84" s="30"/>
      <c r="I84" s="36"/>
      <c r="J84" s="30"/>
      <c r="K84" s="36"/>
      <c r="L84" s="30"/>
      <c r="M84" s="57" t="str">
        <f aca="true">IF(C84="","",IF(OR(J84="Closed",J84="Risk accepted"),"Done",IF(I84="","Set due date",IF(I84&lt;TODAY(),"Overdue","On track"))))</f>
        <v/>
      </c>
    </row>
    <row r="85" customFormat="false" ht="15" hidden="false" customHeight="false" outlineLevel="0" collapsed="false">
      <c r="A85" s="30" t="s">
        <v>894</v>
      </c>
      <c r="B85" s="30"/>
      <c r="C85" s="30"/>
      <c r="D85" s="30"/>
      <c r="E85" s="30"/>
      <c r="F85" s="30"/>
      <c r="G85" s="30"/>
      <c r="H85" s="30"/>
      <c r="I85" s="36"/>
      <c r="J85" s="30"/>
      <c r="K85" s="36"/>
      <c r="L85" s="30"/>
      <c r="M85" s="57" t="str">
        <f aca="true">IF(C85="","",IF(OR(J85="Closed",J85="Risk accepted"),"Done",IF(I85="","Set due date",IF(I85&lt;TODAY(),"Overdue","On track"))))</f>
        <v/>
      </c>
    </row>
    <row r="86" customFormat="false" ht="15" hidden="false" customHeight="false" outlineLevel="0" collapsed="false">
      <c r="A86" s="30" t="s">
        <v>895</v>
      </c>
      <c r="B86" s="30"/>
      <c r="C86" s="30"/>
      <c r="D86" s="30"/>
      <c r="E86" s="30"/>
      <c r="F86" s="30"/>
      <c r="G86" s="30"/>
      <c r="H86" s="30"/>
      <c r="I86" s="36"/>
      <c r="J86" s="30"/>
      <c r="K86" s="36"/>
      <c r="L86" s="30"/>
      <c r="M86" s="57" t="str">
        <f aca="true">IF(C86="","",IF(OR(J86="Closed",J86="Risk accepted"),"Done",IF(I86="","Set due date",IF(I86&lt;TODAY(),"Overdue","On track"))))</f>
        <v/>
      </c>
    </row>
    <row r="87" customFormat="false" ht="15" hidden="false" customHeight="false" outlineLevel="0" collapsed="false">
      <c r="A87" s="30" t="s">
        <v>896</v>
      </c>
      <c r="B87" s="30"/>
      <c r="C87" s="30"/>
      <c r="D87" s="30"/>
      <c r="E87" s="30"/>
      <c r="F87" s="30"/>
      <c r="G87" s="30"/>
      <c r="H87" s="30"/>
      <c r="I87" s="36"/>
      <c r="J87" s="30"/>
      <c r="K87" s="36"/>
      <c r="L87" s="30"/>
      <c r="M87" s="57" t="str">
        <f aca="true">IF(C87="","",IF(OR(J87="Closed",J87="Risk accepted"),"Done",IF(I87="","Set due date",IF(I87&lt;TODAY(),"Overdue","On track"))))</f>
        <v/>
      </c>
    </row>
    <row r="88" customFormat="false" ht="15" hidden="false" customHeight="false" outlineLevel="0" collapsed="false">
      <c r="A88" s="30" t="s">
        <v>897</v>
      </c>
      <c r="B88" s="30"/>
      <c r="C88" s="30"/>
      <c r="D88" s="30"/>
      <c r="E88" s="30"/>
      <c r="F88" s="30"/>
      <c r="G88" s="30"/>
      <c r="H88" s="30"/>
      <c r="I88" s="36"/>
      <c r="J88" s="30"/>
      <c r="K88" s="36"/>
      <c r="L88" s="30"/>
      <c r="M88" s="57" t="str">
        <f aca="true">IF(C88="","",IF(OR(J88="Closed",J88="Risk accepted"),"Done",IF(I88="","Set due date",IF(I88&lt;TODAY(),"Overdue","On track"))))</f>
        <v/>
      </c>
    </row>
    <row r="89" customFormat="false" ht="15" hidden="false" customHeight="false" outlineLevel="0" collapsed="false">
      <c r="A89" s="30" t="s">
        <v>898</v>
      </c>
      <c r="B89" s="30"/>
      <c r="C89" s="30"/>
      <c r="D89" s="30"/>
      <c r="E89" s="30"/>
      <c r="F89" s="30"/>
      <c r="G89" s="30"/>
      <c r="H89" s="30"/>
      <c r="I89" s="36"/>
      <c r="J89" s="30"/>
      <c r="K89" s="36"/>
      <c r="L89" s="30"/>
      <c r="M89" s="57" t="str">
        <f aca="true">IF(C89="","",IF(OR(J89="Closed",J89="Risk accepted"),"Done",IF(I89="","Set due date",IF(I89&lt;TODAY(),"Overdue","On track"))))</f>
        <v/>
      </c>
    </row>
    <row r="90" customFormat="false" ht="15" hidden="false" customHeight="false" outlineLevel="0" collapsed="false">
      <c r="A90" s="30" t="s">
        <v>899</v>
      </c>
      <c r="B90" s="30"/>
      <c r="C90" s="30"/>
      <c r="D90" s="30"/>
      <c r="E90" s="30"/>
      <c r="F90" s="30"/>
      <c r="G90" s="30"/>
      <c r="H90" s="30"/>
      <c r="I90" s="36"/>
      <c r="J90" s="30"/>
      <c r="K90" s="36"/>
      <c r="L90" s="30"/>
      <c r="M90" s="57" t="str">
        <f aca="true">IF(C90="","",IF(OR(J90="Closed",J90="Risk accepted"),"Done",IF(I90="","Set due date",IF(I90&lt;TODAY(),"Overdue","On track"))))</f>
        <v/>
      </c>
    </row>
    <row r="91" customFormat="false" ht="15" hidden="false" customHeight="false" outlineLevel="0" collapsed="false">
      <c r="A91" s="30" t="s">
        <v>900</v>
      </c>
      <c r="B91" s="30"/>
      <c r="C91" s="30"/>
      <c r="D91" s="30"/>
      <c r="E91" s="30"/>
      <c r="F91" s="30"/>
      <c r="G91" s="30"/>
      <c r="H91" s="30"/>
      <c r="I91" s="36"/>
      <c r="J91" s="30"/>
      <c r="K91" s="36"/>
      <c r="L91" s="30"/>
      <c r="M91" s="57" t="str">
        <f aca="true">IF(C91="","",IF(OR(J91="Closed",J91="Risk accepted"),"Done",IF(I91="","Set due date",IF(I91&lt;TODAY(),"Overdue","On track"))))</f>
        <v/>
      </c>
    </row>
    <row r="92" customFormat="false" ht="15" hidden="false" customHeight="false" outlineLevel="0" collapsed="false">
      <c r="A92" s="30" t="s">
        <v>901</v>
      </c>
      <c r="B92" s="30"/>
      <c r="C92" s="30"/>
      <c r="D92" s="30"/>
      <c r="E92" s="30"/>
      <c r="F92" s="30"/>
      <c r="G92" s="30"/>
      <c r="H92" s="30"/>
      <c r="I92" s="36"/>
      <c r="J92" s="30"/>
      <c r="K92" s="36"/>
      <c r="L92" s="30"/>
      <c r="M92" s="57" t="str">
        <f aca="true">IF(C92="","",IF(OR(J92="Closed",J92="Risk accepted"),"Done",IF(I92="","Set due date",IF(I92&lt;TODAY(),"Overdue","On track"))))</f>
        <v/>
      </c>
    </row>
    <row r="93" customFormat="false" ht="15" hidden="false" customHeight="false" outlineLevel="0" collapsed="false">
      <c r="A93" s="30" t="s">
        <v>902</v>
      </c>
      <c r="B93" s="30"/>
      <c r="C93" s="30"/>
      <c r="D93" s="30"/>
      <c r="E93" s="30"/>
      <c r="F93" s="30"/>
      <c r="G93" s="30"/>
      <c r="H93" s="30"/>
      <c r="I93" s="36"/>
      <c r="J93" s="30"/>
      <c r="K93" s="36"/>
      <c r="L93" s="30"/>
      <c r="M93" s="57" t="str">
        <f aca="true">IF(C93="","",IF(OR(J93="Closed",J93="Risk accepted"),"Done",IF(I93="","Set due date",IF(I93&lt;TODAY(),"Overdue","On track"))))</f>
        <v/>
      </c>
    </row>
    <row r="94" customFormat="false" ht="15" hidden="false" customHeight="false" outlineLevel="0" collapsed="false">
      <c r="A94" s="30" t="s">
        <v>903</v>
      </c>
      <c r="B94" s="30"/>
      <c r="C94" s="30"/>
      <c r="D94" s="30"/>
      <c r="E94" s="30"/>
      <c r="F94" s="30"/>
      <c r="G94" s="30"/>
      <c r="H94" s="30"/>
      <c r="I94" s="36"/>
      <c r="J94" s="30"/>
      <c r="K94" s="36"/>
      <c r="L94" s="30"/>
      <c r="M94" s="57" t="str">
        <f aca="true">IF(C94="","",IF(OR(J94="Closed",J94="Risk accepted"),"Done",IF(I94="","Set due date",IF(I94&lt;TODAY(),"Overdue","On track"))))</f>
        <v/>
      </c>
    </row>
    <row r="95" customFormat="false" ht="15" hidden="false" customHeight="false" outlineLevel="0" collapsed="false">
      <c r="A95" s="30" t="s">
        <v>904</v>
      </c>
      <c r="B95" s="30"/>
      <c r="C95" s="30"/>
      <c r="D95" s="30"/>
      <c r="E95" s="30"/>
      <c r="F95" s="30"/>
      <c r="G95" s="30"/>
      <c r="H95" s="30"/>
      <c r="I95" s="36"/>
      <c r="J95" s="30"/>
      <c r="K95" s="36"/>
      <c r="L95" s="30"/>
      <c r="M95" s="57" t="str">
        <f aca="true">IF(C95="","",IF(OR(J95="Closed",J95="Risk accepted"),"Done",IF(I95="","Set due date",IF(I95&lt;TODAY(),"Overdue","On track"))))</f>
        <v/>
      </c>
    </row>
    <row r="96" customFormat="false" ht="15" hidden="false" customHeight="false" outlineLevel="0" collapsed="false">
      <c r="A96" s="30" t="s">
        <v>905</v>
      </c>
      <c r="B96" s="30"/>
      <c r="C96" s="30"/>
      <c r="D96" s="30"/>
      <c r="E96" s="30"/>
      <c r="F96" s="30"/>
      <c r="G96" s="30"/>
      <c r="H96" s="30"/>
      <c r="I96" s="36"/>
      <c r="J96" s="30"/>
      <c r="K96" s="36"/>
      <c r="L96" s="30"/>
      <c r="M96" s="57" t="str">
        <f aca="true">IF(C96="","",IF(OR(J96="Closed",J96="Risk accepted"),"Done",IF(I96="","Set due date",IF(I96&lt;TODAY(),"Overdue","On track"))))</f>
        <v/>
      </c>
    </row>
    <row r="97" customFormat="false" ht="15" hidden="false" customHeight="false" outlineLevel="0" collapsed="false">
      <c r="A97" s="30" t="s">
        <v>906</v>
      </c>
      <c r="B97" s="30"/>
      <c r="C97" s="30"/>
      <c r="D97" s="30"/>
      <c r="E97" s="30"/>
      <c r="F97" s="30"/>
      <c r="G97" s="30"/>
      <c r="H97" s="30"/>
      <c r="I97" s="36"/>
      <c r="J97" s="30"/>
      <c r="K97" s="36"/>
      <c r="L97" s="30"/>
      <c r="M97" s="57" t="str">
        <f aca="true">IF(C97="","",IF(OR(J97="Closed",J97="Risk accepted"),"Done",IF(I97="","Set due date",IF(I97&lt;TODAY(),"Overdue","On track"))))</f>
        <v/>
      </c>
    </row>
    <row r="98" customFormat="false" ht="15" hidden="false" customHeight="false" outlineLevel="0" collapsed="false">
      <c r="A98" s="30" t="s">
        <v>907</v>
      </c>
      <c r="B98" s="30"/>
      <c r="C98" s="30"/>
      <c r="D98" s="30"/>
      <c r="E98" s="30"/>
      <c r="F98" s="30"/>
      <c r="G98" s="30"/>
      <c r="H98" s="30"/>
      <c r="I98" s="36"/>
      <c r="J98" s="30"/>
      <c r="K98" s="36"/>
      <c r="L98" s="30"/>
      <c r="M98" s="57" t="str">
        <f aca="true">IF(C98="","",IF(OR(J98="Closed",J98="Risk accepted"),"Done",IF(I98="","Set due date",IF(I98&lt;TODAY(),"Overdue","On track"))))</f>
        <v/>
      </c>
    </row>
    <row r="99" customFormat="false" ht="15" hidden="false" customHeight="false" outlineLevel="0" collapsed="false">
      <c r="A99" s="30" t="s">
        <v>908</v>
      </c>
      <c r="B99" s="30"/>
      <c r="C99" s="30"/>
      <c r="D99" s="30"/>
      <c r="E99" s="30"/>
      <c r="F99" s="30"/>
      <c r="G99" s="30"/>
      <c r="H99" s="30"/>
      <c r="I99" s="36"/>
      <c r="J99" s="30"/>
      <c r="K99" s="36"/>
      <c r="L99" s="30"/>
      <c r="M99" s="57" t="str">
        <f aca="true">IF(C99="","",IF(OR(J99="Closed",J99="Risk accepted"),"Done",IF(I99="","Set due date",IF(I99&lt;TODAY(),"Overdue","On track"))))</f>
        <v/>
      </c>
    </row>
    <row r="100" customFormat="false" ht="15" hidden="false" customHeight="false" outlineLevel="0" collapsed="false">
      <c r="A100" s="30" t="s">
        <v>909</v>
      </c>
      <c r="B100" s="30"/>
      <c r="C100" s="30"/>
      <c r="D100" s="30"/>
      <c r="E100" s="30"/>
      <c r="F100" s="30"/>
      <c r="G100" s="30"/>
      <c r="H100" s="30"/>
      <c r="I100" s="36"/>
      <c r="J100" s="30"/>
      <c r="K100" s="36"/>
      <c r="L100" s="30"/>
      <c r="M100" s="57" t="str">
        <f aca="true">IF(C100="","",IF(OR(J100="Closed",J100="Risk accepted"),"Done",IF(I100="","Set due date",IF(I100&lt;TODAY(),"Overdue","On track"))))</f>
        <v/>
      </c>
    </row>
    <row r="101" customFormat="false" ht="15" hidden="false" customHeight="false" outlineLevel="0" collapsed="false">
      <c r="A101" s="30" t="s">
        <v>910</v>
      </c>
      <c r="B101" s="30"/>
      <c r="C101" s="30"/>
      <c r="D101" s="30"/>
      <c r="E101" s="30"/>
      <c r="F101" s="30"/>
      <c r="G101" s="30"/>
      <c r="H101" s="30"/>
      <c r="I101" s="36"/>
      <c r="J101" s="30"/>
      <c r="K101" s="36"/>
      <c r="L101" s="30"/>
      <c r="M101" s="57" t="str">
        <f aca="true">IF(C101="","",IF(OR(J101="Closed",J101="Risk accepted"),"Done",IF(I101="","Set due date",IF(I101&lt;TODAY(),"Overdue","On track"))))</f>
        <v/>
      </c>
    </row>
    <row r="102" customFormat="false" ht="15" hidden="false" customHeight="false" outlineLevel="0" collapsed="false">
      <c r="A102" s="30" t="s">
        <v>911</v>
      </c>
      <c r="B102" s="30"/>
      <c r="C102" s="30"/>
      <c r="D102" s="30"/>
      <c r="E102" s="30"/>
      <c r="F102" s="30"/>
      <c r="G102" s="30"/>
      <c r="H102" s="30"/>
      <c r="I102" s="36"/>
      <c r="J102" s="30"/>
      <c r="K102" s="36"/>
      <c r="L102" s="30"/>
      <c r="M102" s="57" t="str">
        <f aca="true">IF(C102="","",IF(OR(J102="Closed",J102="Risk accepted"),"Done",IF(I102="","Set due date",IF(I102&lt;TODAY(),"Overdue","On track"))))</f>
        <v/>
      </c>
    </row>
    <row r="103" customFormat="false" ht="15" hidden="false" customHeight="false" outlineLevel="0" collapsed="false">
      <c r="A103" s="30" t="s">
        <v>912</v>
      </c>
      <c r="B103" s="30"/>
      <c r="C103" s="30"/>
      <c r="D103" s="30"/>
      <c r="E103" s="30"/>
      <c r="F103" s="30"/>
      <c r="G103" s="30"/>
      <c r="H103" s="30"/>
      <c r="I103" s="36"/>
      <c r="J103" s="30"/>
      <c r="K103" s="36"/>
      <c r="L103" s="30"/>
      <c r="M103" s="57" t="str">
        <f aca="true">IF(C103="","",IF(OR(J103="Closed",J103="Risk accepted"),"Done",IF(I103="","Set due date",IF(I103&lt;TODAY(),"Overdue","On track"))))</f>
        <v/>
      </c>
    </row>
    <row r="104" customFormat="false" ht="15" hidden="false" customHeight="false" outlineLevel="0" collapsed="false">
      <c r="A104" s="30" t="s">
        <v>913</v>
      </c>
      <c r="B104" s="30"/>
      <c r="C104" s="30"/>
      <c r="D104" s="30"/>
      <c r="E104" s="30"/>
      <c r="F104" s="30"/>
      <c r="G104" s="30"/>
      <c r="H104" s="30"/>
      <c r="I104" s="36"/>
      <c r="J104" s="30"/>
      <c r="K104" s="36"/>
      <c r="L104" s="30"/>
      <c r="M104" s="57" t="str">
        <f aca="true">IF(C104="","",IF(OR(J104="Closed",J104="Risk accepted"),"Done",IF(I104="","Set due date",IF(I104&lt;TODAY(),"Overdue","On track"))))</f>
        <v/>
      </c>
    </row>
    <row r="105" customFormat="false" ht="15" hidden="false" customHeight="false" outlineLevel="0" collapsed="false">
      <c r="A105" s="30" t="s">
        <v>914</v>
      </c>
      <c r="B105" s="30"/>
      <c r="C105" s="30"/>
      <c r="D105" s="30"/>
      <c r="E105" s="30"/>
      <c r="F105" s="30"/>
      <c r="G105" s="30"/>
      <c r="H105" s="30"/>
      <c r="I105" s="36"/>
      <c r="J105" s="30"/>
      <c r="K105" s="36"/>
      <c r="L105" s="30"/>
      <c r="M105" s="57" t="str">
        <f aca="true">IF(C105="","",IF(OR(J105="Closed",J105="Risk accepted"),"Done",IF(I105="","Set due date",IF(I105&lt;TODAY(),"Overdue","On track"))))</f>
        <v/>
      </c>
    </row>
    <row r="106" customFormat="false" ht="15" hidden="false" customHeight="false" outlineLevel="0" collapsed="false">
      <c r="A106" s="30" t="s">
        <v>915</v>
      </c>
      <c r="B106" s="30"/>
      <c r="C106" s="30"/>
      <c r="D106" s="30"/>
      <c r="E106" s="30"/>
      <c r="F106" s="30"/>
      <c r="G106" s="30"/>
      <c r="H106" s="30"/>
      <c r="I106" s="36"/>
      <c r="J106" s="30"/>
      <c r="K106" s="36"/>
      <c r="L106" s="30"/>
      <c r="M106" s="57" t="str">
        <f aca="true">IF(C106="","",IF(OR(J106="Closed",J106="Risk accepted"),"Done",IF(I106="","Set due date",IF(I106&lt;TODAY(),"Overdue","On track"))))</f>
        <v/>
      </c>
    </row>
    <row r="107" customFormat="false" ht="15" hidden="false" customHeight="false" outlineLevel="0" collapsed="false">
      <c r="A107" s="30" t="s">
        <v>916</v>
      </c>
      <c r="B107" s="30"/>
      <c r="C107" s="30"/>
      <c r="D107" s="30"/>
      <c r="E107" s="30"/>
      <c r="F107" s="30"/>
      <c r="G107" s="30"/>
      <c r="H107" s="30"/>
      <c r="I107" s="36"/>
      <c r="J107" s="30"/>
      <c r="K107" s="36"/>
      <c r="L107" s="30"/>
      <c r="M107" s="57" t="str">
        <f aca="true">IF(C107="","",IF(OR(J107="Closed",J107="Risk accepted"),"Done",IF(I107="","Set due date",IF(I107&lt;TODAY(),"Overdue","On track"))))</f>
        <v/>
      </c>
    </row>
    <row r="108" customFormat="false" ht="15" hidden="false" customHeight="false" outlineLevel="0" collapsed="false">
      <c r="A108" s="30" t="s">
        <v>917</v>
      </c>
      <c r="B108" s="30"/>
      <c r="C108" s="30"/>
      <c r="D108" s="30"/>
      <c r="E108" s="30"/>
      <c r="F108" s="30"/>
      <c r="G108" s="30"/>
      <c r="H108" s="30"/>
      <c r="I108" s="36"/>
      <c r="J108" s="30"/>
      <c r="K108" s="36"/>
      <c r="L108" s="30"/>
      <c r="M108" s="57" t="str">
        <f aca="true">IF(C108="","",IF(OR(J108="Closed",J108="Risk accepted"),"Done",IF(I108="","Set due date",IF(I108&lt;TODAY(),"Overdue","On track"))))</f>
        <v/>
      </c>
    </row>
    <row r="109" customFormat="false" ht="15" hidden="false" customHeight="false" outlineLevel="0" collapsed="false">
      <c r="A109" s="30" t="s">
        <v>918</v>
      </c>
      <c r="B109" s="30"/>
      <c r="C109" s="30"/>
      <c r="D109" s="30"/>
      <c r="E109" s="30"/>
      <c r="F109" s="30"/>
      <c r="G109" s="30"/>
      <c r="H109" s="30"/>
      <c r="I109" s="36"/>
      <c r="J109" s="30"/>
      <c r="K109" s="36"/>
      <c r="L109" s="30"/>
      <c r="M109" s="57" t="str">
        <f aca="true">IF(C109="","",IF(OR(J109="Closed",J109="Risk accepted"),"Done",IF(I109="","Set due date",IF(I109&lt;TODAY(),"Overdue","On track"))))</f>
        <v/>
      </c>
    </row>
    <row r="110" customFormat="false" ht="15" hidden="false" customHeight="false" outlineLevel="0" collapsed="false">
      <c r="A110" s="30" t="s">
        <v>919</v>
      </c>
      <c r="B110" s="30"/>
      <c r="C110" s="30"/>
      <c r="D110" s="30"/>
      <c r="E110" s="30"/>
      <c r="F110" s="30"/>
      <c r="G110" s="30"/>
      <c r="H110" s="30"/>
      <c r="I110" s="36"/>
      <c r="J110" s="30"/>
      <c r="K110" s="36"/>
      <c r="L110" s="30"/>
      <c r="M110" s="57" t="str">
        <f aca="true">IF(C110="","",IF(OR(J110="Closed",J110="Risk accepted"),"Done",IF(I110="","Set due date",IF(I110&lt;TODAY(),"Overdue","On track"))))</f>
        <v/>
      </c>
    </row>
    <row r="111" customFormat="false" ht="15" hidden="false" customHeight="false" outlineLevel="0" collapsed="false">
      <c r="A111" s="30" t="s">
        <v>920</v>
      </c>
      <c r="B111" s="30"/>
      <c r="C111" s="30"/>
      <c r="D111" s="30"/>
      <c r="E111" s="30"/>
      <c r="F111" s="30"/>
      <c r="G111" s="30"/>
      <c r="H111" s="30"/>
      <c r="I111" s="36"/>
      <c r="J111" s="30"/>
      <c r="K111" s="36"/>
      <c r="L111" s="30"/>
      <c r="M111" s="57" t="str">
        <f aca="true">IF(C111="","",IF(OR(J111="Closed",J111="Risk accepted"),"Done",IF(I111="","Set due date",IF(I111&lt;TODAY(),"Overdue","On track"))))</f>
        <v/>
      </c>
    </row>
    <row r="112" customFormat="false" ht="15" hidden="false" customHeight="false" outlineLevel="0" collapsed="false">
      <c r="A112" s="30" t="s">
        <v>921</v>
      </c>
      <c r="B112" s="30"/>
      <c r="C112" s="30"/>
      <c r="D112" s="30"/>
      <c r="E112" s="30"/>
      <c r="F112" s="30"/>
      <c r="G112" s="30"/>
      <c r="H112" s="30"/>
      <c r="I112" s="36"/>
      <c r="J112" s="30"/>
      <c r="K112" s="36"/>
      <c r="L112" s="30"/>
      <c r="M112" s="57" t="str">
        <f aca="true">IF(C112="","",IF(OR(J112="Closed",J112="Risk accepted"),"Done",IF(I112="","Set due date",IF(I112&lt;TODAY(),"Overdue","On track"))))</f>
        <v/>
      </c>
    </row>
    <row r="113" customFormat="false" ht="15" hidden="false" customHeight="false" outlineLevel="0" collapsed="false">
      <c r="A113" s="30" t="s">
        <v>922</v>
      </c>
      <c r="B113" s="30"/>
      <c r="C113" s="30"/>
      <c r="D113" s="30"/>
      <c r="E113" s="30"/>
      <c r="F113" s="30"/>
      <c r="G113" s="30"/>
      <c r="H113" s="30"/>
      <c r="I113" s="36"/>
      <c r="J113" s="30"/>
      <c r="K113" s="36"/>
      <c r="L113" s="30"/>
      <c r="M113" s="57" t="str">
        <f aca="true">IF(C113="","",IF(OR(J113="Closed",J113="Risk accepted"),"Done",IF(I113="","Set due date",IF(I113&lt;TODAY(),"Overdue","On track"))))</f>
        <v/>
      </c>
    </row>
    <row r="114" customFormat="false" ht="15" hidden="false" customHeight="false" outlineLevel="0" collapsed="false">
      <c r="A114" s="30" t="s">
        <v>923</v>
      </c>
      <c r="B114" s="30"/>
      <c r="C114" s="30"/>
      <c r="D114" s="30"/>
      <c r="E114" s="30"/>
      <c r="F114" s="30"/>
      <c r="G114" s="30"/>
      <c r="H114" s="30"/>
      <c r="I114" s="36"/>
      <c r="J114" s="30"/>
      <c r="K114" s="36"/>
      <c r="L114" s="30"/>
      <c r="M114" s="57" t="str">
        <f aca="true">IF(C114="","",IF(OR(J114="Closed",J114="Risk accepted"),"Done",IF(I114="","Set due date",IF(I114&lt;TODAY(),"Overdue","On track"))))</f>
        <v/>
      </c>
    </row>
    <row r="115" customFormat="false" ht="15" hidden="false" customHeight="false" outlineLevel="0" collapsed="false">
      <c r="A115" s="30" t="s">
        <v>924</v>
      </c>
      <c r="B115" s="30"/>
      <c r="C115" s="30"/>
      <c r="D115" s="30"/>
      <c r="E115" s="30"/>
      <c r="F115" s="30"/>
      <c r="G115" s="30"/>
      <c r="H115" s="30"/>
      <c r="I115" s="36"/>
      <c r="J115" s="30"/>
      <c r="K115" s="36"/>
      <c r="L115" s="30"/>
      <c r="M115" s="57" t="str">
        <f aca="true">IF(C115="","",IF(OR(J115="Closed",J115="Risk accepted"),"Done",IF(I115="","Set due date",IF(I115&lt;TODAY(),"Overdue","On track"))))</f>
        <v/>
      </c>
    </row>
    <row r="116" customFormat="false" ht="15" hidden="false" customHeight="false" outlineLevel="0" collapsed="false">
      <c r="A116" s="30" t="s">
        <v>925</v>
      </c>
      <c r="B116" s="30"/>
      <c r="C116" s="30"/>
      <c r="D116" s="30"/>
      <c r="E116" s="30"/>
      <c r="F116" s="30"/>
      <c r="G116" s="30"/>
      <c r="H116" s="30"/>
      <c r="I116" s="36"/>
      <c r="J116" s="30"/>
      <c r="K116" s="36"/>
      <c r="L116" s="30"/>
      <c r="M116" s="57" t="str">
        <f aca="true">IF(C116="","",IF(OR(J116="Closed",J116="Risk accepted"),"Done",IF(I116="","Set due date",IF(I116&lt;TODAY(),"Overdue","On track"))))</f>
        <v/>
      </c>
    </row>
    <row r="117" customFormat="false" ht="15" hidden="false" customHeight="false" outlineLevel="0" collapsed="false">
      <c r="A117" s="30" t="s">
        <v>926</v>
      </c>
      <c r="B117" s="30"/>
      <c r="C117" s="30"/>
      <c r="D117" s="30"/>
      <c r="E117" s="30"/>
      <c r="F117" s="30"/>
      <c r="G117" s="30"/>
      <c r="H117" s="30"/>
      <c r="I117" s="36"/>
      <c r="J117" s="30"/>
      <c r="K117" s="36"/>
      <c r="L117" s="30"/>
      <c r="M117" s="57" t="str">
        <f aca="true">IF(C117="","",IF(OR(J117="Closed",J117="Risk accepted"),"Done",IF(I117="","Set due date",IF(I117&lt;TODAY(),"Overdue","On track"))))</f>
        <v/>
      </c>
    </row>
    <row r="118" customFormat="false" ht="15" hidden="false" customHeight="false" outlineLevel="0" collapsed="false">
      <c r="A118" s="30" t="s">
        <v>927</v>
      </c>
      <c r="B118" s="30"/>
      <c r="C118" s="30"/>
      <c r="D118" s="30"/>
      <c r="E118" s="30"/>
      <c r="F118" s="30"/>
      <c r="G118" s="30"/>
      <c r="H118" s="30"/>
      <c r="I118" s="36"/>
      <c r="J118" s="30"/>
      <c r="K118" s="36"/>
      <c r="L118" s="30"/>
      <c r="M118" s="57" t="str">
        <f aca="true">IF(C118="","",IF(OR(J118="Closed",J118="Risk accepted"),"Done",IF(I118="","Set due date",IF(I118&lt;TODAY(),"Overdue","On track"))))</f>
        <v/>
      </c>
    </row>
    <row r="119" customFormat="false" ht="15" hidden="false" customHeight="false" outlineLevel="0" collapsed="false">
      <c r="A119" s="30" t="s">
        <v>928</v>
      </c>
      <c r="B119" s="30"/>
      <c r="C119" s="30"/>
      <c r="D119" s="30"/>
      <c r="E119" s="30"/>
      <c r="F119" s="30"/>
      <c r="G119" s="30"/>
      <c r="H119" s="30"/>
      <c r="I119" s="36"/>
      <c r="J119" s="30"/>
      <c r="K119" s="36"/>
      <c r="L119" s="30"/>
      <c r="M119" s="57" t="str">
        <f aca="true">IF(C119="","",IF(OR(J119="Closed",J119="Risk accepted"),"Done",IF(I119="","Set due date",IF(I119&lt;TODAY(),"Overdue","On track"))))</f>
        <v/>
      </c>
    </row>
    <row r="120" customFormat="false" ht="15" hidden="false" customHeight="false" outlineLevel="0" collapsed="false">
      <c r="A120" s="30" t="s">
        <v>929</v>
      </c>
      <c r="B120" s="30"/>
      <c r="C120" s="30"/>
      <c r="D120" s="30"/>
      <c r="E120" s="30"/>
      <c r="F120" s="30"/>
      <c r="G120" s="30"/>
      <c r="H120" s="30"/>
      <c r="I120" s="36"/>
      <c r="J120" s="30"/>
      <c r="K120" s="36"/>
      <c r="L120" s="30"/>
      <c r="M120" s="57" t="str">
        <f aca="true">IF(C120="","",IF(OR(J120="Closed",J120="Risk accepted"),"Done",IF(I120="","Set due date",IF(I120&lt;TODAY(),"Overdue","On track"))))</f>
        <v/>
      </c>
    </row>
    <row r="121" customFormat="false" ht="15" hidden="false" customHeight="false" outlineLevel="0" collapsed="false">
      <c r="A121" s="30" t="s">
        <v>930</v>
      </c>
      <c r="B121" s="30"/>
      <c r="C121" s="30"/>
      <c r="D121" s="30"/>
      <c r="E121" s="30"/>
      <c r="F121" s="30"/>
      <c r="G121" s="30"/>
      <c r="H121" s="30"/>
      <c r="I121" s="36"/>
      <c r="J121" s="30"/>
      <c r="K121" s="36"/>
      <c r="L121" s="30"/>
      <c r="M121" s="57" t="str">
        <f aca="true">IF(C121="","",IF(OR(J121="Closed",J121="Risk accepted"),"Done",IF(I121="","Set due date",IF(I121&lt;TODAY(),"Overdue","On track"))))</f>
        <v/>
      </c>
    </row>
    <row r="122" customFormat="false" ht="15" hidden="false" customHeight="false" outlineLevel="0" collapsed="false">
      <c r="A122" s="30" t="s">
        <v>931</v>
      </c>
      <c r="B122" s="30"/>
      <c r="C122" s="30"/>
      <c r="D122" s="30"/>
      <c r="E122" s="30"/>
      <c r="F122" s="30"/>
      <c r="G122" s="30"/>
      <c r="H122" s="30"/>
      <c r="I122" s="36"/>
      <c r="J122" s="30"/>
      <c r="K122" s="36"/>
      <c r="L122" s="30"/>
      <c r="M122" s="57" t="str">
        <f aca="true">IF(C122="","",IF(OR(J122="Closed",J122="Risk accepted"),"Done",IF(I122="","Set due date",IF(I122&lt;TODAY(),"Overdue","On track"))))</f>
        <v/>
      </c>
    </row>
    <row r="123" customFormat="false" ht="15" hidden="false" customHeight="false" outlineLevel="0" collapsed="false">
      <c r="A123" s="30" t="s">
        <v>932</v>
      </c>
      <c r="B123" s="30"/>
      <c r="C123" s="30"/>
      <c r="D123" s="30"/>
      <c r="E123" s="30"/>
      <c r="F123" s="30"/>
      <c r="G123" s="30"/>
      <c r="H123" s="30"/>
      <c r="I123" s="36"/>
      <c r="J123" s="30"/>
      <c r="K123" s="36"/>
      <c r="L123" s="30"/>
      <c r="M123" s="57" t="str">
        <f aca="true">IF(C123="","",IF(OR(J123="Closed",J123="Risk accepted"),"Done",IF(I123="","Set due date",IF(I123&lt;TODAY(),"Overdue","On track"))))</f>
        <v/>
      </c>
    </row>
    <row r="124" customFormat="false" ht="15" hidden="false" customHeight="false" outlineLevel="0" collapsed="false">
      <c r="A124" s="30" t="s">
        <v>933</v>
      </c>
      <c r="B124" s="30"/>
      <c r="C124" s="30"/>
      <c r="D124" s="30"/>
      <c r="E124" s="30"/>
      <c r="F124" s="30"/>
      <c r="G124" s="30"/>
      <c r="H124" s="30"/>
      <c r="I124" s="36"/>
      <c r="J124" s="30"/>
      <c r="K124" s="36"/>
      <c r="L124" s="30"/>
      <c r="M124" s="57" t="str">
        <f aca="true">IF(C124="","",IF(OR(J124="Closed",J124="Risk accepted"),"Done",IF(I124="","Set due date",IF(I124&lt;TODAY(),"Overdue","On track"))))</f>
        <v/>
      </c>
    </row>
    <row r="125" customFormat="false" ht="15" hidden="false" customHeight="false" outlineLevel="0" collapsed="false">
      <c r="A125" s="30" t="s">
        <v>934</v>
      </c>
      <c r="B125" s="30"/>
      <c r="C125" s="30"/>
      <c r="D125" s="30"/>
      <c r="E125" s="30"/>
      <c r="F125" s="30"/>
      <c r="G125" s="30"/>
      <c r="H125" s="30"/>
      <c r="I125" s="36"/>
      <c r="J125" s="30"/>
      <c r="K125" s="36"/>
      <c r="L125" s="30"/>
      <c r="M125" s="57" t="str">
        <f aca="true">IF(C125="","",IF(OR(J125="Closed",J125="Risk accepted"),"Done",IF(I125="","Set due date",IF(I125&lt;TODAY(),"Overdue","On track"))))</f>
        <v/>
      </c>
    </row>
    <row r="126" customFormat="false" ht="15" hidden="false" customHeight="false" outlineLevel="0" collapsed="false">
      <c r="A126" s="30" t="s">
        <v>935</v>
      </c>
      <c r="B126" s="30"/>
      <c r="C126" s="30"/>
      <c r="D126" s="30"/>
      <c r="E126" s="30"/>
      <c r="F126" s="30"/>
      <c r="G126" s="30"/>
      <c r="H126" s="30"/>
      <c r="I126" s="36"/>
      <c r="J126" s="30"/>
      <c r="K126" s="36"/>
      <c r="L126" s="30"/>
      <c r="M126" s="57" t="str">
        <f aca="true">IF(C126="","",IF(OR(J126="Closed",J126="Risk accepted"),"Done",IF(I126="","Set due date",IF(I126&lt;TODAY(),"Overdue","On track"))))</f>
        <v/>
      </c>
    </row>
    <row r="127" customFormat="false" ht="15" hidden="false" customHeight="false" outlineLevel="0" collapsed="false">
      <c r="A127" s="30" t="s">
        <v>936</v>
      </c>
      <c r="B127" s="30"/>
      <c r="C127" s="30"/>
      <c r="D127" s="30"/>
      <c r="E127" s="30"/>
      <c r="F127" s="30"/>
      <c r="G127" s="30"/>
      <c r="H127" s="30"/>
      <c r="I127" s="36"/>
      <c r="J127" s="30"/>
      <c r="K127" s="36"/>
      <c r="L127" s="30"/>
      <c r="M127" s="57" t="str">
        <f aca="true">IF(C127="","",IF(OR(J127="Closed",J127="Risk accepted"),"Done",IF(I127="","Set due date",IF(I127&lt;TODAY(),"Overdue","On track"))))</f>
        <v/>
      </c>
    </row>
    <row r="128" customFormat="false" ht="15" hidden="false" customHeight="false" outlineLevel="0" collapsed="false">
      <c r="A128" s="30" t="s">
        <v>937</v>
      </c>
      <c r="B128" s="30"/>
      <c r="C128" s="30"/>
      <c r="D128" s="30"/>
      <c r="E128" s="30"/>
      <c r="F128" s="30"/>
      <c r="G128" s="30"/>
      <c r="H128" s="30"/>
      <c r="I128" s="36"/>
      <c r="J128" s="30"/>
      <c r="K128" s="36"/>
      <c r="L128" s="30"/>
      <c r="M128" s="57" t="str">
        <f aca="true">IF(C128="","",IF(OR(J128="Closed",J128="Risk accepted"),"Done",IF(I128="","Set due date",IF(I128&lt;TODAY(),"Overdue","On track"))))</f>
        <v/>
      </c>
    </row>
    <row r="129" customFormat="false" ht="15" hidden="false" customHeight="false" outlineLevel="0" collapsed="false">
      <c r="A129" s="30" t="s">
        <v>938</v>
      </c>
      <c r="B129" s="30"/>
      <c r="C129" s="30"/>
      <c r="D129" s="30"/>
      <c r="E129" s="30"/>
      <c r="F129" s="30"/>
      <c r="G129" s="30"/>
      <c r="H129" s="30"/>
      <c r="I129" s="36"/>
      <c r="J129" s="30"/>
      <c r="K129" s="36"/>
      <c r="L129" s="30"/>
      <c r="M129" s="57" t="str">
        <f aca="true">IF(C129="","",IF(OR(J129="Closed",J129="Risk accepted"),"Done",IF(I129="","Set due date",IF(I129&lt;TODAY(),"Overdue","On track"))))</f>
        <v/>
      </c>
    </row>
    <row r="130" customFormat="false" ht="15" hidden="false" customHeight="false" outlineLevel="0" collapsed="false">
      <c r="A130" s="30" t="s">
        <v>939</v>
      </c>
      <c r="B130" s="30"/>
      <c r="C130" s="30"/>
      <c r="D130" s="30"/>
      <c r="E130" s="30"/>
      <c r="F130" s="30"/>
      <c r="G130" s="30"/>
      <c r="H130" s="30"/>
      <c r="I130" s="36"/>
      <c r="J130" s="30"/>
      <c r="K130" s="36"/>
      <c r="L130" s="30"/>
      <c r="M130" s="57" t="str">
        <f aca="true">IF(C130="","",IF(OR(J130="Closed",J130="Risk accepted"),"Done",IF(I130="","Set due date",IF(I130&lt;TODAY(),"Overdue","On track"))))</f>
        <v/>
      </c>
    </row>
    <row r="131" customFormat="false" ht="15" hidden="false" customHeight="false" outlineLevel="0" collapsed="false">
      <c r="A131" s="30" t="s">
        <v>940</v>
      </c>
      <c r="B131" s="30"/>
      <c r="C131" s="30"/>
      <c r="D131" s="30"/>
      <c r="E131" s="30"/>
      <c r="F131" s="30"/>
      <c r="G131" s="30"/>
      <c r="H131" s="30"/>
      <c r="I131" s="36"/>
      <c r="J131" s="30"/>
      <c r="K131" s="36"/>
      <c r="L131" s="30"/>
      <c r="M131" s="57" t="str">
        <f aca="true">IF(C131="","",IF(OR(J131="Closed",J131="Risk accepted"),"Done",IF(I131="","Set due date",IF(I131&lt;TODAY(),"Overdue","On track"))))</f>
        <v/>
      </c>
    </row>
    <row r="132" customFormat="false" ht="15" hidden="false" customHeight="false" outlineLevel="0" collapsed="false">
      <c r="A132" s="30" t="s">
        <v>941</v>
      </c>
      <c r="B132" s="30"/>
      <c r="C132" s="30"/>
      <c r="D132" s="30"/>
      <c r="E132" s="30"/>
      <c r="F132" s="30"/>
      <c r="G132" s="30"/>
      <c r="H132" s="30"/>
      <c r="I132" s="36"/>
      <c r="J132" s="30"/>
      <c r="K132" s="36"/>
      <c r="L132" s="30"/>
      <c r="M132" s="57" t="str">
        <f aca="true">IF(C132="","",IF(OR(J132="Closed",J132="Risk accepted"),"Done",IF(I132="","Set due date",IF(I132&lt;TODAY(),"Overdue","On track"))))</f>
        <v/>
      </c>
    </row>
    <row r="133" customFormat="false" ht="15" hidden="false" customHeight="false" outlineLevel="0" collapsed="false">
      <c r="A133" s="30" t="s">
        <v>942</v>
      </c>
      <c r="B133" s="30"/>
      <c r="C133" s="30"/>
      <c r="D133" s="30"/>
      <c r="E133" s="30"/>
      <c r="F133" s="30"/>
      <c r="G133" s="30"/>
      <c r="H133" s="30"/>
      <c r="I133" s="36"/>
      <c r="J133" s="30"/>
      <c r="K133" s="36"/>
      <c r="L133" s="30"/>
      <c r="M133" s="57" t="str">
        <f aca="true">IF(C133="","",IF(OR(J133="Closed",J133="Risk accepted"),"Done",IF(I133="","Set due date",IF(I133&lt;TODAY(),"Overdue","On track"))))</f>
        <v/>
      </c>
    </row>
    <row r="134" customFormat="false" ht="15" hidden="false" customHeight="false" outlineLevel="0" collapsed="false">
      <c r="A134" s="30" t="s">
        <v>943</v>
      </c>
      <c r="B134" s="30"/>
      <c r="C134" s="30"/>
      <c r="D134" s="30"/>
      <c r="E134" s="30"/>
      <c r="F134" s="30"/>
      <c r="G134" s="30"/>
      <c r="H134" s="30"/>
      <c r="I134" s="36"/>
      <c r="J134" s="30"/>
      <c r="K134" s="36"/>
      <c r="L134" s="30"/>
      <c r="M134" s="57" t="str">
        <f aca="true">IF(C134="","",IF(OR(J134="Closed",J134="Risk accepted"),"Done",IF(I134="","Set due date",IF(I134&lt;TODAY(),"Overdue","On track"))))</f>
        <v/>
      </c>
    </row>
    <row r="135" customFormat="false" ht="15" hidden="false" customHeight="false" outlineLevel="0" collapsed="false">
      <c r="A135" s="30" t="s">
        <v>944</v>
      </c>
      <c r="B135" s="30"/>
      <c r="C135" s="30"/>
      <c r="D135" s="30"/>
      <c r="E135" s="30"/>
      <c r="F135" s="30"/>
      <c r="G135" s="30"/>
      <c r="H135" s="30"/>
      <c r="I135" s="36"/>
      <c r="J135" s="30"/>
      <c r="K135" s="36"/>
      <c r="L135" s="30"/>
      <c r="M135" s="57" t="str">
        <f aca="true">IF(C135="","",IF(OR(J135="Closed",J135="Risk accepted"),"Done",IF(I135="","Set due date",IF(I135&lt;TODAY(),"Overdue","On track"))))</f>
        <v/>
      </c>
    </row>
    <row r="136" customFormat="false" ht="15" hidden="false" customHeight="false" outlineLevel="0" collapsed="false">
      <c r="A136" s="30" t="s">
        <v>945</v>
      </c>
      <c r="B136" s="30"/>
      <c r="C136" s="30"/>
      <c r="D136" s="30"/>
      <c r="E136" s="30"/>
      <c r="F136" s="30"/>
      <c r="G136" s="30"/>
      <c r="H136" s="30"/>
      <c r="I136" s="36"/>
      <c r="J136" s="30"/>
      <c r="K136" s="36"/>
      <c r="L136" s="30"/>
      <c r="M136" s="57" t="str">
        <f aca="true">IF(C136="","",IF(OR(J136="Closed",J136="Risk accepted"),"Done",IF(I136="","Set due date",IF(I136&lt;TODAY(),"Overdue","On track"))))</f>
        <v/>
      </c>
    </row>
    <row r="137" customFormat="false" ht="15" hidden="false" customHeight="false" outlineLevel="0" collapsed="false">
      <c r="A137" s="30" t="s">
        <v>946</v>
      </c>
      <c r="B137" s="30"/>
      <c r="C137" s="30"/>
      <c r="D137" s="30"/>
      <c r="E137" s="30"/>
      <c r="F137" s="30"/>
      <c r="G137" s="30"/>
      <c r="H137" s="30"/>
      <c r="I137" s="36"/>
      <c r="J137" s="30"/>
      <c r="K137" s="36"/>
      <c r="L137" s="30"/>
      <c r="M137" s="57" t="str">
        <f aca="true">IF(C137="","",IF(OR(J137="Closed",J137="Risk accepted"),"Done",IF(I137="","Set due date",IF(I137&lt;TODAY(),"Overdue","On track"))))</f>
        <v/>
      </c>
    </row>
    <row r="138" customFormat="false" ht="15" hidden="false" customHeight="false" outlineLevel="0" collapsed="false">
      <c r="A138" s="30" t="s">
        <v>947</v>
      </c>
      <c r="B138" s="30"/>
      <c r="C138" s="30"/>
      <c r="D138" s="30"/>
      <c r="E138" s="30"/>
      <c r="F138" s="30"/>
      <c r="G138" s="30"/>
      <c r="H138" s="30"/>
      <c r="I138" s="36"/>
      <c r="J138" s="30"/>
      <c r="K138" s="36"/>
      <c r="L138" s="30"/>
      <c r="M138" s="57" t="str">
        <f aca="true">IF(C138="","",IF(OR(J138="Closed",J138="Risk accepted"),"Done",IF(I138="","Set due date",IF(I138&lt;TODAY(),"Overdue","On track"))))</f>
        <v/>
      </c>
    </row>
    <row r="139" customFormat="false" ht="15" hidden="false" customHeight="false" outlineLevel="0" collapsed="false">
      <c r="A139" s="30" t="s">
        <v>948</v>
      </c>
      <c r="B139" s="30"/>
      <c r="C139" s="30"/>
      <c r="D139" s="30"/>
      <c r="E139" s="30"/>
      <c r="F139" s="30"/>
      <c r="G139" s="30"/>
      <c r="H139" s="30"/>
      <c r="I139" s="36"/>
      <c r="J139" s="30"/>
      <c r="K139" s="36"/>
      <c r="L139" s="30"/>
      <c r="M139" s="57" t="str">
        <f aca="true">IF(C139="","",IF(OR(J139="Closed",J139="Risk accepted"),"Done",IF(I139="","Set due date",IF(I139&lt;TODAY(),"Overdue","On track"))))</f>
        <v/>
      </c>
    </row>
    <row r="140" customFormat="false" ht="15" hidden="false" customHeight="false" outlineLevel="0" collapsed="false">
      <c r="A140" s="30" t="s">
        <v>949</v>
      </c>
      <c r="B140" s="30"/>
      <c r="C140" s="30"/>
      <c r="D140" s="30"/>
      <c r="E140" s="30"/>
      <c r="F140" s="30"/>
      <c r="G140" s="30"/>
      <c r="H140" s="30"/>
      <c r="I140" s="36"/>
      <c r="J140" s="30"/>
      <c r="K140" s="36"/>
      <c r="L140" s="30"/>
      <c r="M140" s="57" t="str">
        <f aca="true">IF(C140="","",IF(OR(J140="Closed",J140="Risk accepted"),"Done",IF(I140="","Set due date",IF(I140&lt;TODAY(),"Overdue","On track"))))</f>
        <v/>
      </c>
    </row>
    <row r="141" customFormat="false" ht="15" hidden="false" customHeight="false" outlineLevel="0" collapsed="false">
      <c r="A141" s="30" t="s">
        <v>950</v>
      </c>
      <c r="B141" s="30"/>
      <c r="C141" s="30"/>
      <c r="D141" s="30"/>
      <c r="E141" s="30"/>
      <c r="F141" s="30"/>
      <c r="G141" s="30"/>
      <c r="H141" s="30"/>
      <c r="I141" s="36"/>
      <c r="J141" s="30"/>
      <c r="K141" s="36"/>
      <c r="L141" s="30"/>
      <c r="M141" s="57" t="str">
        <f aca="true">IF(C141="","",IF(OR(J141="Closed",J141="Risk accepted"),"Done",IF(I141="","Set due date",IF(I141&lt;TODAY(),"Overdue","On track"))))</f>
        <v/>
      </c>
    </row>
    <row r="142" customFormat="false" ht="15" hidden="false" customHeight="false" outlineLevel="0" collapsed="false">
      <c r="A142" s="30" t="s">
        <v>951</v>
      </c>
      <c r="B142" s="30"/>
      <c r="C142" s="30"/>
      <c r="D142" s="30"/>
      <c r="E142" s="30"/>
      <c r="F142" s="30"/>
      <c r="G142" s="30"/>
      <c r="H142" s="30"/>
      <c r="I142" s="36"/>
      <c r="J142" s="30"/>
      <c r="K142" s="36"/>
      <c r="L142" s="30"/>
      <c r="M142" s="57" t="str">
        <f aca="true">IF(C142="","",IF(OR(J142="Closed",J142="Risk accepted"),"Done",IF(I142="","Set due date",IF(I142&lt;TODAY(),"Overdue","On track"))))</f>
        <v/>
      </c>
    </row>
    <row r="143" customFormat="false" ht="15" hidden="false" customHeight="false" outlineLevel="0" collapsed="false">
      <c r="A143" s="30" t="s">
        <v>952</v>
      </c>
      <c r="B143" s="30"/>
      <c r="C143" s="30"/>
      <c r="D143" s="30"/>
      <c r="E143" s="30"/>
      <c r="F143" s="30"/>
      <c r="G143" s="30"/>
      <c r="H143" s="30"/>
      <c r="I143" s="36"/>
      <c r="J143" s="30"/>
      <c r="K143" s="36"/>
      <c r="L143" s="30"/>
      <c r="M143" s="57" t="str">
        <f aca="true">IF(C143="","",IF(OR(J143="Closed",J143="Risk accepted"),"Done",IF(I143="","Set due date",IF(I143&lt;TODAY(),"Overdue","On track"))))</f>
        <v/>
      </c>
    </row>
    <row r="144" customFormat="false" ht="15" hidden="false" customHeight="false" outlineLevel="0" collapsed="false">
      <c r="A144" s="30" t="s">
        <v>953</v>
      </c>
      <c r="B144" s="30"/>
      <c r="C144" s="30"/>
      <c r="D144" s="30"/>
      <c r="E144" s="30"/>
      <c r="F144" s="30"/>
      <c r="G144" s="30"/>
      <c r="H144" s="30"/>
      <c r="I144" s="36"/>
      <c r="J144" s="30"/>
      <c r="K144" s="36"/>
      <c r="L144" s="30"/>
      <c r="M144" s="57" t="str">
        <f aca="true">IF(C144="","",IF(OR(J144="Closed",J144="Risk accepted"),"Done",IF(I144="","Set due date",IF(I144&lt;TODAY(),"Overdue","On track"))))</f>
        <v/>
      </c>
    </row>
    <row r="145" customFormat="false" ht="15" hidden="false" customHeight="false" outlineLevel="0" collapsed="false">
      <c r="A145" s="30" t="s">
        <v>954</v>
      </c>
      <c r="B145" s="30"/>
      <c r="C145" s="30"/>
      <c r="D145" s="30"/>
      <c r="E145" s="30"/>
      <c r="F145" s="30"/>
      <c r="G145" s="30"/>
      <c r="H145" s="30"/>
      <c r="I145" s="36"/>
      <c r="J145" s="30"/>
      <c r="K145" s="36"/>
      <c r="L145" s="30"/>
      <c r="M145" s="57" t="str">
        <f aca="true">IF(C145="","",IF(OR(J145="Closed",J145="Risk accepted"),"Done",IF(I145="","Set due date",IF(I145&lt;TODAY(),"Overdue","On track"))))</f>
        <v/>
      </c>
    </row>
    <row r="146" customFormat="false" ht="15" hidden="false" customHeight="false" outlineLevel="0" collapsed="false">
      <c r="A146" s="30" t="s">
        <v>955</v>
      </c>
      <c r="B146" s="30"/>
      <c r="C146" s="30"/>
      <c r="D146" s="30"/>
      <c r="E146" s="30"/>
      <c r="F146" s="30"/>
      <c r="G146" s="30"/>
      <c r="H146" s="30"/>
      <c r="I146" s="36"/>
      <c r="J146" s="30"/>
      <c r="K146" s="36"/>
      <c r="L146" s="30"/>
      <c r="M146" s="57" t="str">
        <f aca="true">IF(C146="","",IF(OR(J146="Closed",J146="Risk accepted"),"Done",IF(I146="","Set due date",IF(I146&lt;TODAY(),"Overdue","On track"))))</f>
        <v/>
      </c>
    </row>
    <row r="147" customFormat="false" ht="15" hidden="false" customHeight="false" outlineLevel="0" collapsed="false">
      <c r="A147" s="30" t="s">
        <v>956</v>
      </c>
      <c r="B147" s="30"/>
      <c r="C147" s="30"/>
      <c r="D147" s="30"/>
      <c r="E147" s="30"/>
      <c r="F147" s="30"/>
      <c r="G147" s="30"/>
      <c r="H147" s="30"/>
      <c r="I147" s="36"/>
      <c r="J147" s="30"/>
      <c r="K147" s="36"/>
      <c r="L147" s="30"/>
      <c r="M147" s="57" t="str">
        <f aca="true">IF(C147="","",IF(OR(J147="Closed",J147="Risk accepted"),"Done",IF(I147="","Set due date",IF(I147&lt;TODAY(),"Overdue","On track"))))</f>
        <v/>
      </c>
    </row>
    <row r="148" customFormat="false" ht="15" hidden="false" customHeight="false" outlineLevel="0" collapsed="false">
      <c r="A148" s="30" t="s">
        <v>957</v>
      </c>
      <c r="B148" s="30"/>
      <c r="C148" s="30"/>
      <c r="D148" s="30"/>
      <c r="E148" s="30"/>
      <c r="F148" s="30"/>
      <c r="G148" s="30"/>
      <c r="H148" s="30"/>
      <c r="I148" s="36"/>
      <c r="J148" s="30"/>
      <c r="K148" s="36"/>
      <c r="L148" s="30"/>
      <c r="M148" s="57" t="str">
        <f aca="true">IF(C148="","",IF(OR(J148="Closed",J148="Risk accepted"),"Done",IF(I148="","Set due date",IF(I148&lt;TODAY(),"Overdue","On track"))))</f>
        <v/>
      </c>
    </row>
    <row r="149" customFormat="false" ht="15" hidden="false" customHeight="false" outlineLevel="0" collapsed="false">
      <c r="A149" s="30" t="s">
        <v>958</v>
      </c>
      <c r="B149" s="30"/>
      <c r="C149" s="30"/>
      <c r="D149" s="30"/>
      <c r="E149" s="30"/>
      <c r="F149" s="30"/>
      <c r="G149" s="30"/>
      <c r="H149" s="30"/>
      <c r="I149" s="36"/>
      <c r="J149" s="30"/>
      <c r="K149" s="36"/>
      <c r="L149" s="30"/>
      <c r="M149" s="57" t="str">
        <f aca="true">IF(C149="","",IF(OR(J149="Closed",J149="Risk accepted"),"Done",IF(I149="","Set due date",IF(I149&lt;TODAY(),"Overdue","On track"))))</f>
        <v/>
      </c>
    </row>
    <row r="150" customFormat="false" ht="15" hidden="false" customHeight="false" outlineLevel="0" collapsed="false">
      <c r="A150" s="30" t="s">
        <v>959</v>
      </c>
      <c r="B150" s="30"/>
      <c r="C150" s="30"/>
      <c r="D150" s="30"/>
      <c r="E150" s="30"/>
      <c r="F150" s="30"/>
      <c r="G150" s="30"/>
      <c r="H150" s="30"/>
      <c r="I150" s="36"/>
      <c r="J150" s="30"/>
      <c r="K150" s="36"/>
      <c r="L150" s="30"/>
      <c r="M150" s="57" t="str">
        <f aca="true">IF(C150="","",IF(OR(J150="Closed",J150="Risk accepted"),"Done",IF(I150="","Set due date",IF(I150&lt;TODAY(),"Overdue","On track"))))</f>
        <v/>
      </c>
    </row>
    <row r="151" customFormat="false" ht="15" hidden="false" customHeight="false" outlineLevel="0" collapsed="false">
      <c r="A151" s="30" t="s">
        <v>960</v>
      </c>
      <c r="B151" s="30"/>
      <c r="C151" s="30"/>
      <c r="D151" s="30"/>
      <c r="E151" s="30"/>
      <c r="F151" s="30"/>
      <c r="G151" s="30"/>
      <c r="H151" s="30"/>
      <c r="I151" s="36"/>
      <c r="J151" s="30"/>
      <c r="K151" s="36"/>
      <c r="L151" s="30"/>
      <c r="M151" s="57" t="str">
        <f aca="true">IF(C151="","",IF(OR(J151="Closed",J151="Risk accepted"),"Done",IF(I151="","Set due date",IF(I151&lt;TODAY(),"Overdue","On track"))))</f>
        <v/>
      </c>
    </row>
    <row r="152" customFormat="false" ht="15" hidden="false" customHeight="false" outlineLevel="0" collapsed="false">
      <c r="A152" s="30" t="s">
        <v>961</v>
      </c>
      <c r="B152" s="30"/>
      <c r="C152" s="30"/>
      <c r="D152" s="30"/>
      <c r="E152" s="30"/>
      <c r="F152" s="30"/>
      <c r="G152" s="30"/>
      <c r="H152" s="30"/>
      <c r="I152" s="36"/>
      <c r="J152" s="30"/>
      <c r="K152" s="36"/>
      <c r="L152" s="30"/>
      <c r="M152" s="57" t="str">
        <f aca="true">IF(C152="","",IF(OR(J152="Closed",J152="Risk accepted"),"Done",IF(I152="","Set due date",IF(I152&lt;TODAY(),"Overdue","On track"))))</f>
        <v/>
      </c>
    </row>
    <row r="153" customFormat="false" ht="15" hidden="false" customHeight="false" outlineLevel="0" collapsed="false">
      <c r="A153" s="30" t="s">
        <v>962</v>
      </c>
      <c r="B153" s="30"/>
      <c r="C153" s="30"/>
      <c r="D153" s="30"/>
      <c r="E153" s="30"/>
      <c r="F153" s="30"/>
      <c r="G153" s="30"/>
      <c r="H153" s="30"/>
      <c r="I153" s="36"/>
      <c r="J153" s="30"/>
      <c r="K153" s="36"/>
      <c r="L153" s="30"/>
      <c r="M153" s="57" t="str">
        <f aca="true">IF(C153="","",IF(OR(J153="Closed",J153="Risk accepted"),"Done",IF(I153="","Set due date",IF(I153&lt;TODAY(),"Overdue","On track"))))</f>
        <v/>
      </c>
    </row>
    <row r="154" customFormat="false" ht="15" hidden="false" customHeight="false" outlineLevel="0" collapsed="false">
      <c r="A154" s="30" t="s">
        <v>963</v>
      </c>
      <c r="B154" s="30"/>
      <c r="C154" s="30"/>
      <c r="D154" s="30"/>
      <c r="E154" s="30"/>
      <c r="F154" s="30"/>
      <c r="G154" s="30"/>
      <c r="H154" s="30"/>
      <c r="I154" s="36"/>
      <c r="J154" s="30"/>
      <c r="K154" s="36"/>
      <c r="L154" s="30"/>
      <c r="M154" s="57" t="str">
        <f aca="true">IF(C154="","",IF(OR(J154="Closed",J154="Risk accepted"),"Done",IF(I154="","Set due date",IF(I154&lt;TODAY(),"Overdue","On track"))))</f>
        <v/>
      </c>
    </row>
    <row r="155" customFormat="false" ht="15" hidden="false" customHeight="false" outlineLevel="0" collapsed="false">
      <c r="A155" s="30" t="s">
        <v>964</v>
      </c>
      <c r="B155" s="30"/>
      <c r="C155" s="30"/>
      <c r="D155" s="30"/>
      <c r="E155" s="30"/>
      <c r="F155" s="30"/>
      <c r="G155" s="30"/>
      <c r="H155" s="30"/>
      <c r="I155" s="36"/>
      <c r="J155" s="30"/>
      <c r="K155" s="36"/>
      <c r="L155" s="30"/>
      <c r="M155" s="57" t="str">
        <f aca="true">IF(C155="","",IF(OR(J155="Closed",J155="Risk accepted"),"Done",IF(I155="","Set due date",IF(I155&lt;TODAY(),"Overdue","On track"))))</f>
        <v/>
      </c>
    </row>
    <row r="156" customFormat="false" ht="15" hidden="false" customHeight="false" outlineLevel="0" collapsed="false">
      <c r="A156" s="30" t="s">
        <v>965</v>
      </c>
      <c r="B156" s="30"/>
      <c r="C156" s="30"/>
      <c r="D156" s="30"/>
      <c r="E156" s="30"/>
      <c r="F156" s="30"/>
      <c r="G156" s="30"/>
      <c r="H156" s="30"/>
      <c r="I156" s="36"/>
      <c r="J156" s="30"/>
      <c r="K156" s="36"/>
      <c r="L156" s="30"/>
      <c r="M156" s="57" t="str">
        <f aca="true">IF(C156="","",IF(OR(J156="Closed",J156="Risk accepted"),"Done",IF(I156="","Set due date",IF(I156&lt;TODAY(),"Overdue","On track"))))</f>
        <v/>
      </c>
    </row>
    <row r="157" customFormat="false" ht="15" hidden="false" customHeight="false" outlineLevel="0" collapsed="false">
      <c r="A157" s="30" t="s">
        <v>966</v>
      </c>
      <c r="B157" s="30"/>
      <c r="C157" s="30"/>
      <c r="D157" s="30"/>
      <c r="E157" s="30"/>
      <c r="F157" s="30"/>
      <c r="G157" s="30"/>
      <c r="H157" s="30"/>
      <c r="I157" s="36"/>
      <c r="J157" s="30"/>
      <c r="K157" s="36"/>
      <c r="L157" s="30"/>
      <c r="M157" s="57" t="str">
        <f aca="true">IF(C157="","",IF(OR(J157="Closed",J157="Risk accepted"),"Done",IF(I157="","Set due date",IF(I157&lt;TODAY(),"Overdue","On track"))))</f>
        <v/>
      </c>
    </row>
    <row r="158" customFormat="false" ht="15" hidden="false" customHeight="false" outlineLevel="0" collapsed="false">
      <c r="A158" s="30" t="s">
        <v>967</v>
      </c>
      <c r="B158" s="30"/>
      <c r="C158" s="30"/>
      <c r="D158" s="30"/>
      <c r="E158" s="30"/>
      <c r="F158" s="30"/>
      <c r="G158" s="30"/>
      <c r="H158" s="30"/>
      <c r="I158" s="36"/>
      <c r="J158" s="30"/>
      <c r="K158" s="36"/>
      <c r="L158" s="30"/>
      <c r="M158" s="57" t="str">
        <f aca="true">IF(C158="","",IF(OR(J158="Closed",J158="Risk accepted"),"Done",IF(I158="","Set due date",IF(I158&lt;TODAY(),"Overdue","On track"))))</f>
        <v/>
      </c>
    </row>
    <row r="159" customFormat="false" ht="15" hidden="false" customHeight="false" outlineLevel="0" collapsed="false">
      <c r="A159" s="30" t="s">
        <v>968</v>
      </c>
      <c r="B159" s="30"/>
      <c r="C159" s="30"/>
      <c r="D159" s="30"/>
      <c r="E159" s="30"/>
      <c r="F159" s="30"/>
      <c r="G159" s="30"/>
      <c r="H159" s="30"/>
      <c r="I159" s="36"/>
      <c r="J159" s="30"/>
      <c r="K159" s="36"/>
      <c r="L159" s="30"/>
      <c r="M159" s="57" t="str">
        <f aca="true">IF(C159="","",IF(OR(J159="Closed",J159="Risk accepted"),"Done",IF(I159="","Set due date",IF(I159&lt;TODAY(),"Overdue","On track"))))</f>
        <v/>
      </c>
    </row>
    <row r="160" customFormat="false" ht="15" hidden="false" customHeight="false" outlineLevel="0" collapsed="false">
      <c r="A160" s="30" t="s">
        <v>969</v>
      </c>
      <c r="B160" s="30"/>
      <c r="C160" s="30"/>
      <c r="D160" s="30"/>
      <c r="E160" s="30"/>
      <c r="F160" s="30"/>
      <c r="G160" s="30"/>
      <c r="H160" s="30"/>
      <c r="I160" s="36"/>
      <c r="J160" s="30"/>
      <c r="K160" s="36"/>
      <c r="L160" s="30"/>
      <c r="M160" s="57" t="str">
        <f aca="true">IF(C160="","",IF(OR(J160="Closed",J160="Risk accepted"),"Done",IF(I160="","Set due date",IF(I160&lt;TODAY(),"Overdue","On track"))))</f>
        <v/>
      </c>
    </row>
    <row r="161" customFormat="false" ht="15" hidden="false" customHeight="false" outlineLevel="0" collapsed="false">
      <c r="A161" s="30" t="s">
        <v>970</v>
      </c>
      <c r="B161" s="30"/>
      <c r="C161" s="30"/>
      <c r="D161" s="30"/>
      <c r="E161" s="30"/>
      <c r="F161" s="30"/>
      <c r="G161" s="30"/>
      <c r="H161" s="30"/>
      <c r="I161" s="36"/>
      <c r="J161" s="30"/>
      <c r="K161" s="36"/>
      <c r="L161" s="30"/>
      <c r="M161" s="57" t="str">
        <f aca="true">IF(C161="","",IF(OR(J161="Closed",J161="Risk accepted"),"Done",IF(I161="","Set due date",IF(I161&lt;TODAY(),"Overdue","On track"))))</f>
        <v/>
      </c>
    </row>
    <row r="162" customFormat="false" ht="15" hidden="false" customHeight="false" outlineLevel="0" collapsed="false">
      <c r="A162" s="30" t="s">
        <v>971</v>
      </c>
      <c r="B162" s="30"/>
      <c r="C162" s="30"/>
      <c r="D162" s="30"/>
      <c r="E162" s="30"/>
      <c r="F162" s="30"/>
      <c r="G162" s="30"/>
      <c r="H162" s="30"/>
      <c r="I162" s="36"/>
      <c r="J162" s="30"/>
      <c r="K162" s="36"/>
      <c r="L162" s="30"/>
      <c r="M162" s="57" t="str">
        <f aca="true">IF(C162="","",IF(OR(J162="Closed",J162="Risk accepted"),"Done",IF(I162="","Set due date",IF(I162&lt;TODAY(),"Overdue","On track"))))</f>
        <v/>
      </c>
    </row>
    <row r="163" customFormat="false" ht="15" hidden="false" customHeight="false" outlineLevel="0" collapsed="false">
      <c r="A163" s="30" t="s">
        <v>972</v>
      </c>
      <c r="B163" s="30"/>
      <c r="C163" s="30"/>
      <c r="D163" s="30"/>
      <c r="E163" s="30"/>
      <c r="F163" s="30"/>
      <c r="G163" s="30"/>
      <c r="H163" s="30"/>
      <c r="I163" s="36"/>
      <c r="J163" s="30"/>
      <c r="K163" s="36"/>
      <c r="L163" s="30"/>
      <c r="M163" s="57" t="str">
        <f aca="true">IF(C163="","",IF(OR(J163="Closed",J163="Risk accepted"),"Done",IF(I163="","Set due date",IF(I163&lt;TODAY(),"Overdue","On track"))))</f>
        <v/>
      </c>
    </row>
    <row r="164" customFormat="false" ht="15" hidden="false" customHeight="false" outlineLevel="0" collapsed="false">
      <c r="A164" s="30" t="s">
        <v>973</v>
      </c>
      <c r="B164" s="30"/>
      <c r="C164" s="30"/>
      <c r="D164" s="30"/>
      <c r="E164" s="30"/>
      <c r="F164" s="30"/>
      <c r="G164" s="30"/>
      <c r="H164" s="30"/>
      <c r="I164" s="36"/>
      <c r="J164" s="30"/>
      <c r="K164" s="36"/>
      <c r="L164" s="30"/>
      <c r="M164" s="57" t="str">
        <f aca="true">IF(C164="","",IF(OR(J164="Closed",J164="Risk accepted"),"Done",IF(I164="","Set due date",IF(I164&lt;TODAY(),"Overdue","On track"))))</f>
        <v/>
      </c>
    </row>
    <row r="165" customFormat="false" ht="15" hidden="false" customHeight="false" outlineLevel="0" collapsed="false">
      <c r="A165" s="30" t="s">
        <v>974</v>
      </c>
      <c r="B165" s="30"/>
      <c r="C165" s="30"/>
      <c r="D165" s="30"/>
      <c r="E165" s="30"/>
      <c r="F165" s="30"/>
      <c r="G165" s="30"/>
      <c r="H165" s="30"/>
      <c r="I165" s="36"/>
      <c r="J165" s="30"/>
      <c r="K165" s="36"/>
      <c r="L165" s="30"/>
      <c r="M165" s="57" t="str">
        <f aca="true">IF(C165="","",IF(OR(J165="Closed",J165="Risk accepted"),"Done",IF(I165="","Set due date",IF(I165&lt;TODAY(),"Overdue","On track"))))</f>
        <v/>
      </c>
    </row>
    <row r="166" customFormat="false" ht="15" hidden="false" customHeight="false" outlineLevel="0" collapsed="false">
      <c r="A166" s="30" t="s">
        <v>975</v>
      </c>
      <c r="B166" s="30"/>
      <c r="C166" s="30"/>
      <c r="D166" s="30"/>
      <c r="E166" s="30"/>
      <c r="F166" s="30"/>
      <c r="G166" s="30"/>
      <c r="H166" s="30"/>
      <c r="I166" s="36"/>
      <c r="J166" s="30"/>
      <c r="K166" s="36"/>
      <c r="L166" s="30"/>
      <c r="M166" s="57" t="str">
        <f aca="true">IF(C166="","",IF(OR(J166="Closed",J166="Risk accepted"),"Done",IF(I166="","Set due date",IF(I166&lt;TODAY(),"Overdue","On track"))))</f>
        <v/>
      </c>
    </row>
    <row r="167" customFormat="false" ht="15" hidden="false" customHeight="false" outlineLevel="0" collapsed="false">
      <c r="A167" s="30" t="s">
        <v>976</v>
      </c>
      <c r="B167" s="30"/>
      <c r="C167" s="30"/>
      <c r="D167" s="30"/>
      <c r="E167" s="30"/>
      <c r="F167" s="30"/>
      <c r="G167" s="30"/>
      <c r="H167" s="30"/>
      <c r="I167" s="36"/>
      <c r="J167" s="30"/>
      <c r="K167" s="36"/>
      <c r="L167" s="30"/>
      <c r="M167" s="57" t="str">
        <f aca="true">IF(C167="","",IF(OR(J167="Closed",J167="Risk accepted"),"Done",IF(I167="","Set due date",IF(I167&lt;TODAY(),"Overdue","On track"))))</f>
        <v/>
      </c>
    </row>
    <row r="168" customFormat="false" ht="15" hidden="false" customHeight="false" outlineLevel="0" collapsed="false">
      <c r="A168" s="30" t="s">
        <v>977</v>
      </c>
      <c r="B168" s="30"/>
      <c r="C168" s="30"/>
      <c r="D168" s="30"/>
      <c r="E168" s="30"/>
      <c r="F168" s="30"/>
      <c r="G168" s="30"/>
      <c r="H168" s="30"/>
      <c r="I168" s="36"/>
      <c r="J168" s="30"/>
      <c r="K168" s="36"/>
      <c r="L168" s="30"/>
      <c r="M168" s="57" t="str">
        <f aca="true">IF(C168="","",IF(OR(J168="Closed",J168="Risk accepted"),"Done",IF(I168="","Set due date",IF(I168&lt;TODAY(),"Overdue","On track"))))</f>
        <v/>
      </c>
    </row>
    <row r="169" customFormat="false" ht="15" hidden="false" customHeight="false" outlineLevel="0" collapsed="false">
      <c r="A169" s="30" t="s">
        <v>978</v>
      </c>
      <c r="B169" s="30"/>
      <c r="C169" s="30"/>
      <c r="D169" s="30"/>
      <c r="E169" s="30"/>
      <c r="F169" s="30"/>
      <c r="G169" s="30"/>
      <c r="H169" s="30"/>
      <c r="I169" s="36"/>
      <c r="J169" s="30"/>
      <c r="K169" s="36"/>
      <c r="L169" s="30"/>
      <c r="M169" s="57" t="str">
        <f aca="true">IF(C169="","",IF(OR(J169="Closed",J169="Risk accepted"),"Done",IF(I169="","Set due date",IF(I169&lt;TODAY(),"Overdue","On track"))))</f>
        <v/>
      </c>
    </row>
    <row r="170" customFormat="false" ht="15" hidden="false" customHeight="false" outlineLevel="0" collapsed="false">
      <c r="A170" s="30" t="s">
        <v>979</v>
      </c>
      <c r="B170" s="30"/>
      <c r="C170" s="30"/>
      <c r="D170" s="30"/>
      <c r="E170" s="30"/>
      <c r="F170" s="30"/>
      <c r="G170" s="30"/>
      <c r="H170" s="30"/>
      <c r="I170" s="36"/>
      <c r="J170" s="30"/>
      <c r="K170" s="36"/>
      <c r="L170" s="30"/>
      <c r="M170" s="57" t="str">
        <f aca="true">IF(C170="","",IF(OR(J170="Closed",J170="Risk accepted"),"Done",IF(I170="","Set due date",IF(I170&lt;TODAY(),"Overdue","On track"))))</f>
        <v/>
      </c>
    </row>
    <row r="171" customFormat="false" ht="15" hidden="false" customHeight="false" outlineLevel="0" collapsed="false">
      <c r="A171" s="30" t="s">
        <v>980</v>
      </c>
      <c r="B171" s="30"/>
      <c r="C171" s="30"/>
      <c r="D171" s="30"/>
      <c r="E171" s="30"/>
      <c r="F171" s="30"/>
      <c r="G171" s="30"/>
      <c r="H171" s="30"/>
      <c r="I171" s="36"/>
      <c r="J171" s="30"/>
      <c r="K171" s="36"/>
      <c r="L171" s="30"/>
      <c r="M171" s="57" t="str">
        <f aca="true">IF(C171="","",IF(OR(J171="Closed",J171="Risk accepted"),"Done",IF(I171="","Set due date",IF(I171&lt;TODAY(),"Overdue","On track"))))</f>
        <v/>
      </c>
    </row>
    <row r="172" customFormat="false" ht="15" hidden="false" customHeight="false" outlineLevel="0" collapsed="false">
      <c r="A172" s="30" t="s">
        <v>981</v>
      </c>
      <c r="B172" s="30"/>
      <c r="C172" s="30"/>
      <c r="D172" s="30"/>
      <c r="E172" s="30"/>
      <c r="F172" s="30"/>
      <c r="G172" s="30"/>
      <c r="H172" s="30"/>
      <c r="I172" s="36"/>
      <c r="J172" s="30"/>
      <c r="K172" s="36"/>
      <c r="L172" s="30"/>
      <c r="M172" s="57" t="str">
        <f aca="true">IF(C172="","",IF(OR(J172="Closed",J172="Risk accepted"),"Done",IF(I172="","Set due date",IF(I172&lt;TODAY(),"Overdue","On track"))))</f>
        <v/>
      </c>
    </row>
    <row r="173" customFormat="false" ht="15" hidden="false" customHeight="false" outlineLevel="0" collapsed="false">
      <c r="A173" s="30" t="s">
        <v>982</v>
      </c>
      <c r="B173" s="30"/>
      <c r="C173" s="30"/>
      <c r="D173" s="30"/>
      <c r="E173" s="30"/>
      <c r="F173" s="30"/>
      <c r="G173" s="30"/>
      <c r="H173" s="30"/>
      <c r="I173" s="36"/>
      <c r="J173" s="30"/>
      <c r="K173" s="36"/>
      <c r="L173" s="30"/>
      <c r="M173" s="57" t="str">
        <f aca="true">IF(C173="","",IF(OR(J173="Closed",J173="Risk accepted"),"Done",IF(I173="","Set due date",IF(I173&lt;TODAY(),"Overdue","On track"))))</f>
        <v/>
      </c>
    </row>
    <row r="174" customFormat="false" ht="15" hidden="false" customHeight="false" outlineLevel="0" collapsed="false">
      <c r="A174" s="30" t="s">
        <v>983</v>
      </c>
      <c r="B174" s="30"/>
      <c r="C174" s="30"/>
      <c r="D174" s="30"/>
      <c r="E174" s="30"/>
      <c r="F174" s="30"/>
      <c r="G174" s="30"/>
      <c r="H174" s="30"/>
      <c r="I174" s="36"/>
      <c r="J174" s="30"/>
      <c r="K174" s="36"/>
      <c r="L174" s="30"/>
      <c r="M174" s="57" t="str">
        <f aca="true">IF(C174="","",IF(OR(J174="Closed",J174="Risk accepted"),"Done",IF(I174="","Set due date",IF(I174&lt;TODAY(),"Overdue","On track"))))</f>
        <v/>
      </c>
    </row>
    <row r="175" customFormat="false" ht="15" hidden="false" customHeight="false" outlineLevel="0" collapsed="false">
      <c r="A175" s="30" t="s">
        <v>984</v>
      </c>
      <c r="B175" s="30"/>
      <c r="C175" s="30"/>
      <c r="D175" s="30"/>
      <c r="E175" s="30"/>
      <c r="F175" s="30"/>
      <c r="G175" s="30"/>
      <c r="H175" s="30"/>
      <c r="I175" s="36"/>
      <c r="J175" s="30"/>
      <c r="K175" s="36"/>
      <c r="L175" s="30"/>
      <c r="M175" s="57" t="str">
        <f aca="true">IF(C175="","",IF(OR(J175="Closed",J175="Risk accepted"),"Done",IF(I175="","Set due date",IF(I175&lt;TODAY(),"Overdue","On track"))))</f>
        <v/>
      </c>
    </row>
    <row r="176" customFormat="false" ht="15" hidden="false" customHeight="false" outlineLevel="0" collapsed="false">
      <c r="A176" s="30" t="s">
        <v>985</v>
      </c>
      <c r="B176" s="30"/>
      <c r="C176" s="30"/>
      <c r="D176" s="30"/>
      <c r="E176" s="30"/>
      <c r="F176" s="30"/>
      <c r="G176" s="30"/>
      <c r="H176" s="30"/>
      <c r="I176" s="36"/>
      <c r="J176" s="30"/>
      <c r="K176" s="36"/>
      <c r="L176" s="30"/>
      <c r="M176" s="57" t="str">
        <f aca="true">IF(C176="","",IF(OR(J176="Closed",J176="Risk accepted"),"Done",IF(I176="","Set due date",IF(I176&lt;TODAY(),"Overdue","On track"))))</f>
        <v/>
      </c>
    </row>
    <row r="177" customFormat="false" ht="15" hidden="false" customHeight="false" outlineLevel="0" collapsed="false">
      <c r="A177" s="30" t="s">
        <v>986</v>
      </c>
      <c r="B177" s="30"/>
      <c r="C177" s="30"/>
      <c r="D177" s="30"/>
      <c r="E177" s="30"/>
      <c r="F177" s="30"/>
      <c r="G177" s="30"/>
      <c r="H177" s="30"/>
      <c r="I177" s="36"/>
      <c r="J177" s="30"/>
      <c r="K177" s="36"/>
      <c r="L177" s="30"/>
      <c r="M177" s="57" t="str">
        <f aca="true">IF(C177="","",IF(OR(J177="Closed",J177="Risk accepted"),"Done",IF(I177="","Set due date",IF(I177&lt;TODAY(),"Overdue","On track"))))</f>
        <v/>
      </c>
    </row>
    <row r="178" customFormat="false" ht="15" hidden="false" customHeight="false" outlineLevel="0" collapsed="false">
      <c r="A178" s="30" t="s">
        <v>987</v>
      </c>
      <c r="B178" s="30"/>
      <c r="C178" s="30"/>
      <c r="D178" s="30"/>
      <c r="E178" s="30"/>
      <c r="F178" s="30"/>
      <c r="G178" s="30"/>
      <c r="H178" s="30"/>
      <c r="I178" s="36"/>
      <c r="J178" s="30"/>
      <c r="K178" s="36"/>
      <c r="L178" s="30"/>
      <c r="M178" s="57" t="str">
        <f aca="true">IF(C178="","",IF(OR(J178="Closed",J178="Risk accepted"),"Done",IF(I178="","Set due date",IF(I178&lt;TODAY(),"Overdue","On track"))))</f>
        <v/>
      </c>
    </row>
    <row r="179" customFormat="false" ht="15" hidden="false" customHeight="false" outlineLevel="0" collapsed="false">
      <c r="A179" s="30" t="s">
        <v>988</v>
      </c>
      <c r="B179" s="30"/>
      <c r="C179" s="30"/>
      <c r="D179" s="30"/>
      <c r="E179" s="30"/>
      <c r="F179" s="30"/>
      <c r="G179" s="30"/>
      <c r="H179" s="30"/>
      <c r="I179" s="36"/>
      <c r="J179" s="30"/>
      <c r="K179" s="36"/>
      <c r="L179" s="30"/>
      <c r="M179" s="57" t="str">
        <f aca="true">IF(C179="","",IF(OR(J179="Closed",J179="Risk accepted"),"Done",IF(I179="","Set due date",IF(I179&lt;TODAY(),"Overdue","On track"))))</f>
        <v/>
      </c>
    </row>
    <row r="180" customFormat="false" ht="15" hidden="false" customHeight="false" outlineLevel="0" collapsed="false">
      <c r="A180" s="30" t="s">
        <v>989</v>
      </c>
      <c r="B180" s="30"/>
      <c r="C180" s="30"/>
      <c r="D180" s="30"/>
      <c r="E180" s="30"/>
      <c r="F180" s="30"/>
      <c r="G180" s="30"/>
      <c r="H180" s="30"/>
      <c r="I180" s="36"/>
      <c r="J180" s="30"/>
      <c r="K180" s="36"/>
      <c r="L180" s="30"/>
      <c r="M180" s="57" t="str">
        <f aca="true">IF(C180="","",IF(OR(J180="Closed",J180="Risk accepted"),"Done",IF(I180="","Set due date",IF(I180&lt;TODAY(),"Overdue","On track"))))</f>
        <v/>
      </c>
    </row>
    <row r="181" customFormat="false" ht="15" hidden="false" customHeight="false" outlineLevel="0" collapsed="false">
      <c r="A181" s="30" t="s">
        <v>990</v>
      </c>
      <c r="B181" s="30"/>
      <c r="C181" s="30"/>
      <c r="D181" s="30"/>
      <c r="E181" s="30"/>
      <c r="F181" s="30"/>
      <c r="G181" s="30"/>
      <c r="H181" s="30"/>
      <c r="I181" s="36"/>
      <c r="J181" s="30"/>
      <c r="K181" s="36"/>
      <c r="L181" s="30"/>
      <c r="M181" s="57" t="str">
        <f aca="true">IF(C181="","",IF(OR(J181="Closed",J181="Risk accepted"),"Done",IF(I181="","Set due date",IF(I181&lt;TODAY(),"Overdue","On track"))))</f>
        <v/>
      </c>
    </row>
    <row r="182" customFormat="false" ht="15" hidden="false" customHeight="false" outlineLevel="0" collapsed="false">
      <c r="A182" s="30" t="s">
        <v>991</v>
      </c>
      <c r="B182" s="30"/>
      <c r="C182" s="30"/>
      <c r="D182" s="30"/>
      <c r="E182" s="30"/>
      <c r="F182" s="30"/>
      <c r="G182" s="30"/>
      <c r="H182" s="30"/>
      <c r="I182" s="36"/>
      <c r="J182" s="30"/>
      <c r="K182" s="36"/>
      <c r="L182" s="30"/>
      <c r="M182" s="57" t="str">
        <f aca="true">IF(C182="","",IF(OR(J182="Closed",J182="Risk accepted"),"Done",IF(I182="","Set due date",IF(I182&lt;TODAY(),"Overdue","On track"))))</f>
        <v/>
      </c>
    </row>
    <row r="183" customFormat="false" ht="15" hidden="false" customHeight="false" outlineLevel="0" collapsed="false">
      <c r="A183" s="30" t="s">
        <v>992</v>
      </c>
      <c r="B183" s="30"/>
      <c r="C183" s="30"/>
      <c r="D183" s="30"/>
      <c r="E183" s="30"/>
      <c r="F183" s="30"/>
      <c r="G183" s="30"/>
      <c r="H183" s="30"/>
      <c r="I183" s="36"/>
      <c r="J183" s="30"/>
      <c r="K183" s="36"/>
      <c r="L183" s="30"/>
      <c r="M183" s="57" t="str">
        <f aca="true">IF(C183="","",IF(OR(J183="Closed",J183="Risk accepted"),"Done",IF(I183="","Set due date",IF(I183&lt;TODAY(),"Overdue","On track"))))</f>
        <v/>
      </c>
    </row>
    <row r="184" customFormat="false" ht="15" hidden="false" customHeight="false" outlineLevel="0" collapsed="false">
      <c r="A184" s="30" t="s">
        <v>993</v>
      </c>
      <c r="B184" s="30"/>
      <c r="C184" s="30"/>
      <c r="D184" s="30"/>
      <c r="E184" s="30"/>
      <c r="F184" s="30"/>
      <c r="G184" s="30"/>
      <c r="H184" s="30"/>
      <c r="I184" s="36"/>
      <c r="J184" s="30"/>
      <c r="K184" s="36"/>
      <c r="L184" s="30"/>
      <c r="M184" s="57" t="str">
        <f aca="true">IF(C184="","",IF(OR(J184="Closed",J184="Risk accepted"),"Done",IF(I184="","Set due date",IF(I184&lt;TODAY(),"Overdue","On track"))))</f>
        <v/>
      </c>
    </row>
    <row r="185" customFormat="false" ht="15" hidden="false" customHeight="false" outlineLevel="0" collapsed="false">
      <c r="A185" s="30" t="s">
        <v>994</v>
      </c>
      <c r="B185" s="30"/>
      <c r="C185" s="30"/>
      <c r="D185" s="30"/>
      <c r="E185" s="30"/>
      <c r="F185" s="30"/>
      <c r="G185" s="30"/>
      <c r="H185" s="30"/>
      <c r="I185" s="36"/>
      <c r="J185" s="30"/>
      <c r="K185" s="36"/>
      <c r="L185" s="30"/>
      <c r="M185" s="57" t="str">
        <f aca="true">IF(C185="","",IF(OR(J185="Closed",J185="Risk accepted"),"Done",IF(I185="","Set due date",IF(I185&lt;TODAY(),"Overdue","On track"))))</f>
        <v/>
      </c>
    </row>
    <row r="186" customFormat="false" ht="15" hidden="false" customHeight="false" outlineLevel="0" collapsed="false">
      <c r="A186" s="30" t="s">
        <v>995</v>
      </c>
      <c r="B186" s="30"/>
      <c r="C186" s="30"/>
      <c r="D186" s="30"/>
      <c r="E186" s="30"/>
      <c r="F186" s="30"/>
      <c r="G186" s="30"/>
      <c r="H186" s="30"/>
      <c r="I186" s="36"/>
      <c r="J186" s="30"/>
      <c r="K186" s="36"/>
      <c r="L186" s="30"/>
      <c r="M186" s="57" t="str">
        <f aca="true">IF(C186="","",IF(OR(J186="Closed",J186="Risk accepted"),"Done",IF(I186="","Set due date",IF(I186&lt;TODAY(),"Overdue","On track"))))</f>
        <v/>
      </c>
    </row>
    <row r="187" customFormat="false" ht="15" hidden="false" customHeight="false" outlineLevel="0" collapsed="false">
      <c r="A187" s="30" t="s">
        <v>996</v>
      </c>
      <c r="B187" s="30"/>
      <c r="C187" s="30"/>
      <c r="D187" s="30"/>
      <c r="E187" s="30"/>
      <c r="F187" s="30"/>
      <c r="G187" s="30"/>
      <c r="H187" s="30"/>
      <c r="I187" s="36"/>
      <c r="J187" s="30"/>
      <c r="K187" s="36"/>
      <c r="L187" s="30"/>
      <c r="M187" s="57" t="str">
        <f aca="true">IF(C187="","",IF(OR(J187="Closed",J187="Risk accepted"),"Done",IF(I187="","Set due date",IF(I187&lt;TODAY(),"Overdue","On track"))))</f>
        <v/>
      </c>
    </row>
    <row r="188" customFormat="false" ht="15" hidden="false" customHeight="false" outlineLevel="0" collapsed="false">
      <c r="A188" s="30" t="s">
        <v>997</v>
      </c>
      <c r="B188" s="30"/>
      <c r="C188" s="30"/>
      <c r="D188" s="30"/>
      <c r="E188" s="30"/>
      <c r="F188" s="30"/>
      <c r="G188" s="30"/>
      <c r="H188" s="30"/>
      <c r="I188" s="36"/>
      <c r="J188" s="30"/>
      <c r="K188" s="36"/>
      <c r="L188" s="30"/>
      <c r="M188" s="57" t="str">
        <f aca="true">IF(C188="","",IF(OR(J188="Closed",J188="Risk accepted"),"Done",IF(I188="","Set due date",IF(I188&lt;TODAY(),"Overdue","On track"))))</f>
        <v/>
      </c>
    </row>
    <row r="189" customFormat="false" ht="15" hidden="false" customHeight="false" outlineLevel="0" collapsed="false">
      <c r="A189" s="30" t="s">
        <v>998</v>
      </c>
      <c r="B189" s="30"/>
      <c r="C189" s="30"/>
      <c r="D189" s="30"/>
      <c r="E189" s="30"/>
      <c r="F189" s="30"/>
      <c r="G189" s="30"/>
      <c r="H189" s="30"/>
      <c r="I189" s="36"/>
      <c r="J189" s="30"/>
      <c r="K189" s="36"/>
      <c r="L189" s="30"/>
      <c r="M189" s="57" t="str">
        <f aca="true">IF(C189="","",IF(OR(J189="Closed",J189="Risk accepted"),"Done",IF(I189="","Set due date",IF(I189&lt;TODAY(),"Overdue","On track"))))</f>
        <v/>
      </c>
    </row>
    <row r="190" customFormat="false" ht="15" hidden="false" customHeight="false" outlineLevel="0" collapsed="false">
      <c r="A190" s="30" t="s">
        <v>999</v>
      </c>
      <c r="B190" s="30"/>
      <c r="C190" s="30"/>
      <c r="D190" s="30"/>
      <c r="E190" s="30"/>
      <c r="F190" s="30"/>
      <c r="G190" s="30"/>
      <c r="H190" s="30"/>
      <c r="I190" s="36"/>
      <c r="J190" s="30"/>
      <c r="K190" s="36"/>
      <c r="L190" s="30"/>
      <c r="M190" s="57" t="str">
        <f aca="true">IF(C190="","",IF(OR(J190="Closed",J190="Risk accepted"),"Done",IF(I190="","Set due date",IF(I190&lt;TODAY(),"Overdue","On track"))))</f>
        <v/>
      </c>
    </row>
    <row r="191" customFormat="false" ht="15" hidden="false" customHeight="false" outlineLevel="0" collapsed="false">
      <c r="A191" s="30" t="s">
        <v>1000</v>
      </c>
      <c r="B191" s="30"/>
      <c r="C191" s="30"/>
      <c r="D191" s="30"/>
      <c r="E191" s="30"/>
      <c r="F191" s="30"/>
      <c r="G191" s="30"/>
      <c r="H191" s="30"/>
      <c r="I191" s="36"/>
      <c r="J191" s="30"/>
      <c r="K191" s="36"/>
      <c r="L191" s="30"/>
      <c r="M191" s="57" t="str">
        <f aca="true">IF(C191="","",IF(OR(J191="Closed",J191="Risk accepted"),"Done",IF(I191="","Set due date",IF(I191&lt;TODAY(),"Overdue","On track"))))</f>
        <v/>
      </c>
    </row>
    <row r="192" customFormat="false" ht="15" hidden="false" customHeight="false" outlineLevel="0" collapsed="false">
      <c r="A192" s="30" t="s">
        <v>1001</v>
      </c>
      <c r="B192" s="30"/>
      <c r="C192" s="30"/>
      <c r="D192" s="30"/>
      <c r="E192" s="30"/>
      <c r="F192" s="30"/>
      <c r="G192" s="30"/>
      <c r="H192" s="30"/>
      <c r="I192" s="36"/>
      <c r="J192" s="30"/>
      <c r="K192" s="36"/>
      <c r="L192" s="30"/>
      <c r="M192" s="57" t="str">
        <f aca="true">IF(C192="","",IF(OR(J192="Closed",J192="Risk accepted"),"Done",IF(I192="","Set due date",IF(I192&lt;TODAY(),"Overdue","On track"))))</f>
        <v/>
      </c>
    </row>
    <row r="193" customFormat="false" ht="15" hidden="false" customHeight="false" outlineLevel="0" collapsed="false">
      <c r="A193" s="30" t="s">
        <v>1002</v>
      </c>
      <c r="B193" s="30"/>
      <c r="C193" s="30"/>
      <c r="D193" s="30"/>
      <c r="E193" s="30"/>
      <c r="F193" s="30"/>
      <c r="G193" s="30"/>
      <c r="H193" s="30"/>
      <c r="I193" s="36"/>
      <c r="J193" s="30"/>
      <c r="K193" s="36"/>
      <c r="L193" s="30"/>
      <c r="M193" s="57" t="str">
        <f aca="true">IF(C193="","",IF(OR(J193="Closed",J193="Risk accepted"),"Done",IF(I193="","Set due date",IF(I193&lt;TODAY(),"Overdue","On track"))))</f>
        <v/>
      </c>
    </row>
    <row r="194" customFormat="false" ht="15" hidden="false" customHeight="false" outlineLevel="0" collapsed="false">
      <c r="A194" s="30" t="s">
        <v>1003</v>
      </c>
      <c r="B194" s="30"/>
      <c r="C194" s="30"/>
      <c r="D194" s="30"/>
      <c r="E194" s="30"/>
      <c r="F194" s="30"/>
      <c r="G194" s="30"/>
      <c r="H194" s="30"/>
      <c r="I194" s="36"/>
      <c r="J194" s="30"/>
      <c r="K194" s="36"/>
      <c r="L194" s="30"/>
      <c r="M194" s="57" t="str">
        <f aca="true">IF(C194="","",IF(OR(J194="Closed",J194="Risk accepted"),"Done",IF(I194="","Set due date",IF(I194&lt;TODAY(),"Overdue","On track"))))</f>
        <v/>
      </c>
    </row>
    <row r="195" customFormat="false" ht="15" hidden="false" customHeight="false" outlineLevel="0" collapsed="false">
      <c r="A195" s="30" t="s">
        <v>1004</v>
      </c>
      <c r="B195" s="30"/>
      <c r="C195" s="30"/>
      <c r="D195" s="30"/>
      <c r="E195" s="30"/>
      <c r="F195" s="30"/>
      <c r="G195" s="30"/>
      <c r="H195" s="30"/>
      <c r="I195" s="36"/>
      <c r="J195" s="30"/>
      <c r="K195" s="36"/>
      <c r="L195" s="30"/>
      <c r="M195" s="57" t="str">
        <f aca="true">IF(C195="","",IF(OR(J195="Closed",J195="Risk accepted"),"Done",IF(I195="","Set due date",IF(I195&lt;TODAY(),"Overdue","On track"))))</f>
        <v/>
      </c>
    </row>
    <row r="196" customFormat="false" ht="15" hidden="false" customHeight="false" outlineLevel="0" collapsed="false">
      <c r="A196" s="30" t="s">
        <v>1005</v>
      </c>
      <c r="B196" s="30"/>
      <c r="C196" s="30"/>
      <c r="D196" s="30"/>
      <c r="E196" s="30"/>
      <c r="F196" s="30"/>
      <c r="G196" s="30"/>
      <c r="H196" s="30"/>
      <c r="I196" s="36"/>
      <c r="J196" s="30"/>
      <c r="K196" s="36"/>
      <c r="L196" s="30"/>
      <c r="M196" s="57" t="str">
        <f aca="true">IF(C196="","",IF(OR(J196="Closed",J196="Risk accepted"),"Done",IF(I196="","Set due date",IF(I196&lt;TODAY(),"Overdue","On track"))))</f>
        <v/>
      </c>
    </row>
    <row r="197" customFormat="false" ht="15" hidden="false" customHeight="false" outlineLevel="0" collapsed="false">
      <c r="A197" s="30" t="s">
        <v>1006</v>
      </c>
      <c r="B197" s="30"/>
      <c r="C197" s="30"/>
      <c r="D197" s="30"/>
      <c r="E197" s="30"/>
      <c r="F197" s="30"/>
      <c r="G197" s="30"/>
      <c r="H197" s="30"/>
      <c r="I197" s="36"/>
      <c r="J197" s="30"/>
      <c r="K197" s="36"/>
      <c r="L197" s="30"/>
      <c r="M197" s="57" t="str">
        <f aca="true">IF(C197="","",IF(OR(J197="Closed",J197="Risk accepted"),"Done",IF(I197="","Set due date",IF(I197&lt;TODAY(),"Overdue","On track"))))</f>
        <v/>
      </c>
    </row>
    <row r="198" customFormat="false" ht="15" hidden="false" customHeight="false" outlineLevel="0" collapsed="false">
      <c r="A198" s="30" t="s">
        <v>1007</v>
      </c>
      <c r="B198" s="30"/>
      <c r="C198" s="30"/>
      <c r="D198" s="30"/>
      <c r="E198" s="30"/>
      <c r="F198" s="30"/>
      <c r="G198" s="30"/>
      <c r="H198" s="30"/>
      <c r="I198" s="36"/>
      <c r="J198" s="30"/>
      <c r="K198" s="36"/>
      <c r="L198" s="30"/>
      <c r="M198" s="57" t="str">
        <f aca="true">IF(C198="","",IF(OR(J198="Closed",J198="Risk accepted"),"Done",IF(I198="","Set due date",IF(I198&lt;TODAY(),"Overdue","On track"))))</f>
        <v/>
      </c>
    </row>
    <row r="199" customFormat="false" ht="15" hidden="false" customHeight="false" outlineLevel="0" collapsed="false">
      <c r="A199" s="30" t="s">
        <v>1008</v>
      </c>
      <c r="B199" s="30"/>
      <c r="C199" s="30"/>
      <c r="D199" s="30"/>
      <c r="E199" s="30"/>
      <c r="F199" s="30"/>
      <c r="G199" s="30"/>
      <c r="H199" s="30"/>
      <c r="I199" s="36"/>
      <c r="J199" s="30"/>
      <c r="K199" s="36"/>
      <c r="L199" s="30"/>
      <c r="M199" s="57" t="str">
        <f aca="true">IF(C199="","",IF(OR(J199="Closed",J199="Risk accepted"),"Done",IF(I199="","Set due date",IF(I199&lt;TODAY(),"Overdue","On track"))))</f>
        <v/>
      </c>
    </row>
    <row r="200" customFormat="false" ht="15" hidden="false" customHeight="false" outlineLevel="0" collapsed="false">
      <c r="A200" s="30" t="s">
        <v>1009</v>
      </c>
      <c r="B200" s="30"/>
      <c r="C200" s="30"/>
      <c r="D200" s="30"/>
      <c r="E200" s="30"/>
      <c r="F200" s="30"/>
      <c r="G200" s="30"/>
      <c r="H200" s="30"/>
      <c r="I200" s="36"/>
      <c r="J200" s="30"/>
      <c r="K200" s="36"/>
      <c r="L200" s="30"/>
      <c r="M200" s="57" t="str">
        <f aca="true">IF(C200="","",IF(OR(J200="Closed",J200="Risk accepted"),"Done",IF(I200="","Set due date",IF(I200&lt;TODAY(),"Overdue","On track"))))</f>
        <v/>
      </c>
    </row>
    <row r="201" customFormat="false" ht="15" hidden="false" customHeight="false" outlineLevel="0" collapsed="false">
      <c r="A201" s="30" t="s">
        <v>1010</v>
      </c>
      <c r="B201" s="30"/>
      <c r="C201" s="30"/>
      <c r="D201" s="30"/>
      <c r="E201" s="30"/>
      <c r="F201" s="30"/>
      <c r="G201" s="30"/>
      <c r="H201" s="30"/>
      <c r="I201" s="36"/>
      <c r="J201" s="30"/>
      <c r="K201" s="36"/>
      <c r="L201" s="30"/>
      <c r="M201" s="57" t="str">
        <f aca="true">IF(C201="","",IF(OR(J201="Closed",J201="Risk accepted"),"Done",IF(I201="","Set due date",IF(I201&lt;TODAY(),"Overdue","On track"))))</f>
        <v/>
      </c>
    </row>
    <row r="202" customFormat="false" ht="15" hidden="false" customHeight="false" outlineLevel="0" collapsed="false">
      <c r="A202" s="30" t="s">
        <v>1011</v>
      </c>
      <c r="B202" s="30"/>
      <c r="C202" s="30"/>
      <c r="D202" s="30"/>
      <c r="E202" s="30"/>
      <c r="F202" s="30"/>
      <c r="G202" s="30"/>
      <c r="H202" s="30"/>
      <c r="I202" s="36"/>
      <c r="J202" s="30"/>
      <c r="K202" s="36"/>
      <c r="L202" s="30"/>
      <c r="M202" s="57" t="str">
        <f aca="true">IF(C202="","",IF(OR(J202="Closed",J202="Risk accepted"),"Done",IF(I202="","Set due date",IF(I202&lt;TODAY(),"Overdue","On track"))))</f>
        <v/>
      </c>
    </row>
    <row r="203" customFormat="false" ht="15" hidden="false" customHeight="false" outlineLevel="0" collapsed="false">
      <c r="A203" s="30" t="s">
        <v>1012</v>
      </c>
      <c r="B203" s="30"/>
      <c r="C203" s="30"/>
      <c r="D203" s="30"/>
      <c r="E203" s="30"/>
      <c r="F203" s="30"/>
      <c r="G203" s="30"/>
      <c r="H203" s="30"/>
      <c r="I203" s="36"/>
      <c r="J203" s="30"/>
      <c r="K203" s="36"/>
      <c r="L203" s="30"/>
      <c r="M203" s="57" t="str">
        <f aca="true">IF(C203="","",IF(OR(J203="Closed",J203="Risk accepted"),"Done",IF(I203="","Set due date",IF(I203&lt;TODAY(),"Overdue","On track"))))</f>
        <v/>
      </c>
    </row>
    <row r="204" customFormat="false" ht="15" hidden="false" customHeight="false" outlineLevel="0" collapsed="false">
      <c r="A204" s="30" t="s">
        <v>1013</v>
      </c>
      <c r="B204" s="30"/>
      <c r="C204" s="30"/>
      <c r="D204" s="30"/>
      <c r="E204" s="30"/>
      <c r="F204" s="30"/>
      <c r="G204" s="30"/>
      <c r="H204" s="30"/>
      <c r="I204" s="36"/>
      <c r="J204" s="30"/>
      <c r="K204" s="36"/>
      <c r="L204" s="30"/>
      <c r="M204" s="57" t="str">
        <f aca="true">IF(C204="","",IF(OR(J204="Closed",J204="Risk accepted"),"Done",IF(I204="","Set due date",IF(I204&lt;TODAY(),"Overdue","On track"))))</f>
        <v/>
      </c>
    </row>
  </sheetData>
  <conditionalFormatting sqref="E5:E204">
    <cfRule type="cellIs" priority="2" operator="equal" aboveAverage="0" equalAverage="0" bottom="0" percent="0" rank="0" text="" dxfId="15">
      <formula>"High"</formula>
    </cfRule>
    <cfRule type="cellIs" priority="3" operator="equal" aboveAverage="0" equalAverage="0" bottom="0" percent="0" rank="0" text="" dxfId="14">
      <formula>"Medium"</formula>
    </cfRule>
    <cfRule type="cellIs" priority="4" operator="equal" aboveAverage="0" equalAverage="0" bottom="0" percent="0" rank="0" text="" dxfId="13">
      <formula>"Low"</formula>
    </cfRule>
  </conditionalFormatting>
  <conditionalFormatting sqref="J5:J204">
    <cfRule type="cellIs" priority="5" operator="equal" aboveAverage="0" equalAverage="0" bottom="0" percent="0" rank="0" text="" dxfId="21">
      <formula>"Open"</formula>
    </cfRule>
    <cfRule type="cellIs" priority="6" operator="equal" aboveAverage="0" equalAverage="0" bottom="0" percent="0" rank="0" text="" dxfId="24">
      <formula>"In remediation"</formula>
    </cfRule>
    <cfRule type="cellIs" priority="7" operator="equal" aboveAverage="0" equalAverage="0" bottom="0" percent="0" rank="0" text="" dxfId="19">
      <formula>"Ready to verify"</formula>
    </cfRule>
    <cfRule type="cellIs" priority="8" operator="equal" aboveAverage="0" equalAverage="0" bottom="0" percent="0" rank="0" text="" dxfId="17">
      <formula>"Closed"</formula>
    </cfRule>
    <cfRule type="cellIs" priority="9" operator="equal" aboveAverage="0" equalAverage="0" bottom="0" percent="0" rank="0" text="" dxfId="20">
      <formula>"Risk accepted"</formula>
    </cfRule>
  </conditionalFormatting>
  <conditionalFormatting sqref="M5:M204">
    <cfRule type="cellIs" priority="10" operator="equal" aboveAverage="0" equalAverage="0" bottom="0" percent="0" rank="0" text="" dxfId="18">
      <formula>"Overdue"</formula>
    </cfRule>
    <cfRule type="cellIs" priority="11" operator="equal" aboveAverage="0" equalAverage="0" bottom="0" percent="0" rank="0" text="" dxfId="17">
      <formula>"On track"</formula>
    </cfRule>
    <cfRule type="cellIs" priority="12" operator="equal" aboveAverage="0" equalAverage="0" bottom="0" percent="0" rank="0" text="" dxfId="22">
      <formula>"Done"</formula>
    </cfRule>
    <cfRule type="cellIs" priority="13" operator="equal" aboveAverage="0" equalAverage="0" bottom="0" percent="0" rank="0" text="" dxfId="23">
      <formula>"Set due date"</formula>
    </cfRule>
  </conditionalFormatting>
  <dataValidations count="4">
    <dataValidation allowBlank="true" error="Choose a value from the list (edit the Lists sheet to change the options)." errorStyle="warning" operator="between" showDropDown="false" showErrorMessage="true" showInputMessage="false" sqref="E5:E204" type="list">
      <formula1>Lists!$D$2:$D$4</formula1>
      <formula2>0</formula2>
    </dataValidation>
    <dataValidation allowBlank="true" error="Choose a value from the list (edit the Lists sheet to change the options)." errorStyle="warning" operator="between" showDropDown="false" showErrorMessage="true" showInputMessage="false" sqref="J5:J204" type="list">
      <formula1>Lists!$E$2:$E$6</formula1>
      <formula2>0</formula2>
    </dataValidation>
    <dataValidation allowBlank="true" error="Enter a date (for example 2026-10-17)." errorStyle="warning" operator="greaterThan" showDropDown="false" showErrorMessage="true" showInputMessage="false" sqref="I5:I204" type="date">
      <formula1>DATE(2000,1,1)</formula1>
      <formula2>0</formula2>
    </dataValidation>
    <dataValidation allowBlank="true" error="Enter a date (for example 2026-10-17)." errorStyle="warning" operator="greaterThan" showDropDown="false" showErrorMessage="true" showInputMessage="false" sqref="K5:K204"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22"/>
    <col collapsed="false" customWidth="true" hidden="false" outlineLevel="0" max="5" min="4" style="0" width="34"/>
    <col collapsed="false" customWidth="true" hidden="false" outlineLevel="0" max="7" min="6" style="0" width="18"/>
    <col collapsed="false" customWidth="true" hidden="false" outlineLevel="0" max="9" min="8" style="0" width="12"/>
    <col collapsed="false" customWidth="true" hidden="false" outlineLevel="0" max="10" min="10" style="0" width="14"/>
    <col collapsed="false" customWidth="true" hidden="false" outlineLevel="0" max="11" min="11" style="0" width="26"/>
    <col collapsed="false" customWidth="true" hidden="false" outlineLevel="0" max="12" min="12" style="0" width="22"/>
  </cols>
  <sheetData>
    <row r="1" customFormat="false" ht="30" hidden="false" customHeight="true" outlineLevel="0" collapsed="false">
      <c r="A1" s="60" t="s">
        <v>46</v>
      </c>
      <c r="B1" s="61"/>
      <c r="C1" s="61"/>
      <c r="D1" s="61"/>
      <c r="E1" s="61"/>
      <c r="F1" s="61"/>
      <c r="G1" s="61"/>
      <c r="H1" s="61"/>
      <c r="I1" s="61"/>
      <c r="J1" s="61"/>
      <c r="K1" s="61"/>
      <c r="L1" s="61"/>
    </row>
    <row r="2" customFormat="false" ht="15" hidden="false" customHeight="false" outlineLevel="0" collapsed="false">
      <c r="A2" s="3" t="s">
        <v>1014</v>
      </c>
    </row>
    <row r="4" customFormat="false" ht="23.85" hidden="false" customHeight="false" outlineLevel="0" collapsed="false">
      <c r="A4" s="62" t="s">
        <v>1015</v>
      </c>
      <c r="B4" s="62" t="s">
        <v>169</v>
      </c>
      <c r="C4" s="62" t="s">
        <v>1016</v>
      </c>
      <c r="D4" s="62" t="s">
        <v>1017</v>
      </c>
      <c r="E4" s="62" t="s">
        <v>1018</v>
      </c>
      <c r="F4" s="62" t="s">
        <v>1019</v>
      </c>
      <c r="G4" s="62" t="s">
        <v>1020</v>
      </c>
      <c r="H4" s="62" t="s">
        <v>1021</v>
      </c>
      <c r="I4" s="62" t="s">
        <v>1022</v>
      </c>
      <c r="J4" s="62" t="s">
        <v>1023</v>
      </c>
      <c r="K4" s="62" t="s">
        <v>139</v>
      </c>
      <c r="L4" s="62" t="s">
        <v>1024</v>
      </c>
    </row>
    <row r="5" customFormat="false" ht="15" hidden="false" customHeight="false" outlineLevel="0" collapsed="false">
      <c r="A5" s="30" t="s">
        <v>1025</v>
      </c>
      <c r="B5" s="30"/>
      <c r="C5" s="30"/>
      <c r="D5" s="30"/>
      <c r="E5" s="30"/>
      <c r="F5" s="30"/>
      <c r="G5" s="30"/>
      <c r="H5" s="36"/>
      <c r="I5" s="36"/>
      <c r="J5" s="30"/>
      <c r="K5" s="30"/>
      <c r="L5" s="45" t="str">
        <f aca="true">IF(B5="","",IF(J5="Closed","Closed",IF(OR(E5="",H5="",I5=""),"Incomplete: needs compensating control, approval and expiry",IF(I5&lt;TODAY(),"Expired",IF(I5-TODAY()&lt;=30,"Expires within 30 days","Active")))))</f>
        <v/>
      </c>
    </row>
    <row r="6" customFormat="false" ht="15" hidden="false" customHeight="false" outlineLevel="0" collapsed="false">
      <c r="A6" s="30" t="s">
        <v>1026</v>
      </c>
      <c r="B6" s="30"/>
      <c r="C6" s="30"/>
      <c r="D6" s="30"/>
      <c r="E6" s="30"/>
      <c r="F6" s="30"/>
      <c r="G6" s="30"/>
      <c r="H6" s="36"/>
      <c r="I6" s="36"/>
      <c r="J6" s="30"/>
      <c r="K6" s="30"/>
      <c r="L6" s="45" t="str">
        <f aca="true">IF(B6="","",IF(J6="Closed","Closed",IF(OR(E6="",H6="",I6=""),"Incomplete: needs compensating control, approval and expiry",IF(I6&lt;TODAY(),"Expired",IF(I6-TODAY()&lt;=30,"Expires within 30 days","Active")))))</f>
        <v/>
      </c>
    </row>
    <row r="7" customFormat="false" ht="15" hidden="false" customHeight="false" outlineLevel="0" collapsed="false">
      <c r="A7" s="30" t="s">
        <v>1027</v>
      </c>
      <c r="B7" s="30"/>
      <c r="C7" s="30"/>
      <c r="D7" s="30"/>
      <c r="E7" s="30"/>
      <c r="F7" s="30"/>
      <c r="G7" s="30"/>
      <c r="H7" s="36"/>
      <c r="I7" s="36"/>
      <c r="J7" s="30"/>
      <c r="K7" s="30"/>
      <c r="L7" s="45" t="str">
        <f aca="true">IF(B7="","",IF(J7="Closed","Closed",IF(OR(E7="",H7="",I7=""),"Incomplete: needs compensating control, approval and expiry",IF(I7&lt;TODAY(),"Expired",IF(I7-TODAY()&lt;=30,"Expires within 30 days","Active")))))</f>
        <v/>
      </c>
    </row>
    <row r="8" customFormat="false" ht="15" hidden="false" customHeight="false" outlineLevel="0" collapsed="false">
      <c r="A8" s="30" t="s">
        <v>1028</v>
      </c>
      <c r="B8" s="30"/>
      <c r="C8" s="30"/>
      <c r="D8" s="30"/>
      <c r="E8" s="30"/>
      <c r="F8" s="30"/>
      <c r="G8" s="30"/>
      <c r="H8" s="36"/>
      <c r="I8" s="36"/>
      <c r="J8" s="30"/>
      <c r="K8" s="30"/>
      <c r="L8" s="45" t="str">
        <f aca="true">IF(B8="","",IF(J8="Closed","Closed",IF(OR(E8="",H8="",I8=""),"Incomplete: needs compensating control, approval and expiry",IF(I8&lt;TODAY(),"Expired",IF(I8-TODAY()&lt;=30,"Expires within 30 days","Active")))))</f>
        <v/>
      </c>
    </row>
    <row r="9" customFormat="false" ht="15" hidden="false" customHeight="false" outlineLevel="0" collapsed="false">
      <c r="A9" s="30" t="s">
        <v>1029</v>
      </c>
      <c r="B9" s="30"/>
      <c r="C9" s="30"/>
      <c r="D9" s="30"/>
      <c r="E9" s="30"/>
      <c r="F9" s="30"/>
      <c r="G9" s="30"/>
      <c r="H9" s="36"/>
      <c r="I9" s="36"/>
      <c r="J9" s="30"/>
      <c r="K9" s="30"/>
      <c r="L9" s="45" t="str">
        <f aca="true">IF(B9="","",IF(J9="Closed","Closed",IF(OR(E9="",H9="",I9=""),"Incomplete: needs compensating control, approval and expiry",IF(I9&lt;TODAY(),"Expired",IF(I9-TODAY()&lt;=30,"Expires within 30 days","Active")))))</f>
        <v/>
      </c>
    </row>
    <row r="10" customFormat="false" ht="15" hidden="false" customHeight="false" outlineLevel="0" collapsed="false">
      <c r="A10" s="30" t="s">
        <v>1030</v>
      </c>
      <c r="B10" s="30"/>
      <c r="C10" s="30"/>
      <c r="D10" s="30"/>
      <c r="E10" s="30"/>
      <c r="F10" s="30"/>
      <c r="G10" s="30"/>
      <c r="H10" s="36"/>
      <c r="I10" s="36"/>
      <c r="J10" s="30"/>
      <c r="K10" s="30"/>
      <c r="L10" s="45" t="str">
        <f aca="true">IF(B10="","",IF(J10="Closed","Closed",IF(OR(E10="",H10="",I10=""),"Incomplete: needs compensating control, approval and expiry",IF(I10&lt;TODAY(),"Expired",IF(I10-TODAY()&lt;=30,"Expires within 30 days","Active")))))</f>
        <v/>
      </c>
    </row>
    <row r="11" customFormat="false" ht="15" hidden="false" customHeight="false" outlineLevel="0" collapsed="false">
      <c r="A11" s="30" t="s">
        <v>1031</v>
      </c>
      <c r="B11" s="30"/>
      <c r="C11" s="30"/>
      <c r="D11" s="30"/>
      <c r="E11" s="30"/>
      <c r="F11" s="30"/>
      <c r="G11" s="30"/>
      <c r="H11" s="36"/>
      <c r="I11" s="36"/>
      <c r="J11" s="30"/>
      <c r="K11" s="30"/>
      <c r="L11" s="45" t="str">
        <f aca="true">IF(B11="","",IF(J11="Closed","Closed",IF(OR(E11="",H11="",I11=""),"Incomplete: needs compensating control, approval and expiry",IF(I11&lt;TODAY(),"Expired",IF(I11-TODAY()&lt;=30,"Expires within 30 days","Active")))))</f>
        <v/>
      </c>
    </row>
    <row r="12" customFormat="false" ht="15" hidden="false" customHeight="false" outlineLevel="0" collapsed="false">
      <c r="A12" s="30" t="s">
        <v>1032</v>
      </c>
      <c r="B12" s="30"/>
      <c r="C12" s="30"/>
      <c r="D12" s="30"/>
      <c r="E12" s="30"/>
      <c r="F12" s="30"/>
      <c r="G12" s="30"/>
      <c r="H12" s="36"/>
      <c r="I12" s="36"/>
      <c r="J12" s="30"/>
      <c r="K12" s="30"/>
      <c r="L12" s="45" t="str">
        <f aca="true">IF(B12="","",IF(J12="Closed","Closed",IF(OR(E12="",H12="",I12=""),"Incomplete: needs compensating control, approval and expiry",IF(I12&lt;TODAY(),"Expired",IF(I12-TODAY()&lt;=30,"Expires within 30 days","Active")))))</f>
        <v/>
      </c>
    </row>
    <row r="13" customFormat="false" ht="15" hidden="false" customHeight="false" outlineLevel="0" collapsed="false">
      <c r="A13" s="30" t="s">
        <v>1033</v>
      </c>
      <c r="B13" s="30"/>
      <c r="C13" s="30"/>
      <c r="D13" s="30"/>
      <c r="E13" s="30"/>
      <c r="F13" s="30"/>
      <c r="G13" s="30"/>
      <c r="H13" s="36"/>
      <c r="I13" s="36"/>
      <c r="J13" s="30"/>
      <c r="K13" s="30"/>
      <c r="L13" s="45" t="str">
        <f aca="true">IF(B13="","",IF(J13="Closed","Closed",IF(OR(E13="",H13="",I13=""),"Incomplete: needs compensating control, approval and expiry",IF(I13&lt;TODAY(),"Expired",IF(I13-TODAY()&lt;=30,"Expires within 30 days","Active")))))</f>
        <v/>
      </c>
    </row>
    <row r="14" customFormat="false" ht="15" hidden="false" customHeight="false" outlineLevel="0" collapsed="false">
      <c r="A14" s="30" t="s">
        <v>1034</v>
      </c>
      <c r="B14" s="30"/>
      <c r="C14" s="30"/>
      <c r="D14" s="30"/>
      <c r="E14" s="30"/>
      <c r="F14" s="30"/>
      <c r="G14" s="30"/>
      <c r="H14" s="36"/>
      <c r="I14" s="36"/>
      <c r="J14" s="30"/>
      <c r="K14" s="30"/>
      <c r="L14" s="45" t="str">
        <f aca="true">IF(B14="","",IF(J14="Closed","Closed",IF(OR(E14="",H14="",I14=""),"Incomplete: needs compensating control, approval and expiry",IF(I14&lt;TODAY(),"Expired",IF(I14-TODAY()&lt;=30,"Expires within 30 days","Active")))))</f>
        <v/>
      </c>
    </row>
    <row r="15" customFormat="false" ht="15" hidden="false" customHeight="false" outlineLevel="0" collapsed="false">
      <c r="A15" s="30" t="s">
        <v>1035</v>
      </c>
      <c r="B15" s="30"/>
      <c r="C15" s="30"/>
      <c r="D15" s="30"/>
      <c r="E15" s="30"/>
      <c r="F15" s="30"/>
      <c r="G15" s="30"/>
      <c r="H15" s="36"/>
      <c r="I15" s="36"/>
      <c r="J15" s="30"/>
      <c r="K15" s="30"/>
      <c r="L15" s="45" t="str">
        <f aca="true">IF(B15="","",IF(J15="Closed","Closed",IF(OR(E15="",H15="",I15=""),"Incomplete: needs compensating control, approval and expiry",IF(I15&lt;TODAY(),"Expired",IF(I15-TODAY()&lt;=30,"Expires within 30 days","Active")))))</f>
        <v/>
      </c>
    </row>
    <row r="16" customFormat="false" ht="15" hidden="false" customHeight="false" outlineLevel="0" collapsed="false">
      <c r="A16" s="30" t="s">
        <v>1036</v>
      </c>
      <c r="B16" s="30"/>
      <c r="C16" s="30"/>
      <c r="D16" s="30"/>
      <c r="E16" s="30"/>
      <c r="F16" s="30"/>
      <c r="G16" s="30"/>
      <c r="H16" s="36"/>
      <c r="I16" s="36"/>
      <c r="J16" s="30"/>
      <c r="K16" s="30"/>
      <c r="L16" s="45" t="str">
        <f aca="true">IF(B16="","",IF(J16="Closed","Closed",IF(OR(E16="",H16="",I16=""),"Incomplete: needs compensating control, approval and expiry",IF(I16&lt;TODAY(),"Expired",IF(I16-TODAY()&lt;=30,"Expires within 30 days","Active")))))</f>
        <v/>
      </c>
    </row>
    <row r="17" customFormat="false" ht="15" hidden="false" customHeight="false" outlineLevel="0" collapsed="false">
      <c r="A17" s="30" t="s">
        <v>1037</v>
      </c>
      <c r="B17" s="30"/>
      <c r="C17" s="30"/>
      <c r="D17" s="30"/>
      <c r="E17" s="30"/>
      <c r="F17" s="30"/>
      <c r="G17" s="30"/>
      <c r="H17" s="36"/>
      <c r="I17" s="36"/>
      <c r="J17" s="30"/>
      <c r="K17" s="30"/>
      <c r="L17" s="45" t="str">
        <f aca="true">IF(B17="","",IF(J17="Closed","Closed",IF(OR(E17="",H17="",I17=""),"Incomplete: needs compensating control, approval and expiry",IF(I17&lt;TODAY(),"Expired",IF(I17-TODAY()&lt;=30,"Expires within 30 days","Active")))))</f>
        <v/>
      </c>
    </row>
    <row r="18" customFormat="false" ht="15" hidden="false" customHeight="false" outlineLevel="0" collapsed="false">
      <c r="A18" s="30" t="s">
        <v>1038</v>
      </c>
      <c r="B18" s="30"/>
      <c r="C18" s="30"/>
      <c r="D18" s="30"/>
      <c r="E18" s="30"/>
      <c r="F18" s="30"/>
      <c r="G18" s="30"/>
      <c r="H18" s="36"/>
      <c r="I18" s="36"/>
      <c r="J18" s="30"/>
      <c r="K18" s="30"/>
      <c r="L18" s="45" t="str">
        <f aca="true">IF(B18="","",IF(J18="Closed","Closed",IF(OR(E18="",H18="",I18=""),"Incomplete: needs compensating control, approval and expiry",IF(I18&lt;TODAY(),"Expired",IF(I18-TODAY()&lt;=30,"Expires within 30 days","Active")))))</f>
        <v/>
      </c>
    </row>
    <row r="19" customFormat="false" ht="15" hidden="false" customHeight="false" outlineLevel="0" collapsed="false">
      <c r="A19" s="30" t="s">
        <v>1039</v>
      </c>
      <c r="B19" s="30"/>
      <c r="C19" s="30"/>
      <c r="D19" s="30"/>
      <c r="E19" s="30"/>
      <c r="F19" s="30"/>
      <c r="G19" s="30"/>
      <c r="H19" s="36"/>
      <c r="I19" s="36"/>
      <c r="J19" s="30"/>
      <c r="K19" s="30"/>
      <c r="L19" s="45" t="str">
        <f aca="true">IF(B19="","",IF(J19="Closed","Closed",IF(OR(E19="",H19="",I19=""),"Incomplete: needs compensating control, approval and expiry",IF(I19&lt;TODAY(),"Expired",IF(I19-TODAY()&lt;=30,"Expires within 30 days","Active")))))</f>
        <v/>
      </c>
    </row>
    <row r="20" customFormat="false" ht="15" hidden="false" customHeight="false" outlineLevel="0" collapsed="false">
      <c r="A20" s="30" t="s">
        <v>1040</v>
      </c>
      <c r="B20" s="30"/>
      <c r="C20" s="30"/>
      <c r="D20" s="30"/>
      <c r="E20" s="30"/>
      <c r="F20" s="30"/>
      <c r="G20" s="30"/>
      <c r="H20" s="36"/>
      <c r="I20" s="36"/>
      <c r="J20" s="30"/>
      <c r="K20" s="30"/>
      <c r="L20" s="45" t="str">
        <f aca="true">IF(B20="","",IF(J20="Closed","Closed",IF(OR(E20="",H20="",I20=""),"Incomplete: needs compensating control, approval and expiry",IF(I20&lt;TODAY(),"Expired",IF(I20-TODAY()&lt;=30,"Expires within 30 days","Active")))))</f>
        <v/>
      </c>
    </row>
    <row r="21" customFormat="false" ht="15" hidden="false" customHeight="false" outlineLevel="0" collapsed="false">
      <c r="A21" s="30" t="s">
        <v>1041</v>
      </c>
      <c r="B21" s="30"/>
      <c r="C21" s="30"/>
      <c r="D21" s="30"/>
      <c r="E21" s="30"/>
      <c r="F21" s="30"/>
      <c r="G21" s="30"/>
      <c r="H21" s="36"/>
      <c r="I21" s="36"/>
      <c r="J21" s="30"/>
      <c r="K21" s="30"/>
      <c r="L21" s="45" t="str">
        <f aca="true">IF(B21="","",IF(J21="Closed","Closed",IF(OR(E21="",H21="",I21=""),"Incomplete: needs compensating control, approval and expiry",IF(I21&lt;TODAY(),"Expired",IF(I21-TODAY()&lt;=30,"Expires within 30 days","Active")))))</f>
        <v/>
      </c>
    </row>
    <row r="22" customFormat="false" ht="15" hidden="false" customHeight="false" outlineLevel="0" collapsed="false">
      <c r="A22" s="30" t="s">
        <v>1042</v>
      </c>
      <c r="B22" s="30"/>
      <c r="C22" s="30"/>
      <c r="D22" s="30"/>
      <c r="E22" s="30"/>
      <c r="F22" s="30"/>
      <c r="G22" s="30"/>
      <c r="H22" s="36"/>
      <c r="I22" s="36"/>
      <c r="J22" s="30"/>
      <c r="K22" s="30"/>
      <c r="L22" s="45" t="str">
        <f aca="true">IF(B22="","",IF(J22="Closed","Closed",IF(OR(E22="",H22="",I22=""),"Incomplete: needs compensating control, approval and expiry",IF(I22&lt;TODAY(),"Expired",IF(I22-TODAY()&lt;=30,"Expires within 30 days","Active")))))</f>
        <v/>
      </c>
    </row>
    <row r="23" customFormat="false" ht="15" hidden="false" customHeight="false" outlineLevel="0" collapsed="false">
      <c r="A23" s="30" t="s">
        <v>1043</v>
      </c>
      <c r="B23" s="30"/>
      <c r="C23" s="30"/>
      <c r="D23" s="30"/>
      <c r="E23" s="30"/>
      <c r="F23" s="30"/>
      <c r="G23" s="30"/>
      <c r="H23" s="36"/>
      <c r="I23" s="36"/>
      <c r="J23" s="30"/>
      <c r="K23" s="30"/>
      <c r="L23" s="45" t="str">
        <f aca="true">IF(B23="","",IF(J23="Closed","Closed",IF(OR(E23="",H23="",I23=""),"Incomplete: needs compensating control, approval and expiry",IF(I23&lt;TODAY(),"Expired",IF(I23-TODAY()&lt;=30,"Expires within 30 days","Active")))))</f>
        <v/>
      </c>
    </row>
    <row r="24" customFormat="false" ht="15" hidden="false" customHeight="false" outlineLevel="0" collapsed="false">
      <c r="A24" s="30" t="s">
        <v>1044</v>
      </c>
      <c r="B24" s="30"/>
      <c r="C24" s="30"/>
      <c r="D24" s="30"/>
      <c r="E24" s="30"/>
      <c r="F24" s="30"/>
      <c r="G24" s="30"/>
      <c r="H24" s="36"/>
      <c r="I24" s="36"/>
      <c r="J24" s="30"/>
      <c r="K24" s="30"/>
      <c r="L24" s="45" t="str">
        <f aca="true">IF(B24="","",IF(J24="Closed","Closed",IF(OR(E24="",H24="",I24=""),"Incomplete: needs compensating control, approval and expiry",IF(I24&lt;TODAY(),"Expired",IF(I24-TODAY()&lt;=30,"Expires within 30 days","Active")))))</f>
        <v/>
      </c>
    </row>
    <row r="25" customFormat="false" ht="15" hidden="false" customHeight="false" outlineLevel="0" collapsed="false">
      <c r="A25" s="30" t="s">
        <v>1045</v>
      </c>
      <c r="B25" s="30"/>
      <c r="C25" s="30"/>
      <c r="D25" s="30"/>
      <c r="E25" s="30"/>
      <c r="F25" s="30"/>
      <c r="G25" s="30"/>
      <c r="H25" s="36"/>
      <c r="I25" s="36"/>
      <c r="J25" s="30"/>
      <c r="K25" s="30"/>
      <c r="L25" s="45" t="str">
        <f aca="true">IF(B25="","",IF(J25="Closed","Closed",IF(OR(E25="",H25="",I25=""),"Incomplete: needs compensating control, approval and expiry",IF(I25&lt;TODAY(),"Expired",IF(I25-TODAY()&lt;=30,"Expires within 30 days","Active")))))</f>
        <v/>
      </c>
    </row>
    <row r="26" customFormat="false" ht="15" hidden="false" customHeight="false" outlineLevel="0" collapsed="false">
      <c r="A26" s="30" t="s">
        <v>1046</v>
      </c>
      <c r="B26" s="30"/>
      <c r="C26" s="30"/>
      <c r="D26" s="30"/>
      <c r="E26" s="30"/>
      <c r="F26" s="30"/>
      <c r="G26" s="30"/>
      <c r="H26" s="36"/>
      <c r="I26" s="36"/>
      <c r="J26" s="30"/>
      <c r="K26" s="30"/>
      <c r="L26" s="45" t="str">
        <f aca="true">IF(B26="","",IF(J26="Closed","Closed",IF(OR(E26="",H26="",I26=""),"Incomplete: needs compensating control, approval and expiry",IF(I26&lt;TODAY(),"Expired",IF(I26-TODAY()&lt;=30,"Expires within 30 days","Active")))))</f>
        <v/>
      </c>
    </row>
    <row r="27" customFormat="false" ht="15" hidden="false" customHeight="false" outlineLevel="0" collapsed="false">
      <c r="A27" s="30" t="s">
        <v>1047</v>
      </c>
      <c r="B27" s="30"/>
      <c r="C27" s="30"/>
      <c r="D27" s="30"/>
      <c r="E27" s="30"/>
      <c r="F27" s="30"/>
      <c r="G27" s="30"/>
      <c r="H27" s="36"/>
      <c r="I27" s="36"/>
      <c r="J27" s="30"/>
      <c r="K27" s="30"/>
      <c r="L27" s="45" t="str">
        <f aca="true">IF(B27="","",IF(J27="Closed","Closed",IF(OR(E27="",H27="",I27=""),"Incomplete: needs compensating control, approval and expiry",IF(I27&lt;TODAY(),"Expired",IF(I27-TODAY()&lt;=30,"Expires within 30 days","Active")))))</f>
        <v/>
      </c>
    </row>
    <row r="28" customFormat="false" ht="15" hidden="false" customHeight="false" outlineLevel="0" collapsed="false">
      <c r="A28" s="30" t="s">
        <v>1048</v>
      </c>
      <c r="B28" s="30"/>
      <c r="C28" s="30"/>
      <c r="D28" s="30"/>
      <c r="E28" s="30"/>
      <c r="F28" s="30"/>
      <c r="G28" s="30"/>
      <c r="H28" s="36"/>
      <c r="I28" s="36"/>
      <c r="J28" s="30"/>
      <c r="K28" s="30"/>
      <c r="L28" s="45" t="str">
        <f aca="true">IF(B28="","",IF(J28="Closed","Closed",IF(OR(E28="",H28="",I28=""),"Incomplete: needs compensating control, approval and expiry",IF(I28&lt;TODAY(),"Expired",IF(I28-TODAY()&lt;=30,"Expires within 30 days","Active")))))</f>
        <v/>
      </c>
    </row>
    <row r="29" customFormat="false" ht="15" hidden="false" customHeight="false" outlineLevel="0" collapsed="false">
      <c r="A29" s="30" t="s">
        <v>1049</v>
      </c>
      <c r="B29" s="30"/>
      <c r="C29" s="30"/>
      <c r="D29" s="30"/>
      <c r="E29" s="30"/>
      <c r="F29" s="30"/>
      <c r="G29" s="30"/>
      <c r="H29" s="36"/>
      <c r="I29" s="36"/>
      <c r="J29" s="30"/>
      <c r="K29" s="30"/>
      <c r="L29" s="45" t="str">
        <f aca="true">IF(B29="","",IF(J29="Closed","Closed",IF(OR(E29="",H29="",I29=""),"Incomplete: needs compensating control, approval and expiry",IF(I29&lt;TODAY(),"Expired",IF(I29-TODAY()&lt;=30,"Expires within 30 days","Active")))))</f>
        <v/>
      </c>
    </row>
    <row r="30" customFormat="false" ht="15" hidden="false" customHeight="false" outlineLevel="0" collapsed="false">
      <c r="A30" s="30" t="s">
        <v>1050</v>
      </c>
      <c r="B30" s="30"/>
      <c r="C30" s="30"/>
      <c r="D30" s="30"/>
      <c r="E30" s="30"/>
      <c r="F30" s="30"/>
      <c r="G30" s="30"/>
      <c r="H30" s="36"/>
      <c r="I30" s="36"/>
      <c r="J30" s="30"/>
      <c r="K30" s="30"/>
      <c r="L30" s="45" t="str">
        <f aca="true">IF(B30="","",IF(J30="Closed","Closed",IF(OR(E30="",H30="",I30=""),"Incomplete: needs compensating control, approval and expiry",IF(I30&lt;TODAY(),"Expired",IF(I30-TODAY()&lt;=30,"Expires within 30 days","Active")))))</f>
        <v/>
      </c>
    </row>
    <row r="31" customFormat="false" ht="15" hidden="false" customHeight="false" outlineLevel="0" collapsed="false">
      <c r="A31" s="30" t="s">
        <v>1051</v>
      </c>
      <c r="B31" s="30"/>
      <c r="C31" s="30"/>
      <c r="D31" s="30"/>
      <c r="E31" s="30"/>
      <c r="F31" s="30"/>
      <c r="G31" s="30"/>
      <c r="H31" s="36"/>
      <c r="I31" s="36"/>
      <c r="J31" s="30"/>
      <c r="K31" s="30"/>
      <c r="L31" s="45" t="str">
        <f aca="true">IF(B31="","",IF(J31="Closed","Closed",IF(OR(E31="",H31="",I31=""),"Incomplete: needs compensating control, approval and expiry",IF(I31&lt;TODAY(),"Expired",IF(I31-TODAY()&lt;=30,"Expires within 30 days","Active")))))</f>
        <v/>
      </c>
    </row>
    <row r="32" customFormat="false" ht="15" hidden="false" customHeight="false" outlineLevel="0" collapsed="false">
      <c r="A32" s="30" t="s">
        <v>1052</v>
      </c>
      <c r="B32" s="30"/>
      <c r="C32" s="30"/>
      <c r="D32" s="30"/>
      <c r="E32" s="30"/>
      <c r="F32" s="30"/>
      <c r="G32" s="30"/>
      <c r="H32" s="36"/>
      <c r="I32" s="36"/>
      <c r="J32" s="30"/>
      <c r="K32" s="30"/>
      <c r="L32" s="45" t="str">
        <f aca="true">IF(B32="","",IF(J32="Closed","Closed",IF(OR(E32="",H32="",I32=""),"Incomplete: needs compensating control, approval and expiry",IF(I32&lt;TODAY(),"Expired",IF(I32-TODAY()&lt;=30,"Expires within 30 days","Active")))))</f>
        <v/>
      </c>
    </row>
    <row r="33" customFormat="false" ht="15" hidden="false" customHeight="false" outlineLevel="0" collapsed="false">
      <c r="A33" s="30" t="s">
        <v>1053</v>
      </c>
      <c r="B33" s="30"/>
      <c r="C33" s="30"/>
      <c r="D33" s="30"/>
      <c r="E33" s="30"/>
      <c r="F33" s="30"/>
      <c r="G33" s="30"/>
      <c r="H33" s="36"/>
      <c r="I33" s="36"/>
      <c r="J33" s="30"/>
      <c r="K33" s="30"/>
      <c r="L33" s="45" t="str">
        <f aca="true">IF(B33="","",IF(J33="Closed","Closed",IF(OR(E33="",H33="",I33=""),"Incomplete: needs compensating control, approval and expiry",IF(I33&lt;TODAY(),"Expired",IF(I33-TODAY()&lt;=30,"Expires within 30 days","Active")))))</f>
        <v/>
      </c>
    </row>
    <row r="34" customFormat="false" ht="15" hidden="false" customHeight="false" outlineLevel="0" collapsed="false">
      <c r="A34" s="30" t="s">
        <v>1054</v>
      </c>
      <c r="B34" s="30"/>
      <c r="C34" s="30"/>
      <c r="D34" s="30"/>
      <c r="E34" s="30"/>
      <c r="F34" s="30"/>
      <c r="G34" s="30"/>
      <c r="H34" s="36"/>
      <c r="I34" s="36"/>
      <c r="J34" s="30"/>
      <c r="K34" s="30"/>
      <c r="L34" s="45" t="str">
        <f aca="true">IF(B34="","",IF(J34="Closed","Closed",IF(OR(E34="",H34="",I34=""),"Incomplete: needs compensating control, approval and expiry",IF(I34&lt;TODAY(),"Expired",IF(I34-TODAY()&lt;=30,"Expires within 30 days","Active")))))</f>
        <v/>
      </c>
    </row>
    <row r="35" customFormat="false" ht="15" hidden="false" customHeight="false" outlineLevel="0" collapsed="false">
      <c r="A35" s="30" t="s">
        <v>1055</v>
      </c>
      <c r="B35" s="30"/>
      <c r="C35" s="30"/>
      <c r="D35" s="30"/>
      <c r="E35" s="30"/>
      <c r="F35" s="30"/>
      <c r="G35" s="30"/>
      <c r="H35" s="36"/>
      <c r="I35" s="36"/>
      <c r="J35" s="30"/>
      <c r="K35" s="30"/>
      <c r="L35" s="45" t="str">
        <f aca="true">IF(B35="","",IF(J35="Closed","Closed",IF(OR(E35="",H35="",I35=""),"Incomplete: needs compensating control, approval and expiry",IF(I35&lt;TODAY(),"Expired",IF(I35-TODAY()&lt;=30,"Expires within 30 days","Active")))))</f>
        <v/>
      </c>
    </row>
    <row r="36" customFormat="false" ht="15" hidden="false" customHeight="false" outlineLevel="0" collapsed="false">
      <c r="A36" s="30" t="s">
        <v>1056</v>
      </c>
      <c r="B36" s="30"/>
      <c r="C36" s="30"/>
      <c r="D36" s="30"/>
      <c r="E36" s="30"/>
      <c r="F36" s="30"/>
      <c r="G36" s="30"/>
      <c r="H36" s="36"/>
      <c r="I36" s="36"/>
      <c r="J36" s="30"/>
      <c r="K36" s="30"/>
      <c r="L36" s="45" t="str">
        <f aca="true">IF(B36="","",IF(J36="Closed","Closed",IF(OR(E36="",H36="",I36=""),"Incomplete: needs compensating control, approval and expiry",IF(I36&lt;TODAY(),"Expired",IF(I36-TODAY()&lt;=30,"Expires within 30 days","Active")))))</f>
        <v/>
      </c>
    </row>
    <row r="37" customFormat="false" ht="15" hidden="false" customHeight="false" outlineLevel="0" collapsed="false">
      <c r="A37" s="30" t="s">
        <v>1057</v>
      </c>
      <c r="B37" s="30"/>
      <c r="C37" s="30"/>
      <c r="D37" s="30"/>
      <c r="E37" s="30"/>
      <c r="F37" s="30"/>
      <c r="G37" s="30"/>
      <c r="H37" s="36"/>
      <c r="I37" s="36"/>
      <c r="J37" s="30"/>
      <c r="K37" s="30"/>
      <c r="L37" s="45" t="str">
        <f aca="true">IF(B37="","",IF(J37="Closed","Closed",IF(OR(E37="",H37="",I37=""),"Incomplete: needs compensating control, approval and expiry",IF(I37&lt;TODAY(),"Expired",IF(I37-TODAY()&lt;=30,"Expires within 30 days","Active")))))</f>
        <v/>
      </c>
    </row>
    <row r="38" customFormat="false" ht="15" hidden="false" customHeight="false" outlineLevel="0" collapsed="false">
      <c r="A38" s="30" t="s">
        <v>1058</v>
      </c>
      <c r="B38" s="30"/>
      <c r="C38" s="30"/>
      <c r="D38" s="30"/>
      <c r="E38" s="30"/>
      <c r="F38" s="30"/>
      <c r="G38" s="30"/>
      <c r="H38" s="36"/>
      <c r="I38" s="36"/>
      <c r="J38" s="30"/>
      <c r="K38" s="30"/>
      <c r="L38" s="45" t="str">
        <f aca="true">IF(B38="","",IF(J38="Closed","Closed",IF(OR(E38="",H38="",I38=""),"Incomplete: needs compensating control, approval and expiry",IF(I38&lt;TODAY(),"Expired",IF(I38-TODAY()&lt;=30,"Expires within 30 days","Active")))))</f>
        <v/>
      </c>
    </row>
    <row r="39" customFormat="false" ht="15" hidden="false" customHeight="false" outlineLevel="0" collapsed="false">
      <c r="A39" s="30" t="s">
        <v>1059</v>
      </c>
      <c r="B39" s="30"/>
      <c r="C39" s="30"/>
      <c r="D39" s="30"/>
      <c r="E39" s="30"/>
      <c r="F39" s="30"/>
      <c r="G39" s="30"/>
      <c r="H39" s="36"/>
      <c r="I39" s="36"/>
      <c r="J39" s="30"/>
      <c r="K39" s="30"/>
      <c r="L39" s="45" t="str">
        <f aca="true">IF(B39="","",IF(J39="Closed","Closed",IF(OR(E39="",H39="",I39=""),"Incomplete: needs compensating control, approval and expiry",IF(I39&lt;TODAY(),"Expired",IF(I39-TODAY()&lt;=30,"Expires within 30 days","Active")))))</f>
        <v/>
      </c>
    </row>
    <row r="40" customFormat="false" ht="15" hidden="false" customHeight="false" outlineLevel="0" collapsed="false">
      <c r="A40" s="30" t="s">
        <v>1060</v>
      </c>
      <c r="B40" s="30"/>
      <c r="C40" s="30"/>
      <c r="D40" s="30"/>
      <c r="E40" s="30"/>
      <c r="F40" s="30"/>
      <c r="G40" s="30"/>
      <c r="H40" s="36"/>
      <c r="I40" s="36"/>
      <c r="J40" s="30"/>
      <c r="K40" s="30"/>
      <c r="L40" s="45" t="str">
        <f aca="true">IF(B40="","",IF(J40="Closed","Closed",IF(OR(E40="",H40="",I40=""),"Incomplete: needs compensating control, approval and expiry",IF(I40&lt;TODAY(),"Expired",IF(I40-TODAY()&lt;=30,"Expires within 30 days","Active")))))</f>
        <v/>
      </c>
    </row>
    <row r="41" customFormat="false" ht="15" hidden="false" customHeight="false" outlineLevel="0" collapsed="false">
      <c r="A41" s="30" t="s">
        <v>1061</v>
      </c>
      <c r="B41" s="30"/>
      <c r="C41" s="30"/>
      <c r="D41" s="30"/>
      <c r="E41" s="30"/>
      <c r="F41" s="30"/>
      <c r="G41" s="30"/>
      <c r="H41" s="36"/>
      <c r="I41" s="36"/>
      <c r="J41" s="30"/>
      <c r="K41" s="30"/>
      <c r="L41" s="45" t="str">
        <f aca="true">IF(B41="","",IF(J41="Closed","Closed",IF(OR(E41="",H41="",I41=""),"Incomplete: needs compensating control, approval and expiry",IF(I41&lt;TODAY(),"Expired",IF(I41-TODAY()&lt;=30,"Expires within 30 days","Active")))))</f>
        <v/>
      </c>
    </row>
    <row r="42" customFormat="false" ht="15" hidden="false" customHeight="false" outlineLevel="0" collapsed="false">
      <c r="A42" s="30" t="s">
        <v>1062</v>
      </c>
      <c r="B42" s="30"/>
      <c r="C42" s="30"/>
      <c r="D42" s="30"/>
      <c r="E42" s="30"/>
      <c r="F42" s="30"/>
      <c r="G42" s="30"/>
      <c r="H42" s="36"/>
      <c r="I42" s="36"/>
      <c r="J42" s="30"/>
      <c r="K42" s="30"/>
      <c r="L42" s="45" t="str">
        <f aca="true">IF(B42="","",IF(J42="Closed","Closed",IF(OR(E42="",H42="",I42=""),"Incomplete: needs compensating control, approval and expiry",IF(I42&lt;TODAY(),"Expired",IF(I42-TODAY()&lt;=30,"Expires within 30 days","Active")))))</f>
        <v/>
      </c>
    </row>
    <row r="43" customFormat="false" ht="15" hidden="false" customHeight="false" outlineLevel="0" collapsed="false">
      <c r="A43" s="30" t="s">
        <v>1063</v>
      </c>
      <c r="B43" s="30"/>
      <c r="C43" s="30"/>
      <c r="D43" s="30"/>
      <c r="E43" s="30"/>
      <c r="F43" s="30"/>
      <c r="G43" s="30"/>
      <c r="H43" s="36"/>
      <c r="I43" s="36"/>
      <c r="J43" s="30"/>
      <c r="K43" s="30"/>
      <c r="L43" s="45" t="str">
        <f aca="true">IF(B43="","",IF(J43="Closed","Closed",IF(OR(E43="",H43="",I43=""),"Incomplete: needs compensating control, approval and expiry",IF(I43&lt;TODAY(),"Expired",IF(I43-TODAY()&lt;=30,"Expires within 30 days","Active")))))</f>
        <v/>
      </c>
    </row>
    <row r="44" customFormat="false" ht="15" hidden="false" customHeight="false" outlineLevel="0" collapsed="false">
      <c r="A44" s="30" t="s">
        <v>1064</v>
      </c>
      <c r="B44" s="30"/>
      <c r="C44" s="30"/>
      <c r="D44" s="30"/>
      <c r="E44" s="30"/>
      <c r="F44" s="30"/>
      <c r="G44" s="30"/>
      <c r="H44" s="36"/>
      <c r="I44" s="36"/>
      <c r="J44" s="30"/>
      <c r="K44" s="30"/>
      <c r="L44" s="45" t="str">
        <f aca="true">IF(B44="","",IF(J44="Closed","Closed",IF(OR(E44="",H44="",I44=""),"Incomplete: needs compensating control, approval and expiry",IF(I44&lt;TODAY(),"Expired",IF(I44-TODAY()&lt;=30,"Expires within 30 days","Active")))))</f>
        <v/>
      </c>
    </row>
    <row r="45" customFormat="false" ht="15" hidden="false" customHeight="false" outlineLevel="0" collapsed="false">
      <c r="A45" s="30" t="s">
        <v>1065</v>
      </c>
      <c r="B45" s="30"/>
      <c r="C45" s="30"/>
      <c r="D45" s="30"/>
      <c r="E45" s="30"/>
      <c r="F45" s="30"/>
      <c r="G45" s="30"/>
      <c r="H45" s="36"/>
      <c r="I45" s="36"/>
      <c r="J45" s="30"/>
      <c r="K45" s="30"/>
      <c r="L45" s="45" t="str">
        <f aca="true">IF(B45="","",IF(J45="Closed","Closed",IF(OR(E45="",H45="",I45=""),"Incomplete: needs compensating control, approval and expiry",IF(I45&lt;TODAY(),"Expired",IF(I45-TODAY()&lt;=30,"Expires within 30 days","Active")))))</f>
        <v/>
      </c>
    </row>
    <row r="46" customFormat="false" ht="15" hidden="false" customHeight="false" outlineLevel="0" collapsed="false">
      <c r="A46" s="30" t="s">
        <v>1066</v>
      </c>
      <c r="B46" s="30"/>
      <c r="C46" s="30"/>
      <c r="D46" s="30"/>
      <c r="E46" s="30"/>
      <c r="F46" s="30"/>
      <c r="G46" s="30"/>
      <c r="H46" s="36"/>
      <c r="I46" s="36"/>
      <c r="J46" s="30"/>
      <c r="K46" s="30"/>
      <c r="L46" s="45" t="str">
        <f aca="true">IF(B46="","",IF(J46="Closed","Closed",IF(OR(E46="",H46="",I46=""),"Incomplete: needs compensating control, approval and expiry",IF(I46&lt;TODAY(),"Expired",IF(I46-TODAY()&lt;=30,"Expires within 30 days","Active")))))</f>
        <v/>
      </c>
    </row>
    <row r="47" customFormat="false" ht="15" hidden="false" customHeight="false" outlineLevel="0" collapsed="false">
      <c r="A47" s="30" t="s">
        <v>1067</v>
      </c>
      <c r="B47" s="30"/>
      <c r="C47" s="30"/>
      <c r="D47" s="30"/>
      <c r="E47" s="30"/>
      <c r="F47" s="30"/>
      <c r="G47" s="30"/>
      <c r="H47" s="36"/>
      <c r="I47" s="36"/>
      <c r="J47" s="30"/>
      <c r="K47" s="30"/>
      <c r="L47" s="45" t="str">
        <f aca="true">IF(B47="","",IF(J47="Closed","Closed",IF(OR(E47="",H47="",I47=""),"Incomplete: needs compensating control, approval and expiry",IF(I47&lt;TODAY(),"Expired",IF(I47-TODAY()&lt;=30,"Expires within 30 days","Active")))))</f>
        <v/>
      </c>
    </row>
    <row r="48" customFormat="false" ht="15" hidden="false" customHeight="false" outlineLevel="0" collapsed="false">
      <c r="A48" s="30" t="s">
        <v>1068</v>
      </c>
      <c r="B48" s="30"/>
      <c r="C48" s="30"/>
      <c r="D48" s="30"/>
      <c r="E48" s="30"/>
      <c r="F48" s="30"/>
      <c r="G48" s="30"/>
      <c r="H48" s="36"/>
      <c r="I48" s="36"/>
      <c r="J48" s="30"/>
      <c r="K48" s="30"/>
      <c r="L48" s="45" t="str">
        <f aca="true">IF(B48="","",IF(J48="Closed","Closed",IF(OR(E48="",H48="",I48=""),"Incomplete: needs compensating control, approval and expiry",IF(I48&lt;TODAY(),"Expired",IF(I48-TODAY()&lt;=30,"Expires within 30 days","Active")))))</f>
        <v/>
      </c>
    </row>
    <row r="49" customFormat="false" ht="15" hidden="false" customHeight="false" outlineLevel="0" collapsed="false">
      <c r="A49" s="30" t="s">
        <v>1069</v>
      </c>
      <c r="B49" s="30"/>
      <c r="C49" s="30"/>
      <c r="D49" s="30"/>
      <c r="E49" s="30"/>
      <c r="F49" s="30"/>
      <c r="G49" s="30"/>
      <c r="H49" s="36"/>
      <c r="I49" s="36"/>
      <c r="J49" s="30"/>
      <c r="K49" s="30"/>
      <c r="L49" s="45" t="str">
        <f aca="true">IF(B49="","",IF(J49="Closed","Closed",IF(OR(E49="",H49="",I49=""),"Incomplete: needs compensating control, approval and expiry",IF(I49&lt;TODAY(),"Expired",IF(I49-TODAY()&lt;=30,"Expires within 30 days","Active")))))</f>
        <v/>
      </c>
    </row>
    <row r="50" customFormat="false" ht="15" hidden="false" customHeight="false" outlineLevel="0" collapsed="false">
      <c r="A50" s="30" t="s">
        <v>1070</v>
      </c>
      <c r="B50" s="30"/>
      <c r="C50" s="30"/>
      <c r="D50" s="30"/>
      <c r="E50" s="30"/>
      <c r="F50" s="30"/>
      <c r="G50" s="30"/>
      <c r="H50" s="36"/>
      <c r="I50" s="36"/>
      <c r="J50" s="30"/>
      <c r="K50" s="30"/>
      <c r="L50" s="45" t="str">
        <f aca="true">IF(B50="","",IF(J50="Closed","Closed",IF(OR(E50="",H50="",I50=""),"Incomplete: needs compensating control, approval and expiry",IF(I50&lt;TODAY(),"Expired",IF(I50-TODAY()&lt;=30,"Expires within 30 days","Active")))))</f>
        <v/>
      </c>
    </row>
    <row r="51" customFormat="false" ht="15" hidden="false" customHeight="false" outlineLevel="0" collapsed="false">
      <c r="A51" s="30" t="s">
        <v>1071</v>
      </c>
      <c r="B51" s="30"/>
      <c r="C51" s="30"/>
      <c r="D51" s="30"/>
      <c r="E51" s="30"/>
      <c r="F51" s="30"/>
      <c r="G51" s="30"/>
      <c r="H51" s="36"/>
      <c r="I51" s="36"/>
      <c r="J51" s="30"/>
      <c r="K51" s="30"/>
      <c r="L51" s="45" t="str">
        <f aca="true">IF(B51="","",IF(J51="Closed","Closed",IF(OR(E51="",H51="",I51=""),"Incomplete: needs compensating control, approval and expiry",IF(I51&lt;TODAY(),"Expired",IF(I51-TODAY()&lt;=30,"Expires within 30 days","Active")))))</f>
        <v/>
      </c>
    </row>
    <row r="52" customFormat="false" ht="15" hidden="false" customHeight="false" outlineLevel="0" collapsed="false">
      <c r="A52" s="30" t="s">
        <v>1072</v>
      </c>
      <c r="B52" s="30"/>
      <c r="C52" s="30"/>
      <c r="D52" s="30"/>
      <c r="E52" s="30"/>
      <c r="F52" s="30"/>
      <c r="G52" s="30"/>
      <c r="H52" s="36"/>
      <c r="I52" s="36"/>
      <c r="J52" s="30"/>
      <c r="K52" s="30"/>
      <c r="L52" s="45" t="str">
        <f aca="true">IF(B52="","",IF(J52="Closed","Closed",IF(OR(E52="",H52="",I52=""),"Incomplete: needs compensating control, approval and expiry",IF(I52&lt;TODAY(),"Expired",IF(I52-TODAY()&lt;=30,"Expires within 30 days","Active")))))</f>
        <v/>
      </c>
    </row>
    <row r="53" customFormat="false" ht="15" hidden="false" customHeight="false" outlineLevel="0" collapsed="false">
      <c r="A53" s="30" t="s">
        <v>1073</v>
      </c>
      <c r="B53" s="30"/>
      <c r="C53" s="30"/>
      <c r="D53" s="30"/>
      <c r="E53" s="30"/>
      <c r="F53" s="30"/>
      <c r="G53" s="30"/>
      <c r="H53" s="36"/>
      <c r="I53" s="36"/>
      <c r="J53" s="30"/>
      <c r="K53" s="30"/>
      <c r="L53" s="45" t="str">
        <f aca="true">IF(B53="","",IF(J53="Closed","Closed",IF(OR(E53="",H53="",I53=""),"Incomplete: needs compensating control, approval and expiry",IF(I53&lt;TODAY(),"Expired",IF(I53-TODAY()&lt;=30,"Expires within 30 days","Active")))))</f>
        <v/>
      </c>
    </row>
    <row r="54" customFormat="false" ht="15" hidden="false" customHeight="false" outlineLevel="0" collapsed="false">
      <c r="A54" s="30" t="s">
        <v>1074</v>
      </c>
      <c r="B54" s="30"/>
      <c r="C54" s="30"/>
      <c r="D54" s="30"/>
      <c r="E54" s="30"/>
      <c r="F54" s="30"/>
      <c r="G54" s="30"/>
      <c r="H54" s="36"/>
      <c r="I54" s="36"/>
      <c r="J54" s="30"/>
      <c r="K54" s="30"/>
      <c r="L54" s="45" t="str">
        <f aca="true">IF(B54="","",IF(J54="Closed","Closed",IF(OR(E54="",H54="",I54=""),"Incomplete: needs compensating control, approval and expiry",IF(I54&lt;TODAY(),"Expired",IF(I54-TODAY()&lt;=30,"Expires within 30 days","Active")))))</f>
        <v/>
      </c>
    </row>
    <row r="55" customFormat="false" ht="15" hidden="false" customHeight="false" outlineLevel="0" collapsed="false">
      <c r="A55" s="30" t="s">
        <v>1075</v>
      </c>
      <c r="B55" s="30"/>
      <c r="C55" s="30"/>
      <c r="D55" s="30"/>
      <c r="E55" s="30"/>
      <c r="F55" s="30"/>
      <c r="G55" s="30"/>
      <c r="H55" s="36"/>
      <c r="I55" s="36"/>
      <c r="J55" s="30"/>
      <c r="K55" s="30"/>
      <c r="L55" s="45" t="str">
        <f aca="true">IF(B55="","",IF(J55="Closed","Closed",IF(OR(E55="",H55="",I55=""),"Incomplete: needs compensating control, approval and expiry",IF(I55&lt;TODAY(),"Expired",IF(I55-TODAY()&lt;=30,"Expires within 30 days","Active")))))</f>
        <v/>
      </c>
    </row>
    <row r="56" customFormat="false" ht="15" hidden="false" customHeight="false" outlineLevel="0" collapsed="false">
      <c r="A56" s="30" t="s">
        <v>1076</v>
      </c>
      <c r="B56" s="30"/>
      <c r="C56" s="30"/>
      <c r="D56" s="30"/>
      <c r="E56" s="30"/>
      <c r="F56" s="30"/>
      <c r="G56" s="30"/>
      <c r="H56" s="36"/>
      <c r="I56" s="36"/>
      <c r="J56" s="30"/>
      <c r="K56" s="30"/>
      <c r="L56" s="45" t="str">
        <f aca="true">IF(B56="","",IF(J56="Closed","Closed",IF(OR(E56="",H56="",I56=""),"Incomplete: needs compensating control, approval and expiry",IF(I56&lt;TODAY(),"Expired",IF(I56-TODAY()&lt;=30,"Expires within 30 days","Active")))))</f>
        <v/>
      </c>
    </row>
    <row r="57" customFormat="false" ht="15" hidden="false" customHeight="false" outlineLevel="0" collapsed="false">
      <c r="A57" s="30" t="s">
        <v>1077</v>
      </c>
      <c r="B57" s="30"/>
      <c r="C57" s="30"/>
      <c r="D57" s="30"/>
      <c r="E57" s="30"/>
      <c r="F57" s="30"/>
      <c r="G57" s="30"/>
      <c r="H57" s="36"/>
      <c r="I57" s="36"/>
      <c r="J57" s="30"/>
      <c r="K57" s="30"/>
      <c r="L57" s="45" t="str">
        <f aca="true">IF(B57="","",IF(J57="Closed","Closed",IF(OR(E57="",H57="",I57=""),"Incomplete: needs compensating control, approval and expiry",IF(I57&lt;TODAY(),"Expired",IF(I57-TODAY()&lt;=30,"Expires within 30 days","Active")))))</f>
        <v/>
      </c>
    </row>
    <row r="58" customFormat="false" ht="15" hidden="false" customHeight="false" outlineLevel="0" collapsed="false">
      <c r="A58" s="30" t="s">
        <v>1078</v>
      </c>
      <c r="B58" s="30"/>
      <c r="C58" s="30"/>
      <c r="D58" s="30"/>
      <c r="E58" s="30"/>
      <c r="F58" s="30"/>
      <c r="G58" s="30"/>
      <c r="H58" s="36"/>
      <c r="I58" s="36"/>
      <c r="J58" s="30"/>
      <c r="K58" s="30"/>
      <c r="L58" s="45" t="str">
        <f aca="true">IF(B58="","",IF(J58="Closed","Closed",IF(OR(E58="",H58="",I58=""),"Incomplete: needs compensating control, approval and expiry",IF(I58&lt;TODAY(),"Expired",IF(I58-TODAY()&lt;=30,"Expires within 30 days","Active")))))</f>
        <v/>
      </c>
    </row>
    <row r="59" customFormat="false" ht="15" hidden="false" customHeight="false" outlineLevel="0" collapsed="false">
      <c r="A59" s="30" t="s">
        <v>1079</v>
      </c>
      <c r="B59" s="30"/>
      <c r="C59" s="30"/>
      <c r="D59" s="30"/>
      <c r="E59" s="30"/>
      <c r="F59" s="30"/>
      <c r="G59" s="30"/>
      <c r="H59" s="36"/>
      <c r="I59" s="36"/>
      <c r="J59" s="30"/>
      <c r="K59" s="30"/>
      <c r="L59" s="45" t="str">
        <f aca="true">IF(B59="","",IF(J59="Closed","Closed",IF(OR(E59="",H59="",I59=""),"Incomplete: needs compensating control, approval and expiry",IF(I59&lt;TODAY(),"Expired",IF(I59-TODAY()&lt;=30,"Expires within 30 days","Active")))))</f>
        <v/>
      </c>
    </row>
    <row r="60" customFormat="false" ht="15" hidden="false" customHeight="false" outlineLevel="0" collapsed="false">
      <c r="A60" s="30" t="s">
        <v>1080</v>
      </c>
      <c r="B60" s="30"/>
      <c r="C60" s="30"/>
      <c r="D60" s="30"/>
      <c r="E60" s="30"/>
      <c r="F60" s="30"/>
      <c r="G60" s="30"/>
      <c r="H60" s="36"/>
      <c r="I60" s="36"/>
      <c r="J60" s="30"/>
      <c r="K60" s="30"/>
      <c r="L60" s="45" t="str">
        <f aca="true">IF(B60="","",IF(J60="Closed","Closed",IF(OR(E60="",H60="",I60=""),"Incomplete: needs compensating control, approval and expiry",IF(I60&lt;TODAY(),"Expired",IF(I60-TODAY()&lt;=30,"Expires within 30 days","Active")))))</f>
        <v/>
      </c>
    </row>
    <row r="61" customFormat="false" ht="15" hidden="false" customHeight="false" outlineLevel="0" collapsed="false">
      <c r="A61" s="30" t="s">
        <v>1081</v>
      </c>
      <c r="B61" s="30"/>
      <c r="C61" s="30"/>
      <c r="D61" s="30"/>
      <c r="E61" s="30"/>
      <c r="F61" s="30"/>
      <c r="G61" s="30"/>
      <c r="H61" s="36"/>
      <c r="I61" s="36"/>
      <c r="J61" s="30"/>
      <c r="K61" s="30"/>
      <c r="L61" s="45" t="str">
        <f aca="true">IF(B61="","",IF(J61="Closed","Closed",IF(OR(E61="",H61="",I61=""),"Incomplete: needs compensating control, approval and expiry",IF(I61&lt;TODAY(),"Expired",IF(I61-TODAY()&lt;=30,"Expires within 30 days","Active")))))</f>
        <v/>
      </c>
    </row>
    <row r="62" customFormat="false" ht="15" hidden="false" customHeight="false" outlineLevel="0" collapsed="false">
      <c r="A62" s="30" t="s">
        <v>1082</v>
      </c>
      <c r="B62" s="30"/>
      <c r="C62" s="30"/>
      <c r="D62" s="30"/>
      <c r="E62" s="30"/>
      <c r="F62" s="30"/>
      <c r="G62" s="30"/>
      <c r="H62" s="36"/>
      <c r="I62" s="36"/>
      <c r="J62" s="30"/>
      <c r="K62" s="30"/>
      <c r="L62" s="45" t="str">
        <f aca="true">IF(B62="","",IF(J62="Closed","Closed",IF(OR(E62="",H62="",I62=""),"Incomplete: needs compensating control, approval and expiry",IF(I62&lt;TODAY(),"Expired",IF(I62-TODAY()&lt;=30,"Expires within 30 days","Active")))))</f>
        <v/>
      </c>
    </row>
    <row r="63" customFormat="false" ht="15" hidden="false" customHeight="false" outlineLevel="0" collapsed="false">
      <c r="A63" s="30" t="s">
        <v>1083</v>
      </c>
      <c r="B63" s="30"/>
      <c r="C63" s="30"/>
      <c r="D63" s="30"/>
      <c r="E63" s="30"/>
      <c r="F63" s="30"/>
      <c r="G63" s="30"/>
      <c r="H63" s="36"/>
      <c r="I63" s="36"/>
      <c r="J63" s="30"/>
      <c r="K63" s="30"/>
      <c r="L63" s="45" t="str">
        <f aca="true">IF(B63="","",IF(J63="Closed","Closed",IF(OR(E63="",H63="",I63=""),"Incomplete: needs compensating control, approval and expiry",IF(I63&lt;TODAY(),"Expired",IF(I63-TODAY()&lt;=30,"Expires within 30 days","Active")))))</f>
        <v/>
      </c>
    </row>
    <row r="64" customFormat="false" ht="15" hidden="false" customHeight="false" outlineLevel="0" collapsed="false">
      <c r="A64" s="30" t="s">
        <v>1084</v>
      </c>
      <c r="B64" s="30"/>
      <c r="C64" s="30"/>
      <c r="D64" s="30"/>
      <c r="E64" s="30"/>
      <c r="F64" s="30"/>
      <c r="G64" s="30"/>
      <c r="H64" s="36"/>
      <c r="I64" s="36"/>
      <c r="J64" s="30"/>
      <c r="K64" s="30"/>
      <c r="L64" s="45" t="str">
        <f aca="true">IF(B64="","",IF(J64="Closed","Closed",IF(OR(E64="",H64="",I64=""),"Incomplete: needs compensating control, approval and expiry",IF(I64&lt;TODAY(),"Expired",IF(I64-TODAY()&lt;=30,"Expires within 30 days","Active")))))</f>
        <v/>
      </c>
    </row>
    <row r="65" customFormat="false" ht="15" hidden="false" customHeight="false" outlineLevel="0" collapsed="false">
      <c r="A65" s="30" t="s">
        <v>1085</v>
      </c>
      <c r="B65" s="30"/>
      <c r="C65" s="30"/>
      <c r="D65" s="30"/>
      <c r="E65" s="30"/>
      <c r="F65" s="30"/>
      <c r="G65" s="30"/>
      <c r="H65" s="36"/>
      <c r="I65" s="36"/>
      <c r="J65" s="30"/>
      <c r="K65" s="30"/>
      <c r="L65" s="45" t="str">
        <f aca="true">IF(B65="","",IF(J65="Closed","Closed",IF(OR(E65="",H65="",I65=""),"Incomplete: needs compensating control, approval and expiry",IF(I65&lt;TODAY(),"Expired",IF(I65-TODAY()&lt;=30,"Expires within 30 days","Active")))))</f>
        <v/>
      </c>
    </row>
    <row r="66" customFormat="false" ht="15" hidden="false" customHeight="false" outlineLevel="0" collapsed="false">
      <c r="A66" s="30" t="s">
        <v>1086</v>
      </c>
      <c r="B66" s="30"/>
      <c r="C66" s="30"/>
      <c r="D66" s="30"/>
      <c r="E66" s="30"/>
      <c r="F66" s="30"/>
      <c r="G66" s="30"/>
      <c r="H66" s="36"/>
      <c r="I66" s="36"/>
      <c r="J66" s="30"/>
      <c r="K66" s="30"/>
      <c r="L66" s="45" t="str">
        <f aca="true">IF(B66="","",IF(J66="Closed","Closed",IF(OR(E66="",H66="",I66=""),"Incomplete: needs compensating control, approval and expiry",IF(I66&lt;TODAY(),"Expired",IF(I66-TODAY()&lt;=30,"Expires within 30 days","Active")))))</f>
        <v/>
      </c>
    </row>
    <row r="67" customFormat="false" ht="15" hidden="false" customHeight="false" outlineLevel="0" collapsed="false">
      <c r="A67" s="30" t="s">
        <v>1087</v>
      </c>
      <c r="B67" s="30"/>
      <c r="C67" s="30"/>
      <c r="D67" s="30"/>
      <c r="E67" s="30"/>
      <c r="F67" s="30"/>
      <c r="G67" s="30"/>
      <c r="H67" s="36"/>
      <c r="I67" s="36"/>
      <c r="J67" s="30"/>
      <c r="K67" s="30"/>
      <c r="L67" s="45" t="str">
        <f aca="true">IF(B67="","",IF(J67="Closed","Closed",IF(OR(E67="",H67="",I67=""),"Incomplete: needs compensating control, approval and expiry",IF(I67&lt;TODAY(),"Expired",IF(I67-TODAY()&lt;=30,"Expires within 30 days","Active")))))</f>
        <v/>
      </c>
    </row>
    <row r="68" customFormat="false" ht="15" hidden="false" customHeight="false" outlineLevel="0" collapsed="false">
      <c r="A68" s="30" t="s">
        <v>1088</v>
      </c>
      <c r="B68" s="30"/>
      <c r="C68" s="30"/>
      <c r="D68" s="30"/>
      <c r="E68" s="30"/>
      <c r="F68" s="30"/>
      <c r="G68" s="30"/>
      <c r="H68" s="36"/>
      <c r="I68" s="36"/>
      <c r="J68" s="30"/>
      <c r="K68" s="30"/>
      <c r="L68" s="45" t="str">
        <f aca="true">IF(B68="","",IF(J68="Closed","Closed",IF(OR(E68="",H68="",I68=""),"Incomplete: needs compensating control, approval and expiry",IF(I68&lt;TODAY(),"Expired",IF(I68-TODAY()&lt;=30,"Expires within 30 days","Active")))))</f>
        <v/>
      </c>
    </row>
    <row r="69" customFormat="false" ht="15" hidden="false" customHeight="false" outlineLevel="0" collapsed="false">
      <c r="A69" s="30" t="s">
        <v>1089</v>
      </c>
      <c r="B69" s="30"/>
      <c r="C69" s="30"/>
      <c r="D69" s="30"/>
      <c r="E69" s="30"/>
      <c r="F69" s="30"/>
      <c r="G69" s="30"/>
      <c r="H69" s="36"/>
      <c r="I69" s="36"/>
      <c r="J69" s="30"/>
      <c r="K69" s="30"/>
      <c r="L69" s="45" t="str">
        <f aca="true">IF(B69="","",IF(J69="Closed","Closed",IF(OR(E69="",H69="",I69=""),"Incomplete: needs compensating control, approval and expiry",IF(I69&lt;TODAY(),"Expired",IF(I69-TODAY()&lt;=30,"Expires within 30 days","Active")))))</f>
        <v/>
      </c>
    </row>
    <row r="70" customFormat="false" ht="15" hidden="false" customHeight="false" outlineLevel="0" collapsed="false">
      <c r="A70" s="30" t="s">
        <v>1090</v>
      </c>
      <c r="B70" s="30"/>
      <c r="C70" s="30"/>
      <c r="D70" s="30"/>
      <c r="E70" s="30"/>
      <c r="F70" s="30"/>
      <c r="G70" s="30"/>
      <c r="H70" s="36"/>
      <c r="I70" s="36"/>
      <c r="J70" s="30"/>
      <c r="K70" s="30"/>
      <c r="L70" s="45" t="str">
        <f aca="true">IF(B70="","",IF(J70="Closed","Closed",IF(OR(E70="",H70="",I70=""),"Incomplete: needs compensating control, approval and expiry",IF(I70&lt;TODAY(),"Expired",IF(I70-TODAY()&lt;=30,"Expires within 30 days","Active")))))</f>
        <v/>
      </c>
    </row>
    <row r="71" customFormat="false" ht="15" hidden="false" customHeight="false" outlineLevel="0" collapsed="false">
      <c r="A71" s="30" t="s">
        <v>1091</v>
      </c>
      <c r="B71" s="30"/>
      <c r="C71" s="30"/>
      <c r="D71" s="30"/>
      <c r="E71" s="30"/>
      <c r="F71" s="30"/>
      <c r="G71" s="30"/>
      <c r="H71" s="36"/>
      <c r="I71" s="36"/>
      <c r="J71" s="30"/>
      <c r="K71" s="30"/>
      <c r="L71" s="45" t="str">
        <f aca="true">IF(B71="","",IF(J71="Closed","Closed",IF(OR(E71="",H71="",I71=""),"Incomplete: needs compensating control, approval and expiry",IF(I71&lt;TODAY(),"Expired",IF(I71-TODAY()&lt;=30,"Expires within 30 days","Active")))))</f>
        <v/>
      </c>
    </row>
    <row r="72" customFormat="false" ht="15" hidden="false" customHeight="false" outlineLevel="0" collapsed="false">
      <c r="A72" s="30" t="s">
        <v>1092</v>
      </c>
      <c r="B72" s="30"/>
      <c r="C72" s="30"/>
      <c r="D72" s="30"/>
      <c r="E72" s="30"/>
      <c r="F72" s="30"/>
      <c r="G72" s="30"/>
      <c r="H72" s="36"/>
      <c r="I72" s="36"/>
      <c r="J72" s="30"/>
      <c r="K72" s="30"/>
      <c r="L72" s="45" t="str">
        <f aca="true">IF(B72="","",IF(J72="Closed","Closed",IF(OR(E72="",H72="",I72=""),"Incomplete: needs compensating control, approval and expiry",IF(I72&lt;TODAY(),"Expired",IF(I72-TODAY()&lt;=30,"Expires within 30 days","Active")))))</f>
        <v/>
      </c>
    </row>
    <row r="73" customFormat="false" ht="15" hidden="false" customHeight="false" outlineLevel="0" collapsed="false">
      <c r="A73" s="30" t="s">
        <v>1093</v>
      </c>
      <c r="B73" s="30"/>
      <c r="C73" s="30"/>
      <c r="D73" s="30"/>
      <c r="E73" s="30"/>
      <c r="F73" s="30"/>
      <c r="G73" s="30"/>
      <c r="H73" s="36"/>
      <c r="I73" s="36"/>
      <c r="J73" s="30"/>
      <c r="K73" s="30"/>
      <c r="L73" s="45" t="str">
        <f aca="true">IF(B73="","",IF(J73="Closed","Closed",IF(OR(E73="",H73="",I73=""),"Incomplete: needs compensating control, approval and expiry",IF(I73&lt;TODAY(),"Expired",IF(I73-TODAY()&lt;=30,"Expires within 30 days","Active")))))</f>
        <v/>
      </c>
    </row>
    <row r="74" customFormat="false" ht="15" hidden="false" customHeight="false" outlineLevel="0" collapsed="false">
      <c r="A74" s="30" t="s">
        <v>1094</v>
      </c>
      <c r="B74" s="30"/>
      <c r="C74" s="30"/>
      <c r="D74" s="30"/>
      <c r="E74" s="30"/>
      <c r="F74" s="30"/>
      <c r="G74" s="30"/>
      <c r="H74" s="36"/>
      <c r="I74" s="36"/>
      <c r="J74" s="30"/>
      <c r="K74" s="30"/>
      <c r="L74" s="45" t="str">
        <f aca="true">IF(B74="","",IF(J74="Closed","Closed",IF(OR(E74="",H74="",I74=""),"Incomplete: needs compensating control, approval and expiry",IF(I74&lt;TODAY(),"Expired",IF(I74-TODAY()&lt;=30,"Expires within 30 days","Active")))))</f>
        <v/>
      </c>
    </row>
    <row r="75" customFormat="false" ht="15" hidden="false" customHeight="false" outlineLevel="0" collapsed="false">
      <c r="A75" s="30" t="s">
        <v>1095</v>
      </c>
      <c r="B75" s="30"/>
      <c r="C75" s="30"/>
      <c r="D75" s="30"/>
      <c r="E75" s="30"/>
      <c r="F75" s="30"/>
      <c r="G75" s="30"/>
      <c r="H75" s="36"/>
      <c r="I75" s="36"/>
      <c r="J75" s="30"/>
      <c r="K75" s="30"/>
      <c r="L75" s="45" t="str">
        <f aca="true">IF(B75="","",IF(J75="Closed","Closed",IF(OR(E75="",H75="",I75=""),"Incomplete: needs compensating control, approval and expiry",IF(I75&lt;TODAY(),"Expired",IF(I75-TODAY()&lt;=30,"Expires within 30 days","Active")))))</f>
        <v/>
      </c>
    </row>
    <row r="76" customFormat="false" ht="15" hidden="false" customHeight="false" outlineLevel="0" collapsed="false">
      <c r="A76" s="30" t="s">
        <v>1096</v>
      </c>
      <c r="B76" s="30"/>
      <c r="C76" s="30"/>
      <c r="D76" s="30"/>
      <c r="E76" s="30"/>
      <c r="F76" s="30"/>
      <c r="G76" s="30"/>
      <c r="H76" s="36"/>
      <c r="I76" s="36"/>
      <c r="J76" s="30"/>
      <c r="K76" s="30"/>
      <c r="L76" s="45" t="str">
        <f aca="true">IF(B76="","",IF(J76="Closed","Closed",IF(OR(E76="",H76="",I76=""),"Incomplete: needs compensating control, approval and expiry",IF(I76&lt;TODAY(),"Expired",IF(I76-TODAY()&lt;=30,"Expires within 30 days","Active")))))</f>
        <v/>
      </c>
    </row>
    <row r="77" customFormat="false" ht="15" hidden="false" customHeight="false" outlineLevel="0" collapsed="false">
      <c r="A77" s="30" t="s">
        <v>1097</v>
      </c>
      <c r="B77" s="30"/>
      <c r="C77" s="30"/>
      <c r="D77" s="30"/>
      <c r="E77" s="30"/>
      <c r="F77" s="30"/>
      <c r="G77" s="30"/>
      <c r="H77" s="36"/>
      <c r="I77" s="36"/>
      <c r="J77" s="30"/>
      <c r="K77" s="30"/>
      <c r="L77" s="45" t="str">
        <f aca="true">IF(B77="","",IF(J77="Closed","Closed",IF(OR(E77="",H77="",I77=""),"Incomplete: needs compensating control, approval and expiry",IF(I77&lt;TODAY(),"Expired",IF(I77-TODAY()&lt;=30,"Expires within 30 days","Active")))))</f>
        <v/>
      </c>
    </row>
    <row r="78" customFormat="false" ht="15" hidden="false" customHeight="false" outlineLevel="0" collapsed="false">
      <c r="A78" s="30" t="s">
        <v>1098</v>
      </c>
      <c r="B78" s="30"/>
      <c r="C78" s="30"/>
      <c r="D78" s="30"/>
      <c r="E78" s="30"/>
      <c r="F78" s="30"/>
      <c r="G78" s="30"/>
      <c r="H78" s="36"/>
      <c r="I78" s="36"/>
      <c r="J78" s="30"/>
      <c r="K78" s="30"/>
      <c r="L78" s="45" t="str">
        <f aca="true">IF(B78="","",IF(J78="Closed","Closed",IF(OR(E78="",H78="",I78=""),"Incomplete: needs compensating control, approval and expiry",IF(I78&lt;TODAY(),"Expired",IF(I78-TODAY()&lt;=30,"Expires within 30 days","Active")))))</f>
        <v/>
      </c>
    </row>
    <row r="79" customFormat="false" ht="15" hidden="false" customHeight="false" outlineLevel="0" collapsed="false">
      <c r="A79" s="30" t="s">
        <v>1099</v>
      </c>
      <c r="B79" s="30"/>
      <c r="C79" s="30"/>
      <c r="D79" s="30"/>
      <c r="E79" s="30"/>
      <c r="F79" s="30"/>
      <c r="G79" s="30"/>
      <c r="H79" s="36"/>
      <c r="I79" s="36"/>
      <c r="J79" s="30"/>
      <c r="K79" s="30"/>
      <c r="L79" s="45" t="str">
        <f aca="true">IF(B79="","",IF(J79="Closed","Closed",IF(OR(E79="",H79="",I79=""),"Incomplete: needs compensating control, approval and expiry",IF(I79&lt;TODAY(),"Expired",IF(I79-TODAY()&lt;=30,"Expires within 30 days","Active")))))</f>
        <v/>
      </c>
    </row>
    <row r="80" customFormat="false" ht="15" hidden="false" customHeight="false" outlineLevel="0" collapsed="false">
      <c r="A80" s="30" t="s">
        <v>1100</v>
      </c>
      <c r="B80" s="30"/>
      <c r="C80" s="30"/>
      <c r="D80" s="30"/>
      <c r="E80" s="30"/>
      <c r="F80" s="30"/>
      <c r="G80" s="30"/>
      <c r="H80" s="36"/>
      <c r="I80" s="36"/>
      <c r="J80" s="30"/>
      <c r="K80" s="30"/>
      <c r="L80" s="45" t="str">
        <f aca="true">IF(B80="","",IF(J80="Closed","Closed",IF(OR(E80="",H80="",I80=""),"Incomplete: needs compensating control, approval and expiry",IF(I80&lt;TODAY(),"Expired",IF(I80-TODAY()&lt;=30,"Expires within 30 days","Active")))))</f>
        <v/>
      </c>
    </row>
    <row r="81" customFormat="false" ht="15" hidden="false" customHeight="false" outlineLevel="0" collapsed="false">
      <c r="A81" s="30" t="s">
        <v>1101</v>
      </c>
      <c r="B81" s="30"/>
      <c r="C81" s="30"/>
      <c r="D81" s="30"/>
      <c r="E81" s="30"/>
      <c r="F81" s="30"/>
      <c r="G81" s="30"/>
      <c r="H81" s="36"/>
      <c r="I81" s="36"/>
      <c r="J81" s="30"/>
      <c r="K81" s="30"/>
      <c r="L81" s="45" t="str">
        <f aca="true">IF(B81="","",IF(J81="Closed","Closed",IF(OR(E81="",H81="",I81=""),"Incomplete: needs compensating control, approval and expiry",IF(I81&lt;TODAY(),"Expired",IF(I81-TODAY()&lt;=30,"Expires within 30 days","Active")))))</f>
        <v/>
      </c>
    </row>
    <row r="82" customFormat="false" ht="15" hidden="false" customHeight="false" outlineLevel="0" collapsed="false">
      <c r="A82" s="30" t="s">
        <v>1102</v>
      </c>
      <c r="B82" s="30"/>
      <c r="C82" s="30"/>
      <c r="D82" s="30"/>
      <c r="E82" s="30"/>
      <c r="F82" s="30"/>
      <c r="G82" s="30"/>
      <c r="H82" s="36"/>
      <c r="I82" s="36"/>
      <c r="J82" s="30"/>
      <c r="K82" s="30"/>
      <c r="L82" s="45" t="str">
        <f aca="true">IF(B82="","",IF(J82="Closed","Closed",IF(OR(E82="",H82="",I82=""),"Incomplete: needs compensating control, approval and expiry",IF(I82&lt;TODAY(),"Expired",IF(I82-TODAY()&lt;=30,"Expires within 30 days","Active")))))</f>
        <v/>
      </c>
    </row>
    <row r="83" customFormat="false" ht="15" hidden="false" customHeight="false" outlineLevel="0" collapsed="false">
      <c r="A83" s="30" t="s">
        <v>1103</v>
      </c>
      <c r="B83" s="30"/>
      <c r="C83" s="30"/>
      <c r="D83" s="30"/>
      <c r="E83" s="30"/>
      <c r="F83" s="30"/>
      <c r="G83" s="30"/>
      <c r="H83" s="36"/>
      <c r="I83" s="36"/>
      <c r="J83" s="30"/>
      <c r="K83" s="30"/>
      <c r="L83" s="45" t="str">
        <f aca="true">IF(B83="","",IF(J83="Closed","Closed",IF(OR(E83="",H83="",I83=""),"Incomplete: needs compensating control, approval and expiry",IF(I83&lt;TODAY(),"Expired",IF(I83-TODAY()&lt;=30,"Expires within 30 days","Active")))))</f>
        <v/>
      </c>
    </row>
    <row r="84" customFormat="false" ht="15" hidden="false" customHeight="false" outlineLevel="0" collapsed="false">
      <c r="A84" s="30" t="s">
        <v>1104</v>
      </c>
      <c r="B84" s="30"/>
      <c r="C84" s="30"/>
      <c r="D84" s="30"/>
      <c r="E84" s="30"/>
      <c r="F84" s="30"/>
      <c r="G84" s="30"/>
      <c r="H84" s="36"/>
      <c r="I84" s="36"/>
      <c r="J84" s="30"/>
      <c r="K84" s="30"/>
      <c r="L84" s="45" t="str">
        <f aca="true">IF(B84="","",IF(J84="Closed","Closed",IF(OR(E84="",H84="",I84=""),"Incomplete: needs compensating control, approval and expiry",IF(I84&lt;TODAY(),"Expired",IF(I84-TODAY()&lt;=30,"Expires within 30 days","Active")))))</f>
        <v/>
      </c>
    </row>
    <row r="85" customFormat="false" ht="15" hidden="false" customHeight="false" outlineLevel="0" collapsed="false">
      <c r="A85" s="30" t="s">
        <v>1105</v>
      </c>
      <c r="B85" s="30"/>
      <c r="C85" s="30"/>
      <c r="D85" s="30"/>
      <c r="E85" s="30"/>
      <c r="F85" s="30"/>
      <c r="G85" s="30"/>
      <c r="H85" s="36"/>
      <c r="I85" s="36"/>
      <c r="J85" s="30"/>
      <c r="K85" s="30"/>
      <c r="L85" s="45" t="str">
        <f aca="true">IF(B85="","",IF(J85="Closed","Closed",IF(OR(E85="",H85="",I85=""),"Incomplete: needs compensating control, approval and expiry",IF(I85&lt;TODAY(),"Expired",IF(I85-TODAY()&lt;=30,"Expires within 30 days","Active")))))</f>
        <v/>
      </c>
    </row>
    <row r="86" customFormat="false" ht="15" hidden="false" customHeight="false" outlineLevel="0" collapsed="false">
      <c r="A86" s="30" t="s">
        <v>1106</v>
      </c>
      <c r="B86" s="30"/>
      <c r="C86" s="30"/>
      <c r="D86" s="30"/>
      <c r="E86" s="30"/>
      <c r="F86" s="30"/>
      <c r="G86" s="30"/>
      <c r="H86" s="36"/>
      <c r="I86" s="36"/>
      <c r="J86" s="30"/>
      <c r="K86" s="30"/>
      <c r="L86" s="45" t="str">
        <f aca="true">IF(B86="","",IF(J86="Closed","Closed",IF(OR(E86="",H86="",I86=""),"Incomplete: needs compensating control, approval and expiry",IF(I86&lt;TODAY(),"Expired",IF(I86-TODAY()&lt;=30,"Expires within 30 days","Active")))))</f>
        <v/>
      </c>
    </row>
    <row r="87" customFormat="false" ht="15" hidden="false" customHeight="false" outlineLevel="0" collapsed="false">
      <c r="A87" s="30" t="s">
        <v>1107</v>
      </c>
      <c r="B87" s="30"/>
      <c r="C87" s="30"/>
      <c r="D87" s="30"/>
      <c r="E87" s="30"/>
      <c r="F87" s="30"/>
      <c r="G87" s="30"/>
      <c r="H87" s="36"/>
      <c r="I87" s="36"/>
      <c r="J87" s="30"/>
      <c r="K87" s="30"/>
      <c r="L87" s="45" t="str">
        <f aca="true">IF(B87="","",IF(J87="Closed","Closed",IF(OR(E87="",H87="",I87=""),"Incomplete: needs compensating control, approval and expiry",IF(I87&lt;TODAY(),"Expired",IF(I87-TODAY()&lt;=30,"Expires within 30 days","Active")))))</f>
        <v/>
      </c>
    </row>
    <row r="88" customFormat="false" ht="15" hidden="false" customHeight="false" outlineLevel="0" collapsed="false">
      <c r="A88" s="30" t="s">
        <v>1108</v>
      </c>
      <c r="B88" s="30"/>
      <c r="C88" s="30"/>
      <c r="D88" s="30"/>
      <c r="E88" s="30"/>
      <c r="F88" s="30"/>
      <c r="G88" s="30"/>
      <c r="H88" s="36"/>
      <c r="I88" s="36"/>
      <c r="J88" s="30"/>
      <c r="K88" s="30"/>
      <c r="L88" s="45" t="str">
        <f aca="true">IF(B88="","",IF(J88="Closed","Closed",IF(OR(E88="",H88="",I88=""),"Incomplete: needs compensating control, approval and expiry",IF(I88&lt;TODAY(),"Expired",IF(I88-TODAY()&lt;=30,"Expires within 30 days","Active")))))</f>
        <v/>
      </c>
    </row>
    <row r="89" customFormat="false" ht="15" hidden="false" customHeight="false" outlineLevel="0" collapsed="false">
      <c r="A89" s="30" t="s">
        <v>1109</v>
      </c>
      <c r="B89" s="30"/>
      <c r="C89" s="30"/>
      <c r="D89" s="30"/>
      <c r="E89" s="30"/>
      <c r="F89" s="30"/>
      <c r="G89" s="30"/>
      <c r="H89" s="36"/>
      <c r="I89" s="36"/>
      <c r="J89" s="30"/>
      <c r="K89" s="30"/>
      <c r="L89" s="45" t="str">
        <f aca="true">IF(B89="","",IF(J89="Closed","Closed",IF(OR(E89="",H89="",I89=""),"Incomplete: needs compensating control, approval and expiry",IF(I89&lt;TODAY(),"Expired",IF(I89-TODAY()&lt;=30,"Expires within 30 days","Active")))))</f>
        <v/>
      </c>
    </row>
    <row r="90" customFormat="false" ht="15" hidden="false" customHeight="false" outlineLevel="0" collapsed="false">
      <c r="A90" s="30" t="s">
        <v>1110</v>
      </c>
      <c r="B90" s="30"/>
      <c r="C90" s="30"/>
      <c r="D90" s="30"/>
      <c r="E90" s="30"/>
      <c r="F90" s="30"/>
      <c r="G90" s="30"/>
      <c r="H90" s="36"/>
      <c r="I90" s="36"/>
      <c r="J90" s="30"/>
      <c r="K90" s="30"/>
      <c r="L90" s="45" t="str">
        <f aca="true">IF(B90="","",IF(J90="Closed","Closed",IF(OR(E90="",H90="",I90=""),"Incomplete: needs compensating control, approval and expiry",IF(I90&lt;TODAY(),"Expired",IF(I90-TODAY()&lt;=30,"Expires within 30 days","Active")))))</f>
        <v/>
      </c>
    </row>
    <row r="91" customFormat="false" ht="15" hidden="false" customHeight="false" outlineLevel="0" collapsed="false">
      <c r="A91" s="30" t="s">
        <v>1111</v>
      </c>
      <c r="B91" s="30"/>
      <c r="C91" s="30"/>
      <c r="D91" s="30"/>
      <c r="E91" s="30"/>
      <c r="F91" s="30"/>
      <c r="G91" s="30"/>
      <c r="H91" s="36"/>
      <c r="I91" s="36"/>
      <c r="J91" s="30"/>
      <c r="K91" s="30"/>
      <c r="L91" s="45" t="str">
        <f aca="true">IF(B91="","",IF(J91="Closed","Closed",IF(OR(E91="",H91="",I91=""),"Incomplete: needs compensating control, approval and expiry",IF(I91&lt;TODAY(),"Expired",IF(I91-TODAY()&lt;=30,"Expires within 30 days","Active")))))</f>
        <v/>
      </c>
    </row>
    <row r="92" customFormat="false" ht="15" hidden="false" customHeight="false" outlineLevel="0" collapsed="false">
      <c r="A92" s="30" t="s">
        <v>1112</v>
      </c>
      <c r="B92" s="30"/>
      <c r="C92" s="30"/>
      <c r="D92" s="30"/>
      <c r="E92" s="30"/>
      <c r="F92" s="30"/>
      <c r="G92" s="30"/>
      <c r="H92" s="36"/>
      <c r="I92" s="36"/>
      <c r="J92" s="30"/>
      <c r="K92" s="30"/>
      <c r="L92" s="45" t="str">
        <f aca="true">IF(B92="","",IF(J92="Closed","Closed",IF(OR(E92="",H92="",I92=""),"Incomplete: needs compensating control, approval and expiry",IF(I92&lt;TODAY(),"Expired",IF(I92-TODAY()&lt;=30,"Expires within 30 days","Active")))))</f>
        <v/>
      </c>
    </row>
    <row r="93" customFormat="false" ht="15" hidden="false" customHeight="false" outlineLevel="0" collapsed="false">
      <c r="A93" s="30" t="s">
        <v>1113</v>
      </c>
      <c r="B93" s="30"/>
      <c r="C93" s="30"/>
      <c r="D93" s="30"/>
      <c r="E93" s="30"/>
      <c r="F93" s="30"/>
      <c r="G93" s="30"/>
      <c r="H93" s="36"/>
      <c r="I93" s="36"/>
      <c r="J93" s="30"/>
      <c r="K93" s="30"/>
      <c r="L93" s="45" t="str">
        <f aca="true">IF(B93="","",IF(J93="Closed","Closed",IF(OR(E93="",H93="",I93=""),"Incomplete: needs compensating control, approval and expiry",IF(I93&lt;TODAY(),"Expired",IF(I93-TODAY()&lt;=30,"Expires within 30 days","Active")))))</f>
        <v/>
      </c>
    </row>
    <row r="94" customFormat="false" ht="15" hidden="false" customHeight="false" outlineLevel="0" collapsed="false">
      <c r="A94" s="30" t="s">
        <v>1114</v>
      </c>
      <c r="B94" s="30"/>
      <c r="C94" s="30"/>
      <c r="D94" s="30"/>
      <c r="E94" s="30"/>
      <c r="F94" s="30"/>
      <c r="G94" s="30"/>
      <c r="H94" s="36"/>
      <c r="I94" s="36"/>
      <c r="J94" s="30"/>
      <c r="K94" s="30"/>
      <c r="L94" s="45" t="str">
        <f aca="true">IF(B94="","",IF(J94="Closed","Closed",IF(OR(E94="",H94="",I94=""),"Incomplete: needs compensating control, approval and expiry",IF(I94&lt;TODAY(),"Expired",IF(I94-TODAY()&lt;=30,"Expires within 30 days","Active")))))</f>
        <v/>
      </c>
    </row>
    <row r="95" customFormat="false" ht="15" hidden="false" customHeight="false" outlineLevel="0" collapsed="false">
      <c r="A95" s="30" t="s">
        <v>1115</v>
      </c>
      <c r="B95" s="30"/>
      <c r="C95" s="30"/>
      <c r="D95" s="30"/>
      <c r="E95" s="30"/>
      <c r="F95" s="30"/>
      <c r="G95" s="30"/>
      <c r="H95" s="36"/>
      <c r="I95" s="36"/>
      <c r="J95" s="30"/>
      <c r="K95" s="30"/>
      <c r="L95" s="45" t="str">
        <f aca="true">IF(B95="","",IF(J95="Closed","Closed",IF(OR(E95="",H95="",I95=""),"Incomplete: needs compensating control, approval and expiry",IF(I95&lt;TODAY(),"Expired",IF(I95-TODAY()&lt;=30,"Expires within 30 days","Active")))))</f>
        <v/>
      </c>
    </row>
    <row r="96" customFormat="false" ht="15" hidden="false" customHeight="false" outlineLevel="0" collapsed="false">
      <c r="A96" s="30" t="s">
        <v>1116</v>
      </c>
      <c r="B96" s="30"/>
      <c r="C96" s="30"/>
      <c r="D96" s="30"/>
      <c r="E96" s="30"/>
      <c r="F96" s="30"/>
      <c r="G96" s="30"/>
      <c r="H96" s="36"/>
      <c r="I96" s="36"/>
      <c r="J96" s="30"/>
      <c r="K96" s="30"/>
      <c r="L96" s="45" t="str">
        <f aca="true">IF(B96="","",IF(J96="Closed","Closed",IF(OR(E96="",H96="",I96=""),"Incomplete: needs compensating control, approval and expiry",IF(I96&lt;TODAY(),"Expired",IF(I96-TODAY()&lt;=30,"Expires within 30 days","Active")))))</f>
        <v/>
      </c>
    </row>
    <row r="97" customFormat="false" ht="15" hidden="false" customHeight="false" outlineLevel="0" collapsed="false">
      <c r="A97" s="30" t="s">
        <v>1117</v>
      </c>
      <c r="B97" s="30"/>
      <c r="C97" s="30"/>
      <c r="D97" s="30"/>
      <c r="E97" s="30"/>
      <c r="F97" s="30"/>
      <c r="G97" s="30"/>
      <c r="H97" s="36"/>
      <c r="I97" s="36"/>
      <c r="J97" s="30"/>
      <c r="K97" s="30"/>
      <c r="L97" s="45" t="str">
        <f aca="true">IF(B97="","",IF(J97="Closed","Closed",IF(OR(E97="",H97="",I97=""),"Incomplete: needs compensating control, approval and expiry",IF(I97&lt;TODAY(),"Expired",IF(I97-TODAY()&lt;=30,"Expires within 30 days","Active")))))</f>
        <v/>
      </c>
    </row>
    <row r="98" customFormat="false" ht="15" hidden="false" customHeight="false" outlineLevel="0" collapsed="false">
      <c r="A98" s="30" t="s">
        <v>1118</v>
      </c>
      <c r="B98" s="30"/>
      <c r="C98" s="30"/>
      <c r="D98" s="30"/>
      <c r="E98" s="30"/>
      <c r="F98" s="30"/>
      <c r="G98" s="30"/>
      <c r="H98" s="36"/>
      <c r="I98" s="36"/>
      <c r="J98" s="30"/>
      <c r="K98" s="30"/>
      <c r="L98" s="45" t="str">
        <f aca="true">IF(B98="","",IF(J98="Closed","Closed",IF(OR(E98="",H98="",I98=""),"Incomplete: needs compensating control, approval and expiry",IF(I98&lt;TODAY(),"Expired",IF(I98-TODAY()&lt;=30,"Expires within 30 days","Active")))))</f>
        <v/>
      </c>
    </row>
    <row r="99" customFormat="false" ht="15" hidden="false" customHeight="false" outlineLevel="0" collapsed="false">
      <c r="A99" s="30" t="s">
        <v>1119</v>
      </c>
      <c r="B99" s="30"/>
      <c r="C99" s="30"/>
      <c r="D99" s="30"/>
      <c r="E99" s="30"/>
      <c r="F99" s="30"/>
      <c r="G99" s="30"/>
      <c r="H99" s="36"/>
      <c r="I99" s="36"/>
      <c r="J99" s="30"/>
      <c r="K99" s="30"/>
      <c r="L99" s="45" t="str">
        <f aca="true">IF(B99="","",IF(J99="Closed","Closed",IF(OR(E99="",H99="",I99=""),"Incomplete: needs compensating control, approval and expiry",IF(I99&lt;TODAY(),"Expired",IF(I99-TODAY()&lt;=30,"Expires within 30 days","Active")))))</f>
        <v/>
      </c>
    </row>
    <row r="100" customFormat="false" ht="15" hidden="false" customHeight="false" outlineLevel="0" collapsed="false">
      <c r="A100" s="30" t="s">
        <v>1120</v>
      </c>
      <c r="B100" s="30"/>
      <c r="C100" s="30"/>
      <c r="D100" s="30"/>
      <c r="E100" s="30"/>
      <c r="F100" s="30"/>
      <c r="G100" s="30"/>
      <c r="H100" s="36"/>
      <c r="I100" s="36"/>
      <c r="J100" s="30"/>
      <c r="K100" s="30"/>
      <c r="L100" s="45" t="str">
        <f aca="true">IF(B100="","",IF(J100="Closed","Closed",IF(OR(E100="",H100="",I100=""),"Incomplete: needs compensating control, approval and expiry",IF(I100&lt;TODAY(),"Expired",IF(I100-TODAY()&lt;=30,"Expires within 30 days","Active")))))</f>
        <v/>
      </c>
    </row>
    <row r="101" customFormat="false" ht="15" hidden="false" customHeight="false" outlineLevel="0" collapsed="false">
      <c r="A101" s="30" t="s">
        <v>1121</v>
      </c>
      <c r="B101" s="30"/>
      <c r="C101" s="30"/>
      <c r="D101" s="30"/>
      <c r="E101" s="30"/>
      <c r="F101" s="30"/>
      <c r="G101" s="30"/>
      <c r="H101" s="36"/>
      <c r="I101" s="36"/>
      <c r="J101" s="30"/>
      <c r="K101" s="30"/>
      <c r="L101" s="45" t="str">
        <f aca="true">IF(B101="","",IF(J101="Closed","Closed",IF(OR(E101="",H101="",I101=""),"Incomplete: needs compensating control, approval and expiry",IF(I101&lt;TODAY(),"Expired",IF(I101-TODAY()&lt;=30,"Expires within 30 days","Active")))))</f>
        <v/>
      </c>
    </row>
    <row r="102" customFormat="false" ht="15" hidden="false" customHeight="false" outlineLevel="0" collapsed="false">
      <c r="A102" s="30" t="s">
        <v>1122</v>
      </c>
      <c r="B102" s="30"/>
      <c r="C102" s="30"/>
      <c r="D102" s="30"/>
      <c r="E102" s="30"/>
      <c r="F102" s="30"/>
      <c r="G102" s="30"/>
      <c r="H102" s="36"/>
      <c r="I102" s="36"/>
      <c r="J102" s="30"/>
      <c r="K102" s="30"/>
      <c r="L102" s="45" t="str">
        <f aca="true">IF(B102="","",IF(J102="Closed","Closed",IF(OR(E102="",H102="",I102=""),"Incomplete: needs compensating control, approval and expiry",IF(I102&lt;TODAY(),"Expired",IF(I102-TODAY()&lt;=30,"Expires within 30 days","Active")))))</f>
        <v/>
      </c>
    </row>
    <row r="103" customFormat="false" ht="15" hidden="false" customHeight="false" outlineLevel="0" collapsed="false">
      <c r="A103" s="30" t="s">
        <v>1123</v>
      </c>
      <c r="B103" s="30"/>
      <c r="C103" s="30"/>
      <c r="D103" s="30"/>
      <c r="E103" s="30"/>
      <c r="F103" s="30"/>
      <c r="G103" s="30"/>
      <c r="H103" s="36"/>
      <c r="I103" s="36"/>
      <c r="J103" s="30"/>
      <c r="K103" s="30"/>
      <c r="L103" s="45" t="str">
        <f aca="true">IF(B103="","",IF(J103="Closed","Closed",IF(OR(E103="",H103="",I103=""),"Incomplete: needs compensating control, approval and expiry",IF(I103&lt;TODAY(),"Expired",IF(I103-TODAY()&lt;=30,"Expires within 30 days","Active")))))</f>
        <v/>
      </c>
    </row>
    <row r="104" customFormat="false" ht="15" hidden="false" customHeight="false" outlineLevel="0" collapsed="false">
      <c r="A104" s="30" t="s">
        <v>1124</v>
      </c>
      <c r="B104" s="30"/>
      <c r="C104" s="30"/>
      <c r="D104" s="30"/>
      <c r="E104" s="30"/>
      <c r="F104" s="30"/>
      <c r="G104" s="30"/>
      <c r="H104" s="36"/>
      <c r="I104" s="36"/>
      <c r="J104" s="30"/>
      <c r="K104" s="30"/>
      <c r="L104" s="45" t="str">
        <f aca="true">IF(B104="","",IF(J104="Closed","Closed",IF(OR(E104="",H104="",I104=""),"Incomplete: needs compensating control, approval and expiry",IF(I104&lt;TODAY(),"Expired",IF(I104-TODAY()&lt;=30,"Expires within 30 days","Active")))))</f>
        <v/>
      </c>
    </row>
  </sheetData>
  <conditionalFormatting sqref="L5:L104">
    <cfRule type="cellIs" priority="2" operator="equal" aboveAverage="0" equalAverage="0" bottom="0" percent="0" rank="0" text="" dxfId="18">
      <formula>"Expired"</formula>
    </cfRule>
    <cfRule type="cellIs" priority="3" operator="equal" aboveAverage="0" equalAverage="0" bottom="0" percent="0" rank="0" text="" dxfId="24">
      <formula>"Expires within 30 days"</formula>
    </cfRule>
    <cfRule type="cellIs" priority="4" operator="equal" aboveAverage="0" equalAverage="0" bottom="0" percent="0" rank="0" text="" dxfId="17">
      <formula>"Active"</formula>
    </cfRule>
    <cfRule type="cellIs" priority="5" operator="equal" aboveAverage="0" equalAverage="0" bottom="0" percent="0" rank="0" text="" dxfId="22">
      <formula>"Closed"</formula>
    </cfRule>
    <cfRule type="expression" priority="6" aboveAverage="0" equalAverage="0" bottom="0" percent="0" rank="0" text="" dxfId="29">
      <formula>LEFT(L5,10)="Incomplete"</formula>
    </cfRule>
  </conditionalFormatting>
  <dataValidations count="3">
    <dataValidation allowBlank="true" error="Choose a value from the list (edit the Lists sheet to change the options)." errorStyle="warning" operator="between" showDropDown="false" showErrorMessage="true" showInputMessage="false" sqref="J5:J104" type="list">
      <formula1>Lists!$F$2:$F$5</formula1>
      <formula2>0</formula2>
    </dataValidation>
    <dataValidation allowBlank="true" error="Enter a date (for example 2026-10-17)." errorStyle="warning" operator="greaterThan" showDropDown="false" showErrorMessage="true" showInputMessage="false" sqref="H5:I104" type="date">
      <formula1>DATE(2000,1,1)</formula1>
      <formula2>0</formula2>
    </dataValidation>
    <dataValidation allowBlank="true" error="Choose a value from the list (edit the Lists sheet to change the options)." errorStyle="warning" operator="between" showDropDown="false" showErrorMessage="true" showInputMessage="false" sqref="B5:B104" type="list">
      <formula1>'Control Tests'!$A$5:$A$50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E8C"/>
    <pageSetUpPr fitToPage="true"/>
  </sheetPr>
  <dimension ref="A1:F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6"/>
    <col collapsed="false" customWidth="true" hidden="false" outlineLevel="0" max="3" min="3" style="0" width="36"/>
    <col collapsed="false" customWidth="true" hidden="false" outlineLevel="0" max="4" min="4" style="0" width="13"/>
    <col collapsed="false" customWidth="true" hidden="false" outlineLevel="0" max="5" min="5" style="0" width="18"/>
    <col collapsed="false" customWidth="true" hidden="false" outlineLevel="0" max="6" min="6" style="0" width="30"/>
  </cols>
  <sheetData>
    <row r="1" customFormat="false" ht="30" hidden="false" customHeight="true" outlineLevel="0" collapsed="false">
      <c r="A1" s="63" t="s">
        <v>1125</v>
      </c>
      <c r="B1" s="64"/>
      <c r="C1" s="64"/>
      <c r="D1" s="64"/>
      <c r="E1" s="64"/>
      <c r="F1" s="64"/>
    </row>
    <row r="2" customFormat="false" ht="15" hidden="false" customHeight="false" outlineLevel="0" collapsed="false">
      <c r="A2" s="3" t="s">
        <v>1126</v>
      </c>
    </row>
    <row r="4" customFormat="false" ht="15" hidden="false" customHeight="false" outlineLevel="0" collapsed="false">
      <c r="A4" s="65" t="s">
        <v>1127</v>
      </c>
      <c r="B4" s="65" t="s">
        <v>1128</v>
      </c>
      <c r="C4" s="65" t="s">
        <v>1129</v>
      </c>
      <c r="D4" s="65" t="s">
        <v>1130</v>
      </c>
      <c r="E4" s="65" t="s">
        <v>1131</v>
      </c>
      <c r="F4" s="65" t="s">
        <v>139</v>
      </c>
    </row>
    <row r="5" customFormat="false" ht="23.85" hidden="false" customHeight="false" outlineLevel="0" collapsed="false">
      <c r="A5" s="5" t="s">
        <v>1132</v>
      </c>
      <c r="B5" s="6" t="s">
        <v>1133</v>
      </c>
      <c r="C5" s="6" t="s">
        <v>1134</v>
      </c>
      <c r="D5" s="30"/>
      <c r="E5" s="30"/>
      <c r="F5" s="30"/>
    </row>
    <row r="6" customFormat="false" ht="23.85" hidden="false" customHeight="false" outlineLevel="0" collapsed="false">
      <c r="A6" s="5" t="s">
        <v>1135</v>
      </c>
      <c r="B6" s="6" t="s">
        <v>1136</v>
      </c>
      <c r="C6" s="6" t="s">
        <v>1137</v>
      </c>
      <c r="D6" s="30"/>
      <c r="E6" s="30"/>
      <c r="F6" s="30"/>
    </row>
    <row r="7" customFormat="false" ht="23.85" hidden="false" customHeight="false" outlineLevel="0" collapsed="false">
      <c r="A7" s="5" t="s">
        <v>1138</v>
      </c>
      <c r="B7" s="6" t="s">
        <v>1139</v>
      </c>
      <c r="C7" s="6" t="s">
        <v>1140</v>
      </c>
      <c r="D7" s="30"/>
      <c r="E7" s="30"/>
      <c r="F7" s="30"/>
    </row>
    <row r="8" customFormat="false" ht="46.25" hidden="false" customHeight="false" outlineLevel="0" collapsed="false">
      <c r="A8" s="5" t="s">
        <v>1141</v>
      </c>
      <c r="B8" s="6" t="s">
        <v>1142</v>
      </c>
      <c r="C8" s="6" t="s">
        <v>1143</v>
      </c>
      <c r="D8" s="30"/>
      <c r="E8" s="30"/>
      <c r="F8" s="30"/>
    </row>
    <row r="9" customFormat="false" ht="23.85" hidden="false" customHeight="false" outlineLevel="0" collapsed="false">
      <c r="A9" s="5" t="s">
        <v>1144</v>
      </c>
      <c r="B9" s="6" t="s">
        <v>1145</v>
      </c>
      <c r="C9" s="6" t="s">
        <v>1146</v>
      </c>
      <c r="D9" s="30"/>
      <c r="E9" s="30"/>
      <c r="F9" s="30"/>
    </row>
    <row r="11" customFormat="false" ht="15" hidden="false" customHeight="true" outlineLevel="0" collapsed="false">
      <c r="A11" s="66" t="s">
        <v>1147</v>
      </c>
      <c r="B11" s="66"/>
      <c r="C11" s="66"/>
      <c r="D11" s="66"/>
      <c r="E11" s="66"/>
      <c r="F11" s="66"/>
    </row>
  </sheetData>
  <mergeCells count="1">
    <mergeCell ref="A11:F11"/>
  </mergeCells>
  <conditionalFormatting sqref="D5:D9">
    <cfRule type="cellIs" priority="2" operator="equal" aboveAverage="0" equalAverage="0" bottom="0" percent="0" rank="0" text="" dxfId="18">
      <formula>"Not started"</formula>
    </cfRule>
    <cfRule type="cellIs" priority="3" operator="equal" aboveAverage="0" equalAverage="0" bottom="0" percent="0" rank="0" text="" dxfId="24">
      <formula>"In progress"</formula>
    </cfRule>
    <cfRule type="cellIs" priority="4" operator="equal" aboveAverage="0" equalAverage="0" bottom="0" percent="0" rank="0" text="" dxfId="17">
      <formula>"Ready"</formula>
    </cfRule>
  </conditionalFormatting>
  <dataValidations count="1">
    <dataValidation allowBlank="true" error="Choose a value from the list (edit the Lists sheet to change the options)." errorStyle="warning" operator="between" showDropDown="false" showErrorMessage="true" showInputMessage="false" sqref="D5:D9" type="list">
      <formula1>Lists!$G$2:$G$4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G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5"/>
    <col collapsed="false" customWidth="true" hidden="false" outlineLevel="0" max="2" min="2" style="0" width="14"/>
    <col collapsed="false" customWidth="true" hidden="false" outlineLevel="0" max="3" min="3" style="0" width="30"/>
    <col collapsed="false" customWidth="true" hidden="false" outlineLevel="0" max="4" min="4" style="0" width="14"/>
    <col collapsed="false" customWidth="true" hidden="false" outlineLevel="0" max="5" min="5" style="0" width="17"/>
    <col collapsed="false" customWidth="true" hidden="false" outlineLevel="0" max="7" min="6" style="0" width="14"/>
  </cols>
  <sheetData>
    <row r="1" customFormat="false" ht="15" hidden="false" customHeight="false" outlineLevel="0" collapsed="false">
      <c r="A1" s="67" t="s">
        <v>180</v>
      </c>
      <c r="B1" s="67" t="s">
        <v>1148</v>
      </c>
      <c r="C1" s="67" t="s">
        <v>449</v>
      </c>
      <c r="D1" s="67" t="s">
        <v>121</v>
      </c>
      <c r="E1" s="67" t="s">
        <v>1149</v>
      </c>
      <c r="F1" s="67" t="s">
        <v>1150</v>
      </c>
      <c r="G1" s="67" t="s">
        <v>1151</v>
      </c>
    </row>
    <row r="2" customFormat="false" ht="15" hidden="false" customHeight="false" outlineLevel="0" collapsed="false">
      <c r="A2" s="0" t="s">
        <v>153</v>
      </c>
      <c r="B2" s="0" t="s">
        <v>201</v>
      </c>
      <c r="C2" s="0" t="s">
        <v>147</v>
      </c>
      <c r="D2" s="0" t="s">
        <v>124</v>
      </c>
      <c r="E2" s="0" t="s">
        <v>1152</v>
      </c>
      <c r="F2" s="0" t="s">
        <v>1153</v>
      </c>
      <c r="G2" s="0" t="s">
        <v>1154</v>
      </c>
    </row>
    <row r="3" customFormat="false" ht="15" hidden="false" customHeight="false" outlineLevel="0" collapsed="false">
      <c r="A3" s="0" t="s">
        <v>155</v>
      </c>
      <c r="B3" s="0" t="s">
        <v>1155</v>
      </c>
      <c r="C3" s="0" t="s">
        <v>1156</v>
      </c>
      <c r="D3" s="0" t="s">
        <v>125</v>
      </c>
      <c r="E3" s="0" t="s">
        <v>1157</v>
      </c>
      <c r="F3" s="0" t="s">
        <v>1158</v>
      </c>
      <c r="G3" s="0" t="s">
        <v>1159</v>
      </c>
    </row>
    <row r="4" customFormat="false" ht="15" hidden="false" customHeight="false" outlineLevel="0" collapsed="false">
      <c r="A4" s="0" t="s">
        <v>157</v>
      </c>
      <c r="C4" s="0" t="s">
        <v>1160</v>
      </c>
      <c r="D4" s="0" t="s">
        <v>126</v>
      </c>
      <c r="E4" s="0" t="s">
        <v>1161</v>
      </c>
      <c r="F4" s="0" t="s">
        <v>1162</v>
      </c>
      <c r="G4" s="0" t="s">
        <v>1163</v>
      </c>
    </row>
    <row r="5" customFormat="false" ht="15" hidden="false" customHeight="false" outlineLevel="0" collapsed="false">
      <c r="A5" s="0" t="s">
        <v>159</v>
      </c>
      <c r="C5" s="0" t="s">
        <v>1164</v>
      </c>
      <c r="E5" s="0" t="s">
        <v>123</v>
      </c>
      <c r="F5" s="0" t="s">
        <v>123</v>
      </c>
    </row>
    <row r="6" customFormat="false" ht="15" hidden="false" customHeight="false" outlineLevel="0" collapsed="false">
      <c r="E6" s="0" t="s">
        <v>1165</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 and Ankush Jain)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Audit</cp:category>
  <dcterms:created xsi:type="dcterms:W3CDTF">2026-10-24T11:24:03Z</dcterms:created>
  <dc:creator>Nachiket Sathaye; Ankush Jain</dc:creator>
  <dc:description>Copyright (c) 2026 Nachiket Sathaye and Ankush Jain. Licensed under CC BY-SA 4.0: https://creativecommons.org/licenses/by-sa/4.0/. Source: https://nachi065.github.io/AI-Security-Wiki/</dc:description>
  <cp:keywords>AI audit AI evidence ISO/IEC 42001 CC BY-SA 4.0</cp:keywords>
  <dc:language>en-US</dc:language>
  <cp:lastModifiedBy>Nachiket Sathaye</cp:lastModifiedBy>
  <dcterms:modified xsi:type="dcterms:W3CDTF">2026-10-24T11:24:04Z</dcterms:modified>
  <cp:revision>0</cp:revision>
  <dc:subject>AI security audit and evidence workbook built from the AI Security Wiki</dc:subject>
  <dc:title>AI Security Audit and Evidence Checklist</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