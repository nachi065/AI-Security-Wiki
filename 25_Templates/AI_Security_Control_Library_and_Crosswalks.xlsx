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Library'!$A$4:$AA$50</definedName>
    <definedName function="false" hidden="true" localSheetId="5" name="_xlnm._FilterDatabase" vbProcedure="false">'Framework Crosswalk'!$A$4:$L$977</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<sst xmlns="http://schemas.openxmlformats.org/spreadsheetml/2006/main" count="10163" uniqueCount="3897">
  <si>
    <t xml:space="preserve">AI Security Control Library and Crosswalks</t>
  </si>
  <si>
    <t xml:space="preserve">Built from the AI Security Wiki (https://nachi065.github.io/AI-Security-Wiki/) on 29 October 2026. Version 1.6.</t>
  </si>
  <si>
    <t xml:space="preserve">Read first</t>
  </si>
  <si>
    <t xml:space="preserve">What this is</t>
  </si>
  <si>
    <t xml:space="preserve">The wiki's 46 AI security controls with every field from the Control Objectives Library, ready to track implementation and testing, cross-referenced to 973 items across 51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</si>
  <si>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</si>
  <si>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</si>
  <si>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</si>
  <si>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</si>
  <si>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</si>
  <si>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</si>
  <si>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</si>
  <si>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</si>
  <si>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</si>
  <si>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</si>
  <si>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</si>
  <si>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</si>
  <si>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</si>
  <si>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</si>
  <si>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</si>
  <si>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</si>
  <si>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</si>
  <si>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</si>
  <si>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</si>
  <si>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</si>
  <si>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</si>
  <si>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</si>
  <si>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</si>
  <si>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</si>
  <si>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</si>
  <si>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</si>
  <si>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</si>
  <si>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</si>
  <si>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</si>
  <si>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</si>
  <si>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</si>
  <si>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</si>
  <si>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27 columns.</t>
  </si>
  <si>
    <t xml:space="preserve">Coverage</t>
  </si>
  <si>
    <t xml:space="preserve">Coverage for each of the 51 framework columns.</t>
  </si>
  <si>
    <t xml:space="preserve">Framework Crosswalk</t>
  </si>
  <si>
    <t xml:space="preserve">973 framework items with controls and coverage.</t>
  </si>
  <si>
    <t xml:space="preserve">Framework Matrix</t>
  </si>
  <si>
    <t xml:space="preserve">46 controls by 51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</si>
  <si>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</si>
  <si>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</si>
  <si>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</si>
  <si>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</si>
  <si>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</si>
  <si>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</si>
  <si>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</si>
  <si>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</si>
  <si>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</si>
  <si>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</si>
  <si>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</si>
  <si>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</si>
  <si>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</si>
  <si>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</si>
  <si>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</si>
  <si>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</si>
  <si>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</si>
  <si>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and Ankush Jain. Licensed under CC BY-SA 4.0 (https://creativecommons.org/licenses/by-sa/4.0/). See the License sheet for credit, ShareAlike and third-party terms.</t>
  </si>
  <si>
    <t xml:space="preserve">AI Security Control Library and Crosswalks, version 1.6, 29 October 2026</t>
  </si>
  <si>
    <t xml:space="preserve">License notice</t>
  </si>
  <si>
    <t xml:space="preserve">Work</t>
  </si>
  <si>
    <t xml:space="preserve">Copyright</t>
  </si>
  <si>
    <t xml:space="preserve">Copyright (c) 2026 Nachiket Sathaye and Ankush Jain.</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</si>
  <si>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</si>
  <si>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</si>
  <si>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</si>
  <si>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</si>
  <si>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</si>
  <si>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</si>
  <si>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</si>
  <si>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</si>
  <si>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</si>
  <si>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</si>
  <si>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</si>
  <si>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</si>
  <si>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</si>
  <si>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and Ankush Jain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</si>
  <si>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</si>
  <si>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</si>
  <si>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</si>
  <si>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</si>
  <si>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</si>
  <si>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</si>
  <si>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</si>
  <si>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</si>
  <si>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</si>
  <si>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</si>
  <si>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</si>
  <si>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</si>
  <si>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AI-R54 they map to, are adapted by the wiki from the AI Risk Map v1.3 (2026) by Evan Wheeler (GitHub wheels344i-gte), https://github.com/wheels344i-gte/ai-risk-map and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</si>
  <si>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</si>
  <si>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</si>
  <si>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</si>
  <si>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</si>
  <si>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</si>
  <si>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</si>
  <si>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</si>
  <si>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</si>
  <si>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</si>
  <si>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</si>
  <si>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</si>
  <si>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</si>
  <si>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</si>
  <si>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</si>
  <si>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</si>
  <si>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</si>
  <si>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</si>
  <si>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</si>
  <si>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</si>
  <si>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</si>
  <si>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</si>
  <si>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</si>
  <si>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</si>
  <si>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</si>
  <si>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</si>
  <si>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</si>
  <si>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</si>
  <si>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</si>
  <si>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</si>
  <si>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</si>
  <si>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</si>
  <si>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</si>
  <si>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</si>
  <si>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</si>
  <si>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</si>
  <si>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</si>
  <si>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</si>
  <si>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</si>
  <si>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</si>
  <si>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</si>
  <si>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</si>
  <si>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</si>
  <si>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</si>
  <si>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</si>
  <si>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Assurance Stage</t>
  </si>
  <si>
    <t xml:space="preserve">Deployment Model</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</si>
  <si>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</si>
  <si>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</si>
  <si>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</si>
  <si>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</si>
  <si>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</si>
  <si>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</si>
  <si>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</si>
  <si>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</si>
  <si>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</si>
  <si>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</si>
  <si>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</si>
  <si>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</si>
  <si>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</si>
  <si>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</si>
  <si>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</si>
  <si>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</si>
  <si>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</si>
  <si>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</si>
  <si>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</si>
  <si>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</si>
  <si>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</si>
  <si>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</si>
  <si>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</si>
  <si>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Discovery</t>
  </si>
  <si>
    <t xml:space="preserve">All</t>
  </si>
  <si>
    <t xml:space="preserve">AI-R02</t>
  </si>
  <si>
    <t xml:space="preserve">Discover AI services, extensions, plugins, embedded SaaS AI features and API usage continuously. Classify each as approved, tolerated or unapproved, and attribute use to a user, device and application. Look for local models and agents and for AI add-ons such as browser extensions and IDE plug-ins on endpoints, use software allow-listing to stop unapproved installs, and watch network traffic for AI patterns such as Model Context Protocol (MCP) connections. Policy and training alone do not stop shadow AI.</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</si>
  <si>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</si>
  <si>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</si>
  <si>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</si>
  <si>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</si>
  <si>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</si>
  <si>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</si>
  <si>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</si>
  <si>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</si>
  <si>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</si>
  <si>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Implementation</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</si>
  <si>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</si>
  <si>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</si>
  <si>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</si>
  <si>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</si>
  <si>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</si>
  <si>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</si>
  <si>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</si>
  <si>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</si>
  <si>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</si>
  <si>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</si>
  <si>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</si>
  <si>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</si>
  <si>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</si>
  <si>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</si>
  <si>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</si>
  <si>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</si>
  <si>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</si>
  <si>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</si>
  <si>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</si>
  <si>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</si>
  <si>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</si>
  <si>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</si>
  <si>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</si>
  <si>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</si>
  <si>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</si>
  <si>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</si>
  <si>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</si>
  <si>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</si>
  <si>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</si>
  <si>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</si>
  <si>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</si>
  <si>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</si>
  <si>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</si>
  <si>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</si>
  <si>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</si>
  <si>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</si>
  <si>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Design</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</si>
  <si>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</si>
  <si>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</si>
  <si>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</si>
  <si>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</si>
  <si>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</si>
  <si>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</si>
  <si>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</si>
  <si>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</si>
  <si>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</si>
  <si>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Cloud</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</si>
  <si>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</si>
  <si>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</si>
  <si>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</si>
  <si>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</si>
  <si>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</si>
  <si>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</si>
  <si>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</si>
  <si>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</si>
  <si>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</si>
  <si>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Platform</t>
  </si>
  <si>
    <t xml:space="preserve">AI-R09, AI-R15, AI-R26</t>
  </si>
  <si>
    <t xml:space="preserve">Log prompts, responses, uploads, retrieved sources, model calls, tool calls and policy decisions according to policy. Records must be timestamped, attributable, exportable and retained for the approved period. Record enough detail to validate, investigate, attribute and reconstruct each AI-assisted action, while masking or tokenising payment card and other sensitive data before it is written.</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</si>
  <si>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</si>
  <si>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</si>
  <si>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</si>
  <si>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</si>
  <si>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</si>
  <si>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</si>
  <si>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Production</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</si>
  <si>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</si>
  <si>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</si>
  <si>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</si>
  <si>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</si>
  <si>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</si>
  <si>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</si>
  <si>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</si>
  <si>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</si>
  <si>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</si>
  <si>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</si>
  <si>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</si>
  <si>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</si>
  <si>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</si>
  <si>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</si>
  <si>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</si>
  <si>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</si>
  <si>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</si>
  <si>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</si>
  <si>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</si>
  <si>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</si>
  <si>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</si>
  <si>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</si>
  <si>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</si>
  <si>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</si>
  <si>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</si>
  <si>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</si>
  <si>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</si>
  <si>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</si>
  <si>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</si>
  <si>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</si>
  <si>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</si>
  <si>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</si>
  <si>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</si>
  <si>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</si>
  <si>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</si>
  <si>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</si>
  <si>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</si>
  <si>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</si>
  <si>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</si>
  <si>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</si>
  <si>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</si>
  <si>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</si>
  <si>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</si>
  <si>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</si>
  <si>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 Treat AI built into other products (document readers, content tools, chat widgets on payment pages) as a third-party service when it can reach sensitive data, list the provider with other service providers, and review its due diligence evidence on a set cycle.</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</si>
  <si>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</si>
  <si>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</si>
  <si>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</si>
  <si>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</si>
  <si>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</si>
  <si>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</si>
  <si>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</si>
  <si>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</si>
  <si>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 An agent cannot provide a possession or inherence factor, so it cannot perform multi-factor authentication. Where a person would need MFA for the same access, give the agent a device-bound credential, preferably cryptographic (for example a device-specific certificate over mutual TLS), limited in time and never reusable by another system or person, and never use the agent to get around an MFA requirement.</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</si>
  <si>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</si>
  <si>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</si>
  <si>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</si>
  <si>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</si>
  <si>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</si>
  <si>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</si>
  <si>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</si>
  <si>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</si>
  <si>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</si>
  <si>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</si>
  <si>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</si>
  <si>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</si>
  <si>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</si>
  <si>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</si>
  <si>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 Never give a model or agent cleartext high-impact secrets (cryptographic keys, key components, passwords) or ask it to generate them or the random values behind them; route cryptography through a key service or HSM interface that exposes only the keys and functions the task needs. Judge the data an AI system can reach by what it could obtain, not what it is meant to use: tokens or encrypted data plus a reachable detokenisation, decryption or access-management path count as cleartext. Show in the data flow diagrams the data stores AI operation creates (prompt and response logs, transcripts, caches, retrieved context, tool results, agent scratchpads, orchestration state) and mask sensitive values before they are written.</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</si>
  <si>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</si>
  <si>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</si>
  <si>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</si>
  <si>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</si>
  <si>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</si>
  <si>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</si>
  <si>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</si>
  <si>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</si>
  <si>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</si>
  <si>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</si>
  <si>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</si>
  <si>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</si>
  <si>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</si>
  <si>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</si>
  <si>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</si>
  <si>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</si>
  <si>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</si>
  <si>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</si>
  <si>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</si>
  <si>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</si>
  <si>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</si>
  <si>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</si>
  <si>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</si>
  <si>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</si>
  <si>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</si>
  <si>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</si>
  <si>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</si>
  <si>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</si>
  <si>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</si>
  <si>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</si>
  <si>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</si>
  <si>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</si>
  <si>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</si>
  <si>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</si>
  <si>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</si>
  <si>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</si>
  <si>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</si>
  <si>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</si>
  <si>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</si>
  <si>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</si>
  <si>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</si>
  <si>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</si>
  <si>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</si>
  <si>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</si>
  <si>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</si>
  <si>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</si>
  <si>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</si>
  <si>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</si>
  <si>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</si>
  <si>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</si>
  <si>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</si>
  <si>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</si>
  <si>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</si>
  <si>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</si>
  <si>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</si>
  <si>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</si>
  <si>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</si>
  <si>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</si>
  <si>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</si>
  <si>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</si>
  <si>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AI Containment and Kill Switch</t>
  </si>
  <si>
    <t xml:space="preserve">Stop an agent or suspend a high-risk AI model, revoke its access and limit the damage within minutes, with a tested fallback.</t>
  </si>
  <si>
    <t xml:space="preserve">Agents / Custom AI Applications / AI APIs / Vendors</t>
  </si>
  <si>
    <t xml:space="preserve">AI-R07, AI-R11, AI-R21, AI-R25, AI-R55</t>
  </si>
  <si>
    <t xml:space="preserve">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 Keep the log of every action the AI system took through containment and rollback; nothing the stop or the reversal does may remove it. Where an agent can reach cleartext payment card data, shut it down automatically (fail secure) on unusual activity such as an attempt to reach a system outside its scope.</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</si>
  <si>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</si>
  <si>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</si>
  <si>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</si>
  <si>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</si>
  <si>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</si>
  <si>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</si>
  <si>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</si>
  <si>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</si>
  <si>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</si>
  <si>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</si>
  <si>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</si>
  <si>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</si>
  <si>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</si>
  <si>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 AI-R55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</si>
  <si>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</si>
  <si>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</si>
  <si>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</si>
  <si>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</si>
  <si>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</si>
  <si>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</si>
  <si>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</si>
  <si>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PaaS/IaaS/Self-hosted</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</si>
  <si>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</si>
  <si>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</si>
  <si>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</si>
  <si>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</si>
  <si>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</si>
  <si>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</si>
  <si>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</si>
  <si>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</si>
  <si>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</si>
  <si>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</si>
  <si>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</si>
  <si>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</si>
  <si>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</si>
  <si>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</si>
  <si>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</si>
  <si>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</si>
  <si>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</si>
  <si>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</si>
  <si>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</si>
  <si>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</si>
  <si>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</si>
  <si>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</si>
  <si>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</si>
  <si>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</si>
  <si>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</si>
  <si>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</si>
  <si>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 Record in the AI-BOM the model and version, harness and orchestration components, where it is hosted and who runs it, the data and systems it can reach with the restrictions on them, the provider's data use and retention terms, and the intended users and use cases. Authorise, list and monitor for tampering any AI script or widget loaded on a payment page, as for any other page script.</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</si>
  <si>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</si>
  <si>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</si>
  <si>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</si>
  <si>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</si>
  <si>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</si>
  <si>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</si>
  <si>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</si>
  <si>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</si>
  <si>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</si>
  <si>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</si>
  <si>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</si>
  <si>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</si>
  <si>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</si>
  <si>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 AI-R55</t>
  </si>
  <si>
    <t xml:space="preserve">Threat model each system: assets, trust boundaries, worst-case output and maximum damage. Select controls from this library by risk tier. Record open risks and exceptions, and require sign-off before release. When an agent changes production systems, each change carries the same record as a person's change: reason, security impact, approval by an authorised person, test results and a rollback that was tested before approval.</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</si>
  <si>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</si>
  <si>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</si>
  <si>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</si>
  <si>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</si>
  <si>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</si>
  <si>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</si>
  <si>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</si>
  <si>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 Review each system's behaviour against its defined parameters at least quarterly, or at a frequency set by a documented risk analysis, and re-validate before go-live and after any change. Where an AI reviewer replaces manual code review, measure its detection rate on seeded flaws and re-measure when its model or configuration changes.</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</si>
  <si>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</si>
  <si>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</si>
  <si>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</si>
  <si>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</si>
  <si>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</si>
  <si>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</si>
  <si>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</si>
  <si>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</si>
  <si>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 Include AI failure scenarios in the incident response plan and its tests, even before one has caused a loss: successful prompt injection, model poisoning, an agent acting outside its defined scope, and shadow AI found with access to sensitive data.</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</si>
  <si>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</si>
  <si>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</si>
  <si>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</si>
  <si>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</si>
  <si>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</si>
  <si>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</si>
  <si>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</si>
  <si>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</si>
  <si>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</si>
  <si>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</si>
  <si>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</si>
  <si>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</si>
  <si>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</si>
  <si>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</si>
  <si>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</si>
  <si>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 AI-R55</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</si>
  <si>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 Allow for attackers who use AI: set remediation and exception time limits for exposed systems on the assumption that a disclosed vulnerability can be exploited within days, and size vulnerability triage for a higher volume of findings (AI-R55).</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</si>
  <si>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</si>
  <si>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</si>
  <si>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</si>
  <si>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</si>
  <si>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</si>
  <si>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</si>
  <si>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</si>
  <si>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</si>
  <si>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</si>
  <si>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</si>
  <si>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</si>
  <si>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</si>
  <si>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</si>
  <si>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</si>
  <si>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</si>
  <si>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</si>
  <si>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</si>
  <si>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</si>
  <si>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</si>
  <si>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</si>
  <si>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</si>
  <si>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</si>
  <si>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</si>
  <si>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</si>
  <si>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</si>
  <si>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</si>
  <si>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</si>
  <si>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</si>
  <si>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</si>
  <si>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</si>
  <si>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</si>
  <si>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</si>
  <si>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</si>
  <si>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</si>
  <si>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</si>
  <si>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</si>
  <si>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</si>
  <si>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</si>
  <si>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</si>
  <si>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</si>
  <si>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</si>
  <si>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</si>
  <si>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</si>
  <si>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</si>
  <si>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</si>
  <si>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</si>
  <si>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</si>
  <si>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</si>
  <si>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</si>
  <si>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</si>
  <si>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</si>
  <si>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</si>
  <si>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</si>
  <si>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</si>
  <si>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</si>
  <si>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</si>
  <si>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</si>
  <si>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</si>
  <si>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</si>
  <si>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</si>
  <si>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</si>
  <si>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</si>
  <si>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</si>
  <si>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</si>
  <si>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</si>
  <si>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</si>
  <si>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</si>
  <si>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</si>
  <si>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 Before an agent may act without per-action approval (a person over the loop rather than in it), record and approve: why per-action approval is not workable, the responsible person and why they are suited, which actions run without approval, the minimum privileges, how output is validated, how actions are logged and how often logs are reviewed, how the agent is disabled and on what triggers, and how its actions are reversed. Keep per-action approval for any action involving cleartext payment card data.</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</si>
  <si>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</si>
  <si>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</si>
  <si>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</si>
  <si>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</si>
  <si>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</si>
  <si>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</si>
  <si>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</si>
  <si>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</si>
  <si>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</si>
  <si>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</si>
  <si>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</si>
  <si>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</si>
  <si>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</si>
  <si>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</si>
  <si>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</si>
  <si>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</si>
  <si>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</si>
  <si>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</si>
  <si>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</si>
  <si>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</si>
  <si>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</si>
  <si>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</si>
  <si>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</si>
  <si>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</si>
  <si>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</si>
  <si>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</si>
  <si>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</si>
  <si>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</si>
  <si>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</si>
  <si>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</si>
  <si>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</si>
  <si>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</si>
  <si>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</si>
  <si>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</si>
  <si>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</si>
  <si>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</si>
  <si>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</si>
  <si>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</si>
  <si>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</si>
  <si>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</si>
  <si>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</si>
  <si>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</si>
  <si>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</si>
  <si>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</si>
  <si>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</si>
  <si>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</si>
  <si>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</si>
  <si>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</si>
  <si>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</si>
  <si>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</si>
  <si>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</si>
  <si>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</si>
  <si>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</si>
  <si>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</si>
  <si>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</si>
  <si>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</si>
  <si>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</si>
  <si>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NIST SSDF and SP 800-218A</t>
  </si>
  <si>
    <t xml:space="preserve">PCI DSS v4.0.1 requirements (AI)</t>
  </si>
  <si>
    <t xml:space="preserve">PCI SSC AI guidance themes</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</si>
  <si>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</si>
  <si>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</si>
  <si>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</si>
  <si>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</si>
  <si>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</si>
  <si>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</si>
  <si>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</si>
  <si>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</si>
  <si>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</si>
  <si>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</si>
  <si>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</si>
  <si>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</si>
  <si>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</si>
  <si>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</si>
  <si>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</si>
  <si>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</si>
  <si>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</si>
  <si>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</si>
  <si>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</si>
  <si>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</si>
  <si>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</si>
  <si>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</si>
  <si>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Hong Kong regulation (incl. HKMA)</t>
  </si>
  <si>
    <t xml:space="preserve">973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</si>
  <si>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</si>
  <si>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</si>
  <si>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</si>
  <si>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</si>
  <si>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</si>
  <si>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</si>
  <si>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</si>
  <si>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</si>
  <si>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</si>
  <si>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</si>
  <si>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</si>
  <si>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</si>
  <si>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</si>
  <si>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</si>
  <si>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</si>
  <si>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</si>
  <si>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</si>
  <si>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</si>
  <si>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</si>
  <si>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</si>
  <si>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</si>
  <si>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</si>
  <si>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</si>
  <si>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</si>
  <si>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</si>
  <si>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</si>
  <si>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</si>
  <si>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</si>
  <si>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</si>
  <si>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</si>
  <si>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</si>
  <si>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</si>
  <si>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</si>
  <si>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</si>
  <si>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</si>
  <si>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</si>
  <si>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</si>
  <si>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</si>
  <si>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</si>
  <si>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</si>
  <si>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</si>
  <si>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</si>
  <si>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</si>
  <si>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</si>
  <si>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</si>
  <si>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</si>
  <si>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</si>
  <si>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</si>
  <si>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</si>
  <si>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</si>
  <si>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</si>
  <si>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</si>
  <si>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</si>
  <si>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</si>
  <si>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</si>
  <si>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</si>
  <si>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</si>
  <si>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</si>
  <si>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</si>
  <si>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</si>
  <si>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</si>
  <si>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</si>
  <si>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</si>
  <si>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</si>
  <si>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</si>
  <si>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</si>
  <si>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</si>
  <si>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</si>
  <si>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</si>
  <si>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</si>
  <si>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</si>
  <si>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</si>
  <si>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</si>
  <si>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</si>
  <si>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</si>
  <si>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</si>
  <si>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</si>
  <si>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</si>
  <si>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</si>
  <si>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</si>
  <si>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</si>
  <si>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</si>
  <si>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</si>
  <si>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</si>
  <si>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</si>
  <si>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</si>
  <si>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</si>
  <si>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</si>
  <si>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</si>
  <si>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</si>
  <si>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</si>
  <si>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</si>
  <si>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</si>
  <si>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</si>
  <si>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</si>
  <si>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</si>
  <si>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</si>
  <si>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</si>
  <si>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</si>
  <si>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</si>
  <si>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</si>
  <si>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</si>
  <si>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</si>
  <si>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</si>
  <si>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</si>
  <si>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</si>
  <si>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</si>
  <si>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</si>
  <si>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</si>
  <si>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</si>
  <si>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</si>
  <si>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</si>
  <si>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</si>
  <si>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</si>
  <si>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</si>
  <si>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</si>
  <si>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</si>
  <si>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</si>
  <si>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</si>
  <si>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</si>
  <si>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</si>
  <si>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</si>
  <si>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</si>
  <si>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</si>
  <si>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</si>
  <si>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</si>
  <si>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</si>
  <si>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</si>
  <si>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</si>
  <si>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</si>
  <si>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</si>
  <si>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</si>
  <si>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 AI-R55</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</si>
  <si>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</si>
  <si>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</si>
  <si>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</si>
  <si>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</si>
  <si>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</si>
  <si>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</si>
  <si>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</si>
  <si>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</si>
  <si>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</si>
  <si>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</si>
  <si>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</si>
  <si>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</si>
  <si>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</si>
  <si>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</si>
  <si>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</si>
  <si>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</si>
  <si>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</si>
  <si>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</si>
  <si>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</si>
  <si>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</si>
  <si>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</si>
  <si>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</si>
  <si>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</si>
  <si>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</si>
  <si>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</si>
  <si>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</si>
  <si>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</si>
  <si>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</si>
  <si>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</si>
  <si>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</si>
  <si>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</si>
  <si>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</si>
  <si>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</si>
  <si>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</si>
  <si>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</si>
  <si>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</si>
  <si>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</si>
  <si>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</si>
  <si>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</si>
  <si>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</si>
  <si>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</si>
  <si>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</si>
  <si>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</si>
  <si>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</si>
  <si>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</si>
  <si>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</si>
  <si>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</si>
  <si>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</si>
  <si>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</si>
  <si>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</si>
  <si>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</si>
  <si>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</si>
  <si>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</si>
  <si>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</si>
  <si>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</si>
  <si>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</si>
  <si>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</si>
  <si>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</si>
  <si>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</si>
  <si>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</si>
  <si>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</si>
  <si>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</si>
  <si>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</si>
  <si>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</si>
  <si>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</si>
  <si>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</si>
  <si>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</si>
  <si>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</si>
  <si>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</si>
  <si>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</si>
  <si>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</si>
  <si>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</si>
  <si>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</si>
  <si>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</si>
  <si>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</si>
  <si>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</si>
  <si>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</si>
  <si>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</si>
  <si>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AI-CTRL-029, AI-CTRL-032, AI-CTRL-037, AI-CTRL-038, AI-CTRL-042, AI-CTRL-043, AI-CTRL-045</t>
  </si>
  <si>
    <t xml:space="preserve">AI-R03, AI-R06, AI-R10, AI-R28, AI-R49</t>
  </si>
  <si>
    <t xml:space="preserve">03 Quality and labeling</t>
  </si>
  <si>
    <t xml:space="preserve">Quality and labeling</t>
  </si>
  <si>
    <t xml:space="preserve">03 Retention and disposal</t>
  </si>
  <si>
    <t xml:space="preserve">Retention and disposal</t>
  </si>
  <si>
    <t xml:space="preserve">AI-CTRL-008, AI-CTRL-013, AI-CTRL-017, AI-CTRL-025, AI-CTRL-026, AI-CTRL-027, AI-CTRL-029, AI-CTRL-035, AI-CTRL-038, AI-CTRL-042</t>
  </si>
  <si>
    <t xml:space="preserve">AI-R21, AI-R38, AI-R49</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</si>
  <si>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</si>
  <si>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</si>
  <si>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</si>
  <si>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</si>
  <si>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</si>
  <si>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</si>
  <si>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</si>
  <si>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</si>
  <si>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</si>
  <si>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</si>
  <si>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</si>
  <si>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</si>
  <si>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</si>
  <si>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</si>
  <si>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</si>
  <si>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</si>
  <si>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</si>
  <si>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AI-CTRL-030, AI-CTRL-033, AI-CTRL-034, AI-CTRL-035, AI-CTRL-038, AI-CTRL-041, AI-CTRL-043</t>
  </si>
  <si>
    <t xml:space="preserve">AI-R09, AI-R15, AI-R50</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</si>
  <si>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</si>
  <si>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</si>
  <si>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</si>
  <si>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</si>
  <si>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</si>
  <si>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</si>
  <si>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</si>
  <si>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</si>
  <si>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</si>
  <si>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</si>
  <si>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</si>
  <si>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</si>
  <si>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</si>
  <si>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</si>
  <si>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</si>
  <si>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</si>
  <si>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</si>
  <si>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</si>
  <si>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AI-CTRL-009, AI-CTRL-014, AI-CTRL-016, AI-CTRL-019, AI-CTRL-024, AI-CTRL-028, AI-CTRL-029, AI-CTRL-030, AI-CTRL-031, AI-CTRL-032, AI-CTRL-033, AI-CTRL-034, AI-CTRL-036</t>
  </si>
  <si>
    <t xml:space="preserve">AI-R08, AI-R47</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</si>
  <si>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</si>
  <si>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</si>
  <si>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</si>
  <si>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</si>
  <si>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</si>
  <si>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</si>
  <si>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</si>
  <si>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</si>
  <si>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</si>
  <si>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</si>
  <si>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</si>
  <si>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</si>
  <si>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</si>
  <si>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</si>
  <si>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</si>
  <si>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</si>
  <si>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</si>
  <si>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</si>
  <si>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</si>
  <si>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</si>
  <si>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</si>
  <si>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</si>
  <si>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</si>
  <si>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</si>
  <si>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AI-CTRL-013, AI-CTRL-014, AI-CTRL-020, AI-CTRL-031, AI-CTRL-033, AI-CTRL-034, AI-CTRL-039, AI-CTRL-040, AI-CTRL-045</t>
  </si>
  <si>
    <t xml:space="preserve">AI-R16, AI-R42, AI-R53</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</si>
  <si>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</si>
  <si>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</si>
  <si>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</si>
  <si>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</si>
  <si>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</si>
  <si>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</si>
  <si>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</si>
  <si>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</si>
  <si>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</si>
  <si>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AI-CTRL-008, AI-CTRL-009, AI-CTRL-035, AI-CTRL-038, AI-CTRL-043</t>
  </si>
  <si>
    <t xml:space="preserve">AI-R09, AI-R48</t>
  </si>
  <si>
    <t xml:space="preserve">07 MLOps and deployment</t>
  </si>
  <si>
    <t xml:space="preserve">MLOps and deployment</t>
  </si>
  <si>
    <t xml:space="preserve">AI-CTRL-001, AI-CTRL-008, AI-CTRL-010, AI-CTRL-011, AI-CTRL-012, AI-CTRL-014, AI-CTRL-030, AI-CTRL-031, AI-CTRL-033, AI-CTRL-034, AI-CTRL-037, AI-CTRL-040, AI-CTRL-044</t>
  </si>
  <si>
    <t xml:space="preserve">AI-R02, AI-R16, AI-R50</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</si>
  <si>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</si>
  <si>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</si>
  <si>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</si>
  <si>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</si>
  <si>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</si>
  <si>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</si>
  <si>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</si>
  <si>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</si>
  <si>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</si>
  <si>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</si>
  <si>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</si>
  <si>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</si>
  <si>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AI-CTRL-002, AI-CTRL-003, AI-CTRL-012, AI-CTRL-013, AI-CTRL-014, AI-CTRL-031, AI-CTRL-037, AI-CTRL-042, AI-CTRL-045, AI-CTRL-046</t>
  </si>
  <si>
    <t xml:space="preserve">AI-R27, AI-R36, AI-R51</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</si>
  <si>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</si>
  <si>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</si>
  <si>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</si>
  <si>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</si>
  <si>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</si>
  <si>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</si>
  <si>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</si>
  <si>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</si>
  <si>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</si>
  <si>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</si>
  <si>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</si>
  <si>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</si>
  <si>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</si>
  <si>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</si>
  <si>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</si>
  <si>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 AI-R52</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</si>
  <si>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</si>
  <si>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</si>
  <si>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</si>
  <si>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</si>
  <si>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</si>
  <si>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</si>
  <si>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</si>
  <si>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</si>
  <si>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</si>
  <si>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</si>
  <si>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</si>
  <si>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</si>
  <si>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</si>
  <si>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</si>
  <si>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</si>
  <si>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</si>
  <si>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</si>
  <si>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</si>
  <si>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</si>
  <si>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</si>
  <si>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</si>
  <si>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</si>
  <si>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</si>
  <si>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</si>
  <si>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</si>
  <si>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</si>
  <si>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</si>
  <si>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</si>
  <si>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</si>
  <si>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</si>
  <si>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</si>
  <si>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</si>
  <si>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 AI-R54</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</si>
  <si>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</si>
  <si>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</si>
  <si>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</si>
  <si>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</si>
  <si>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</si>
  <si>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</si>
  <si>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</si>
  <si>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</si>
  <si>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</si>
  <si>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</si>
  <si>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</si>
  <si>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</si>
  <si>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</si>
  <si>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</si>
  <si>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</si>
  <si>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</si>
  <si>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</si>
  <si>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</si>
  <si>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</si>
  <si>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</si>
  <si>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</si>
  <si>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</si>
  <si>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</si>
  <si>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</si>
  <si>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</si>
  <si>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</si>
  <si>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</si>
  <si>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</si>
  <si>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</si>
  <si>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</si>
  <si>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</si>
  <si>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</si>
  <si>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</si>
  <si>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</si>
  <si>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</si>
  <si>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</si>
  <si>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</si>
  <si>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</si>
  <si>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</si>
  <si>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</si>
  <si>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</si>
  <si>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</si>
  <si>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</si>
  <si>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</si>
  <si>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</si>
  <si>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</si>
  <si>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</si>
  <si>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</si>
  <si>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</si>
  <si>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</si>
  <si>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</si>
  <si>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</si>
  <si>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</si>
  <si>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</si>
  <si>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</si>
  <si>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</si>
  <si>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</si>
  <si>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</si>
  <si>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 AI-R55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</si>
  <si>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</si>
  <si>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</si>
  <si>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</si>
  <si>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</si>
  <si>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</si>
  <si>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</si>
  <si>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 AI-R55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</si>
  <si>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</si>
  <si>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</si>
  <si>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</si>
  <si>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</si>
  <si>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</si>
  <si>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</si>
  <si>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</si>
  <si>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</si>
  <si>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</si>
  <si>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</si>
  <si>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</si>
  <si>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</si>
  <si>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</si>
  <si>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</si>
  <si>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</si>
  <si>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</si>
  <si>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</si>
  <si>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</si>
  <si>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</si>
  <si>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</si>
  <si>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</si>
  <si>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</si>
  <si>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</si>
  <si>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</si>
  <si>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</si>
  <si>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</si>
  <si>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</si>
  <si>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</si>
  <si>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</si>
  <si>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</si>
  <si>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</si>
  <si>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</si>
  <si>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</si>
  <si>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</si>
  <si>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</si>
  <si>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</si>
  <si>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</si>
  <si>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</si>
  <si>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</si>
  <si>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</si>
  <si>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</si>
  <si>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</si>
  <si>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</si>
  <si>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</si>
  <si>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</si>
  <si>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</si>
  <si>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</si>
  <si>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</si>
  <si>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</si>
  <si>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</si>
  <si>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</si>
  <si>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</si>
  <si>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</si>
  <si>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</si>
  <si>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</si>
  <si>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</si>
  <si>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</si>
  <si>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</si>
  <si>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</si>
  <si>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</si>
  <si>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</si>
  <si>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</si>
  <si>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 AI-R55</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</si>
  <si>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</si>
  <si>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</si>
  <si>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</si>
  <si>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</si>
  <si>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</si>
  <si>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</si>
  <si>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</si>
  <si>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</si>
  <si>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</si>
  <si>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</si>
  <si>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</si>
  <si>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</si>
  <si>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</si>
  <si>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</si>
  <si>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</si>
  <si>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</si>
  <si>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</si>
  <si>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</si>
  <si>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</si>
  <si>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</si>
  <si>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</si>
  <si>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</si>
  <si>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</si>
  <si>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</si>
  <si>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</si>
  <si>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</si>
  <si>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</si>
  <si>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</si>
  <si>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</si>
  <si>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</si>
  <si>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</si>
  <si>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</si>
  <si>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</si>
  <si>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</si>
  <si>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</si>
  <si>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</si>
  <si>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</si>
  <si>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</si>
  <si>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</si>
  <si>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</si>
  <si>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</si>
  <si>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</si>
  <si>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</si>
  <si>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</si>
  <si>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</si>
  <si>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</si>
  <si>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</si>
  <si>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</si>
  <si>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</si>
  <si>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</si>
  <si>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</si>
  <si>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</si>
  <si>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</si>
  <si>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</si>
  <si>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</si>
  <si>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</si>
  <si>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</si>
  <si>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</si>
  <si>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</si>
  <si>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</si>
  <si>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</si>
  <si>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</si>
  <si>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</si>
  <si>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</si>
  <si>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</si>
  <si>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</si>
  <si>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</si>
  <si>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</si>
  <si>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</si>
  <si>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</si>
  <si>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</si>
  <si>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</si>
  <si>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</si>
  <si>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</si>
  <si>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</si>
  <si>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</si>
  <si>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</si>
  <si>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</si>
  <si>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</si>
  <si>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</si>
  <si>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</si>
  <si>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</si>
  <si>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</si>
  <si>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</si>
  <si>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</si>
  <si>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</si>
  <si>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</si>
  <si>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</si>
  <si>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</si>
  <si>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</si>
  <si>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</si>
  <si>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</si>
  <si>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</si>
  <si>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</si>
  <si>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</si>
  <si>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</si>
  <si>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</si>
  <si>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</si>
  <si>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</si>
  <si>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</si>
  <si>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</si>
  <si>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</si>
  <si>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 AI-R55</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</si>
  <si>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</si>
  <si>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</si>
  <si>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</si>
  <si>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</si>
  <si>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</si>
  <si>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</si>
  <si>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</si>
  <si>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</si>
  <si>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</si>
  <si>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</si>
  <si>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</si>
  <si>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</si>
  <si>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</si>
  <si>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</si>
  <si>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</si>
  <si>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</si>
  <si>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</si>
  <si>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</si>
  <si>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</si>
  <si>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</si>
  <si>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</si>
  <si>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</si>
  <si>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</si>
  <si>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</si>
  <si>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</si>
  <si>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</si>
  <si>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</si>
  <si>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</si>
  <si>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</si>
  <si>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</si>
  <si>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</si>
  <si>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</si>
  <si>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</si>
  <si>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</si>
  <si>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</si>
  <si>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</si>
  <si>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</si>
  <si>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</si>
  <si>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</si>
  <si>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</si>
  <si>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</si>
  <si>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</si>
  <si>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</si>
  <si>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</si>
  <si>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</si>
  <si>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</si>
  <si>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</si>
  <si>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</si>
  <si>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</si>
  <si>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</si>
  <si>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</si>
  <si>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</si>
  <si>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</si>
  <si>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</si>
  <si>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</si>
  <si>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</si>
  <si>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</si>
  <si>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</si>
  <si>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</si>
  <si>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</si>
  <si>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</si>
  <si>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</si>
  <si>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</si>
  <si>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</si>
  <si>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</si>
  <si>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</si>
  <si>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</si>
  <si>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</si>
  <si>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</si>
  <si>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</si>
  <si>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</si>
  <si>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</si>
  <si>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</si>
  <si>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</si>
  <si>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</si>
  <si>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</si>
  <si>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</si>
  <si>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</si>
  <si>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</si>
  <si>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</si>
  <si>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</si>
  <si>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</si>
  <si>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</si>
  <si>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</si>
  <si>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</si>
  <si>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</si>
  <si>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</si>
  <si>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</si>
  <si>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</si>
  <si>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</si>
  <si>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</si>
  <si>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</si>
  <si>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</si>
  <si>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</si>
  <si>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</si>
  <si>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</si>
  <si>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</si>
  <si>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</si>
  <si>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</si>
  <si>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</si>
  <si>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</si>
  <si>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</si>
  <si>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</si>
  <si>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</si>
  <si>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</si>
  <si>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</si>
  <si>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</si>
  <si>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</si>
  <si>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</si>
  <si>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</si>
  <si>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</si>
  <si>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 AI-R55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</si>
  <si>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</si>
  <si>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</si>
  <si>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</si>
  <si>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</si>
  <si>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</si>
  <si>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</si>
  <si>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</si>
  <si>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</si>
  <si>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</si>
  <si>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</si>
  <si>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</si>
  <si>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</si>
  <si>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</si>
  <si>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</si>
  <si>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</si>
  <si>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</si>
  <si>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</si>
  <si>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</si>
  <si>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</si>
  <si>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</si>
  <si>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</si>
  <si>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</si>
  <si>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</si>
  <si>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</si>
  <si>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</si>
  <si>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</si>
  <si>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</si>
  <si>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</si>
  <si>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</si>
  <si>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</si>
  <si>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</si>
  <si>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</si>
  <si>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</si>
  <si>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</si>
  <si>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</si>
  <si>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</si>
  <si>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</si>
  <si>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</si>
  <si>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</si>
  <si>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</si>
  <si>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</si>
  <si>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</si>
  <si>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</si>
  <si>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</si>
  <si>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</si>
  <si>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</si>
  <si>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</si>
  <si>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</si>
  <si>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</si>
  <si>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</si>
  <si>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</si>
  <si>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</si>
  <si>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</si>
  <si>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</si>
  <si>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</si>
  <si>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</si>
  <si>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</si>
  <si>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</si>
  <si>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</si>
  <si>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</si>
  <si>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</si>
  <si>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</si>
  <si>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</si>
  <si>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</si>
  <si>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</si>
  <si>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</si>
  <si>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</si>
  <si>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</si>
  <si>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</si>
  <si>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</si>
  <si>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</si>
  <si>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</si>
  <si>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</si>
  <si>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</si>
  <si>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</si>
  <si>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</si>
  <si>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</si>
  <si>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</si>
  <si>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</si>
  <si>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</si>
  <si>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</si>
  <si>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</si>
  <si>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</si>
  <si>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</si>
  <si>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</si>
  <si>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</si>
  <si>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</si>
  <si>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</si>
  <si>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</si>
  <si>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</si>
  <si>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</si>
  <si>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</si>
  <si>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</si>
  <si>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</si>
  <si>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</si>
  <si>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</si>
  <si>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</si>
  <si>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</si>
  <si>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</si>
  <si>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</si>
  <si>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</si>
  <si>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</si>
  <si>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</si>
  <si>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</si>
  <si>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</si>
  <si>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</si>
  <si>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</si>
  <si>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</si>
  <si>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</si>
  <si>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</si>
  <si>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</si>
  <si>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</si>
  <si>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</si>
  <si>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</si>
  <si>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</si>
  <si>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</si>
  <si>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</si>
  <si>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</si>
  <si>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</si>
  <si>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</si>
  <si>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</si>
  <si>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</si>
  <si>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</si>
  <si>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</si>
  <si>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</si>
  <si>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</si>
  <si>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</si>
  <si>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</si>
  <si>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</si>
  <si>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</si>
  <si>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</si>
  <si>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</si>
  <si>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</si>
  <si>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</si>
  <si>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</si>
  <si>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</si>
  <si>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</si>
  <si>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</si>
  <si>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</si>
  <si>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</si>
  <si>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</si>
  <si>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</si>
  <si>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</si>
  <si>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</si>
  <si>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</si>
  <si>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</si>
  <si>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</si>
  <si>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</si>
  <si>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</si>
  <si>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</si>
  <si>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</si>
  <si>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</si>
  <si>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</si>
  <si>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</si>
  <si>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</si>
  <si>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</si>
  <si>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</si>
  <si>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</si>
  <si>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</si>
  <si>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 AI-R55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</si>
  <si>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</si>
  <si>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</si>
  <si>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</si>
  <si>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</si>
  <si>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</si>
  <si>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</si>
  <si>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</si>
  <si>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 AI-R55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</si>
  <si>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</si>
  <si>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</si>
  <si>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</si>
  <si>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</si>
  <si>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</si>
  <si>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</si>
  <si>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</si>
  <si>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</si>
  <si>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</si>
  <si>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</si>
  <si>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</si>
  <si>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</si>
  <si>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</si>
  <si>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</si>
  <si>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</si>
  <si>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</si>
  <si>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</si>
  <si>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</si>
  <si>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</si>
  <si>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</si>
  <si>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</si>
  <si>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</si>
  <si>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</si>
  <si>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</si>
  <si>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</si>
  <si>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</si>
  <si>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</si>
  <si>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</si>
  <si>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</si>
  <si>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</si>
  <si>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</si>
  <si>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</si>
  <si>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</si>
  <si>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</si>
  <si>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</si>
  <si>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</si>
  <si>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</si>
  <si>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</si>
  <si>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</si>
  <si>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</si>
  <si>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</si>
  <si>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</si>
  <si>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</si>
  <si>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</si>
  <si>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</si>
  <si>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</si>
  <si>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</si>
  <si>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</si>
  <si>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</si>
  <si>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</si>
  <si>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</si>
  <si>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</si>
  <si>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</si>
  <si>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</si>
  <si>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</si>
  <si>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</si>
  <si>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</si>
  <si>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</si>
  <si>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</si>
  <si>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</si>
  <si>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</si>
  <si>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</si>
  <si>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</si>
  <si>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</si>
  <si>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</si>
  <si>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</si>
  <si>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</si>
  <si>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</si>
  <si>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</si>
  <si>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</si>
  <si>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</si>
  <si>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</si>
  <si>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 AI-R55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</si>
  <si>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</si>
  <si>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</si>
  <si>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</si>
  <si>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</si>
  <si>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</si>
  <si>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</si>
  <si>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</si>
  <si>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</si>
  <si>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</si>
  <si>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</si>
  <si>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</si>
  <si>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</si>
  <si>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</si>
  <si>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</si>
  <si>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</si>
  <si>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</si>
  <si>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</si>
  <si>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</si>
  <si>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</si>
  <si>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</si>
  <si>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</si>
  <si>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</si>
  <si>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</si>
  <si>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</si>
  <si>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</si>
  <si>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 AI-R55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</si>
  <si>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</si>
  <si>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</si>
  <si>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</si>
  <si>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</si>
  <si>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</si>
  <si>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 AI-R55</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</si>
  <si>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</si>
  <si>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</si>
  <si>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</si>
  <si>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</si>
  <si>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</si>
  <si>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</si>
  <si>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</si>
  <si>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</si>
  <si>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</si>
  <si>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</si>
  <si>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</si>
  <si>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</si>
  <si>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</si>
  <si>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 AI-R55</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</si>
  <si>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</si>
  <si>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</si>
  <si>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</si>
  <si>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</si>
  <si>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</si>
  <si>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 AI-R55</t>
  </si>
  <si>
    <t xml:space="preserve">A.6.2.5</t>
  </si>
  <si>
    <t xml:space="preserve">AI system deployment</t>
  </si>
  <si>
    <t xml:space="preserve">AI-CTRL-027, AI-CTRL-030, AI-CTRL-033</t>
  </si>
  <si>
    <t xml:space="preserve">AI-R05, AI-R07, AI-R08, AI-R14, AI-R16, AI-R21, AI-R22, AI-R25, AI-R55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</si>
  <si>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</si>
  <si>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</si>
  <si>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</si>
  <si>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 AI-R55</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</si>
  <si>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</si>
  <si>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</si>
  <si>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</si>
  <si>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</si>
  <si>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</si>
  <si>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</si>
  <si>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</si>
  <si>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</si>
  <si>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</si>
  <si>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</si>
  <si>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</si>
  <si>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</si>
  <si>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</si>
  <si>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</si>
  <si>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</si>
  <si>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</si>
  <si>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</si>
  <si>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</si>
  <si>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</si>
  <si>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</si>
  <si>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</si>
  <si>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</si>
  <si>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</si>
  <si>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</si>
  <si>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</si>
  <si>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</si>
  <si>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</si>
  <si>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</si>
  <si>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</si>
  <si>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</si>
  <si>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</si>
  <si>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</si>
  <si>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</si>
  <si>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</si>
  <si>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</si>
  <si>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</si>
  <si>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</si>
  <si>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</si>
  <si>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</si>
  <si>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</si>
  <si>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</si>
  <si>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</si>
  <si>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</si>
  <si>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</si>
  <si>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</si>
  <si>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</si>
  <si>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</si>
  <si>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</si>
  <si>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</si>
  <si>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</si>
  <si>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</si>
  <si>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</si>
  <si>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</si>
  <si>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</si>
  <si>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</si>
  <si>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</si>
  <si>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</si>
  <si>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</si>
  <si>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</si>
  <si>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</si>
  <si>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</si>
  <si>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</si>
  <si>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</si>
  <si>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</si>
  <si>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</si>
  <si>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</si>
  <si>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</si>
  <si>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</si>
  <si>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</si>
  <si>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</si>
  <si>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</si>
  <si>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 AI-R55</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</si>
  <si>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</si>
  <si>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</si>
  <si>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</si>
  <si>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</si>
  <si>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</si>
  <si>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</si>
  <si>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</si>
  <si>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</si>
  <si>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</si>
  <si>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</si>
  <si>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</si>
  <si>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</si>
  <si>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</si>
  <si>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</si>
  <si>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</si>
  <si>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</si>
  <si>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</si>
  <si>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</si>
  <si>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</si>
  <si>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</si>
  <si>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</si>
  <si>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</si>
  <si>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</si>
  <si>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</si>
  <si>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</si>
  <si>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</si>
  <si>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</si>
  <si>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</si>
  <si>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</si>
  <si>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 AI-R55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</si>
  <si>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</si>
  <si>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</si>
  <si>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</si>
  <si>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</si>
  <si>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</si>
  <si>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</si>
  <si>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</si>
  <si>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</si>
  <si>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</si>
  <si>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</si>
  <si>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</si>
  <si>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</si>
  <si>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</si>
  <si>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</si>
  <si>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</si>
  <si>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</si>
  <si>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</si>
  <si>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</si>
  <si>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</si>
  <si>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</si>
  <si>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</si>
  <si>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</si>
  <si>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</si>
  <si>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 AI-R55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</si>
  <si>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</si>
  <si>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</si>
  <si>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</si>
  <si>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</si>
  <si>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</si>
  <si>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</si>
  <si>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</si>
  <si>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</si>
  <si>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</si>
  <si>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</si>
  <si>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</si>
  <si>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</si>
  <si>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</si>
  <si>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</si>
  <si>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</si>
  <si>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</si>
  <si>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</si>
  <si>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</si>
  <si>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</si>
  <si>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</si>
  <si>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</si>
  <si>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</si>
  <si>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</si>
  <si>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</si>
  <si>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</si>
  <si>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</si>
  <si>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</si>
  <si>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</si>
  <si>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</si>
  <si>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</si>
  <si>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</si>
  <si>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</si>
  <si>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</si>
  <si>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</si>
  <si>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</si>
  <si>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</si>
  <si>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</si>
  <si>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</si>
  <si>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</si>
  <si>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</si>
  <si>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</si>
  <si>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</si>
  <si>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</si>
  <si>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</si>
  <si>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</si>
  <si>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</si>
  <si>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</si>
  <si>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</si>
  <si>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</si>
  <si>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</si>
  <si>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</si>
  <si>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</si>
  <si>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</si>
  <si>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</si>
  <si>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</si>
  <si>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</si>
  <si>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</si>
  <si>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</si>
  <si>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</si>
  <si>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</si>
  <si>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</si>
  <si>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</si>
  <si>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</si>
  <si>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</si>
  <si>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</si>
  <si>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</si>
  <si>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</si>
  <si>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</si>
  <si>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</si>
  <si>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</si>
  <si>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</si>
  <si>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</si>
  <si>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</si>
  <si>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</si>
  <si>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</si>
  <si>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</si>
  <si>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</si>
  <si>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</si>
  <si>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</si>
  <si>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</si>
  <si>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</si>
  <si>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</si>
  <si>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</si>
  <si>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</si>
  <si>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</si>
  <si>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</si>
  <si>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</si>
  <si>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</si>
  <si>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</si>
  <si>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</si>
  <si>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</si>
  <si>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</si>
  <si>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</si>
  <si>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</si>
  <si>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</si>
  <si>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</si>
  <si>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 AI-R55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</si>
  <si>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</si>
  <si>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</si>
  <si>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</si>
  <si>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</si>
  <si>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</si>
  <si>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</si>
  <si>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</si>
  <si>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</si>
  <si>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</si>
  <si>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</si>
  <si>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</si>
  <si>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</si>
  <si>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</si>
  <si>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</si>
  <si>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</si>
  <si>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 AI-R55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</si>
  <si>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</si>
  <si>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</si>
  <si>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</si>
  <si>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</si>
  <si>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</si>
  <si>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</si>
  <si>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</si>
  <si>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</si>
  <si>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</si>
  <si>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</si>
  <si>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</si>
  <si>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</si>
  <si>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 AI-R55</t>
  </si>
  <si>
    <t xml:space="preserve">A.8.32</t>
  </si>
  <si>
    <t xml:space="preserve">Change management</t>
  </si>
  <si>
    <t xml:space="preserve">AI-CTRL-019, AI-CTRL-024, AI-CTRL-030, AI-CTRL-033</t>
  </si>
  <si>
    <t xml:space="preserve">AI-R05, AI-R07, AI-R08, AI-R14, AI-R16, AI-R17, AI-R23, AI-R24, AI-R55</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</si>
  <si>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</si>
  <si>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</si>
  <si>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</si>
  <si>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</si>
  <si>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</si>
  <si>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</si>
  <si>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</si>
  <si>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</si>
  <si>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</si>
  <si>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</si>
  <si>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</si>
  <si>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</si>
  <si>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</si>
  <si>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</si>
  <si>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</si>
  <si>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</si>
  <si>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</si>
  <si>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</si>
  <si>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</si>
  <si>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</si>
  <si>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</si>
  <si>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</si>
  <si>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</si>
  <si>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</si>
  <si>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</si>
  <si>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</si>
  <si>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</si>
  <si>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</si>
  <si>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</si>
  <si>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</si>
  <si>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</si>
  <si>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</si>
  <si>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</si>
  <si>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</si>
  <si>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</si>
  <si>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</si>
  <si>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</si>
  <si>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</si>
  <si>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</si>
  <si>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</si>
  <si>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</si>
  <si>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</si>
  <si>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</si>
  <si>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</si>
  <si>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</si>
  <si>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</si>
  <si>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</si>
  <si>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</si>
  <si>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</si>
  <si>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</si>
  <si>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</si>
  <si>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</si>
  <si>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</si>
  <si>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</si>
  <si>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</si>
  <si>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</si>
  <si>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</si>
  <si>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</si>
  <si>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</si>
  <si>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</si>
  <si>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</si>
  <si>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</si>
  <si>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</si>
  <si>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</si>
  <si>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</si>
  <si>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</si>
  <si>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</si>
  <si>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 AI-R55</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</si>
  <si>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</si>
  <si>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</si>
  <si>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</si>
  <si>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</si>
  <si>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</si>
  <si>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</si>
  <si>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</si>
  <si>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 AI-R55</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</si>
  <si>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</si>
  <si>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</si>
  <si>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</si>
  <si>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</si>
  <si>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</si>
  <si>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</si>
  <si>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</si>
  <si>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</si>
  <si>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</si>
  <si>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</si>
  <si>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</si>
  <si>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</si>
  <si>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</si>
  <si>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</si>
  <si>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</si>
  <si>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</si>
  <si>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</si>
  <si>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</si>
  <si>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</si>
  <si>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</si>
  <si>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</si>
  <si>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</si>
  <si>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</si>
  <si>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</si>
  <si>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</si>
  <si>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</si>
  <si>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</si>
  <si>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</si>
  <si>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</si>
  <si>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</si>
  <si>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</si>
  <si>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</si>
  <si>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</si>
  <si>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</si>
  <si>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</si>
  <si>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</si>
  <si>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</si>
  <si>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</si>
  <si>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</si>
  <si>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</si>
  <si>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</si>
  <si>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</si>
  <si>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</si>
  <si>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</si>
  <si>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</si>
  <si>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</si>
  <si>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</si>
  <si>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</si>
  <si>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</si>
  <si>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</si>
  <si>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</si>
  <si>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</si>
  <si>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</si>
  <si>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</si>
  <si>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</si>
  <si>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</si>
  <si>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</si>
  <si>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</si>
  <si>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</si>
  <si>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</si>
  <si>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</si>
  <si>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</si>
  <si>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</si>
  <si>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</si>
  <si>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</si>
  <si>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</si>
  <si>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</si>
  <si>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</si>
  <si>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</si>
  <si>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</si>
  <si>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</si>
  <si>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</si>
  <si>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</si>
  <si>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</si>
  <si>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</si>
  <si>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</si>
  <si>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</si>
  <si>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</si>
  <si>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 AI-R55</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</si>
  <si>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</si>
  <si>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</si>
  <si>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</si>
  <si>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</si>
  <si>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</si>
  <si>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</si>
  <si>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</si>
  <si>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</si>
  <si>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</si>
  <si>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</si>
  <si>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</si>
  <si>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</si>
  <si>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</si>
  <si>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</si>
  <si>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</si>
  <si>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</si>
  <si>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 AI-R55</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</si>
  <si>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</si>
  <si>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</si>
  <si>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</si>
  <si>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</si>
  <si>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</si>
  <si>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</si>
  <si>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</si>
  <si>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</si>
  <si>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</si>
  <si>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</si>
  <si>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</si>
  <si>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</si>
  <si>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</si>
  <si>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</si>
  <si>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</si>
  <si>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</si>
  <si>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</si>
  <si>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</si>
  <si>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</si>
  <si>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</si>
  <si>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</si>
  <si>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</si>
  <si>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</si>
  <si>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</si>
  <si>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</si>
  <si>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</si>
  <si>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</si>
  <si>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</si>
  <si>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</si>
  <si>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</si>
  <si>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</si>
  <si>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</si>
  <si>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</si>
  <si>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 AI-R55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</si>
  <si>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</si>
  <si>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</si>
  <si>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</si>
  <si>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</si>
  <si>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</si>
  <si>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</si>
  <si>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</si>
  <si>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</si>
  <si>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</si>
  <si>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</si>
  <si>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</si>
  <si>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</si>
  <si>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</si>
  <si>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</si>
  <si>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</si>
  <si>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</si>
  <si>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</si>
  <si>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</si>
  <si>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</si>
  <si>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</si>
  <si>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</si>
  <si>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</si>
  <si>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</si>
  <si>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</si>
  <si>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</si>
  <si>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</si>
  <si>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 AI-R55</t>
  </si>
  <si>
    <t xml:space="preserve">CIS 17</t>
  </si>
  <si>
    <t xml:space="preserve">Incident Response Management</t>
  </si>
  <si>
    <t xml:space="preserve">AI-CTRL-025, AI-CTRL-035, AI-CTRL-043</t>
  </si>
  <si>
    <t xml:space="preserve">AI-R07, AI-R09, AI-R10, AI-R11, AI-R20, AI-R21, AI-R25, AI-R55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</si>
  <si>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</si>
  <si>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</si>
  <si>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</si>
  <si>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</si>
  <si>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</si>
  <si>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</si>
  <si>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</si>
  <si>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</si>
  <si>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</si>
  <si>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</si>
  <si>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</si>
  <si>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</si>
  <si>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</si>
  <si>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</si>
  <si>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</si>
  <si>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</si>
  <si>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</si>
  <si>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</si>
  <si>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</si>
  <si>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</si>
  <si>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</si>
  <si>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</si>
  <si>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</si>
  <si>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</si>
  <si>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</si>
  <si>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</si>
  <si>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</si>
  <si>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</si>
  <si>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</si>
  <si>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</si>
  <si>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</si>
  <si>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</si>
  <si>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</si>
  <si>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AI-R02, AI-R10, AI-R12, AI-R18, AI-R28, AI-R55</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</si>
  <si>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</si>
  <si>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</si>
  <si>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</si>
  <si>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</si>
  <si>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</si>
  <si>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</si>
  <si>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</si>
  <si>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</si>
  <si>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</si>
  <si>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</si>
  <si>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</si>
  <si>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</si>
  <si>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</si>
  <si>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</si>
  <si>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</si>
  <si>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</si>
  <si>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</si>
  <si>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</si>
  <si>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 AI-R55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</si>
  <si>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</si>
  <si>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</si>
  <si>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</si>
  <si>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</si>
  <si>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</si>
  <si>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</si>
  <si>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</si>
  <si>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</si>
  <si>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 AI-R55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</si>
  <si>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</si>
  <si>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</si>
  <si>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</si>
  <si>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</si>
  <si>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</si>
  <si>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 AI-R55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</si>
  <si>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</si>
  <si>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</si>
  <si>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</si>
  <si>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</si>
  <si>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</si>
  <si>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</si>
  <si>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</si>
  <si>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</si>
  <si>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</si>
  <si>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</si>
  <si>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</si>
  <si>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</si>
  <si>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</si>
  <si>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</si>
  <si>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 AI-R55</t>
  </si>
  <si>
    <t xml:space="preserve">CC9.1</t>
  </si>
  <si>
    <t xml:space="preserve">Risk mitigation for business disruption</t>
  </si>
  <si>
    <t xml:space="preserve">AI-CTRL-037, AI-CTRL-040</t>
  </si>
  <si>
    <t xml:space="preserve">AI-R02, AI-R13, AI-R16, AI-R18, AI-R28, AI-R55</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</si>
  <si>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</si>
  <si>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</si>
  <si>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</si>
  <si>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</si>
  <si>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</si>
  <si>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</si>
  <si>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</si>
  <si>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</si>
  <si>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</si>
  <si>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</si>
  <si>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</si>
  <si>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</si>
  <si>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</si>
  <si>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</si>
  <si>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</si>
  <si>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</si>
  <si>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</si>
  <si>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</si>
  <si>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</si>
  <si>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</si>
  <si>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</si>
  <si>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</si>
  <si>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</si>
  <si>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</si>
  <si>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</si>
  <si>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</si>
  <si>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</si>
  <si>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</si>
  <si>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</si>
  <si>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</si>
  <si>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</si>
  <si>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</si>
  <si>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</si>
  <si>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</si>
  <si>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</si>
  <si>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</si>
  <si>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</si>
  <si>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PO.1</t>
  </si>
  <si>
    <t xml:space="preserve">Define Security Requirements for Software Development</t>
  </si>
  <si>
    <t xml:space="preserve">AI-CTRL-012, AI-CTRL-033</t>
  </si>
  <si>
    <t xml:space="preserve">AI-R02, AI-R03, AI-R05, AI-R07, AI-R08, AI-R14, AI-R16, AI-R18, AI-R19, AI-R27, AI-R28, AI-R55</t>
  </si>
  <si>
    <t xml:space="preserve">NIST SSDF and SP 800-218A Crosswalk</t>
  </si>
  <si>
    <t xml:space="preserve">PO.2</t>
  </si>
  <si>
    <t xml:space="preserve">Implement Roles and Responsibilities</t>
  </si>
  <si>
    <t xml:space="preserve">PO.3</t>
  </si>
  <si>
    <t xml:space="preserve">Implement Supporting Toolchains</t>
  </si>
  <si>
    <t xml:space="preserve">PO.4</t>
  </si>
  <si>
    <t xml:space="preserve">Define and Use Criteria for Software Security Checks</t>
  </si>
  <si>
    <t xml:space="preserve">PO.5</t>
  </si>
  <si>
    <t xml:space="preserve">Implement and Maintain Secure Environments for Software Development</t>
  </si>
  <si>
    <t xml:space="preserve">AI-CTRL-009, AI-CTRL-016, AI-CTRL-027, AI-CTRL-030</t>
  </si>
  <si>
    <t xml:space="preserve">AI-R06, AI-R07, AI-R08, AI-R09, AI-R21, AI-R22, AI-R25, AI-R55</t>
  </si>
  <si>
    <t xml:space="preserve">PS.1</t>
  </si>
  <si>
    <t xml:space="preserve">Protect All Forms of Code and Data from Unauthorized Access and Tampering</t>
  </si>
  <si>
    <t xml:space="preserve">PS.2</t>
  </si>
  <si>
    <t xml:space="preserve">Provide a Mechanism for Verifying Software Release Integrity</t>
  </si>
  <si>
    <t xml:space="preserve">AI-CTRL-030, AI-CTRL-031</t>
  </si>
  <si>
    <t xml:space="preserve">PS.3</t>
  </si>
  <si>
    <t xml:space="preserve">Archive and Protect Each Software Release</t>
  </si>
  <si>
    <t xml:space="preserve">AI-CTRL-008, AI-CTRL-031</t>
  </si>
  <si>
    <t xml:space="preserve">AI-R08, AI-R09, AI-R15, AI-R16, AI-R23, AI-R26</t>
  </si>
  <si>
    <t xml:space="preserve">PW.1</t>
  </si>
  <si>
    <t xml:space="preserve">Design Software to Meet Security Requirements and Mitigate Security Risks</t>
  </si>
  <si>
    <t xml:space="preserve">AI-CTRL-033, AI-CTRL-037</t>
  </si>
  <si>
    <t xml:space="preserve">AI-R02, AI-R05, AI-R07, AI-R08, AI-R14, AI-R16, AI-R18, AI-R28, AI-R55</t>
  </si>
  <si>
    <t xml:space="preserve">PW.2</t>
  </si>
  <si>
    <t xml:space="preserve">Review the Software Design to Verify Compliance with Security Requirements and Risk Information</t>
  </si>
  <si>
    <t xml:space="preserve">PW.3</t>
  </si>
  <si>
    <t xml:space="preserve">Confirm the Integrity of Training, Testing, Fine-Tuning, and Aligning Data Before Use (SP 800-218A only)</t>
  </si>
  <si>
    <t xml:space="preserve">PW.4</t>
  </si>
  <si>
    <t xml:space="preserve">Reuse Existing, Well-Secured Software When Feasible Instead of Duplicating Functionality</t>
  </si>
  <si>
    <t xml:space="preserve">PW.5</t>
  </si>
  <si>
    <t xml:space="preserve">Create Source Code by Adhering to Secure Coding Practices</t>
  </si>
  <si>
    <t xml:space="preserve">PW.6</t>
  </si>
  <si>
    <t xml:space="preserve">Configure the Compilation, Interpreter, and Build Processes to Improve Executable Security</t>
  </si>
  <si>
    <t xml:space="preserve">PW.7</t>
  </si>
  <si>
    <t xml:space="preserve">Review and/or Analyze Human-Readable Code to Identify Vulnerabilities and Verify Compliance with Security Requirements</t>
  </si>
  <si>
    <t xml:space="preserve">AI-CTRL-031, AI-CTRL-033</t>
  </si>
  <si>
    <t xml:space="preserve">AI-R05, AI-R07, AI-R08, AI-R14, AI-R16, AI-R23, AI-R55</t>
  </si>
  <si>
    <t xml:space="preserve">PW.8</t>
  </si>
  <si>
    <t xml:space="preserve">Test Executable Code to Identify Vulnerabilities and Verify Compliance with Security Requirements</t>
  </si>
  <si>
    <t xml:space="preserve">PW.9</t>
  </si>
  <si>
    <t xml:space="preserve">Configure Software to Have Secure Settings by Default</t>
  </si>
  <si>
    <t xml:space="preserve">AI-CTRL-005, AI-CTRL-032</t>
  </si>
  <si>
    <t xml:space="preserve">AI-R05, AI-R06, AI-R08, AI-R10, AI-R24</t>
  </si>
  <si>
    <t xml:space="preserve">RV.1</t>
  </si>
  <si>
    <t xml:space="preserve">Identify and Confirm Vulnerabilities on an Ongoing Basis</t>
  </si>
  <si>
    <t xml:space="preserve">AI-CTRL-009, AI-CTRL-034</t>
  </si>
  <si>
    <t xml:space="preserve">RV.2</t>
  </si>
  <si>
    <t xml:space="preserve">Assess, Prioritize, and Remediate Vulnerabilities</t>
  </si>
  <si>
    <t xml:space="preserve">AI-CTRL-035, AI-CTRL-037</t>
  </si>
  <si>
    <t xml:space="preserve">AI-R02, AI-R09, AI-R18, AI-R20, AI-R28, AI-R55</t>
  </si>
  <si>
    <t xml:space="preserve">RV.3</t>
  </si>
  <si>
    <t xml:space="preserve">Analyze Vulnerabilities to Identify Their Root Causes</t>
  </si>
  <si>
    <t xml:space="preserve">1.2.4 (data-flow diagrams)</t>
  </si>
  <si>
    <t xml:space="preserve">Add AI deployments to the data-flow diagrams, including the data stores AI operation creates, and give no AI system access to data the entity has not classified and mapped.</t>
  </si>
  <si>
    <t xml:space="preserve">AI-CTRL-011, AI-CTRL-017</t>
  </si>
  <si>
    <t xml:space="preserve">AI-R01, AI-R02, AI-R03, AI-R06, AI-R17, AI-R18</t>
  </si>
  <si>
    <t xml:space="preserve">PCI DSS AI Crosswalk</t>
  </si>
  <si>
    <t xml:space="preserve">6.2.3 and 6.2.3.1 (code review)</t>
  </si>
  <si>
    <t xml:space="preserve">AI may be used for code review otherwise done manually, with ongoing validation of its effectiveness and functional and security checks in the pipeline.</t>
  </si>
  <si>
    <t xml:space="preserve">AI-CTRL-004, AI-CTRL-033, AI-CTRL-034</t>
  </si>
  <si>
    <t xml:space="preserve">AI-R04, AI-R05, AI-R07, AI-R08, AI-R14, AI-R16, AI-R17, AI-R20, AI-R22, AI-R55</t>
  </si>
  <si>
    <t xml:space="preserve">6.5.1, with 6.2.4 (change procedures)</t>
  </si>
  <si>
    <t xml:space="preserve">Its Example 1 shows how agent-made patches can meet each element of the change procedure: reason, security impact, approval, testing, and a way back to a secure state.</t>
  </si>
  <si>
    <t xml:space="preserve">AI-CTRL-022, AI-CTRL-025, AI-CTRL-033</t>
  </si>
  <si>
    <t xml:space="preserve">AI-R05, AI-R07, AI-R08, AI-R11, AI-R14, AI-R16, AI-R21, AI-R24, AI-R25, AI-R55</t>
  </si>
  <si>
    <t xml:space="preserve">8.4.2 (MFA into the CDE)</t>
  </si>
  <si>
    <t xml:space="preserve">An AI system cannot perform MFA; where it accesses the CDE from outside, use at least device-bound and ideally cryptographic credentials, time-bound, and never reusable by others.</t>
  </si>
  <si>
    <t xml:space="preserve">12.5.1 (inventory of system components)</t>
  </si>
  <si>
    <t xml:space="preserve">Add AI deployments to the component inventory.</t>
  </si>
  <si>
    <t xml:space="preserve">AI-CTRL-011, AI-CTRL-031</t>
  </si>
  <si>
    <t xml:space="preserve">12.5.2 (scope confirmation)</t>
  </si>
  <si>
    <t xml:space="preserve">Always review AI systems when confirming PCI DSS scope.</t>
  </si>
  <si>
    <t xml:space="preserve">12.8.x (third-party service providers)</t>
  </si>
  <si>
    <t xml:space="preserve">Any external party that provides or hosts part of an AI system with access to sensitive data is a third-party service provider and 12.8.x applies in full.</t>
  </si>
  <si>
    <t xml:space="preserve">12.10.x (incident response)</t>
  </si>
  <si>
    <t xml:space="preserve">Include AI failure scenarios in the incident response plan and its tests: prompt injection, model poisoning, action outside defined scope, shadow AI with sensitive data.</t>
  </si>
  <si>
    <t xml:space="preserve">Logging (not numbered; Requirement 10 [Rec...</t>
  </si>
  <si>
    <t xml:space="preserve">Log AI systems in enough detail to validate, investigate, attribute and reconstruct AI-assisted actions, without storing account data.</t>
  </si>
  <si>
    <t xml:space="preserve">Payment page scripts (not numbered; 6.4.3 ...</t>
  </si>
  <si>
    <t xml:space="preserve">Authorise, inventory and monitor for tampering any AI system implemented within a payment page, like other page scripts.</t>
  </si>
  <si>
    <t xml:space="preserve">Penetration and segmentation testing (not ...</t>
  </si>
  <si>
    <t xml:space="preserve">Include the controls that isolate AI systems in penetration and segmentation testing scope.</t>
  </si>
  <si>
    <t xml:space="preserve">AI-CTRL-027, AI-CTRL-034</t>
  </si>
  <si>
    <t xml:space="preserve">AI-R05, AI-R07, AI-R16, AI-R17, AI-R20, AI-R21, AI-R22, AI-R25, AI-R55</t>
  </si>
  <si>
    <t xml:space="preserve">Requirement 3, and 3.3.1 (no storage of se...</t>
  </si>
  <si>
    <t xml:space="preserve">Use tokens, truncated or encrypted card data where possible; never give AI systems sensitive authentication data, even encrypted, or PIN blocks; anything that may not be stored in cleartext is not given to an AI system in cleartext.</t>
  </si>
  <si>
    <t xml:space="preserve">AI-CTRL-002, AI-CTRL-017</t>
  </si>
  <si>
    <t xml:space="preserve">Targeted risk analysis (not numbered in th...</t>
  </si>
  <si>
    <t xml:space="preserve">Review AI system performance at least quarterly, or at a frequency set by targeted risk analysis; validate before go-live and after any change; pin third-party model versions.</t>
  </si>
  <si>
    <t xml:space="preserve">AI-CTRL-031, AI-CTRL-034, AI-CTRL-037</t>
  </si>
  <si>
    <t xml:space="preserve">AI-R02, AI-R05, AI-R07, AI-R08, AI-R16, AI-R17, AI-R18, AI-R20, AI-R23, AI-R28, AI-R55</t>
  </si>
  <si>
    <t xml:space="preserve">Vulnerability scanning (not numbered; 11.3...</t>
  </si>
  <si>
    <t xml:space="preserve">Quarterly scans remain required; the supplement recommends continuous scanning and a rapid triage process because AI speeds up exploitation.</t>
  </si>
  <si>
    <t xml:space="preserve">AI-R55</t>
  </si>
  <si>
    <t xml:space="preserve">AI in "individual" and "user" roles</t>
  </si>
  <si>
    <t xml:space="preserve">An AI agent may count as an individual except where responsibility or sign-off is required, high-impact secrets are involved, or actions cannot be uniquely attributed to it and to an accountable person; do a risk analysis before giving AI a user role.</t>
  </si>
  <si>
    <t xml:space="preserve">AI-CTRL-015, AI-CTRL-045</t>
  </si>
  <si>
    <t xml:space="preserve">AI-R07, AI-R12, AI-R14, AI-R18, AI-R19, AI-R22, AI-R25, AI-R28</t>
  </si>
  <si>
    <t xml:space="preserve">AI inventory and AI-BOM</t>
  </si>
  <si>
    <t xml:space="preserve">Inventory approved systems; keep an AI-BOM per system with model and version, harness, data and system access, hosting, data use and retention, users and integrations.</t>
  </si>
  <si>
    <t xml:space="preserve">AI software development</t>
  </si>
  <si>
    <t xml:space="preserve">Use known-good repositories, check package provenance, and check that AI-written code has no embedded account data, keys or secrets.</t>
  </si>
  <si>
    <t xml:space="preserve">AI-CTRL-004, AI-CTRL-031</t>
  </si>
  <si>
    <t xml:space="preserve">AI-R04, AI-R08, AI-R16, AI-R22, AI-R23</t>
  </si>
  <si>
    <t xml:space="preserve">AI system inputs and functional limitations</t>
  </si>
  <si>
    <t xml:space="preserve">Models cannot reliably tell instructions from data, guardrails can be bypassed, and output is non-deterministic and drifts.</t>
  </si>
  <si>
    <t xml:space="preserve">AI system owner</t>
  </si>
  <si>
    <t xml:space="preserve">A named person or role approves deployment, defines the tasks and the data types the system may access.</t>
  </si>
  <si>
    <t xml:space="preserve">AI-CTRL-011, AI-CTRL-012</t>
  </si>
  <si>
    <t xml:space="preserve">AI-enabled social engineering and biometri...</t>
  </si>
  <si>
    <t xml:space="preserve">Defend against phishing, vishing and deepfakes, and attacks on remote video and voice biometrics.</t>
  </si>
  <si>
    <t xml:space="preserve">AI-CTRL-021, AI-CTRL-044</t>
  </si>
  <si>
    <t xml:space="preserve">AI-R02, AI-R03, AI-R05, AI-R19</t>
  </si>
  <si>
    <t xml:space="preserve">AI-powered robotic systems</t>
  </si>
  <si>
    <t xml:space="preserve">Keep robots' vision systems from seeing or recording sensitive data in secure facilities.</t>
  </si>
  <si>
    <t xml:space="preserve">Access and containment</t>
  </si>
  <si>
    <t xml:space="preserve">Treat any AI system as a potential malicious insider; an AI system with shell access has access to everything that shell can reach.</t>
  </si>
  <si>
    <t xml:space="preserve">AI-CTRL-016, AI-CTRL-027</t>
  </si>
  <si>
    <t xml:space="preserve">AI-R06, AI-R07, AI-R08, AI-R21, AI-R22, AI-R25, AI-R55</t>
  </si>
  <si>
    <t xml:space="preserve">Account data given to AI</t>
  </si>
  <si>
    <t xml:space="preserve">Prefer tokens or encryption; where cleartext is needed, use an internal AI system with input and egress controls, segmentation and protected storage and context.</t>
  </si>
  <si>
    <t xml:space="preserve">AI-CTRL-017, AI-CTRL-027</t>
  </si>
  <si>
    <t xml:space="preserve">AI-R01, AI-R03, AI-R06, AI-R07, AI-R17, AI-R21, AI-R22, AI-R25, AI-R55</t>
  </si>
  <si>
    <t xml:space="preserve">Adaptation and provenance</t>
  </si>
  <si>
    <t xml:space="preserve">Consider where the model, tools and harnesses come from, how they were trained, and whether training leaves sensitive data in model artefacts that retention and disposal rules then cover.</t>
  </si>
  <si>
    <t xml:space="preserve">AI-CTRL-029, AI-CTRL-031, AI-CTRL-042</t>
  </si>
  <si>
    <t xml:space="preserve">AI-R08, AI-R10, AI-R12, AI-R16, AI-R23, AI-R28</t>
  </si>
  <si>
    <t xml:space="preserve">Categorising AI system risk</t>
  </si>
  <si>
    <t xml:space="preserve">Use the lethal trifecta as a quick check, then categorise by autonomy, expected actions, system access and data access, judged by what is possible rather than intended.</t>
  </si>
  <si>
    <t xml:space="preserve">Cleartext card data (Example 4)</t>
  </si>
  <si>
    <t xml:space="preserve">Keep per-action human approval; least privilege; device-bound, time-bound, phishing-resistant credentials; no external access or untrusted input; independent DLP; fail-secure shutdown on unusual activity.</t>
  </si>
  <si>
    <t xml:space="preserve">AI-CTRL-017, AI-CTRL-023, AI-CTRL-025</t>
  </si>
  <si>
    <t xml:space="preserve">AI-R01, AI-R03, AI-R06, AI-R07, AI-R11, AI-R17, AI-R19, AI-R21, AI-R25, AI-R55</t>
  </si>
  <si>
    <t xml:space="preserve">Computationally infeasible controls</t>
  </si>
  <si>
    <t xml:space="preserve">Prefer controls that are provably strong, such as cryptography and defined segmentation, over controls that only make attacks tedious.</t>
  </si>
  <si>
    <t xml:space="preserve">AI-CTRL-022, AI-CTRL-027</t>
  </si>
  <si>
    <t xml:space="preserve">AI-R07, AI-R21, AI-R22, AI-R24, AI-R25, AI-R55</t>
  </si>
  <si>
    <t xml:space="preserve">Continuous monitoring and rapid triage</t>
  </si>
  <si>
    <t xml:space="preserve">Continuous rather than only periodic scanning, and a fast way to triage and rank the higher volume of findings and patches.</t>
  </si>
  <si>
    <t xml:space="preserve">Credentials constrained outside the AI system</t>
  </si>
  <si>
    <t xml:space="preserve">Enforce limits on agent credentials through IAM, brokered access or network controls, not the agent's own configuration; time-bound or device-bound where possible.</t>
  </si>
  <si>
    <t xml:space="preserve">Credentials in context</t>
  </si>
  <si>
    <t xml:space="preserve">Keep AI credentials in secrets management, never in source code, prompt templates or anything that can reach the context window, output or logs; rotate any that are exposed.</t>
  </si>
  <si>
    <t xml:space="preserve">Evaluation of deployment controls</t>
  </si>
  <si>
    <t xml:space="preserve">Validate guardrails with adversarial and red-team testing before functional and user acceptance testing, and monitor closely while testing.</t>
  </si>
  <si>
    <t xml:space="preserve">High-impact secrets and random values</t>
  </si>
  <si>
    <t xml:space="preserve">Never let AI handle, generate or manage keys, key components or passwords; use a known-good random generator; for cryptography, only the keys and functions the agent needs, logged.</t>
  </si>
  <si>
    <t xml:space="preserve">AI-CTRL-016, AI-CTRL-017</t>
  </si>
  <si>
    <t xml:space="preserve">AI-R01, AI-R03, AI-R06, AI-R07, AI-R08, AI-R17, AI-R22</t>
  </si>
  <si>
    <t xml:space="preserve">Human in the loop or over the loop</t>
  </si>
  <si>
    <t xml:space="preserve">Answer the listed questions before letting an agent act without per-action approval; a suitable human stays accountable.</t>
  </si>
  <si>
    <t xml:space="preserve">Independent egress monitoring</t>
  </si>
  <si>
    <t xml:space="preserve">DLP on AI egress that is validated and independent of the AI system; flag high-entropy, unusual structures and images.</t>
  </si>
  <si>
    <t xml:space="preserve">AI-CTRL-017, AI-CTRL-020</t>
  </si>
  <si>
    <t xml:space="preserve">Internal and external AI systems</t>
  </si>
  <si>
    <t xml:space="preserve">Sending sensitive data to an external AI system reduces or removes control over it; internal systems may suit more sensitive work.</t>
  </si>
  <si>
    <t xml:space="preserve">AI-CTRL-007, AI-CTRL-014</t>
  </si>
  <si>
    <t xml:space="preserve">Large datasets and aggregation</t>
  </si>
  <si>
    <t xml:space="preserve">AI used on large datasets such as logs can expose sensitive data or aggregate it in exploitable ways, and brings that data into scope.</t>
  </si>
  <si>
    <t xml:space="preserve">Limits of AI use</t>
  </si>
  <si>
    <t xml:space="preserve">The five things an AI system should not do (see above).</t>
  </si>
  <si>
    <t xml:space="preserve">AI-CTRL-015, AI-CTRL-016, AI-CTRL-017, AI-CTRL-045</t>
  </si>
  <si>
    <t xml:space="preserve">AI-R01, AI-R03, AI-R06, AI-R07, AI-R08, AI-R12, AI-R14, AI-R17, AI-R18, AI-R19, AI-R22, AI-R25, AI-R28</t>
  </si>
  <si>
    <t xml:space="preserve">Minimise blast radius</t>
  </si>
  <si>
    <t xml:space="preserve">Build on the assumption of a breach and limit what one compromise can reach.</t>
  </si>
  <si>
    <t xml:space="preserve">AI-CTRL-025, AI-CTRL-027</t>
  </si>
  <si>
    <t xml:space="preserve">Multiple agents</t>
  </si>
  <si>
    <t xml:space="preserve">Split work so no single agent can complete a harmful task; guard against agents passing on untrusted prompts or colluding.</t>
  </si>
  <si>
    <t xml:space="preserve">AI-CTRL-006, AI-CTRL-015, AI-CTRL-022</t>
  </si>
  <si>
    <t xml:space="preserve">AI-R07, AI-R22, AI-R24, AI-R25</t>
  </si>
  <si>
    <t xml:space="preserve">Reliability and failure handling</t>
  </si>
  <si>
    <t xml:space="preserve">Treat output as untrusted; design review against automation bias; bound autonomy by independent validation and reversibility, for example a tested rollback plan.</t>
  </si>
  <si>
    <t xml:space="preserve">AI-CTRL-020, AI-CTRL-039, AI-CTRL-045</t>
  </si>
  <si>
    <t xml:space="preserve">AI-R05, AI-R06, AI-R07, AI-R12, AI-R14, AI-R18, AI-R19, AI-R20, AI-R24, AI-R26, AI-R28</t>
  </si>
  <si>
    <t xml:space="preserve">Requirements, scoping and threat modelling</t>
  </si>
  <si>
    <t xml:space="preserve">Define purpose, data, users and systems first; set guardrails from a threat model.</t>
  </si>
  <si>
    <t xml:space="preserve">AI-CTRL-011, AI-CTRL-033</t>
  </si>
  <si>
    <t xml:space="preserve">AI-R02, AI-R05, AI-R07, AI-R08, AI-R14, AI-R16, AI-R18, AI-R55</t>
  </si>
  <si>
    <t xml:space="preserve">Shadow AI</t>
  </si>
  <si>
    <t xml:space="preserve">Do not rely on policy alone: restrict and monitor AI sites, scan endpoints for local AI and add-ons, allow-list software, watch for MCP traffic.</t>
  </si>
  <si>
    <t xml:space="preserve">Use, monitoring and revalidation</t>
  </si>
  <si>
    <t xml:space="preserve">No AI system is ever finished; assume drift and keep revalidating.</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</si>
  <si>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</si>
  <si>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</si>
  <si>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</si>
  <si>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</si>
  <si>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</si>
  <si>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</si>
  <si>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</si>
  <si>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</si>
  <si>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</si>
  <si>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</si>
  <si>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</si>
  <si>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</si>
  <si>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</si>
  <si>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</si>
  <si>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 AI-R55</t>
  </si>
  <si>
    <t xml:space="preserve">Principle 1.5</t>
  </si>
  <si>
    <t xml:space="preserve">Accountability</t>
  </si>
  <si>
    <t xml:space="preserve">AI-CTRL-008, AI-CTRL-011, AI-CTRL-012, AI-CTRL-037, AI-CTRL-038</t>
  </si>
  <si>
    <t xml:space="preserve">AI-R02, AI-R03, AI-R09, AI-R15, AI-R18, AI-R19, AI-R26, AI-R27, AI-R28, AI-R55</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</si>
  <si>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</si>
  <si>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</si>
  <si>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</si>
  <si>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</si>
  <si>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</si>
  <si>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</si>
  <si>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</si>
  <si>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</si>
  <si>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</si>
  <si>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</si>
  <si>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</si>
  <si>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</si>
  <si>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</si>
  <si>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</si>
  <si>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</si>
  <si>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</si>
  <si>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</si>
  <si>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</si>
  <si>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</si>
  <si>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</si>
  <si>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</si>
  <si>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</si>
  <si>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</si>
  <si>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</si>
  <si>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</si>
  <si>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</si>
  <si>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</si>
  <si>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</si>
  <si>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</si>
  <si>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</si>
  <si>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</si>
  <si>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 AI-R55</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</si>
  <si>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</si>
  <si>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</si>
  <si>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</si>
  <si>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</si>
  <si>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</si>
  <si>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</si>
  <si>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</si>
  <si>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</si>
  <si>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</si>
  <si>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</si>
  <si>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</si>
  <si>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</si>
  <si>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</si>
  <si>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</si>
  <si>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</si>
  <si>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</si>
  <si>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</si>
  <si>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</si>
  <si>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</si>
  <si>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</si>
  <si>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</si>
  <si>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</si>
  <si>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</si>
  <si>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</si>
  <si>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</si>
  <si>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</si>
  <si>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AI-R02, AI-R03, AI-R09, AI-R15, AI-R18, AI-R19, AI-R26, AI-R27, AI-R28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</si>
  <si>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</si>
  <si>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</si>
  <si>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</si>
  <si>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</si>
  <si>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</si>
  <si>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</si>
  <si>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</si>
  <si>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</si>
  <si>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</si>
  <si>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</si>
  <si>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</si>
  <si>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</si>
  <si>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</si>
  <si>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</si>
  <si>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</si>
  <si>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</si>
  <si>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</si>
  <si>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</si>
  <si>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</si>
  <si>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</si>
  <si>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</si>
  <si>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 AI-R55</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</si>
  <si>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</si>
  <si>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</si>
  <si>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</si>
  <si>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</si>
  <si>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</si>
  <si>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</si>
  <si>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</si>
  <si>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</si>
  <si>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</si>
  <si>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</si>
  <si>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</si>
  <si>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AI-R02, AI-R03, AI-R18, AI-R19, AI-R27, AI-R28, AI-R55</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</si>
  <si>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</si>
  <si>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</si>
  <si>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</si>
  <si>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</si>
  <si>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</si>
  <si>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</si>
  <si>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</si>
  <si>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</si>
  <si>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</si>
  <si>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</si>
  <si>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</si>
  <si>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</si>
  <si>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</si>
  <si>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</si>
  <si>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</si>
  <si>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</si>
  <si>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</si>
  <si>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</si>
  <si>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</si>
  <si>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</si>
  <si>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</si>
  <si>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</si>
  <si>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</si>
  <si>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</si>
  <si>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</si>
  <si>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</si>
  <si>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</si>
  <si>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</si>
  <si>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</si>
  <si>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</si>
  <si>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</si>
  <si>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</si>
  <si>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</si>
  <si>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</si>
  <si>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</si>
  <si>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</si>
  <si>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</si>
  <si>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</si>
  <si>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</si>
  <si>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</si>
  <si>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</si>
  <si>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</si>
  <si>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</si>
  <si>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</si>
  <si>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</si>
  <si>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</si>
  <si>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</si>
  <si>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</si>
  <si>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</si>
  <si>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</si>
  <si>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</si>
  <si>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</si>
  <si>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 AI-R55</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</si>
  <si>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</si>
  <si>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</si>
  <si>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</si>
  <si>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</si>
  <si>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</si>
  <si>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</si>
  <si>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</si>
  <si>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</si>
  <si>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</si>
  <si>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</si>
  <si>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</si>
  <si>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</si>
  <si>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</si>
  <si>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 AI-R55</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</si>
  <si>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</si>
  <si>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</si>
  <si>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</si>
  <si>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</si>
  <si>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</si>
  <si>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</si>
  <si>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</si>
  <si>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</si>
  <si>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</si>
  <si>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</si>
  <si>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</si>
  <si>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</si>
  <si>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</si>
  <si>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</si>
  <si>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</si>
  <si>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</si>
  <si>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</si>
  <si>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</si>
  <si>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</si>
  <si>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</si>
  <si>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</si>
  <si>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</si>
  <si>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</si>
  <si>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</si>
  <si>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</si>
  <si>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</si>
  <si>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</si>
  <si>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</si>
  <si>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</si>
  <si>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</si>
  <si>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</si>
  <si>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</si>
  <si>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</si>
  <si>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</si>
  <si>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</si>
  <si>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</si>
  <si>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</si>
  <si>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</si>
  <si>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</si>
  <si>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</si>
  <si>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</si>
  <si>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</si>
  <si>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</si>
  <si>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</si>
  <si>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</si>
  <si>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</si>
  <si>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</si>
  <si>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</si>
  <si>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</si>
  <si>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</si>
  <si>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</si>
  <si>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</si>
  <si>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 AI-R55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</si>
  <si>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</si>
  <si>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</si>
  <si>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</si>
  <si>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</si>
  <si>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</si>
  <si>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</si>
  <si>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</si>
  <si>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</si>
  <si>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</si>
  <si>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</si>
  <si>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</si>
  <si>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</si>
  <si>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</si>
  <si>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</si>
  <si>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</si>
  <si>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</si>
  <si>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</si>
  <si>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 AI-R55</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</si>
  <si>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</si>
  <si>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</si>
  <si>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</si>
  <si>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</si>
  <si>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</si>
  <si>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</si>
  <si>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</si>
  <si>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</si>
  <si>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</si>
  <si>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</si>
  <si>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</si>
  <si>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</si>
  <si>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</si>
  <si>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</si>
  <si>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</si>
  <si>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</si>
  <si>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</si>
  <si>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</si>
  <si>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</si>
  <si>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</si>
  <si>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</si>
  <si>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</si>
  <si>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</si>
  <si>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</si>
  <si>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</si>
  <si>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</si>
  <si>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</si>
  <si>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</si>
  <si>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</si>
  <si>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</si>
  <si>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</si>
  <si>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</si>
  <si>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</si>
  <si>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</si>
  <si>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</si>
  <si>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</si>
  <si>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</si>
  <si>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</si>
  <si>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</si>
  <si>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</si>
  <si>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</si>
  <si>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</si>
  <si>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</si>
  <si>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</si>
  <si>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 AI-R55</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</si>
  <si>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</si>
  <si>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</si>
  <si>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</si>
  <si>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</si>
  <si>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</si>
  <si>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</si>
  <si>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</si>
  <si>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</si>
  <si>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</si>
  <si>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</si>
  <si>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</si>
  <si>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</si>
  <si>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</si>
  <si>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</si>
  <si>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</si>
  <si>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</si>
  <si>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</si>
  <si>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 AI-R55</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</si>
  <si>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</si>
  <si>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</si>
  <si>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</si>
  <si>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</si>
  <si>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</si>
  <si>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</si>
  <si>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</si>
  <si>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</si>
  <si>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</si>
  <si>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</si>
  <si>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</si>
  <si>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</si>
  <si>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</si>
  <si>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</si>
  <si>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</si>
  <si>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</si>
  <si>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</si>
  <si>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</si>
  <si>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</si>
  <si>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 AI-R55</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</si>
  <si>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</si>
  <si>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</si>
  <si>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</si>
  <si>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</si>
  <si>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</si>
  <si>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</si>
  <si>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NSPM-11 (5 Jun 2026)</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</si>
  <si>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</si>
  <si>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</si>
  <si>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</si>
  <si>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</si>
  <si>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</si>
  <si>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 AI-R55</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</si>
  <si>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</si>
  <si>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</si>
  <si>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</si>
  <si>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</si>
  <si>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</si>
  <si>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</si>
  <si>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</si>
  <si>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</si>
  <si>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</si>
  <si>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AI-R02, AI-R03, AI-R07, AI-R10, AI-R12, AI-R14, AI-R15, AI-R18, AI-R19, AI-R27, AI-R28, AI-R55</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</si>
  <si>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</si>
  <si>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</si>
  <si>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</si>
  <si>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</si>
  <si>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</si>
  <si>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</si>
  <si>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</si>
  <si>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</si>
  <si>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</si>
  <si>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</si>
  <si>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</si>
  <si>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</si>
  <si>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</si>
  <si>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 AI-R55</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</si>
  <si>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</si>
  <si>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</si>
  <si>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</si>
  <si>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</si>
  <si>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</si>
  <si>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</si>
  <si>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</si>
  <si>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</si>
  <si>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</si>
  <si>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 AI-R55</t>
  </si>
  <si>
    <t xml:space="preserve">US16</t>
  </si>
  <si>
    <t xml:space="preserve">Colorado SB 21-169 (C.R.S. 10-3-1104.9) and Division of Insurance rules under it</t>
  </si>
  <si>
    <t xml:space="preserve">AI-CTRL-014, AI-CTRL-029, AI-CTRL-037, AI-CTRL-041</t>
  </si>
  <si>
    <t xml:space="preserve">AI-R02, AI-R08, AI-R10, AI-R12, AI-R14, AI-R15, AI-R16, AI-R18, AI-R28, AI-R55</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</si>
  <si>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</si>
  <si>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</si>
  <si>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</si>
  <si>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</si>
  <si>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</si>
  <si>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</si>
  <si>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</si>
  <si>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</si>
  <si>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</si>
  <si>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</si>
  <si>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</si>
  <si>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</si>
  <si>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</si>
  <si>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</si>
  <si>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</si>
  <si>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</si>
  <si>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 21 Oct 2025; replaces the Voluntary AI Safety Standard)</t>
  </si>
  <si>
    <t xml:space="preserve">AU5</t>
  </si>
  <si>
    <t xml:space="preserve">AI Safety Institute (early 2026; AUD 29.9M)</t>
  </si>
  <si>
    <t xml:space="preserve">AU6</t>
  </si>
  <si>
    <t xml:space="preserve">Further deepfake and "nudify" app restrictions; Victoria considering</t>
  </si>
  <si>
    <t xml:space="preserve">AU6a</t>
  </si>
  <si>
    <t xml:space="preserve">NSW Work Health and Safety Amendment (Digital Work Systems) Act 2026 (No. 5 of 2026)</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</si>
  <si>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</si>
  <si>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</si>
  <si>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</si>
  <si>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</si>
  <si>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</si>
  <si>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</si>
  <si>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</si>
  <si>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</si>
  <si>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</si>
  <si>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 AI-R55</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</si>
  <si>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</si>
  <si>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</si>
  <si>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</si>
  <si>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</si>
  <si>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</si>
  <si>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</si>
  <si>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</si>
  <si>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</si>
  <si>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</si>
  <si>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</si>
  <si>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</si>
  <si>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</si>
  <si>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</si>
  <si>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</si>
  <si>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</si>
  <si>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</si>
  <si>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</si>
  <si>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</si>
  <si>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</si>
  <si>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</si>
  <si>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 AI-R55</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</si>
  <si>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</si>
  <si>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</si>
  <si>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</si>
  <si>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</si>
  <si>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</si>
  <si>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</si>
  <si>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</si>
  <si>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</si>
  <si>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</si>
  <si>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</si>
  <si>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</si>
  <si>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(Ontario: Enhancing Digital Security and Trust Act, 2024; Responsible Use of AI Directive)</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</si>
  <si>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</si>
  <si>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</si>
  <si>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</si>
  <si>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</si>
  <si>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</si>
  <si>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</si>
  <si>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</si>
  <si>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</si>
  <si>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</si>
  <si>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</si>
  <si>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</si>
  <si>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</si>
  <si>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</si>
  <si>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</si>
  <si>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r>
      <rPr>
        <sz val="10"/>
        <rFont val="Arial"/>
        <family val="0"/>
        <charset val="1"/>
      </rPr>
      <t xml:space="preserve">Measures for AI Science and Technology Ethics Review and Services (Trial) (</t>
    </r>
    <r>
      <rPr>
        <sz val="10"/>
        <rFont val="WenQuanYi Zen Hei"/>
        <family val="2"/>
      </rPr>
      <t xml:space="preserve">人工智能科技伦理审查与服务办法（试行）</t>
    </r>
    <r>
      <rPr>
        <sz val="10"/>
        <rFont val="Arial"/>
        <family val="0"/>
        <charset val="1"/>
      </rPr>
      <t xml:space="preserve">, MIIT and nine other bodies)</t>
    </r>
  </si>
  <si>
    <t xml:space="preserve">CN6</t>
  </si>
  <si>
    <r>
      <rPr>
        <sz val="10"/>
        <rFont val="Arial"/>
        <family val="0"/>
        <charset val="1"/>
      </rPr>
      <t xml:space="preserve">Interim Measures for the Administration of Anthropomorphic AI Interactive Services (</t>
    </r>
    <r>
      <rPr>
        <sz val="10"/>
        <rFont val="WenQuanYi Zen Hei"/>
        <family val="2"/>
      </rPr>
      <t xml:space="preserve">人工智能拟人化互动服务管理暂行办法</t>
    </r>
    <r>
      <rPr>
        <sz val="10"/>
        <rFont val="Arial"/>
        <family val="0"/>
        <charset val="1"/>
      </rPr>
      <t xml:space="preserve">, CAC Order No. 21)</t>
    </r>
  </si>
  <si>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</si>
  <si>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</si>
  <si>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</si>
  <si>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</si>
  <si>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</si>
  <si>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</si>
  <si>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</si>
  <si>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</si>
  <si>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</si>
  <si>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</si>
  <si>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</si>
  <si>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</si>
  <si>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</si>
  <si>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</si>
  <si>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</si>
  <si>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</si>
  <si>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</si>
  <si>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</si>
  <si>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</si>
  <si>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</si>
  <si>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</si>
  <si>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</si>
  <si>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 AI-R55</t>
  </si>
  <si>
    <t xml:space="preserve">IN6</t>
  </si>
  <si>
    <t xml:space="preserve">RBI draft Guidance on Model Risk Management</t>
  </si>
  <si>
    <t xml:space="preserve">AI-CTRL-011, AI-CTRL-025, AI-CTRL-037, AI-CTRL-038, AI-CTRL-045</t>
  </si>
  <si>
    <t xml:space="preserve">AI-R02, AI-R07, AI-R09, AI-R11, AI-R12, AI-R14, AI-R15, AI-R18, AI-R19, AI-R21, AI-R25, AI-R28, AI-R55</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</si>
  <si>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</si>
  <si>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</si>
  <si>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</si>
  <si>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</si>
  <si>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</si>
  <si>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</si>
  <si>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</si>
  <si>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</si>
  <si>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</si>
  <si>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</si>
  <si>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</si>
  <si>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</si>
  <si>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</si>
  <si>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</si>
  <si>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</si>
  <si>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</si>
  <si>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</si>
  <si>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</si>
  <si>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IN13</t>
  </si>
  <si>
    <t xml:space="preserve">SEBI guidelines on responsible use of AI and ML in securities markets</t>
  </si>
  <si>
    <t xml:space="preserve">AI-CTRL-011, AI-CTRL-012, AI-CTRL-014, AI-CTRL-025, AI-CTRL-045</t>
  </si>
  <si>
    <t xml:space="preserve">AI-R02, AI-R03, AI-R07, AI-R08, AI-R10, AI-R11, AI-R12, AI-R14, AI-R16, AI-R18, AI-R19, AI-R21, AI-R25, AI-R27, AI-R28, AI-R55</t>
  </si>
  <si>
    <t xml:space="preserve">JP1</t>
  </si>
  <si>
    <t xml:space="preserve">AI Promotion Act (Act No. 53 of 2025)</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</si>
  <si>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</si>
  <si>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</si>
  <si>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</si>
  <si>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</si>
  <si>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</si>
  <si>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</si>
  <si>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AI-R02, AI-R03, AI-R12, AI-R14, AI-R15, AI-R18, AI-R19, AI-R20, AI-R27, AI-R28, AI-R55</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</si>
  <si>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</si>
  <si>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</si>
  <si>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</si>
  <si>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</si>
  <si>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</si>
  <si>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</si>
  <si>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</si>
  <si>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 AI-R55</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</si>
  <si>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</si>
  <si>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</si>
  <si>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</si>
  <si>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</si>
  <si>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</si>
  <si>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</si>
  <si>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</si>
  <si>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</si>
  <si>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</si>
  <si>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</si>
  <si>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</si>
  <si>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</si>
  <si>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</si>
  <si>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</si>
  <si>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</si>
  <si>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</si>
  <si>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</si>
  <si>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</si>
  <si>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</si>
  <si>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</si>
  <si>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</si>
  <si>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</si>
  <si>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</si>
  <si>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</si>
  <si>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</si>
  <si>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</si>
  <si>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</si>
  <si>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</si>
  <si>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</si>
  <si>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</si>
  <si>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</si>
  <si>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</si>
  <si>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</si>
  <si>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</si>
  <si>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</si>
  <si>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</si>
  <si>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</si>
  <si>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</si>
  <si>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</si>
  <si>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</si>
  <si>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</si>
  <si>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</si>
  <si>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</si>
  <si>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</si>
  <si>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</si>
  <si>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</si>
  <si>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</si>
  <si>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</si>
  <si>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</si>
  <si>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</si>
  <si>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</si>
  <si>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 AI-R55</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</si>
  <si>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</si>
  <si>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</si>
  <si>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</si>
  <si>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 AI-R55</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</si>
  <si>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</si>
  <si>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</si>
  <si>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</si>
  <si>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</si>
  <si>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</si>
  <si>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</si>
  <si>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</si>
  <si>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</si>
  <si>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</si>
  <si>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</si>
  <si>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</si>
  <si>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</si>
  <si>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</si>
  <si>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</si>
  <si>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</si>
  <si>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</si>
  <si>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</si>
  <si>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second edition 21 Jan 2020) and Model AI Governance Framework for Generative AI (30 May 2024)</t>
  </si>
  <si>
    <t xml:space="preserve">AI-CTRL-012, AI-CTRL-037, AI-CTRL-039</t>
  </si>
  <si>
    <t xml:space="preserve">AI-R02, AI-R03, AI-R12, AI-R14, AI-R18, AI-R19, AI-R20, AI-R27, AI-R28, AI-R55</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</si>
  <si>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</si>
  <si>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</si>
  <si>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</si>
  <si>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 AI-R55</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</si>
  <si>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</si>
  <si>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</si>
  <si>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</si>
  <si>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</si>
  <si>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</si>
  <si>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</si>
  <si>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</si>
  <si>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</si>
  <si>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</si>
  <si>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 AI-R55</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</si>
  <si>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</si>
  <si>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</si>
  <si>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</si>
  <si>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</si>
  <si>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</si>
  <si>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 AI-R55</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</si>
  <si>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</si>
  <si>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</si>
  <si>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</si>
  <si>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</si>
  <si>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</si>
  <si>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</si>
  <si>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</si>
  <si>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</si>
  <si>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</si>
  <si>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</si>
  <si>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 AI-R55</t>
  </si>
  <si>
    <t xml:space="preserve">KR4</t>
  </si>
  <si>
    <t xml:space="preserve">High-performance AI (training at 10^26 FLOP or more)</t>
  </si>
  <si>
    <t xml:space="preserve">AI-CTRL-005, AI-CTRL-037</t>
  </si>
  <si>
    <t xml:space="preserve">AI-R02, AI-R05, AI-R06, AI-R18, AI-R24, AI-R28, AI-R55</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</si>
  <si>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</si>
  <si>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</si>
  <si>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</si>
  <si>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</si>
  <si>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</si>
  <si>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</si>
  <si>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</si>
  <si>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Desk</t>
  </si>
  <si>
    <t xml:space="preserve">Accountability for outputs: controls against </t>
  </si>
  <si>
    <t xml:space="preserve">Accountability for outputs: controls against hallucination; stronger review where customers could be materially affected; rules for withholding, referring or blocking outputs</t>
  </si>
  <si>
    <t xml:space="preserve">AI-CTRL-020, AI-CTRL-023, AI-CTRL-039</t>
  </si>
  <si>
    <t xml:space="preserve">AI-R05, AI-R06, AI-R07, AI-R12, AI-R14, AI-R19, AI-R20, AI-R24, AI-R26</t>
  </si>
  <si>
    <t xml:space="preserve">Hong Kong Regulatory Crosswalk</t>
  </si>
  <si>
    <t xml:space="preserve">Board and senior management accountability: t</t>
  </si>
  <si>
    <t xml:space="preserve">Board and senior management accountability: the board approves an AI strategy with the approach and risk appetite; roles across the three lines for approval and monitoring; regular review by senior management</t>
  </si>
  <si>
    <t xml:space="preserve">Ethical use and fair treatment: no unfair bia</t>
  </si>
  <si>
    <t xml:space="preserve">Ethical use and fair treatment: no unfair bias; monitoring and sampling of customer-affecting outputs; clarification, review and redress; tell consumers about AI use and its risks before service; existing disclosure and opt-out expectations continue</t>
  </si>
  <si>
    <t xml:space="preserve">Explainability and transparency: document exp</t>
  </si>
  <si>
    <t xml:space="preserve">Explainability and transparency: document explainability and its limits; inform stakeholders of purpose, functions, limits and the basis of material outcomes; prefer more explainable arrangements</t>
  </si>
  <si>
    <t xml:space="preserve">HK1</t>
  </si>
  <si>
    <t xml:space="preserve">HKMA Supervisory Guidance for Responsible Adoption of Artificial Intelligence (15 Oct 2026)</t>
  </si>
  <si>
    <t xml:space="preserve">AI-CTRL-011, AI-CTRL-012, AI-CTRL-014, AI-CTRL-025, AI-CTRL-037, AI-CTRL-041, AI-CTRL-045</t>
  </si>
  <si>
    <t xml:space="preserve">AI-R02, AI-R03, AI-R07, AI-R08, AI-R10, AI-R11, AI-R12, AI-R14, AI-R15, AI-R16, AI-R18, AI-R19, AI-R21, AI-R25, AI-R27, AI-R28, AI-R55</t>
  </si>
  <si>
    <t xml:space="preserve">HK2</t>
  </si>
  <si>
    <t xml:space="preserve">HKMA High-level Principles on Artificial Intelligence (1 Nov 2019)</t>
  </si>
  <si>
    <t xml:space="preserve">HK3</t>
  </si>
  <si>
    <t xml:space="preserve">HKMA circular: Consumer Protection in respect of Use of Generative Artificial Intelligence (19 Aug 2024)</t>
  </si>
  <si>
    <t xml:space="preserve">AI-CTRL-041, AI-CTRL-045</t>
  </si>
  <si>
    <t xml:space="preserve">AI-R07, AI-R12, AI-R14, AI-R15, AI-R18, AI-R19, AI-R28</t>
  </si>
  <si>
    <t xml:space="preserve">HK4</t>
  </si>
  <si>
    <t xml:space="preserve">HKMA consumer protection circular on big data analytics and AI (5 Nov 2019)</t>
  </si>
  <si>
    <t xml:space="preserve">HK5</t>
  </si>
  <si>
    <t xml:space="preserve">SFC circular to licensed corporations on generative AI language models (12 Nov 2024)</t>
  </si>
  <si>
    <t xml:space="preserve">AI-CTRL-005, AI-CTRL-011, AI-CTRL-012, AI-CTRL-014, AI-CTRL-034</t>
  </si>
  <si>
    <t xml:space="preserve">AI-R02, AI-R03, AI-R05, AI-R06, AI-R07, AI-R08, AI-R10, AI-R16, AI-R17, AI-R18, AI-R19, AI-R20, AI-R24, AI-R27, AI-R28</t>
  </si>
  <si>
    <t xml:space="preserve">HK6</t>
  </si>
  <si>
    <t xml:space="preserve">PCPD Artificial Intelligence: Model Personal Data Protection Framework (11 Jun 2024)</t>
  </si>
  <si>
    <t xml:space="preserve">AI-CTRL-012, AI-CTRL-013, AI-CTRL-045</t>
  </si>
  <si>
    <t xml:space="preserve">AI-R02, AI-R03, AI-R07, AI-R10, AI-R12, AI-R14, AI-R18, AI-R19, AI-R27, AI-R28</t>
  </si>
  <si>
    <t xml:space="preserve">HK7</t>
  </si>
  <si>
    <t xml:space="preserve">Personal Data (Privacy) Ordinance (Cap. 486)</t>
  </si>
  <si>
    <t xml:space="preserve">HK8</t>
  </si>
  <si>
    <t xml:space="preserve">GenA.I. Sandbox++ (HKMA, SFC, Insurance Authority, MPFA; 5 Mar 2026)</t>
  </si>
  <si>
    <t xml:space="preserve">HK9</t>
  </si>
  <si>
    <t xml:space="preserve">HKMA discussion paper on agentic AI governance</t>
  </si>
  <si>
    <t xml:space="preserve">Inventory: an up-to-date inventory of approve</t>
  </si>
  <si>
    <t xml:space="preserve">Inventory: an up-to-date inventory of approved use cases including third-party and embedded AI, with standard attributes; unlisted AI restricted; shadow AI controlled</t>
  </si>
  <si>
    <t xml:space="preserve">Resources and expertise: adequate resources a</t>
  </si>
  <si>
    <t xml:space="preserve">Resources and expertise: adequate resources and capacity; organisation-wide awareness; role-specific training</t>
  </si>
  <si>
    <t xml:space="preserve">Risk management frameworks: data within appro</t>
  </si>
  <si>
    <t xml:space="preserve">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</si>
  <si>
    <t xml:space="preserve">AI-CTRL-005, AI-CTRL-013, AI-CTRL-014, AI-CTRL-017, AI-CTRL-029, AI-CTRL-031</t>
  </si>
  <si>
    <t xml:space="preserve">AI-R01, AI-R03, AI-R05, AI-R06, AI-R08, AI-R10, AI-R16, AI-R17, AI-R23, AI-R24, AI-R27, AI-R28</t>
  </si>
  <si>
    <t xml:space="preserve">Risk-commensurate management: materiality and</t>
  </si>
  <si>
    <t xml:space="preserve">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</si>
  <si>
    <t xml:space="preserve">AI-CTRL-008, AI-CTRL-009, AI-CTRL-011, AI-CTRL-025, AI-CTRL-033, AI-CTRL-034, AI-CTRL-037, AI-CTRL-038, AI-CTRL-040</t>
  </si>
  <si>
    <t xml:space="preserve">AI-R02, AI-R05, AI-R07, AI-R08, AI-R09, AI-R11, AI-R13, AI-R14, AI-R15, AI-R16, AI-R17, AI-R18, AI-R20, AI-R21, AI-R25, AI-R26, AI-R28, AI-R55</t>
  </si>
  <si>
    <t xml:space="preserve">Use-case owners and human oversight: a named </t>
  </si>
  <si>
    <t xml:space="preserve">Use-case owners and human oversight: a named owner for each use case; in-the-loop, on-the-loop or in-command oversight with risk-based triggers; reviewers able to challenge, override or stop; oversight tested</t>
  </si>
  <si>
    <t xml:space="preserve">AI-CTRL-011, AI-CTRL-023, AI-CTRL-045</t>
  </si>
  <si>
    <t xml:space="preserve">AI-R02, AI-R07, AI-R12, AI-R14, AI-R18, AI-R19, AI-R28</t>
  </si>
  <si>
    <t xml:space="preserve">Each wiki control against every framework in the crosswalks. A cell lists the framework items linked to that control (directly, or through a risk the control mitigates; see Framework Crosswalk).</t>
  </si>
  <si>
    <t xml:space="preserve">01 Governance and oversight; 07 MLOps and deployment</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</si>
  <si>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</si>
  <si>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</si>
  <si>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</si>
  <si>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</si>
  <si>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</si>
  <si>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</si>
  <si>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</si>
  <si>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</si>
  <si>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</si>
  <si>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</si>
  <si>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</si>
  <si>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</si>
  <si>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</si>
  <si>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</si>
  <si>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</si>
  <si>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</si>
  <si>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</si>
  <si>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</si>
  <si>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</si>
  <si>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</si>
  <si>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</si>
  <si>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</si>
  <si>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</si>
  <si>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</si>
  <si>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PO.3; PW.5</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</si>
  <si>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</si>
  <si>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</si>
  <si>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</si>
  <si>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</si>
  <si>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</si>
  <si>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</si>
  <si>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</si>
  <si>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</si>
  <si>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</si>
  <si>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</si>
  <si>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</si>
  <si>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</si>
  <si>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</si>
  <si>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</si>
  <si>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</si>
  <si>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</si>
  <si>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</si>
  <si>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HK5; Risk management frameworks: data within appro</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</si>
  <si>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</si>
  <si>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</si>
  <si>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</si>
  <si>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</si>
  <si>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</si>
  <si>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</si>
  <si>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</si>
  <si>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</si>
  <si>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</si>
  <si>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</si>
  <si>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</si>
  <si>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</si>
  <si>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</si>
  <si>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</si>
  <si>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</si>
  <si>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</si>
  <si>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</si>
  <si>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</si>
  <si>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</si>
  <si>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</si>
  <si>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</si>
  <si>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</si>
  <si>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</si>
  <si>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</si>
  <si>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Incident management; 07 MLOps and deployment;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</si>
  <si>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</si>
  <si>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</si>
  <si>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</si>
  <si>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</si>
  <si>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</si>
  <si>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</si>
  <si>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</si>
  <si>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</si>
  <si>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05 Model attacks; 07 Incident management;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</si>
  <si>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</si>
  <si>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</si>
  <si>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</si>
  <si>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</si>
  <si>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</si>
  <si>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</si>
  <si>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PO.5; RV.1</t>
  </si>
  <si>
    <t xml:space="preserve">MAS 5.23; SG5</t>
  </si>
  <si>
    <t xml:space="preserve">01 Governance and oversight; 03 Privacy and consent; 07 MLOps and deployment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</si>
  <si>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</si>
  <si>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</si>
  <si>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</si>
  <si>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</si>
  <si>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</si>
  <si>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</si>
  <si>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</si>
  <si>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07 MLOps and deployment;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</si>
  <si>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</si>
  <si>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</si>
  <si>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</si>
  <si>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</si>
  <si>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</si>
  <si>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</si>
  <si>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</si>
  <si>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</si>
  <si>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1.2.4 (data-flow diagrams); 12.5.1 (inventory of system components); 12.5.2 (scope confirmation)</t>
  </si>
  <si>
    <t xml:space="preserve">AI inventory and AI-BOM; AI system owner; Categorising AI system risk; Requirements, scoping and threat modelling</t>
  </si>
  <si>
    <t xml:space="preserve">Principle 1.1; Principle 1.5</t>
  </si>
  <si>
    <t xml:space="preserve">O1; Q4; U6; U9</t>
  </si>
  <si>
    <t xml:space="preserve">E1a; E14</t>
  </si>
  <si>
    <t xml:space="preserve">UK6; UK11; UK13</t>
  </si>
  <si>
    <t xml:space="preserve">CA4; CA6</t>
  </si>
  <si>
    <t xml:space="preserve">IN5; IN6; IN7; IN8; IN13</t>
  </si>
  <si>
    <t xml:space="preserve">MAS 1.6, 2.1 to 2.2; MAS 4.2 to 4.4; MAS 4.5 to 4.9; MAS 4.10 to 4.13; MAS 5.26; SG5</t>
  </si>
  <si>
    <t xml:space="preserve">HK1; HK5; Inventory: an up-to-date inventory of approve; Risk-commensurate management: materiality and; Use-case owners and human oversight: a named </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</si>
  <si>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</si>
  <si>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07 MLOps and deployment;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</si>
  <si>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</si>
  <si>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</si>
  <si>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</si>
  <si>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</si>
  <si>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</si>
  <si>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</si>
  <si>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PO.1; PO.2</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</si>
  <si>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</si>
  <si>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</si>
  <si>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</si>
  <si>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</si>
  <si>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</si>
  <si>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</si>
  <si>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</si>
  <si>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</si>
  <si>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IN4; IN13</t>
  </si>
  <si>
    <t xml:space="preserve">JP1; JP2; JP3</t>
  </si>
  <si>
    <t xml:space="preserve">MAS 1.5, 3.6; MAS 2.3 to 2.5; MAS 3.1 to 3.4; MAS 3.5; SG1; SG5</t>
  </si>
  <si>
    <t xml:space="preserve">KR5; KR6</t>
  </si>
  <si>
    <t xml:space="preserve">Board and senior management accountability: t; HK1; HK2; HK5; HK6</t>
  </si>
  <si>
    <t xml:space="preserve">AIR-RC-001; AIR-RC-022; AIR-RC-023</t>
  </si>
  <si>
    <t xml:space="preserve">01 Roles and accountability; 03 Privacy and consent; 03 Retention and disposal; 03 Training-data rights and IP; 06 Transparency, disclosure and provenance;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</si>
  <si>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</si>
  <si>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</si>
  <si>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</si>
  <si>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</si>
  <si>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</si>
  <si>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</si>
  <si>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</si>
  <si>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</si>
  <si>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</si>
  <si>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</si>
  <si>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</si>
  <si>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</si>
  <si>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</si>
  <si>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</si>
  <si>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</si>
  <si>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</si>
  <si>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</si>
  <si>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</si>
  <si>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</si>
  <si>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Ethical use and fair treatment: no unfair bia; HK6; HK7; Risk management frameworks: data within appro</t>
  </si>
  <si>
    <t xml:space="preserve">AIR-OP-005; AIR-OP-006; AIR-RC-001; AIR-SEC-008; AIR-SEC-009; AIR-SEC-026</t>
  </si>
  <si>
    <t xml:space="preserve">02 Value measurement / ROI; 03 Privacy and consent; 03 Training-data rights and IP; 04 Robustness and drift; 05 Model attacks; 05 Supply-chain and artifact integrity; 06 Transparency, disclosure and provenance; 07 Change and lifecycle management; 07 MLOps and deployment;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</si>
  <si>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</si>
  <si>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</si>
  <si>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</si>
  <si>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</si>
  <si>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</si>
  <si>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12.8.x (third-party service providers); Payment page scripts (not numbered; 6.4.3 ...</t>
  </si>
  <si>
    <t xml:space="preserve">E1e; E6; E9; E13; E15</t>
  </si>
  <si>
    <t xml:space="preserve">US15; US16; US17</t>
  </si>
  <si>
    <t xml:space="preserve">IN5; IN7; IN13</t>
  </si>
  <si>
    <t xml:space="preserve">MAS 5.10 to 5.11; SG5</t>
  </si>
  <si>
    <t xml:space="preserve">HK1; HK5; Risk management frameworks: data within appro</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</si>
  <si>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</si>
  <si>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</si>
  <si>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</si>
  <si>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</si>
  <si>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</si>
  <si>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</si>
  <si>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</si>
  <si>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</si>
  <si>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</si>
  <si>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</si>
  <si>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 in "individual" and "user" roles; Limits of AI use; Multiple agents</t>
  </si>
  <si>
    <t xml:space="preserve">AIR-SEC-002; AIR-SEC-008; AIR-SEC-009; AIR-SEC-024; AIR-SEC-026; AIR-SEC-029</t>
  </si>
  <si>
    <t xml:space="preserve">AIR-PREV-012; AIR-PREV-018; AIR-PREV-023</t>
  </si>
  <si>
    <t xml:space="preserve">03 Privacy and consent; 05 AI access and identity; 05 Model attacks;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</si>
  <si>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</si>
  <si>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</si>
  <si>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</si>
  <si>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</si>
  <si>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</si>
  <si>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</si>
  <si>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Access and containment; Credentials constrained outside the AI system; Credentials in context; High-impact secrets and random values; Limits of AI use</t>
  </si>
  <si>
    <t xml:space="preserve">MAS 5.16; SG5</t>
  </si>
  <si>
    <t xml:space="preserve">AIR-OP-019; AIR-RC-001; AIR-SEC-002</t>
  </si>
  <si>
    <t xml:space="preserve">AIR-DET-001; AIR-PREV-006; AIR-PREV-014</t>
  </si>
  <si>
    <t xml:space="preserve">03 Privacy and consent; 03 Quality and labeling; 03 Retention and disposal;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</si>
  <si>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</si>
  <si>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</si>
  <si>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</si>
  <si>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</si>
  <si>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</si>
  <si>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</si>
  <si>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</si>
  <si>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</si>
  <si>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1.2.4 (data-flow diagrams); 12.5.2 (scope confirmation); Requirement 3, and 3.3.1 (no storage of se...</t>
  </si>
  <si>
    <t xml:space="preserve">Account data given to AI; Cleartext card data (Example 4); High-impact secrets and random values; Independent egress monitoring; Large datasets and aggregation; Limits of AI use</t>
  </si>
  <si>
    <t xml:space="preserve">Q1; S1; U1</t>
  </si>
  <si>
    <t xml:space="preserve">HK7; Risk management frameworks: data within appro</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</si>
  <si>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</si>
  <si>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</si>
  <si>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</si>
  <si>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</si>
  <si>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</si>
  <si>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</si>
  <si>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</si>
  <si>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</si>
  <si>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</si>
  <si>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</si>
  <si>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Model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</si>
  <si>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</si>
  <si>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</si>
  <si>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</si>
  <si>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</si>
  <si>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</si>
  <si>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</si>
  <si>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</si>
  <si>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03 Privacy and consent; 05 AI access and identity; 05 Inference-time (input) attacks; 05 Output and integration security; 06 Transparency, disclosure and provenance</t>
  </si>
  <si>
    <t xml:space="preserve">LLM02:2025; LLM05:2025</t>
  </si>
  <si>
    <t xml:space="preserve">AML.T0057; AML.T0067; AML.T0077</t>
  </si>
  <si>
    <t xml:space="preserve">AML.M0020; AML.M0033</t>
  </si>
  <si>
    <t xml:space="preserve">NISTAML.035; NISTAML.036; NISTAML.038</t>
  </si>
  <si>
    <t xml:space="preserve">A.8.26; A.8.28</t>
  </si>
  <si>
    <t xml:space="preserve">Independent egress monitoring; Reliability and failure handling</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</si>
  <si>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</si>
  <si>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</si>
  <si>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</si>
  <si>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</si>
  <si>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</si>
  <si>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</si>
  <si>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</si>
  <si>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</si>
  <si>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AI-enabled social engineering and biometri...; AI-powered robotic systems</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</si>
  <si>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</si>
  <si>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</si>
  <si>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</si>
  <si>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</si>
  <si>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</si>
  <si>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</si>
  <si>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</si>
  <si>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Computationally infeasible controls; Credentials constrained outside the AI system; Multiple agents</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</si>
  <si>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</si>
  <si>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</si>
  <si>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</si>
  <si>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</si>
  <si>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</si>
  <si>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Cleartext card data (Example 4); Human in the loop or over the loop</t>
  </si>
  <si>
    <t xml:space="preserve">B4; Q4; U3; U6; U9</t>
  </si>
  <si>
    <t xml:space="preserve">UK3; UK5</t>
  </si>
  <si>
    <t xml:space="preserve">US8; US10</t>
  </si>
  <si>
    <t xml:space="preserve">MAS 5.9; SG2; SG5</t>
  </si>
  <si>
    <t xml:space="preserve">Accountability for outputs: controls against ; Use-case owners and human oversight: a named </t>
  </si>
  <si>
    <t xml:space="preserve">AIR-SEC-008; AIR-SEC-009; AIR-SEC-024; AIR-SEC-025; AIR-SEC-026; AIR-SEC-030</t>
  </si>
  <si>
    <t xml:space="preserve">AIR-PREV-019; AIR-PREV-020; AIR-PREV-025</t>
  </si>
  <si>
    <t xml:space="preserve">05 Model attacks; 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</si>
  <si>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</si>
  <si>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</si>
  <si>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</si>
  <si>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</si>
  <si>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</si>
  <si>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</si>
  <si>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</si>
  <si>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</si>
  <si>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</si>
  <si>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</si>
  <si>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</si>
  <si>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</si>
  <si>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</si>
  <si>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</si>
  <si>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</si>
  <si>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</si>
  <si>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</si>
  <si>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</si>
  <si>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</si>
  <si>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</si>
  <si>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</si>
  <si>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Cleartext card data (Example 4); Human in the loop or over the loop; Minimise blast radius</t>
  </si>
  <si>
    <t xml:space="preserve">IN6; IN13</t>
  </si>
  <si>
    <t xml:space="preserve">MAS 5.3; SG2; SG5; SG7</t>
  </si>
  <si>
    <t xml:space="preserve">HK1; HK9; Risk-commensurate management: materiality and</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</si>
  <si>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</si>
  <si>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</si>
  <si>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</si>
  <si>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</si>
  <si>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</si>
  <si>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</si>
  <si>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</si>
  <si>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</si>
  <si>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</si>
  <si>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</si>
  <si>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</si>
  <si>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</si>
  <si>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</si>
  <si>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</si>
  <si>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</si>
  <si>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</si>
  <si>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Access and containment; Account data given to AI; Computationally infeasible controls; Minimise blast radius</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</si>
  <si>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</si>
  <si>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</si>
  <si>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</si>
  <si>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</si>
  <si>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</si>
  <si>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</si>
  <si>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</si>
  <si>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</si>
  <si>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</si>
  <si>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</si>
  <si>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Privacy and consent; 03 Retention and disposal; 03 Sourcing and provenance; 05 Data and pipeline attacks; 05 Model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</si>
  <si>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</si>
  <si>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</si>
  <si>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</si>
  <si>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</si>
  <si>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</si>
  <si>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</si>
  <si>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</si>
  <si>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</si>
  <si>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</si>
  <si>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</si>
  <si>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</si>
  <si>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04 Reproducibility and documentation; 05 Model attacks; 05 Supply-chain and artifact integrity; 07 MLOps and deployment;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</si>
  <si>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</si>
  <si>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</si>
  <si>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</si>
  <si>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</si>
  <si>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</si>
  <si>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</si>
  <si>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</si>
  <si>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</si>
  <si>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</si>
  <si>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</si>
  <si>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</si>
  <si>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PO.3; PO.5; PS.1; PS.2; PW.6</t>
  </si>
  <si>
    <t xml:space="preserve">MAS 5.17; MAS 5.25; SG5</t>
  </si>
  <si>
    <t xml:space="preserve">AIR-OP-005; AIR-OP-006; AIR-SEC-008; AIR-SEC-009; AIR-SEC-026; AIR-SEC-030</t>
  </si>
  <si>
    <t xml:space="preserve">AIR-PREV-010; AIR-PREV-025</t>
  </si>
  <si>
    <t xml:space="preserve">03 Training-data rights and IP; 04 Robustness and drift; 05 Model attacks; 05 Supply-chain and artifact integrity; 06 Bias and fairness; 06 Transparency, disclosure and provenance; 07 Change and lifecycle management; 07 MLOps and deployment;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</si>
  <si>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</si>
  <si>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</si>
  <si>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</si>
  <si>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</si>
  <si>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</si>
  <si>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</si>
  <si>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</si>
  <si>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</si>
  <si>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</si>
  <si>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PS.2; PS.3; PW.4; PW.7</t>
  </si>
  <si>
    <t xml:space="preserve">12.5.1 (inventory of system components); Payment page scripts (not numbered; 6.4.3 ...; Targeted risk analysis (not numbered in th...</t>
  </si>
  <si>
    <t xml:space="preserve">AI inventory and AI-BOM; AI software development; Adaptation and provenance</t>
  </si>
  <si>
    <t xml:space="preserve">AIR-RC-001; AIR-SEC-008; AIR-SEC-009; AIR-SEC-026</t>
  </si>
  <si>
    <t xml:space="preserve">03 Privacy and consent; 05 Model attacks;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</si>
  <si>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</si>
  <si>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</si>
  <si>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</si>
  <si>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</si>
  <si>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</si>
  <si>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</si>
  <si>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</si>
  <si>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</si>
  <si>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Reproducibility and documentation; 04 Robustness and drift; 05 Inference-time (input) attacks; 05 Model attacks; 05 Output and integration security; 05 Supply-chain and artifact integrity; 06 Bias and fairness; 06 Transparency, disclosure and provenance; 07 Change and lifecycle management; 07 MLOps and deployment;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</si>
  <si>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</si>
  <si>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</si>
  <si>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</si>
  <si>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</si>
  <si>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</si>
  <si>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PO.1; PO.4; PW.1; PW.2; PW.7</t>
  </si>
  <si>
    <t xml:space="preserve">6.2.3 and 6.2.3.1 (code review); 6.5.1, with 6.2.4 (change procedures)</t>
  </si>
  <si>
    <t xml:space="preserve">Continuous monitoring and rapid triage; Evaluation of deployment controls; Requirements, scoping and threat modelling</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</si>
  <si>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</si>
  <si>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</si>
  <si>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</si>
  <si>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Reproducibility and documentation; 04 Robustness and drift; 05 Inference-time (input) attacks; 05 Model attacks; 05 Output and integration security; 06 Bias and fairness; 06 Harmful / inaccurate output; 06 Transparency, disclosure and provenance; 07 Change and lifecycle management; 07 MLOps and deployment;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</si>
  <si>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</si>
  <si>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</si>
  <si>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</si>
  <si>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</si>
  <si>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</si>
  <si>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</si>
  <si>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</si>
  <si>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</si>
  <si>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</si>
  <si>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</si>
  <si>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PO.4; PW.8; RV.1</t>
  </si>
  <si>
    <t xml:space="preserve">6.2.3 and 6.2.3.1 (code review); Penetration and segmentation testing (not ...; Targeted risk analysis (not numbered in th...</t>
  </si>
  <si>
    <t xml:space="preserve">AI system inputs and functional limitations; Evaluation of deployment controls; Use, monitoring and revalidation</t>
  </si>
  <si>
    <t xml:space="preserve">Action 1; Action 2</t>
  </si>
  <si>
    <t xml:space="preserve">MAS 5.14 to 5.15; MAS 5.22; MAS 5.24; SG5</t>
  </si>
  <si>
    <t xml:space="preserve">HK5; Risk-commensurate management: materiality and</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</si>
  <si>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</si>
  <si>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</si>
  <si>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</si>
  <si>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</si>
  <si>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</si>
  <si>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</si>
  <si>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RV.2; RV.3</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</si>
  <si>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</si>
  <si>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</si>
  <si>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</si>
  <si>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</si>
  <si>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</si>
  <si>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</si>
  <si>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</si>
  <si>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05 Model attacks;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</si>
  <si>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</si>
  <si>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</si>
  <si>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</si>
  <si>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</si>
  <si>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</si>
  <si>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</si>
  <si>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</si>
  <si>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07 MLOps and deployment; 08 IP and liability;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</si>
  <si>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</si>
  <si>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</si>
  <si>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</si>
  <si>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</si>
  <si>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PW.1; RV.2</t>
  </si>
  <si>
    <t xml:space="preserve">Targeted risk analysis (not numbered in th...; Vulnerability scanning (not numbered; 11.3...</t>
  </si>
  <si>
    <t xml:space="preserve">Categorising AI system risk; Continuous monitoring and rapid triage</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</si>
  <si>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</si>
  <si>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</si>
  <si>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</si>
  <si>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</si>
  <si>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</si>
  <si>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</si>
  <si>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</si>
  <si>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</si>
  <si>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</si>
  <si>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Board and senior management accountability: t; HK1; Risk-commensurate management: materiality and</t>
  </si>
  <si>
    <t xml:space="preserve">AIR-OP-017; AIR-RC-022</t>
  </si>
  <si>
    <t xml:space="preserve">01 Audit and assurance; 01 Roles and accountability; 03 Privacy and consent; 03 Retention and disposal; 04 Accuracy and validation; 04 Explainability; 04 Reproducibility and documentation; 07 Incident management;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</si>
  <si>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</si>
  <si>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</si>
  <si>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</si>
  <si>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</si>
  <si>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</si>
  <si>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</si>
  <si>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</si>
  <si>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</si>
  <si>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</si>
  <si>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</si>
  <si>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</si>
  <si>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</si>
  <si>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</si>
  <si>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</si>
  <si>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</si>
  <si>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</si>
  <si>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</si>
  <si>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</si>
  <si>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</si>
  <si>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</si>
  <si>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</si>
  <si>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</si>
  <si>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</si>
  <si>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</si>
  <si>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</si>
  <si>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</si>
  <si>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 AU6a</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</si>
  <si>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</si>
  <si>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</si>
  <si>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</si>
  <si>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</si>
  <si>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</si>
  <si>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07 MLOps and deployment;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</si>
  <si>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</si>
  <si>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</si>
  <si>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</si>
  <si>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</si>
  <si>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</si>
  <si>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</si>
  <si>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</si>
  <si>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</si>
  <si>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</si>
  <si>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</si>
  <si>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</si>
  <si>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</si>
  <si>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</si>
  <si>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</si>
  <si>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</si>
  <si>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</si>
  <si>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</si>
  <si>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</si>
  <si>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Ethical use and fair treatment: no unfair bia; Explainability and transparency: document exp; HK1; HK3; HK4</t>
  </si>
  <si>
    <t xml:space="preserve">AIR-OP-004; AIR-RC-001; AIR-RC-022</t>
  </si>
  <si>
    <t xml:space="preserve">01 Risk-management integration; 01 Roles and accountability; 03 Privacy and consent; 03 Retention and disposal; 04 Accuracy and validation; 06 Harmful / inaccurate output; 06 Misuse and dual-use; 08 Cross-border; 08 IP and liability;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</si>
  <si>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</si>
  <si>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</si>
  <si>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</si>
  <si>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</si>
  <si>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</si>
  <si>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</si>
  <si>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</si>
  <si>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Incident management;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</si>
  <si>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</si>
  <si>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</si>
  <si>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</si>
  <si>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</si>
  <si>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07 MLOps and deployment;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</si>
  <si>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</si>
  <si>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</si>
  <si>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</si>
  <si>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</si>
  <si>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</si>
  <si>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</si>
  <si>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IP and liability;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</si>
  <si>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</si>
  <si>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</si>
  <si>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AI in "individual" and "user" roles; Human in the loop or over the loop; Limits of AI use; Reliability and failure handling</t>
  </si>
  <si>
    <t xml:space="preserve">14, 15; Art. 7; Art. 8</t>
  </si>
  <si>
    <t xml:space="preserve">MAS 5.9; SG5</t>
  </si>
  <si>
    <t xml:space="preserve">HK1; HK3; HK6; Use-case owners and human oversight: a named </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</si>
  <si>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</si>
  <si>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</si>
  <si>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</si>
  <si>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</si>
  <si>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</si>
  <si>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</si>
  <si>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</si>
  <si>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</si>
  <si>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</si>
  <si>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</si>
  <si>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</si>
  <si>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</si>
  <si>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</si>
  <si>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</si>
  <si>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</si>
  <si>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</si>
  <si>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</si>
  <si>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</si>
  <si>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</si>
  <si>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</si>
  <si>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</si>
  <si>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</si>
  <si>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</si>
  <si>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</si>
  <si>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</si>
  <si>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</si>
  <si>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</si>
  <si>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</si>
  <si>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</si>
  <si>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</si>
  <si>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</si>
  <si>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</si>
  <si>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</si>
  <si>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</si>
  <si>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</si>
  <si>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</si>
  <si>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</si>
  <si>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</si>
  <si>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</si>
  <si>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</si>
  <si>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</si>
  <si>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</si>
  <si>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</si>
  <si>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</si>
  <si>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</si>
  <si>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</si>
  <si>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</si>
  <si>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</si>
  <si>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</si>
  <si>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</si>
  <si>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</si>
  <si>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</si>
  <si>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</si>
  <si>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</si>
  <si>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</si>
  <si>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</si>
  <si>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</si>
  <si>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</si>
  <si>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</si>
  <si>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</si>
  <si>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</si>
  <si>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</si>
  <si>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</si>
  <si>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</si>
  <si>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</si>
  <si>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</si>
  <si>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</si>
  <si>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</si>
  <si>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</si>
  <si>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</si>
  <si>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</si>
  <si>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</si>
  <si>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</si>
  <si>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</si>
  <si>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</si>
  <si>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</si>
  <si>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</si>
  <si>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</si>
  <si>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</si>
  <si>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</si>
  <si>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</si>
  <si>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</si>
  <si>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</si>
  <si>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</si>
  <si>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</si>
  <si>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</si>
  <si>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</si>
  <si>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</si>
  <si>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</si>
  <si>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</si>
  <si>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</si>
  <si>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</si>
  <si>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</si>
  <si>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</si>
  <si>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</si>
  <si>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</si>
  <si>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</si>
  <si>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</si>
  <si>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</si>
  <si>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</si>
  <si>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</si>
  <si>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</si>
  <si>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</si>
  <si>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</si>
  <si>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</si>
  <si>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</si>
  <si>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</si>
  <si>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</si>
  <si>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</si>
  <si>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</si>
  <si>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</si>
  <si>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</si>
  <si>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</si>
  <si>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</si>
  <si>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</si>
  <si>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</si>
  <si>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</si>
  <si>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</si>
  <si>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</si>
  <si>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</si>
  <si>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</si>
  <si>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</si>
  <si>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</si>
  <si>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</si>
  <si>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</si>
  <si>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</si>
  <si>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</si>
  <si>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</si>
  <si>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</si>
  <si>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</si>
  <si>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</si>
  <si>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</si>
  <si>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</si>
  <si>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</si>
  <si>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</si>
  <si>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</si>
  <si>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</si>
  <si>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</si>
  <si>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</si>
  <si>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</si>
  <si>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</si>
  <si>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</si>
  <si>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</si>
  <si>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</si>
  <si>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</si>
  <si>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</si>
  <si>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</si>
  <si>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</si>
  <si>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</si>
  <si>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</si>
  <si>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</si>
  <si>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</si>
  <si>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</si>
  <si>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</si>
  <si>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</si>
  <si>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</si>
  <si>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</si>
  <si>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</si>
  <si>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</si>
  <si>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</si>
  <si>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</si>
  <si>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</si>
  <si>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</si>
  <si>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</si>
  <si>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</si>
  <si>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</si>
  <si>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</si>
  <si>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</si>
  <si>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</si>
  <si>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</si>
  <si>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</si>
  <si>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</si>
  <si>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</si>
  <si>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</si>
  <si>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</si>
  <si>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</si>
  <si>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</si>
  <si>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</si>
  <si>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</si>
  <si>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</si>
  <si>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</si>
  <si>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</si>
  <si>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</si>
  <si>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AI-R47</t>
  </si>
  <si>
    <t xml:space="preserve">Model Extraction and Inference Attacks</t>
  </si>
  <si>
    <t xml:space="preserve">Rate limits and query-pattern detection; limits on output detail; extraction and membership inference testing</t>
  </si>
  <si>
    <t xml:space="preserve">AI-CTRL-028, AI-CTRL-036, AI-CTRL-009, AI-CTRL-034</t>
  </si>
  <si>
    <t xml:space="preserve">Rate limit settings; query-pattern alerts; extraction and inference test results</t>
  </si>
  <si>
    <t xml:space="preserve">AI-R48</t>
  </si>
  <si>
    <t xml:space="preserve">AI Incidents Not Recognised or Handled</t>
  </si>
  <si>
    <t xml:space="preserve">AI incident categories and severity; AI alert routing; evidence preservation; AI scenario exercises; reporting duties</t>
  </si>
  <si>
    <t xml:space="preserve">AI-CTRL-035, AI-CTRL-009, AI-CTRL-043, AI-CTRL-008</t>
  </si>
  <si>
    <t xml:space="preserve">Response plan with AI categories; triage records; exercise reports; authority notification log</t>
  </si>
  <si>
    <t xml:space="preserve">AI-R49</t>
  </si>
  <si>
    <t xml:space="preserve">Personal Data That Cannot Be Removed from Models</t>
  </si>
  <si>
    <t xml:space="preserve">Personal data mapped in training and retrieval stores; data subject requests covering models; filtering or retraining decisions</t>
  </si>
  <si>
    <t xml:space="preserve">AI-CTRL-013, AI-CTRL-017, AI-CTRL-029, AI-CTRL-042</t>
  </si>
  <si>
    <t xml:space="preserve">Data maps for training and retrieval; request handling records; impact assessments; retraining decisions</t>
  </si>
  <si>
    <t xml:space="preserve">AI-R50</t>
  </si>
  <si>
    <t xml:space="preserve">Training-Serving Skew and Unreproducible Models</t>
  </si>
  <si>
    <t xml:space="preserve">Shared feature definitions; versioned data, code and settings; production-to-evaluation input checks; rebuild test</t>
  </si>
  <si>
    <t xml:space="preserve">AI-CTRL-030, AI-CTRL-034, AI-CTRL-008, AI-CTRL-033</t>
  </si>
  <si>
    <t xml:space="preserve">Model lineage records; input distribution comparisons; rebuild test results</t>
  </si>
  <si>
    <t xml:space="preserve">AI-R51</t>
  </si>
  <si>
    <t xml:space="preserve">Liability for Harm Caused by AI Decisions</t>
  </si>
  <si>
    <t xml:space="preserve">Impact assessment of who could be harmed; oversight sized to harm; liability and indemnity terms; risk acceptance</t>
  </si>
  <si>
    <t xml:space="preserve">AI-CTRL-042, AI-CTRL-045, AI-CTRL-014, AI-CTRL-037</t>
  </si>
  <si>
    <t xml:space="preserve">Impact assessments; oversight design records; contract terms; acceptance records</t>
  </si>
  <si>
    <t xml:space="preserve">AI-R52</t>
  </si>
  <si>
    <t xml:space="preserve">Unmaintained Open-Source AI Components</t>
  </si>
  <si>
    <t xml:space="preserve">Maintenance status in the AI-BOM; release-gate check for end-of-life components; replacement plans</t>
  </si>
  <si>
    <t xml:space="preserve">AI-CTRL-031, AI-CTRL-033, AI-CTRL-030</t>
  </si>
  <si>
    <t xml:space="preserve">AI-BOM with maintenance status; release-gate findings; replacement plans</t>
  </si>
  <si>
    <t xml:space="preserve">AI-R53</t>
  </si>
  <si>
    <t xml:space="preserve">Unlabelled AI-Generated Content</t>
  </si>
  <si>
    <t xml:space="preserve">Machine-readable marking; visible labels; marking survival test; jurisdiction labelling register</t>
  </si>
  <si>
    <t xml:space="preserve">AI-CTRL-039, AI-CTRL-020, AI-CTRL-013</t>
  </si>
  <si>
    <t xml:space="preserve">Marking configuration; label screenshots; survival test results; labelling requirement register</t>
  </si>
  <si>
    <t xml:space="preserve">AI-R54</t>
  </si>
  <si>
    <t xml:space="preserve">Agent Actions Others Cannot Identify as AI</t>
  </si>
  <si>
    <t xml:space="preserve">Agent and principal identified in outbound actions; external action records; compliance with other services' automation rules</t>
  </si>
  <si>
    <t xml:space="preserve">AI-CTRL-015, AI-CTRL-008, AI-CTRL-006</t>
  </si>
  <si>
    <t xml:space="preserve">Outbound message and request samples; external action logs; reviewed terms of service</t>
  </si>
  <si>
    <t xml:space="preserve">AI-Accelerated Exploitation and Patch Gap</t>
  </si>
  <si>
    <t xml:space="preserve">Remediation and exception time limits set for fast exploitation; triage sized for higher volume; blast-radius limits; governed AI agents for patching</t>
  </si>
  <si>
    <t xml:space="preserve">AI-CTRL-037, AI-CTRL-027, AI-CTRL-033, AI-CTRL-025</t>
  </si>
  <si>
    <t xml:space="preserve">Vulnerability remediation and exception time limits; triage capacity records; segmentation and isolation tests; change records for agent-made patches</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</si>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</sst>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sz val="10"/>
      <name val="WenQuanYi Zen Hei"/>
      <family val="2"/>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4"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5" fontId="7" fillId="13"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7"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11" fillId="16" borderId="1" xfId="0" applyFont="true" applyBorder="true" applyAlignment="true" applyProtection="false">
      <alignment horizontal="center" vertical="top" textRotation="0" wrapText="tru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1" fillId="18"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center" vertical="top"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6" fontId="8" fillId="19"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3" borderId="1" xfId="0" applyFont="true" applyBorder="true" applyAlignment="true" applyProtection="false">
      <alignment horizontal="center"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7" fillId="21"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7" fontId="8" fillId="13"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7" fillId="22" borderId="1"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7" fillId="23" borderId="1" xfId="0" applyFont="true" applyBorder="true" applyAlignment="true" applyProtection="false">
      <alignment horizontal="general" vertical="top" textRotation="0" wrapText="true" indent="0" shrinkToFit="false"/>
      <protection locked="true" hidden="false"/>
    </xf>
    <xf numFmtId="164" fontId="8" fillId="23" borderId="1" xfId="0" applyFont="true" applyBorder="true" applyAlignment="true" applyProtection="false">
      <alignment horizontal="general" vertical="top" textRotation="0" wrapText="true" indent="0" shrinkToFit="false"/>
      <protection locked="true" hidden="false"/>
    </xf>
    <xf numFmtId="164" fontId="7" fillId="24" borderId="1" xfId="0" applyFont="true" applyBorder="true" applyAlignment="true" applyProtection="false">
      <alignment horizontal="general" vertical="top" textRotation="0" wrapText="true" indent="0" shrinkToFit="false"/>
      <protection locked="true" hidden="false"/>
    </xf>
    <xf numFmtId="164" fontId="8" fillId="24" borderId="1" xfId="0" applyFont="true" applyBorder="true" applyAlignment="true" applyProtection="false">
      <alignment horizontal="general" vertical="top" textRotation="0" wrapText="true" indent="0" shrinkToFit="false"/>
      <protection locked="true" hidden="false"/>
    </xf>
    <xf numFmtId="164" fontId="7" fillId="19" borderId="1" xfId="0" applyFont="true" applyBorder="true" applyAlignment="true" applyProtection="false">
      <alignment horizontal="general" vertical="top" textRotation="0" wrapText="true" indent="0" shrinkToFit="false"/>
      <protection locked="true" hidden="false"/>
    </xf>
    <xf numFmtId="164" fontId="7" fillId="25" borderId="1" xfId="0" applyFont="true" applyBorder="true" applyAlignment="true" applyProtection="false">
      <alignment horizontal="general" vertical="top" textRotation="0" wrapText="true" indent="0" shrinkToFit="false"/>
      <protection locked="true" hidden="false"/>
    </xf>
    <xf numFmtId="164" fontId="8" fillId="25" borderId="1" xfId="0" applyFont="true" applyBorder="true" applyAlignment="true" applyProtection="false">
      <alignment horizontal="general" vertical="top" textRotation="0" wrapText="true" indent="0" shrinkToFit="false"/>
      <protection locked="true" hidden="false"/>
    </xf>
    <xf numFmtId="164" fontId="4" fillId="26" borderId="0" xfId="0" applyFont="true" applyBorder="false" applyAlignment="true" applyProtection="false">
      <alignment horizontal="general" vertical="center"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11" fillId="26" borderId="1" xfId="0" applyFont="true" applyBorder="true" applyAlignment="true" applyProtection="false">
      <alignment horizontal="center" vertical="top" textRotation="0" wrapText="true" indent="0" shrinkToFit="false"/>
      <protection locked="true" hidden="false"/>
    </xf>
    <xf numFmtId="164" fontId="4" fillId="27" borderId="0" xfId="0" applyFont="true" applyBorder="false" applyAlignment="true" applyProtection="false">
      <alignment horizontal="general" vertical="center" textRotation="0" wrapText="false" indent="0" shrinkToFit="false"/>
      <protection locked="true" hidden="false"/>
    </xf>
    <xf numFmtId="164" fontId="0" fillId="27" borderId="0" xfId="0" applyFont="false" applyBorder="false" applyAlignment="false" applyProtection="false">
      <alignment horizontal="general" vertical="bottom" textRotation="0" wrapText="false" indent="0" shrinkToFit="false"/>
      <protection locked="true" hidden="false"/>
    </xf>
    <xf numFmtId="164" fontId="7" fillId="21" borderId="0" xfId="0" applyFont="true" applyBorder="true" applyAlignment="true" applyProtection="false">
      <alignment horizontal="center" vertical="bottom" textRotation="0" wrapText="false" indent="0" shrinkToFit="false"/>
      <protection locked="true" hidden="false"/>
    </xf>
    <xf numFmtId="164" fontId="7" fillId="15" borderId="0" xfId="0" applyFont="true" applyBorder="true" applyAlignment="true" applyProtection="false">
      <alignment horizontal="center" vertical="bottom" textRotation="0" wrapText="false" indent="0" shrinkToFit="false"/>
      <protection locked="true" hidden="false"/>
    </xf>
    <xf numFmtId="164" fontId="7" fillId="22" borderId="0" xfId="0" applyFont="true" applyBorder="true" applyAlignment="true" applyProtection="false">
      <alignment horizontal="center" vertical="bottom" textRotation="0" wrapText="false" indent="0" shrinkToFit="false"/>
      <protection locked="true" hidden="false"/>
    </xf>
    <xf numFmtId="164" fontId="7" fillId="23" borderId="0" xfId="0" applyFont="true" applyBorder="true" applyAlignment="true" applyProtection="false">
      <alignment horizontal="center" vertical="bottom" textRotation="0" wrapText="false" indent="0" shrinkToFit="false"/>
      <protection locked="true" hidden="false"/>
    </xf>
    <xf numFmtId="164" fontId="7" fillId="24" borderId="0" xfId="0" applyFont="true" applyBorder="true" applyAlignment="true" applyProtection="false">
      <alignment horizontal="center" vertical="bottom" textRotation="0" wrapText="false" indent="0" shrinkToFit="false"/>
      <protection locked="true" hidden="false"/>
    </xf>
    <xf numFmtId="164" fontId="7" fillId="19" borderId="0" xfId="0" applyFont="true" applyBorder="true" applyAlignment="true" applyProtection="false">
      <alignment horizontal="center" vertical="bottom" textRotation="0" wrapText="false" indent="0" shrinkToFit="false"/>
      <protection locked="true" hidden="false"/>
    </xf>
    <xf numFmtId="164" fontId="7" fillId="25" borderId="0" xfId="0" applyFont="true" applyBorder="true" applyAlignment="true" applyProtection="false">
      <alignment horizontal="center" vertical="bottom" textRotation="0" wrapText="false" indent="0" shrinkToFit="false"/>
      <protection locked="true" hidden="false"/>
    </xf>
    <xf numFmtId="164" fontId="11" fillId="27" borderId="1" xfId="0" applyFont="true" applyBorder="true" applyAlignment="true" applyProtection="false">
      <alignment horizontal="center" vertical="top" textRotation="0" wrapText="true" indent="0" shrinkToFit="false"/>
      <protection locked="true" hidden="false"/>
    </xf>
    <xf numFmtId="164" fontId="8" fillId="28" borderId="1" xfId="0" applyFont="true" applyBorder="true" applyAlignment="true" applyProtection="false">
      <alignment horizontal="general" vertical="top" textRotation="0" wrapText="true" indent="0" shrinkToFit="false"/>
      <protection locked="true" hidden="false"/>
    </xf>
    <xf numFmtId="164" fontId="4" fillId="29" borderId="0" xfId="0" applyFont="true" applyBorder="false" applyAlignment="true" applyProtection="false">
      <alignment horizontal="general" vertical="center" textRotation="0" wrapText="false" indent="0" shrinkToFit="false"/>
      <protection locked="true" hidden="false"/>
    </xf>
    <xf numFmtId="164" fontId="0" fillId="29" borderId="0" xfId="0" applyFont="false" applyBorder="false" applyAlignment="false" applyProtection="false">
      <alignment horizontal="general" vertical="bottom" textRotation="0" wrapText="false" indent="0" shrinkToFit="false"/>
      <protection locked="true" hidden="false"/>
    </xf>
    <xf numFmtId="164" fontId="11" fillId="29" borderId="1" xfId="0" applyFont="true" applyBorder="true" applyAlignment="true" applyProtection="false">
      <alignment horizontal="center" vertical="top" textRotation="0" wrapText="true" indent="0" shrinkToFit="false"/>
      <protection locked="true" hidden="false"/>
    </xf>
    <xf numFmtId="164" fontId="8" fillId="3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20_NIST_SSDF_Crosswalk.html" TargetMode="External"/><Relationship Id="rId652" Type="http://schemas.openxmlformats.org/officeDocument/2006/relationships/hyperlink" Target="https://nachi065.github.io/AI-Security-Wiki/23_Framework_Crosswalks/20_NIST_SSDF_Crosswalk.html" TargetMode="External"/><Relationship Id="rId653" Type="http://schemas.openxmlformats.org/officeDocument/2006/relationships/hyperlink" Target="https://nachi065.github.io/AI-Security-Wiki/23_Framework_Crosswalks/20_NIST_SSDF_Crosswalk.html" TargetMode="External"/><Relationship Id="rId654" Type="http://schemas.openxmlformats.org/officeDocument/2006/relationships/hyperlink" Target="https://nachi065.github.io/AI-Security-Wiki/23_Framework_Crosswalks/20_NIST_SSDF_Crosswalk.html" TargetMode="External"/><Relationship Id="rId655" Type="http://schemas.openxmlformats.org/officeDocument/2006/relationships/hyperlink" Target="https://nachi065.github.io/AI-Security-Wiki/23_Framework_Crosswalks/20_NIST_SSDF_Crosswalk.html" TargetMode="External"/><Relationship Id="rId656" Type="http://schemas.openxmlformats.org/officeDocument/2006/relationships/hyperlink" Target="https://nachi065.github.io/AI-Security-Wiki/23_Framework_Crosswalks/20_NIST_SSDF_Crosswalk.html" TargetMode="External"/><Relationship Id="rId657" Type="http://schemas.openxmlformats.org/officeDocument/2006/relationships/hyperlink" Target="https://nachi065.github.io/AI-Security-Wiki/23_Framework_Crosswalks/20_NIST_SSDF_Crosswalk.html" TargetMode="External"/><Relationship Id="rId658" Type="http://schemas.openxmlformats.org/officeDocument/2006/relationships/hyperlink" Target="https://nachi065.github.io/AI-Security-Wiki/23_Framework_Crosswalks/20_NIST_SSDF_Crosswalk.html" TargetMode="External"/><Relationship Id="rId659" Type="http://schemas.openxmlformats.org/officeDocument/2006/relationships/hyperlink" Target="https://nachi065.github.io/AI-Security-Wiki/23_Framework_Crosswalks/20_NIST_SSDF_Crosswalk.html" TargetMode="External"/><Relationship Id="rId660" Type="http://schemas.openxmlformats.org/officeDocument/2006/relationships/hyperlink" Target="https://nachi065.github.io/AI-Security-Wiki/23_Framework_Crosswalks/20_NIST_SSDF_Crosswalk.html" TargetMode="External"/><Relationship Id="rId661" Type="http://schemas.openxmlformats.org/officeDocument/2006/relationships/hyperlink" Target="https://nachi065.github.io/AI-Security-Wiki/23_Framework_Crosswalks/20_NIST_SSDF_Crosswalk.html" TargetMode="External"/><Relationship Id="rId662" Type="http://schemas.openxmlformats.org/officeDocument/2006/relationships/hyperlink" Target="https://nachi065.github.io/AI-Security-Wiki/23_Framework_Crosswalks/20_NIST_SSDF_Crosswalk.html" TargetMode="External"/><Relationship Id="rId663" Type="http://schemas.openxmlformats.org/officeDocument/2006/relationships/hyperlink" Target="https://nachi065.github.io/AI-Security-Wiki/23_Framework_Crosswalks/20_NIST_SSDF_Crosswalk.html" TargetMode="External"/><Relationship Id="rId664" Type="http://schemas.openxmlformats.org/officeDocument/2006/relationships/hyperlink" Target="https://nachi065.github.io/AI-Security-Wiki/23_Framework_Crosswalks/20_NIST_SSDF_Crosswalk.html" TargetMode="External"/><Relationship Id="rId665" Type="http://schemas.openxmlformats.org/officeDocument/2006/relationships/hyperlink" Target="https://nachi065.github.io/AI-Security-Wiki/23_Framework_Crosswalks/20_NIST_SSDF_Crosswalk.html" TargetMode="External"/><Relationship Id="rId666" Type="http://schemas.openxmlformats.org/officeDocument/2006/relationships/hyperlink" Target="https://nachi065.github.io/AI-Security-Wiki/23_Framework_Crosswalks/20_NIST_SSDF_Crosswalk.html" TargetMode="External"/><Relationship Id="rId667" Type="http://schemas.openxmlformats.org/officeDocument/2006/relationships/hyperlink" Target="https://nachi065.github.io/AI-Security-Wiki/23_Framework_Crosswalks/20_NIST_SSDF_Crosswalk.html" TargetMode="External"/><Relationship Id="rId668" Type="http://schemas.openxmlformats.org/officeDocument/2006/relationships/hyperlink" Target="https://nachi065.github.io/AI-Security-Wiki/23_Framework_Crosswalks/20_NIST_SSDF_Crosswalk.html" TargetMode="External"/><Relationship Id="rId669" Type="http://schemas.openxmlformats.org/officeDocument/2006/relationships/hyperlink" Target="https://nachi065.github.io/AI-Security-Wiki/23_Framework_Crosswalks/20_NIST_SSDF_Crosswalk.html" TargetMode="External"/><Relationship Id="rId670" Type="http://schemas.openxmlformats.org/officeDocument/2006/relationships/hyperlink" Target="https://nachi065.github.io/AI-Security-Wiki/23_Framework_Crosswalks/20_NIST_SSDF_Crosswalk.html" TargetMode="External"/><Relationship Id="rId671" Type="http://schemas.openxmlformats.org/officeDocument/2006/relationships/hyperlink" Target="https://nachi065.github.io/AI-Security-Wiki/23_Framework_Crosswalks/21_PCI_DSS_AI_Crosswalk.html" TargetMode="External"/><Relationship Id="rId672" Type="http://schemas.openxmlformats.org/officeDocument/2006/relationships/hyperlink" Target="https://nachi065.github.io/AI-Security-Wiki/23_Framework_Crosswalks/21_PCI_DSS_AI_Crosswalk.html" TargetMode="External"/><Relationship Id="rId673" Type="http://schemas.openxmlformats.org/officeDocument/2006/relationships/hyperlink" Target="https://nachi065.github.io/AI-Security-Wiki/23_Framework_Crosswalks/21_PCI_DSS_AI_Crosswalk.html" TargetMode="External"/><Relationship Id="rId674" Type="http://schemas.openxmlformats.org/officeDocument/2006/relationships/hyperlink" Target="https://nachi065.github.io/AI-Security-Wiki/23_Framework_Crosswalks/21_PCI_DSS_AI_Crosswalk.html" TargetMode="External"/><Relationship Id="rId675" Type="http://schemas.openxmlformats.org/officeDocument/2006/relationships/hyperlink" Target="https://nachi065.github.io/AI-Security-Wiki/23_Framework_Crosswalks/21_PCI_DSS_AI_Crosswalk.html" TargetMode="External"/><Relationship Id="rId676" Type="http://schemas.openxmlformats.org/officeDocument/2006/relationships/hyperlink" Target="https://nachi065.github.io/AI-Security-Wiki/23_Framework_Crosswalks/21_PCI_DSS_AI_Crosswalk.html" TargetMode="External"/><Relationship Id="rId677" Type="http://schemas.openxmlformats.org/officeDocument/2006/relationships/hyperlink" Target="https://nachi065.github.io/AI-Security-Wiki/23_Framework_Crosswalks/21_PCI_DSS_AI_Crosswalk.html" TargetMode="External"/><Relationship Id="rId678" Type="http://schemas.openxmlformats.org/officeDocument/2006/relationships/hyperlink" Target="https://nachi065.github.io/AI-Security-Wiki/23_Framework_Crosswalks/21_PCI_DSS_AI_Crosswalk.html" TargetMode="External"/><Relationship Id="rId679" Type="http://schemas.openxmlformats.org/officeDocument/2006/relationships/hyperlink" Target="https://nachi065.github.io/AI-Security-Wiki/23_Framework_Crosswalks/21_PCI_DSS_AI_Crosswalk.html" TargetMode="External"/><Relationship Id="rId680" Type="http://schemas.openxmlformats.org/officeDocument/2006/relationships/hyperlink" Target="https://nachi065.github.io/AI-Security-Wiki/23_Framework_Crosswalks/21_PCI_DSS_AI_Crosswalk.html" TargetMode="External"/><Relationship Id="rId681" Type="http://schemas.openxmlformats.org/officeDocument/2006/relationships/hyperlink" Target="https://nachi065.github.io/AI-Security-Wiki/23_Framework_Crosswalks/21_PCI_DSS_AI_Crosswalk.html" TargetMode="External"/><Relationship Id="rId682" Type="http://schemas.openxmlformats.org/officeDocument/2006/relationships/hyperlink" Target="https://nachi065.github.io/AI-Security-Wiki/23_Framework_Crosswalks/21_PCI_DSS_AI_Crosswalk.html" TargetMode="External"/><Relationship Id="rId683" Type="http://schemas.openxmlformats.org/officeDocument/2006/relationships/hyperlink" Target="https://nachi065.github.io/AI-Security-Wiki/23_Framework_Crosswalks/21_PCI_DSS_AI_Crosswalk.html" TargetMode="External"/><Relationship Id="rId684" Type="http://schemas.openxmlformats.org/officeDocument/2006/relationships/hyperlink" Target="https://nachi065.github.io/AI-Security-Wiki/23_Framework_Crosswalks/21_PCI_DSS_AI_Crosswalk.html" TargetMode="External"/><Relationship Id="rId685" Type="http://schemas.openxmlformats.org/officeDocument/2006/relationships/hyperlink" Target="https://nachi065.github.io/AI-Security-Wiki/23_Framework_Crosswalks/21_PCI_DSS_AI_Crosswalk.html" TargetMode="External"/><Relationship Id="rId686" Type="http://schemas.openxmlformats.org/officeDocument/2006/relationships/hyperlink" Target="https://nachi065.github.io/AI-Security-Wiki/23_Framework_Crosswalks/21_PCI_DSS_AI_Crosswalk.html" TargetMode="External"/><Relationship Id="rId687" Type="http://schemas.openxmlformats.org/officeDocument/2006/relationships/hyperlink" Target="https://nachi065.github.io/AI-Security-Wiki/23_Framework_Crosswalks/21_PCI_DSS_AI_Crosswalk.html" TargetMode="External"/><Relationship Id="rId688" Type="http://schemas.openxmlformats.org/officeDocument/2006/relationships/hyperlink" Target="https://nachi065.github.io/AI-Security-Wiki/23_Framework_Crosswalks/21_PCI_DSS_AI_Crosswalk.html" TargetMode="External"/><Relationship Id="rId689" Type="http://schemas.openxmlformats.org/officeDocument/2006/relationships/hyperlink" Target="https://nachi065.github.io/AI-Security-Wiki/23_Framework_Crosswalks/21_PCI_DSS_AI_Crosswalk.html" TargetMode="External"/><Relationship Id="rId690" Type="http://schemas.openxmlformats.org/officeDocument/2006/relationships/hyperlink" Target="https://nachi065.github.io/AI-Security-Wiki/23_Framework_Crosswalks/21_PCI_DSS_AI_Crosswalk.html" TargetMode="External"/><Relationship Id="rId691" Type="http://schemas.openxmlformats.org/officeDocument/2006/relationships/hyperlink" Target="https://nachi065.github.io/AI-Security-Wiki/23_Framework_Crosswalks/21_PCI_DSS_AI_Crosswalk.html" TargetMode="External"/><Relationship Id="rId692" Type="http://schemas.openxmlformats.org/officeDocument/2006/relationships/hyperlink" Target="https://nachi065.github.io/AI-Security-Wiki/23_Framework_Crosswalks/21_PCI_DSS_AI_Crosswalk.html" TargetMode="External"/><Relationship Id="rId693" Type="http://schemas.openxmlformats.org/officeDocument/2006/relationships/hyperlink" Target="https://nachi065.github.io/AI-Security-Wiki/23_Framework_Crosswalks/21_PCI_DSS_AI_Crosswalk.html" TargetMode="External"/><Relationship Id="rId694" Type="http://schemas.openxmlformats.org/officeDocument/2006/relationships/hyperlink" Target="https://nachi065.github.io/AI-Security-Wiki/23_Framework_Crosswalks/21_PCI_DSS_AI_Crosswalk.html" TargetMode="External"/><Relationship Id="rId695" Type="http://schemas.openxmlformats.org/officeDocument/2006/relationships/hyperlink" Target="https://nachi065.github.io/AI-Security-Wiki/23_Framework_Crosswalks/21_PCI_DSS_AI_Crosswalk.html" TargetMode="External"/><Relationship Id="rId696" Type="http://schemas.openxmlformats.org/officeDocument/2006/relationships/hyperlink" Target="https://nachi065.github.io/AI-Security-Wiki/23_Framework_Crosswalks/21_PCI_DSS_AI_Crosswalk.html" TargetMode="External"/><Relationship Id="rId697" Type="http://schemas.openxmlformats.org/officeDocument/2006/relationships/hyperlink" Target="https://nachi065.github.io/AI-Security-Wiki/23_Framework_Crosswalks/21_PCI_DSS_AI_Crosswalk.html" TargetMode="External"/><Relationship Id="rId698" Type="http://schemas.openxmlformats.org/officeDocument/2006/relationships/hyperlink" Target="https://nachi065.github.io/AI-Security-Wiki/23_Framework_Crosswalks/21_PCI_DSS_AI_Crosswalk.html" TargetMode="External"/><Relationship Id="rId699" Type="http://schemas.openxmlformats.org/officeDocument/2006/relationships/hyperlink" Target="https://nachi065.github.io/AI-Security-Wiki/23_Framework_Crosswalks/21_PCI_DSS_AI_Crosswalk.html" TargetMode="External"/><Relationship Id="rId700" Type="http://schemas.openxmlformats.org/officeDocument/2006/relationships/hyperlink" Target="https://nachi065.github.io/AI-Security-Wiki/23_Framework_Crosswalks/21_PCI_DSS_AI_Crosswalk.html" TargetMode="External"/><Relationship Id="rId701" Type="http://schemas.openxmlformats.org/officeDocument/2006/relationships/hyperlink" Target="https://nachi065.github.io/AI-Security-Wiki/23_Framework_Crosswalks/21_PCI_DSS_AI_Crosswalk.html" TargetMode="External"/><Relationship Id="rId702" Type="http://schemas.openxmlformats.org/officeDocument/2006/relationships/hyperlink" Target="https://nachi065.github.io/AI-Security-Wiki/23_Framework_Crosswalks/21_PCI_DSS_AI_Crosswalk.html" TargetMode="External"/><Relationship Id="rId703" Type="http://schemas.openxmlformats.org/officeDocument/2006/relationships/hyperlink" Target="https://nachi065.github.io/AI-Security-Wiki/23_Framework_Crosswalks/21_PCI_DSS_AI_Crosswalk.html" TargetMode="External"/><Relationship Id="rId704" Type="http://schemas.openxmlformats.org/officeDocument/2006/relationships/hyperlink" Target="https://nachi065.github.io/AI-Security-Wiki/23_Framework_Crosswalks/21_PCI_DSS_AI_Crosswalk.html" TargetMode="External"/><Relationship Id="rId705" Type="http://schemas.openxmlformats.org/officeDocument/2006/relationships/hyperlink" Target="https://nachi065.github.io/AI-Security-Wiki/23_Framework_Crosswalks/21_PCI_DSS_AI_Crosswalk.html" TargetMode="External"/><Relationship Id="rId706" Type="http://schemas.openxmlformats.org/officeDocument/2006/relationships/hyperlink" Target="https://nachi065.github.io/AI-Security-Wiki/23_Framework_Crosswalks/21_PCI_DSS_AI_Crosswalk.html" TargetMode="External"/><Relationship Id="rId707" Type="http://schemas.openxmlformats.org/officeDocument/2006/relationships/hyperlink" Target="https://nachi065.github.io/AI-Security-Wiki/23_Framework_Crosswalks/21_PCI_DSS_AI_Crosswalk.html" TargetMode="External"/><Relationship Id="rId708" Type="http://schemas.openxmlformats.org/officeDocument/2006/relationships/hyperlink" Target="https://nachi065.github.io/AI-Security-Wiki/23_Framework_Crosswalks/21_PCI_DSS_AI_Crosswalk.html" TargetMode="External"/><Relationship Id="rId709" Type="http://schemas.openxmlformats.org/officeDocument/2006/relationships/hyperlink" Target="https://nachi065.github.io/AI-Security-Wiki/23_Framework_Crosswalks/21_PCI_DSS_AI_Crosswalk.html" TargetMode="External"/><Relationship Id="rId710" Type="http://schemas.openxmlformats.org/officeDocument/2006/relationships/hyperlink" Target="https://nachi065.github.io/AI-Security-Wiki/23_Framework_Crosswalks/21_PCI_DSS_AI_Crosswalk.html" TargetMode="External"/><Relationship Id="rId711" Type="http://schemas.openxmlformats.org/officeDocument/2006/relationships/hyperlink" Target="https://nachi065.github.io/AI-Security-Wiki/23_Framework_Crosswalks/21_PCI_DSS_AI_Crosswalk.html" TargetMode="External"/><Relationship Id="rId712" Type="http://schemas.openxmlformats.org/officeDocument/2006/relationships/hyperlink" Target="https://nachi065.github.io/AI-Security-Wiki/23_Framework_Crosswalks/21_PCI_DSS_AI_Crosswalk.html" TargetMode="External"/><Relationship Id="rId713" Type="http://schemas.openxmlformats.org/officeDocument/2006/relationships/hyperlink" Target="https://nachi065.github.io/AI-Security-Wiki/23_Framework_Crosswalks/21_PCI_DSS_AI_Crosswalk.html" TargetMode="External"/><Relationship Id="rId714" Type="http://schemas.openxmlformats.org/officeDocument/2006/relationships/hyperlink" Target="https://nachi065.github.io/AI-Security-Wiki/23_Framework_Crosswalks/12_OECD_AI_Principles_Crosswalk.html" TargetMode="External"/><Relationship Id="rId715" Type="http://schemas.openxmlformats.org/officeDocument/2006/relationships/hyperlink" Target="https://nachi065.github.io/AI-Security-Wiki/23_Framework_Crosswalks/12_OECD_AI_Principles_Crosswalk.html" TargetMode="External"/><Relationship Id="rId716" Type="http://schemas.openxmlformats.org/officeDocument/2006/relationships/hyperlink" Target="https://nachi065.github.io/AI-Security-Wiki/23_Framework_Crosswalks/12_OECD_AI_Principles_Crosswalk.html" TargetMode="External"/><Relationship Id="rId717" Type="http://schemas.openxmlformats.org/officeDocument/2006/relationships/hyperlink" Target="https://nachi065.github.io/AI-Security-Wiki/23_Framework_Crosswalks/12_OECD_AI_Principles_Crosswalk.html" TargetMode="External"/><Relationship Id="rId718" Type="http://schemas.openxmlformats.org/officeDocument/2006/relationships/hyperlink" Target="https://nachi065.github.io/AI-Security-Wiki/23_Framework_Crosswalks/12_OECD_AI_Principles_Crosswalk.html" TargetMode="External"/><Relationship Id="rId719" Type="http://schemas.openxmlformats.org/officeDocument/2006/relationships/hyperlink" Target="https://nachi065.github.io/AI-Security-Wiki/23_Framework_Crosswalks/16_Trustworthy_AI_Ethics_Crosswalk.html" TargetMode="External"/><Relationship Id="rId720" Type="http://schemas.openxmlformats.org/officeDocument/2006/relationships/hyperlink" Target="https://nachi065.github.io/AI-Security-Wiki/23_Framework_Crosswalks/16_Trustworthy_AI_Ethics_Crosswalk.html" TargetMode="External"/><Relationship Id="rId721" Type="http://schemas.openxmlformats.org/officeDocument/2006/relationships/hyperlink" Target="https://nachi065.github.io/AI-Security-Wiki/23_Framework_Crosswalks/16_Trustworthy_AI_Ethics_Crosswalk.html" TargetMode="External"/><Relationship Id="rId722" Type="http://schemas.openxmlformats.org/officeDocument/2006/relationships/hyperlink" Target="https://nachi065.github.io/AI-Security-Wiki/23_Framework_Crosswalks/16_Trustworthy_AI_Ethics_Crosswalk.html" TargetMode="External"/><Relationship Id="rId723" Type="http://schemas.openxmlformats.org/officeDocument/2006/relationships/hyperlink" Target="https://nachi065.github.io/AI-Security-Wiki/23_Framework_Crosswalks/16_Trustworthy_AI_Ethics_Crosswalk.html" TargetMode="External"/><Relationship Id="rId724" Type="http://schemas.openxmlformats.org/officeDocument/2006/relationships/hyperlink" Target="https://nachi065.github.io/AI-Security-Wiki/23_Framework_Crosswalks/16_Trustworthy_AI_Ethics_Crosswalk.html" TargetMode="External"/><Relationship Id="rId725" Type="http://schemas.openxmlformats.org/officeDocument/2006/relationships/hyperlink" Target="https://nachi065.github.io/AI-Security-Wiki/23_Framework_Crosswalks/16_Trustworthy_AI_Ethics_Crosswalk.html" TargetMode="External"/><Relationship Id="rId726" Type="http://schemas.openxmlformats.org/officeDocument/2006/relationships/hyperlink" Target="https://nachi065.github.io/AI-Security-Wiki/23_Framework_Crosswalks/16_Trustworthy_AI_Ethics_Crosswalk.html" TargetMode="External"/><Relationship Id="rId727" Type="http://schemas.openxmlformats.org/officeDocument/2006/relationships/hyperlink" Target="https://nachi065.github.io/AI-Security-Wiki/23_Framework_Crosswalks/16_Trustworthy_AI_Ethics_Crosswalk.html" TargetMode="External"/><Relationship Id="rId728" Type="http://schemas.openxmlformats.org/officeDocument/2006/relationships/hyperlink" Target="https://nachi065.github.io/AI-Security-Wiki/23_Framework_Crosswalks/16_Trustworthy_AI_Ethics_Crosswalk.html" TargetMode="External"/><Relationship Id="rId729" Type="http://schemas.openxmlformats.org/officeDocument/2006/relationships/hyperlink" Target="https://nachi065.github.io/AI-Security-Wiki/23_Framework_Crosswalks/16_Trustworthy_AI_Ethics_Crosswalk.html" TargetMode="External"/><Relationship Id="rId730" Type="http://schemas.openxmlformats.org/officeDocument/2006/relationships/hyperlink" Target="https://nachi065.github.io/AI-Security-Wiki/23_Framework_Crosswalks/16_Trustworthy_AI_Ethics_Crosswalk.html" TargetMode="External"/><Relationship Id="rId731" Type="http://schemas.openxmlformats.org/officeDocument/2006/relationships/hyperlink" Target="https://nachi065.github.io/AI-Security-Wiki/23_Framework_Crosswalks/16_Trustworthy_AI_Ethics_Crosswalk.html" TargetMode="External"/><Relationship Id="rId732" Type="http://schemas.openxmlformats.org/officeDocument/2006/relationships/hyperlink" Target="https://nachi065.github.io/AI-Security-Wiki/23_Framework_Crosswalks/16_Trustworthy_AI_Ethics_Crosswalk.html" TargetMode="External"/><Relationship Id="rId733" Type="http://schemas.openxmlformats.org/officeDocument/2006/relationships/hyperlink" Target="https://nachi065.github.io/AI-Security-Wiki/23_Framework_Crosswalks/16_Trustworthy_AI_Ethics_Crosswalk.html" TargetMode="External"/><Relationship Id="rId734" Type="http://schemas.openxmlformats.org/officeDocument/2006/relationships/hyperlink" Target="https://nachi065.github.io/AI-Security-Wiki/23_Framework_Crosswalks/16_Trustworthy_AI_Ethics_Crosswalk.html" TargetMode="External"/><Relationship Id="rId735" Type="http://schemas.openxmlformats.org/officeDocument/2006/relationships/hyperlink" Target="https://nachi065.github.io/AI-Security-Wiki/23_Framework_Crosswalks/16_Trustworthy_AI_Ethics_Crosswalk.html" TargetMode="External"/><Relationship Id="rId736" Type="http://schemas.openxmlformats.org/officeDocument/2006/relationships/hyperlink" Target="https://nachi065.github.io/AI-Security-Wiki/23_Framework_Crosswalks/16_Trustworthy_AI_Ethics_Crosswalk.html" TargetMode="External"/><Relationship Id="rId737" Type="http://schemas.openxmlformats.org/officeDocument/2006/relationships/hyperlink" Target="https://nachi065.github.io/AI-Security-Wiki/23_Framework_Crosswalks/16_Trustworthy_AI_Ethics_Crosswalk.html" TargetMode="External"/><Relationship Id="rId738" Type="http://schemas.openxmlformats.org/officeDocument/2006/relationships/hyperlink" Target="https://nachi065.github.io/AI-Security-Wiki/23_Framework_Crosswalks/16_Trustworthy_AI_Ethics_Crosswalk.html" TargetMode="External"/><Relationship Id="rId739" Type="http://schemas.openxmlformats.org/officeDocument/2006/relationships/hyperlink" Target="https://nachi065.github.io/AI-Security-Wiki/23_Framework_Crosswalks/16_Trustworthy_AI_Ethics_Crosswalk.html" TargetMode="External"/><Relationship Id="rId740" Type="http://schemas.openxmlformats.org/officeDocument/2006/relationships/hyperlink" Target="https://nachi065.github.io/AI-Security-Wiki/23_Framework_Crosswalks/16_Trustworthy_AI_Ethics_Crosswalk.html" TargetMode="External"/><Relationship Id="rId741" Type="http://schemas.openxmlformats.org/officeDocument/2006/relationships/hyperlink" Target="https://nachi065.github.io/AI-Security-Wiki/23_Framework_Crosswalks/17_International_AI_Instruments_Crosswalk.html" TargetMode="External"/><Relationship Id="rId742" Type="http://schemas.openxmlformats.org/officeDocument/2006/relationships/hyperlink" Target="https://nachi065.github.io/AI-Security-Wiki/23_Framework_Crosswalks/17_International_AI_Instruments_Crosswalk.html" TargetMode="External"/><Relationship Id="rId743" Type="http://schemas.openxmlformats.org/officeDocument/2006/relationships/hyperlink" Target="https://nachi065.github.io/AI-Security-Wiki/23_Framework_Crosswalks/17_International_AI_Instruments_Crosswalk.html" TargetMode="External"/><Relationship Id="rId744" Type="http://schemas.openxmlformats.org/officeDocument/2006/relationships/hyperlink" Target="https://nachi065.github.io/AI-Security-Wiki/23_Framework_Crosswalks/17_International_AI_Instruments_Crosswalk.html" TargetMode="External"/><Relationship Id="rId745" Type="http://schemas.openxmlformats.org/officeDocument/2006/relationships/hyperlink" Target="https://nachi065.github.io/AI-Security-Wiki/23_Framework_Crosswalks/17_International_AI_Instruments_Crosswalk.html" TargetMode="External"/><Relationship Id="rId746" Type="http://schemas.openxmlformats.org/officeDocument/2006/relationships/hyperlink" Target="https://nachi065.github.io/AI-Security-Wiki/23_Framework_Crosswalks/17_International_AI_Instruments_Crosswalk.html" TargetMode="External"/><Relationship Id="rId747" Type="http://schemas.openxmlformats.org/officeDocument/2006/relationships/hyperlink" Target="https://nachi065.github.io/AI-Security-Wiki/23_Framework_Crosswalks/17_International_AI_Instruments_Crosswalk.html" TargetMode="External"/><Relationship Id="rId748" Type="http://schemas.openxmlformats.org/officeDocument/2006/relationships/hyperlink" Target="https://nachi065.github.io/AI-Security-Wiki/23_Framework_Crosswalks/17_International_AI_Instruments_Crosswalk.html" TargetMode="External"/><Relationship Id="rId749" Type="http://schemas.openxmlformats.org/officeDocument/2006/relationships/hyperlink" Target="https://nachi065.github.io/AI-Security-Wiki/23_Framework_Crosswalks/17_International_AI_Instruments_Crosswalk.html" TargetMode="External"/><Relationship Id="rId750" Type="http://schemas.openxmlformats.org/officeDocument/2006/relationships/hyperlink" Target="https://nachi065.github.io/AI-Security-Wiki/23_Framework_Crosswalks/17_International_AI_Instruments_Crosswalk.html" TargetMode="External"/><Relationship Id="rId751" Type="http://schemas.openxmlformats.org/officeDocument/2006/relationships/hyperlink" Target="https://nachi065.github.io/AI-Security-Wiki/23_Framework_Crosswalks/17_International_AI_Instruments_Crosswalk.html" TargetMode="External"/><Relationship Id="rId752" Type="http://schemas.openxmlformats.org/officeDocument/2006/relationships/hyperlink" Target="https://nachi065.github.io/AI-Security-Wiki/23_Framework_Crosswalks/17_International_AI_Instruments_Crosswalk.html" TargetMode="External"/><Relationship Id="rId753" Type="http://schemas.openxmlformats.org/officeDocument/2006/relationships/hyperlink" Target="https://nachi065.github.io/AI-Security-Wiki/23_Framework_Crosswalks/17_International_AI_Instruments_Crosswalk.html" TargetMode="External"/><Relationship Id="rId754" Type="http://schemas.openxmlformats.org/officeDocument/2006/relationships/hyperlink" Target="https://nachi065.github.io/AI-Security-Wiki/23_Framework_Crosswalks/17_International_AI_Instruments_Crosswalk.html" TargetMode="External"/><Relationship Id="rId755" Type="http://schemas.openxmlformats.org/officeDocument/2006/relationships/hyperlink" Target="https://nachi065.github.io/AI-Security-Wiki/23_Framework_Crosswalks/17_International_AI_Instruments_Crosswalk.html" TargetMode="External"/><Relationship Id="rId756" Type="http://schemas.openxmlformats.org/officeDocument/2006/relationships/hyperlink" Target="https://nachi065.github.io/AI-Security-Wiki/23_Framework_Crosswalks/17_International_AI_Instruments_Crosswalk.html" TargetMode="External"/><Relationship Id="rId757" Type="http://schemas.openxmlformats.org/officeDocument/2006/relationships/hyperlink" Target="https://nachi065.github.io/AI-Security-Wiki/23_Framework_Crosswalks/17_International_AI_Instruments_Crosswalk.html" TargetMode="External"/><Relationship Id="rId758" Type="http://schemas.openxmlformats.org/officeDocument/2006/relationships/hyperlink" Target="https://nachi065.github.io/AI-Security-Wiki/23_Framework_Crosswalks/17_International_AI_Instruments_Crosswalk.html" TargetMode="External"/><Relationship Id="rId759" Type="http://schemas.openxmlformats.org/officeDocument/2006/relationships/hyperlink" Target="https://nachi065.github.io/AI-Security-Wiki/23_Framework_Crosswalks/17_International_AI_Instruments_Crosswalk.html" TargetMode="External"/><Relationship Id="rId760" Type="http://schemas.openxmlformats.org/officeDocument/2006/relationships/hyperlink" Target="https://nachi065.github.io/AI-Security-Wiki/23_Framework_Crosswalks/17_International_AI_Instruments_Crosswalk.html" TargetMode="External"/><Relationship Id="rId761" Type="http://schemas.openxmlformats.org/officeDocument/2006/relationships/hyperlink" Target="https://nachi065.github.io/AI-Security-Wiki/23_Framework_Crosswalks/17_International_AI_Instruments_Crosswalk.html" TargetMode="External"/><Relationship Id="rId762" Type="http://schemas.openxmlformats.org/officeDocument/2006/relationships/hyperlink" Target="https://nachi065.github.io/AI-Security-Wiki/23_Framework_Crosswalks/17_International_AI_Instruments_Crosswalk.html" TargetMode="External"/><Relationship Id="rId763" Type="http://schemas.openxmlformats.org/officeDocument/2006/relationships/hyperlink" Target="https://nachi065.github.io/AI-Security-Wiki/23_Framework_Crosswalks/17_International_AI_Instruments_Crosswalk.html" TargetMode="External"/><Relationship Id="rId764" Type="http://schemas.openxmlformats.org/officeDocument/2006/relationships/hyperlink" Target="https://nachi065.github.io/AI-Security-Wiki/23_Framework_Crosswalks/13_Privacy_Law_Crosswalk.html" TargetMode="External"/><Relationship Id="rId765" Type="http://schemas.openxmlformats.org/officeDocument/2006/relationships/hyperlink" Target="https://nachi065.github.io/AI-Security-Wiki/23_Framework_Crosswalks/13_Privacy_Law_Crosswalk.html" TargetMode="External"/><Relationship Id="rId766" Type="http://schemas.openxmlformats.org/officeDocument/2006/relationships/hyperlink" Target="https://nachi065.github.io/AI-Security-Wiki/23_Framework_Crosswalks/13_Privacy_Law_Crosswalk.html" TargetMode="External"/><Relationship Id="rId767" Type="http://schemas.openxmlformats.org/officeDocument/2006/relationships/hyperlink" Target="https://nachi065.github.io/AI-Security-Wiki/23_Framework_Crosswalks/13_Privacy_Law_Crosswalk.html" TargetMode="External"/><Relationship Id="rId768" Type="http://schemas.openxmlformats.org/officeDocument/2006/relationships/hyperlink" Target="https://nachi065.github.io/AI-Security-Wiki/23_Framework_Crosswalks/13_Privacy_Law_Crosswalk.html" TargetMode="External"/><Relationship Id="rId769" Type="http://schemas.openxmlformats.org/officeDocument/2006/relationships/hyperlink" Target="https://nachi065.github.io/AI-Security-Wiki/23_Framework_Crosswalks/13_Privacy_Law_Crosswalk.html" TargetMode="External"/><Relationship Id="rId770" Type="http://schemas.openxmlformats.org/officeDocument/2006/relationships/hyperlink" Target="https://nachi065.github.io/AI-Security-Wiki/23_Framework_Crosswalks/13_Privacy_Law_Crosswalk.html" TargetMode="External"/><Relationship Id="rId771" Type="http://schemas.openxmlformats.org/officeDocument/2006/relationships/hyperlink" Target="https://nachi065.github.io/AI-Security-Wiki/23_Framework_Crosswalks/13_Privacy_Law_Crosswalk.html" TargetMode="External"/><Relationship Id="rId772" Type="http://schemas.openxmlformats.org/officeDocument/2006/relationships/hyperlink" Target="https://nachi065.github.io/AI-Security-Wiki/23_Framework_Crosswalks/13_Privacy_Law_Crosswalk.html" TargetMode="External"/><Relationship Id="rId773" Type="http://schemas.openxmlformats.org/officeDocument/2006/relationships/hyperlink" Target="https://nachi065.github.io/AI-Security-Wiki/23_Framework_Crosswalks/13_Privacy_Law_Crosswalk.html" TargetMode="External"/><Relationship Id="rId774" Type="http://schemas.openxmlformats.org/officeDocument/2006/relationships/hyperlink" Target="https://nachi065.github.io/AI-Security-Wiki/23_Framework_Crosswalks/13_Privacy_Law_Crosswalk.html" TargetMode="External"/><Relationship Id="rId775" Type="http://schemas.openxmlformats.org/officeDocument/2006/relationships/hyperlink" Target="https://nachi065.github.io/AI-Security-Wiki/23_Framework_Crosswalks/13_Privacy_Law_Crosswalk.html" TargetMode="External"/><Relationship Id="rId776" Type="http://schemas.openxmlformats.org/officeDocument/2006/relationships/hyperlink" Target="https://nachi065.github.io/AI-Security-Wiki/23_Framework_Crosswalks/13_Privacy_Law_Crosswalk.html" TargetMode="External"/><Relationship Id="rId777" Type="http://schemas.openxmlformats.org/officeDocument/2006/relationships/hyperlink" Target="https://nachi065.github.io/AI-Security-Wiki/23_Framework_Crosswalks/13_Privacy_Law_Crosswalk.html" TargetMode="External"/><Relationship Id="rId778" Type="http://schemas.openxmlformats.org/officeDocument/2006/relationships/hyperlink" Target="https://nachi065.github.io/AI-Security-Wiki/11_GCC_AI_Compliance/07_Regulatory_Crosswalk.html" TargetMode="External"/><Relationship Id="rId779" Type="http://schemas.openxmlformats.org/officeDocument/2006/relationships/hyperlink" Target="https://nachi065.github.io/AI-Security-Wiki/11_GCC_AI_Compliance/07_Regulatory_Crosswalk.html" TargetMode="External"/><Relationship Id="rId780" Type="http://schemas.openxmlformats.org/officeDocument/2006/relationships/hyperlink" Target="https://nachi065.github.io/AI-Security-Wiki/11_GCC_AI_Compliance/07_Regulatory_Crosswalk.html" TargetMode="External"/><Relationship Id="rId781" Type="http://schemas.openxmlformats.org/officeDocument/2006/relationships/hyperlink" Target="https://nachi065.github.io/AI-Security-Wiki/11_GCC_AI_Compliance/07_Regulatory_Crosswalk.html" TargetMode="External"/><Relationship Id="rId782" Type="http://schemas.openxmlformats.org/officeDocument/2006/relationships/hyperlink" Target="https://nachi065.github.io/AI-Security-Wiki/11_GCC_AI_Compliance/07_Regulatory_Crosswalk.html" TargetMode="External"/><Relationship Id="rId783" Type="http://schemas.openxmlformats.org/officeDocument/2006/relationships/hyperlink" Target="https://nachi065.github.io/AI-Security-Wiki/11_GCC_AI_Compliance/07_Regulatory_Crosswalk.html" TargetMode="External"/><Relationship Id="rId784" Type="http://schemas.openxmlformats.org/officeDocument/2006/relationships/hyperlink" Target="https://nachi065.github.io/AI-Security-Wiki/11_GCC_AI_Compliance/07_Regulatory_Crosswalk.html" TargetMode="External"/><Relationship Id="rId785" Type="http://schemas.openxmlformats.org/officeDocument/2006/relationships/hyperlink" Target="https://nachi065.github.io/AI-Security-Wiki/11_GCC_AI_Compliance/07_Regulatory_Crosswalk.html" TargetMode="External"/><Relationship Id="rId786" Type="http://schemas.openxmlformats.org/officeDocument/2006/relationships/hyperlink" Target="https://nachi065.github.io/AI-Security-Wiki/11_GCC_AI_Compliance/07_Regulatory_Crosswalk.html" TargetMode="External"/><Relationship Id="rId787" Type="http://schemas.openxmlformats.org/officeDocument/2006/relationships/hyperlink" Target="https://nachi065.github.io/AI-Security-Wiki/11_GCC_AI_Compliance/07_Regulatory_Crosswalk.html" TargetMode="External"/><Relationship Id="rId788" Type="http://schemas.openxmlformats.org/officeDocument/2006/relationships/hyperlink" Target="https://nachi065.github.io/AI-Security-Wiki/11_GCC_AI_Compliance/07_Regulatory_Crosswalk.html" TargetMode="External"/><Relationship Id="rId789" Type="http://schemas.openxmlformats.org/officeDocument/2006/relationships/hyperlink" Target="https://nachi065.github.io/AI-Security-Wiki/11_GCC_AI_Compliance/07_Regulatory_Crosswalk.html" TargetMode="External"/><Relationship Id="rId790" Type="http://schemas.openxmlformats.org/officeDocument/2006/relationships/hyperlink" Target="https://nachi065.github.io/AI-Security-Wiki/11_GCC_AI_Compliance/07_Regulatory_Crosswalk.html" TargetMode="External"/><Relationship Id="rId791" Type="http://schemas.openxmlformats.org/officeDocument/2006/relationships/hyperlink" Target="https://nachi065.github.io/AI-Security-Wiki/11_GCC_AI_Compliance/07_Regulatory_Crosswalk.html" TargetMode="External"/><Relationship Id="rId792" Type="http://schemas.openxmlformats.org/officeDocument/2006/relationships/hyperlink" Target="https://nachi065.github.io/AI-Security-Wiki/11_GCC_AI_Compliance/07_Regulatory_Crosswalk.html" TargetMode="External"/><Relationship Id="rId793" Type="http://schemas.openxmlformats.org/officeDocument/2006/relationships/hyperlink" Target="https://nachi065.github.io/AI-Security-Wiki/11_GCC_AI_Compliance/07_Regulatory_Crosswalk.html" TargetMode="External"/><Relationship Id="rId794" Type="http://schemas.openxmlformats.org/officeDocument/2006/relationships/hyperlink" Target="https://nachi065.github.io/AI-Security-Wiki/11_GCC_AI_Compliance/07_Regulatory_Crosswalk.html" TargetMode="External"/><Relationship Id="rId795" Type="http://schemas.openxmlformats.org/officeDocument/2006/relationships/hyperlink" Target="https://nachi065.github.io/AI-Security-Wiki/11_GCC_AI_Compliance/07_Regulatory_Crosswalk.html" TargetMode="External"/><Relationship Id="rId796" Type="http://schemas.openxmlformats.org/officeDocument/2006/relationships/hyperlink" Target="https://nachi065.github.io/AI-Security-Wiki/11_GCC_AI_Compliance/07_Regulatory_Crosswalk.html" TargetMode="External"/><Relationship Id="rId797" Type="http://schemas.openxmlformats.org/officeDocument/2006/relationships/hyperlink" Target="https://nachi065.github.io/AI-Security-Wiki/11_GCC_AI_Compliance/07_Regulatory_Crosswalk.html" TargetMode="External"/><Relationship Id="rId798" Type="http://schemas.openxmlformats.org/officeDocument/2006/relationships/hyperlink" Target="https://nachi065.github.io/AI-Security-Wiki/11_GCC_AI_Compliance/07_Regulatory_Crosswalk.html" TargetMode="External"/><Relationship Id="rId799" Type="http://schemas.openxmlformats.org/officeDocument/2006/relationships/hyperlink" Target="https://nachi065.github.io/AI-Security-Wiki/11_GCC_AI_Compliance/07_Regulatory_Crosswalk.html" TargetMode="External"/><Relationship Id="rId800" Type="http://schemas.openxmlformats.org/officeDocument/2006/relationships/hyperlink" Target="https://nachi065.github.io/AI-Security-Wiki/11_GCC_AI_Compliance/07_Regulatory_Crosswalk.html" TargetMode="External"/><Relationship Id="rId801" Type="http://schemas.openxmlformats.org/officeDocument/2006/relationships/hyperlink" Target="https://nachi065.github.io/AI-Security-Wiki/11_GCC_AI_Compliance/07_Regulatory_Crosswalk.html" TargetMode="External"/><Relationship Id="rId802" Type="http://schemas.openxmlformats.org/officeDocument/2006/relationships/hyperlink" Target="https://nachi065.github.io/AI-Security-Wiki/11_GCC_AI_Compliance/07_Regulatory_Crosswalk.html" TargetMode="External"/><Relationship Id="rId803" Type="http://schemas.openxmlformats.org/officeDocument/2006/relationships/hyperlink" Target="https://nachi065.github.io/AI-Security-Wiki/11_GCC_AI_Compliance/07_Regulatory_Crosswalk.html" TargetMode="External"/><Relationship Id="rId804" Type="http://schemas.openxmlformats.org/officeDocument/2006/relationships/hyperlink" Target="https://nachi065.github.io/AI-Security-Wiki/11_GCC_AI_Compliance/07_Regulatory_Crosswalk.html" TargetMode="External"/><Relationship Id="rId805" Type="http://schemas.openxmlformats.org/officeDocument/2006/relationships/hyperlink" Target="https://nachi065.github.io/AI-Security-Wiki/11_GCC_AI_Compliance/07_Regulatory_Crosswalk.html" TargetMode="External"/><Relationship Id="rId806" Type="http://schemas.openxmlformats.org/officeDocument/2006/relationships/hyperlink" Target="https://nachi065.github.io/AI-Security-Wiki/11_GCC_AI_Compliance/07_Regulatory_Crosswalk.html" TargetMode="External"/><Relationship Id="rId807" Type="http://schemas.openxmlformats.org/officeDocument/2006/relationships/hyperlink" Target="https://nachi065.github.io/AI-Security-Wiki/11_GCC_AI_Compliance/07_Regulatory_Crosswalk.html" TargetMode="External"/><Relationship Id="rId808" Type="http://schemas.openxmlformats.org/officeDocument/2006/relationships/hyperlink" Target="https://nachi065.github.io/AI-Security-Wiki/11_GCC_AI_Compliance/07_Regulatory_Crosswalk.html" TargetMode="External"/><Relationship Id="rId809" Type="http://schemas.openxmlformats.org/officeDocument/2006/relationships/hyperlink" Target="https://nachi065.github.io/AI-Security-Wiki/11_GCC_AI_Compliance/07_Regulatory_Crosswalk.html" TargetMode="External"/><Relationship Id="rId810" Type="http://schemas.openxmlformats.org/officeDocument/2006/relationships/hyperlink" Target="https://nachi065.github.io/AI-Security-Wiki/11_GCC_AI_Compliance/07_Regulatory_Crosswalk.html" TargetMode="External"/><Relationship Id="rId811" Type="http://schemas.openxmlformats.org/officeDocument/2006/relationships/hyperlink" Target="https://nachi065.github.io/AI-Security-Wiki/12_EU_AI_Compliance/07_Regulatory_Crosswalk.html" TargetMode="External"/><Relationship Id="rId812" Type="http://schemas.openxmlformats.org/officeDocument/2006/relationships/hyperlink" Target="https://nachi065.github.io/AI-Security-Wiki/12_EU_AI_Compliance/07_Regulatory_Crosswalk.html" TargetMode="External"/><Relationship Id="rId813" Type="http://schemas.openxmlformats.org/officeDocument/2006/relationships/hyperlink" Target="https://nachi065.github.io/AI-Security-Wiki/12_EU_AI_Compliance/07_Regulatory_Crosswalk.html" TargetMode="External"/><Relationship Id="rId814" Type="http://schemas.openxmlformats.org/officeDocument/2006/relationships/hyperlink" Target="https://nachi065.github.io/AI-Security-Wiki/12_EU_AI_Compliance/07_Regulatory_Crosswalk.html" TargetMode="External"/><Relationship Id="rId815" Type="http://schemas.openxmlformats.org/officeDocument/2006/relationships/hyperlink" Target="https://nachi065.github.io/AI-Security-Wiki/12_EU_AI_Compliance/07_Regulatory_Crosswalk.html" TargetMode="External"/><Relationship Id="rId816" Type="http://schemas.openxmlformats.org/officeDocument/2006/relationships/hyperlink" Target="https://nachi065.github.io/AI-Security-Wiki/12_EU_AI_Compliance/07_Regulatory_Crosswalk.html" TargetMode="External"/><Relationship Id="rId817" Type="http://schemas.openxmlformats.org/officeDocument/2006/relationships/hyperlink" Target="https://nachi065.github.io/AI-Security-Wiki/12_EU_AI_Compliance/07_Regulatory_Crosswalk.html" TargetMode="External"/><Relationship Id="rId818" Type="http://schemas.openxmlformats.org/officeDocument/2006/relationships/hyperlink" Target="https://nachi065.github.io/AI-Security-Wiki/12_EU_AI_Compliance/07_Regulatory_Crosswalk.html" TargetMode="External"/><Relationship Id="rId819" Type="http://schemas.openxmlformats.org/officeDocument/2006/relationships/hyperlink" Target="https://nachi065.github.io/AI-Security-Wiki/12_EU_AI_Compliance/07_Regulatory_Crosswalk.html" TargetMode="External"/><Relationship Id="rId820" Type="http://schemas.openxmlformats.org/officeDocument/2006/relationships/hyperlink" Target="https://nachi065.github.io/AI-Security-Wiki/12_EU_AI_Compliance/07_Regulatory_Crosswalk.html" TargetMode="External"/><Relationship Id="rId821" Type="http://schemas.openxmlformats.org/officeDocument/2006/relationships/hyperlink" Target="https://nachi065.github.io/AI-Security-Wiki/12_EU_AI_Compliance/07_Regulatory_Crosswalk.html" TargetMode="External"/><Relationship Id="rId822" Type="http://schemas.openxmlformats.org/officeDocument/2006/relationships/hyperlink" Target="https://nachi065.github.io/AI-Security-Wiki/12_EU_AI_Compliance/07_Regulatory_Crosswalk.html" TargetMode="External"/><Relationship Id="rId823" Type="http://schemas.openxmlformats.org/officeDocument/2006/relationships/hyperlink" Target="https://nachi065.github.io/AI-Security-Wiki/12_EU_AI_Compliance/07_Regulatory_Crosswalk.html" TargetMode="External"/><Relationship Id="rId824" Type="http://schemas.openxmlformats.org/officeDocument/2006/relationships/hyperlink" Target="https://nachi065.github.io/AI-Security-Wiki/12_EU_AI_Compliance/07_Regulatory_Crosswalk.html" TargetMode="External"/><Relationship Id="rId825" Type="http://schemas.openxmlformats.org/officeDocument/2006/relationships/hyperlink" Target="https://nachi065.github.io/AI-Security-Wiki/12_EU_AI_Compliance/07_Regulatory_Crosswalk.html" TargetMode="External"/><Relationship Id="rId826" Type="http://schemas.openxmlformats.org/officeDocument/2006/relationships/hyperlink" Target="https://nachi065.github.io/AI-Security-Wiki/12_EU_AI_Compliance/07_Regulatory_Crosswalk.html" TargetMode="External"/><Relationship Id="rId827" Type="http://schemas.openxmlformats.org/officeDocument/2006/relationships/hyperlink" Target="https://nachi065.github.io/AI-Security-Wiki/12_EU_AI_Compliance/07_Regulatory_Crosswalk.html" TargetMode="External"/><Relationship Id="rId828" Type="http://schemas.openxmlformats.org/officeDocument/2006/relationships/hyperlink" Target="https://nachi065.github.io/AI-Security-Wiki/12_EU_AI_Compliance/07_Regulatory_Crosswalk.html" TargetMode="External"/><Relationship Id="rId829" Type="http://schemas.openxmlformats.org/officeDocument/2006/relationships/hyperlink" Target="https://nachi065.github.io/AI-Security-Wiki/12_EU_AI_Compliance/07_Regulatory_Crosswalk.html" TargetMode="External"/><Relationship Id="rId830" Type="http://schemas.openxmlformats.org/officeDocument/2006/relationships/hyperlink" Target="https://nachi065.github.io/AI-Security-Wiki/12_EU_AI_Compliance/07_Regulatory_Crosswalk.html" TargetMode="External"/><Relationship Id="rId831" Type="http://schemas.openxmlformats.org/officeDocument/2006/relationships/hyperlink" Target="https://nachi065.github.io/AI-Security-Wiki/12_EU_AI_Compliance/07_Regulatory_Crosswalk.html" TargetMode="External"/><Relationship Id="rId832" Type="http://schemas.openxmlformats.org/officeDocument/2006/relationships/hyperlink" Target="https://nachi065.github.io/AI-Security-Wiki/12_EU_AI_Compliance/07_Regulatory_Crosswalk.html" TargetMode="External"/><Relationship Id="rId833" Type="http://schemas.openxmlformats.org/officeDocument/2006/relationships/hyperlink" Target="https://nachi065.github.io/AI-Security-Wiki/12_EU_AI_Compliance/07_Regulatory_Crosswalk.html" TargetMode="External"/><Relationship Id="rId834" Type="http://schemas.openxmlformats.org/officeDocument/2006/relationships/hyperlink" Target="https://nachi065.github.io/AI-Security-Wiki/21_UK_AI_Compliance/03_Regulatory_Crosswalk.html" TargetMode="External"/><Relationship Id="rId835" Type="http://schemas.openxmlformats.org/officeDocument/2006/relationships/hyperlink" Target="https://nachi065.github.io/AI-Security-Wiki/21_UK_AI_Compliance/03_Regulatory_Crosswalk.html" TargetMode="External"/><Relationship Id="rId836" Type="http://schemas.openxmlformats.org/officeDocument/2006/relationships/hyperlink" Target="https://nachi065.github.io/AI-Security-Wiki/21_UK_AI_Compliance/03_Regulatory_Crosswalk.html" TargetMode="External"/><Relationship Id="rId837" Type="http://schemas.openxmlformats.org/officeDocument/2006/relationships/hyperlink" Target="https://nachi065.github.io/AI-Security-Wiki/21_UK_AI_Compliance/03_Regulatory_Crosswalk.html" TargetMode="External"/><Relationship Id="rId838" Type="http://schemas.openxmlformats.org/officeDocument/2006/relationships/hyperlink" Target="https://nachi065.github.io/AI-Security-Wiki/21_UK_AI_Compliance/03_Regulatory_Crosswalk.html" TargetMode="External"/><Relationship Id="rId839" Type="http://schemas.openxmlformats.org/officeDocument/2006/relationships/hyperlink" Target="https://nachi065.github.io/AI-Security-Wiki/21_UK_AI_Compliance/03_Regulatory_Crosswalk.html" TargetMode="External"/><Relationship Id="rId840" Type="http://schemas.openxmlformats.org/officeDocument/2006/relationships/hyperlink" Target="https://nachi065.github.io/AI-Security-Wiki/21_UK_AI_Compliance/03_Regulatory_Crosswalk.html" TargetMode="External"/><Relationship Id="rId841" Type="http://schemas.openxmlformats.org/officeDocument/2006/relationships/hyperlink" Target="https://nachi065.github.io/AI-Security-Wiki/21_UK_AI_Compliance/03_Regulatory_Crosswalk.html" TargetMode="External"/><Relationship Id="rId842" Type="http://schemas.openxmlformats.org/officeDocument/2006/relationships/hyperlink" Target="https://nachi065.github.io/AI-Security-Wiki/21_UK_AI_Compliance/03_Regulatory_Crosswalk.html" TargetMode="External"/><Relationship Id="rId843" Type="http://schemas.openxmlformats.org/officeDocument/2006/relationships/hyperlink" Target="https://nachi065.github.io/AI-Security-Wiki/21_UK_AI_Compliance/03_Regulatory_Crosswalk.html" TargetMode="External"/><Relationship Id="rId844" Type="http://schemas.openxmlformats.org/officeDocument/2006/relationships/hyperlink" Target="https://nachi065.github.io/AI-Security-Wiki/21_UK_AI_Compliance/03_Regulatory_Crosswalk.html" TargetMode="External"/><Relationship Id="rId845" Type="http://schemas.openxmlformats.org/officeDocument/2006/relationships/hyperlink" Target="https://nachi065.github.io/AI-Security-Wiki/21_UK_AI_Compliance/03_Regulatory_Crosswalk.html" TargetMode="External"/><Relationship Id="rId846" Type="http://schemas.openxmlformats.org/officeDocument/2006/relationships/hyperlink" Target="https://nachi065.github.io/AI-Security-Wiki/21_UK_AI_Compliance/03_Regulatory_Crosswalk.html" TargetMode="External"/><Relationship Id="rId847" Type="http://schemas.openxmlformats.org/officeDocument/2006/relationships/hyperlink" Target="https://nachi065.github.io/AI-Security-Wiki/22_US_AI_Compliance/03_Regulatory_Crosswalk.html" TargetMode="External"/><Relationship Id="rId848" Type="http://schemas.openxmlformats.org/officeDocument/2006/relationships/hyperlink" Target="https://nachi065.github.io/AI-Security-Wiki/22_US_AI_Compliance/03_Regulatory_Crosswalk.html" TargetMode="External"/><Relationship Id="rId849" Type="http://schemas.openxmlformats.org/officeDocument/2006/relationships/hyperlink" Target="https://nachi065.github.io/AI-Security-Wiki/22_US_AI_Compliance/03_Regulatory_Crosswalk.html" TargetMode="External"/><Relationship Id="rId850" Type="http://schemas.openxmlformats.org/officeDocument/2006/relationships/hyperlink" Target="https://nachi065.github.io/AI-Security-Wiki/22_US_AI_Compliance/03_Regulatory_Crosswalk.html" TargetMode="External"/><Relationship Id="rId851" Type="http://schemas.openxmlformats.org/officeDocument/2006/relationships/hyperlink" Target="https://nachi065.github.io/AI-Security-Wiki/22_US_AI_Compliance/03_Regulatory_Crosswalk.html" TargetMode="External"/><Relationship Id="rId852" Type="http://schemas.openxmlformats.org/officeDocument/2006/relationships/hyperlink" Target="https://nachi065.github.io/AI-Security-Wiki/22_US_AI_Compliance/03_Regulatory_Crosswalk.html" TargetMode="External"/><Relationship Id="rId853" Type="http://schemas.openxmlformats.org/officeDocument/2006/relationships/hyperlink" Target="https://nachi065.github.io/AI-Security-Wiki/22_US_AI_Compliance/03_Regulatory_Crosswalk.html" TargetMode="External"/><Relationship Id="rId854" Type="http://schemas.openxmlformats.org/officeDocument/2006/relationships/hyperlink" Target="https://nachi065.github.io/AI-Security-Wiki/22_US_AI_Compliance/03_Regulatory_Crosswalk.html" TargetMode="External"/><Relationship Id="rId855" Type="http://schemas.openxmlformats.org/officeDocument/2006/relationships/hyperlink" Target="https://nachi065.github.io/AI-Security-Wiki/22_US_AI_Compliance/03_Regulatory_Crosswalk.html" TargetMode="External"/><Relationship Id="rId856" Type="http://schemas.openxmlformats.org/officeDocument/2006/relationships/hyperlink" Target="https://nachi065.github.io/AI-Security-Wiki/22_US_AI_Compliance/03_Regulatory_Crosswalk.html" TargetMode="External"/><Relationship Id="rId857" Type="http://schemas.openxmlformats.org/officeDocument/2006/relationships/hyperlink" Target="https://nachi065.github.io/AI-Security-Wiki/22_US_AI_Compliance/03_Regulatory_Crosswalk.html" TargetMode="External"/><Relationship Id="rId858" Type="http://schemas.openxmlformats.org/officeDocument/2006/relationships/hyperlink" Target="https://nachi065.github.io/AI-Security-Wiki/22_US_AI_Compliance/03_Regulatory_Crosswalk.html" TargetMode="External"/><Relationship Id="rId859" Type="http://schemas.openxmlformats.org/officeDocument/2006/relationships/hyperlink" Target="https://nachi065.github.io/AI-Security-Wiki/22_US_AI_Compliance/03_Regulatory_Crosswalk.html" TargetMode="External"/><Relationship Id="rId860" Type="http://schemas.openxmlformats.org/officeDocument/2006/relationships/hyperlink" Target="https://nachi065.github.io/AI-Security-Wiki/22_US_AI_Compliance/03_Regulatory_Crosswalk.html" TargetMode="External"/><Relationship Id="rId861" Type="http://schemas.openxmlformats.org/officeDocument/2006/relationships/hyperlink" Target="https://nachi065.github.io/AI-Security-Wiki/22_US_AI_Compliance/03_Regulatory_Crosswalk.html" TargetMode="External"/><Relationship Id="rId862" Type="http://schemas.openxmlformats.org/officeDocument/2006/relationships/hyperlink" Target="https://nachi065.github.io/AI-Security-Wiki/22_US_AI_Compliance/03_Regulatory_Crosswalk.html" TargetMode="External"/><Relationship Id="rId863" Type="http://schemas.openxmlformats.org/officeDocument/2006/relationships/hyperlink" Target="https://nachi065.github.io/AI-Security-Wiki/22_US_AI_Compliance/03_Regulatory_Crosswalk.html" TargetMode="External"/><Relationship Id="rId864" Type="http://schemas.openxmlformats.org/officeDocument/2006/relationships/hyperlink" Target="https://nachi065.github.io/AI-Security-Wiki/13_Australia_AI_Compliance/03_Regulatory_Crosswalk.html" TargetMode="External"/><Relationship Id="rId865" Type="http://schemas.openxmlformats.org/officeDocument/2006/relationships/hyperlink" Target="https://nachi065.github.io/AI-Security-Wiki/13_Australia_AI_Compliance/03_Regulatory_Crosswalk.html" TargetMode="External"/><Relationship Id="rId866" Type="http://schemas.openxmlformats.org/officeDocument/2006/relationships/hyperlink" Target="https://nachi065.github.io/AI-Security-Wiki/13_Australia_AI_Compliance/03_Regulatory_Crosswalk.html" TargetMode="External"/><Relationship Id="rId867" Type="http://schemas.openxmlformats.org/officeDocument/2006/relationships/hyperlink" Target="https://nachi065.github.io/AI-Security-Wiki/13_Australia_AI_Compliance/03_Regulatory_Crosswalk.html" TargetMode="External"/><Relationship Id="rId868" Type="http://schemas.openxmlformats.org/officeDocument/2006/relationships/hyperlink" Target="https://nachi065.github.io/AI-Security-Wiki/13_Australia_AI_Compliance/03_Regulatory_Crosswalk.html" TargetMode="External"/><Relationship Id="rId869" Type="http://schemas.openxmlformats.org/officeDocument/2006/relationships/hyperlink" Target="https://nachi065.github.io/AI-Security-Wiki/13_Australia_AI_Compliance/03_Regulatory_Crosswalk.html" TargetMode="External"/><Relationship Id="rId870" Type="http://schemas.openxmlformats.org/officeDocument/2006/relationships/hyperlink" Target="https://nachi065.github.io/AI-Security-Wiki/13_Australia_AI_Compliance/03_Regulatory_Crosswalk.html" TargetMode="External"/><Relationship Id="rId871" Type="http://schemas.openxmlformats.org/officeDocument/2006/relationships/hyperlink" Target="https://nachi065.github.io/AI-Security-Wiki/13_Australia_AI_Compliance/03_Regulatory_Crosswalk.html" TargetMode="External"/><Relationship Id="rId872" Type="http://schemas.openxmlformats.org/officeDocument/2006/relationships/hyperlink" Target="https://nachi065.github.io/AI-Security-Wiki/13_Australia_AI_Compliance/03_Regulatory_Crosswalk.html" TargetMode="External"/><Relationship Id="rId873" Type="http://schemas.openxmlformats.org/officeDocument/2006/relationships/hyperlink" Target="https://nachi065.github.io/AI-Security-Wiki/13_Australia_AI_Compliance/03_Regulatory_Crosswalk.html" TargetMode="External"/><Relationship Id="rId874" Type="http://schemas.openxmlformats.org/officeDocument/2006/relationships/hyperlink" Target="https://nachi065.github.io/AI-Security-Wiki/14_Brazil_AI_Compliance/03_Regulatory_Crosswalk.html" TargetMode="External"/><Relationship Id="rId875" Type="http://schemas.openxmlformats.org/officeDocument/2006/relationships/hyperlink" Target="https://nachi065.github.io/AI-Security-Wiki/14_Brazil_AI_Compliance/03_Regulatory_Crosswalk.html" TargetMode="External"/><Relationship Id="rId876" Type="http://schemas.openxmlformats.org/officeDocument/2006/relationships/hyperlink" Target="https://nachi065.github.io/AI-Security-Wiki/14_Brazil_AI_Compliance/03_Regulatory_Crosswalk.html" TargetMode="External"/><Relationship Id="rId877" Type="http://schemas.openxmlformats.org/officeDocument/2006/relationships/hyperlink" Target="https://nachi065.github.io/AI-Security-Wiki/14_Brazil_AI_Compliance/03_Regulatory_Crosswalk.html" TargetMode="External"/><Relationship Id="rId878" Type="http://schemas.openxmlformats.org/officeDocument/2006/relationships/hyperlink" Target="https://nachi065.github.io/AI-Security-Wiki/15_Canada_AI_Compliance/03_Regulatory_Crosswalk.html" TargetMode="External"/><Relationship Id="rId879" Type="http://schemas.openxmlformats.org/officeDocument/2006/relationships/hyperlink" Target="https://nachi065.github.io/AI-Security-Wiki/15_Canada_AI_Compliance/03_Regulatory_Crosswalk.html" TargetMode="External"/><Relationship Id="rId880" Type="http://schemas.openxmlformats.org/officeDocument/2006/relationships/hyperlink" Target="https://nachi065.github.io/AI-Security-Wiki/15_Canada_AI_Compliance/03_Regulatory_Crosswalk.html" TargetMode="External"/><Relationship Id="rId881" Type="http://schemas.openxmlformats.org/officeDocument/2006/relationships/hyperlink" Target="https://nachi065.github.io/AI-Security-Wiki/15_Canada_AI_Compliance/03_Regulatory_Crosswalk.html" TargetMode="External"/><Relationship Id="rId882" Type="http://schemas.openxmlformats.org/officeDocument/2006/relationships/hyperlink" Target="https://nachi065.github.io/AI-Security-Wiki/15_Canada_AI_Compliance/03_Regulatory_Crosswalk.html" TargetMode="External"/><Relationship Id="rId883" Type="http://schemas.openxmlformats.org/officeDocument/2006/relationships/hyperlink" Target="https://nachi065.github.io/AI-Security-Wiki/15_Canada_AI_Compliance/03_Regulatory_Crosswalk.html" TargetMode="External"/><Relationship Id="rId884" Type="http://schemas.openxmlformats.org/officeDocument/2006/relationships/hyperlink" Target="https://nachi065.github.io/AI-Security-Wiki/15_Canada_AI_Compliance/03_Regulatory_Crosswalk.html" TargetMode="External"/><Relationship Id="rId885" Type="http://schemas.openxmlformats.org/officeDocument/2006/relationships/hyperlink" Target="https://nachi065.github.io/AI-Security-Wiki/15_Canada_AI_Compliance/03_Regulatory_Crosswalk.html" TargetMode="External"/><Relationship Id="rId886" Type="http://schemas.openxmlformats.org/officeDocument/2006/relationships/hyperlink" Target="https://nachi065.github.io/AI-Security-Wiki/16_China_AI_Compliance/03_Regulatory_Crosswalk.html" TargetMode="External"/><Relationship Id="rId887" Type="http://schemas.openxmlformats.org/officeDocument/2006/relationships/hyperlink" Target="https://nachi065.github.io/AI-Security-Wiki/16_China_AI_Compliance/03_Regulatory_Crosswalk.html" TargetMode="External"/><Relationship Id="rId888" Type="http://schemas.openxmlformats.org/officeDocument/2006/relationships/hyperlink" Target="https://nachi065.github.io/AI-Security-Wiki/16_China_AI_Compliance/03_Regulatory_Crosswalk.html" TargetMode="External"/><Relationship Id="rId889" Type="http://schemas.openxmlformats.org/officeDocument/2006/relationships/hyperlink" Target="https://nachi065.github.io/AI-Security-Wiki/16_China_AI_Compliance/03_Regulatory_Crosswalk.html" TargetMode="External"/><Relationship Id="rId890" Type="http://schemas.openxmlformats.org/officeDocument/2006/relationships/hyperlink" Target="https://nachi065.github.io/AI-Security-Wiki/16_China_AI_Compliance/03_Regulatory_Crosswalk.html" TargetMode="External"/><Relationship Id="rId891" Type="http://schemas.openxmlformats.org/officeDocument/2006/relationships/hyperlink" Target="https://nachi065.github.io/AI-Security-Wiki/16_China_AI_Compliance/03_Regulatory_Crosswalk.html" TargetMode="External"/><Relationship Id="rId892" Type="http://schemas.openxmlformats.org/officeDocument/2006/relationships/hyperlink" Target="https://nachi065.github.io/AI-Security-Wiki/16_China_AI_Compliance/03_Regulatory_Crosswalk.html" TargetMode="External"/><Relationship Id="rId893" Type="http://schemas.openxmlformats.org/officeDocument/2006/relationships/hyperlink" Target="https://nachi065.github.io/AI-Security-Wiki/16_China_AI_Compliance/03_Regulatory_Crosswalk.html" TargetMode="External"/><Relationship Id="rId894" Type="http://schemas.openxmlformats.org/officeDocument/2006/relationships/hyperlink" Target="https://nachi065.github.io/AI-Security-Wiki/16_China_AI_Compliance/03_Regulatory_Crosswalk.html" TargetMode="External"/><Relationship Id="rId895" Type="http://schemas.openxmlformats.org/officeDocument/2006/relationships/hyperlink" Target="https://nachi065.github.io/AI-Security-Wiki/17_India_AI_Compliance/03_Regulatory_Crosswalk.html" TargetMode="External"/><Relationship Id="rId896" Type="http://schemas.openxmlformats.org/officeDocument/2006/relationships/hyperlink" Target="https://nachi065.github.io/AI-Security-Wiki/17_India_AI_Compliance/03_Regulatory_Crosswalk.html" TargetMode="External"/><Relationship Id="rId897" Type="http://schemas.openxmlformats.org/officeDocument/2006/relationships/hyperlink" Target="https://nachi065.github.io/AI-Security-Wiki/17_India_AI_Compliance/03_Regulatory_Crosswalk.html" TargetMode="External"/><Relationship Id="rId898" Type="http://schemas.openxmlformats.org/officeDocument/2006/relationships/hyperlink" Target="https://nachi065.github.io/AI-Security-Wiki/17_India_AI_Compliance/03_Regulatory_Crosswalk.html" TargetMode="External"/><Relationship Id="rId899" Type="http://schemas.openxmlformats.org/officeDocument/2006/relationships/hyperlink" Target="https://nachi065.github.io/AI-Security-Wiki/17_India_AI_Compliance/03_Regulatory_Crosswalk.html" TargetMode="External"/><Relationship Id="rId900" Type="http://schemas.openxmlformats.org/officeDocument/2006/relationships/hyperlink" Target="https://nachi065.github.io/AI-Security-Wiki/17_India_AI_Compliance/03_Regulatory_Crosswalk.html" TargetMode="External"/><Relationship Id="rId901" Type="http://schemas.openxmlformats.org/officeDocument/2006/relationships/hyperlink" Target="https://nachi065.github.io/AI-Security-Wiki/17_India_AI_Compliance/03_Regulatory_Crosswalk.html" TargetMode="External"/><Relationship Id="rId902" Type="http://schemas.openxmlformats.org/officeDocument/2006/relationships/hyperlink" Target="https://nachi065.github.io/AI-Security-Wiki/17_India_AI_Compliance/03_Regulatory_Crosswalk.html" TargetMode="External"/><Relationship Id="rId903" Type="http://schemas.openxmlformats.org/officeDocument/2006/relationships/hyperlink" Target="https://nachi065.github.io/AI-Security-Wiki/17_India_AI_Compliance/03_Regulatory_Crosswalk.html" TargetMode="External"/><Relationship Id="rId904" Type="http://schemas.openxmlformats.org/officeDocument/2006/relationships/hyperlink" Target="https://nachi065.github.io/AI-Security-Wiki/17_India_AI_Compliance/03_Regulatory_Crosswalk.html" TargetMode="External"/><Relationship Id="rId905" Type="http://schemas.openxmlformats.org/officeDocument/2006/relationships/hyperlink" Target="https://nachi065.github.io/AI-Security-Wiki/17_India_AI_Compliance/03_Regulatory_Crosswalk.html" TargetMode="External"/><Relationship Id="rId906" Type="http://schemas.openxmlformats.org/officeDocument/2006/relationships/hyperlink" Target="https://nachi065.github.io/AI-Security-Wiki/17_India_AI_Compliance/03_Regulatory_Crosswalk.html" TargetMode="External"/><Relationship Id="rId907" Type="http://schemas.openxmlformats.org/officeDocument/2006/relationships/hyperlink" Target="https://nachi065.github.io/AI-Security-Wiki/17_India_AI_Compliance/03_Regulatory_Crosswalk.html" TargetMode="External"/><Relationship Id="rId908" Type="http://schemas.openxmlformats.org/officeDocument/2006/relationships/hyperlink" Target="https://nachi065.github.io/AI-Security-Wiki/18_Japan_AI_Compliance/03_Regulatory_Crosswalk.html" TargetMode="External"/><Relationship Id="rId909" Type="http://schemas.openxmlformats.org/officeDocument/2006/relationships/hyperlink" Target="https://nachi065.github.io/AI-Security-Wiki/18_Japan_AI_Compliance/03_Regulatory_Crosswalk.html" TargetMode="External"/><Relationship Id="rId910" Type="http://schemas.openxmlformats.org/officeDocument/2006/relationships/hyperlink" Target="https://nachi065.github.io/AI-Security-Wiki/18_Japan_AI_Compliance/03_Regulatory_Crosswalk.html" TargetMode="External"/><Relationship Id="rId911" Type="http://schemas.openxmlformats.org/officeDocument/2006/relationships/hyperlink" Target="https://nachi065.github.io/AI-Security-Wiki/18_Japan_AI_Compliance/03_Regulatory_Crosswalk.html" TargetMode="External"/><Relationship Id="rId912" Type="http://schemas.openxmlformats.org/officeDocument/2006/relationships/hyperlink" Target="https://nachi065.github.io/AI-Security-Wiki/18_Japan_AI_Compliance/03_Regulatory_Crosswalk.html" TargetMode="External"/><Relationship Id="rId913" Type="http://schemas.openxmlformats.org/officeDocument/2006/relationships/hyperlink" Target="https://nachi065.github.io/AI-Security-Wiki/18_Japan_AI_Compliance/03_Regulatory_Crosswalk.html" TargetMode="External"/><Relationship Id="rId914" Type="http://schemas.openxmlformats.org/officeDocument/2006/relationships/hyperlink" Target="https://nachi065.github.io/AI-Security-Wiki/19_Singapore_AI_Compliance/03_Regulatory_Crosswalk.html" TargetMode="External"/><Relationship Id="rId915" Type="http://schemas.openxmlformats.org/officeDocument/2006/relationships/hyperlink" Target="https://nachi065.github.io/AI-Security-Wiki/19_Singapore_AI_Compliance/03_Regulatory_Crosswalk.html" TargetMode="External"/><Relationship Id="rId916" Type="http://schemas.openxmlformats.org/officeDocument/2006/relationships/hyperlink" Target="https://nachi065.github.io/AI-Security-Wiki/19_Singapore_AI_Compliance/03_Regulatory_Crosswalk.html" TargetMode="External"/><Relationship Id="rId917" Type="http://schemas.openxmlformats.org/officeDocument/2006/relationships/hyperlink" Target="https://nachi065.github.io/AI-Security-Wiki/19_Singapore_AI_Compliance/03_Regulatory_Crosswalk.html" TargetMode="External"/><Relationship Id="rId918" Type="http://schemas.openxmlformats.org/officeDocument/2006/relationships/hyperlink" Target="https://nachi065.github.io/AI-Security-Wiki/19_Singapore_AI_Compliance/03_Regulatory_Crosswalk.html" TargetMode="External"/><Relationship Id="rId919" Type="http://schemas.openxmlformats.org/officeDocument/2006/relationships/hyperlink" Target="https://nachi065.github.io/AI-Security-Wiki/19_Singapore_AI_Compliance/03_Regulatory_Crosswalk.html" TargetMode="External"/><Relationship Id="rId920" Type="http://schemas.openxmlformats.org/officeDocument/2006/relationships/hyperlink" Target="https://nachi065.github.io/AI-Security-Wiki/19_Singapore_AI_Compliance/03_Regulatory_Crosswalk.html" TargetMode="External"/><Relationship Id="rId921" Type="http://schemas.openxmlformats.org/officeDocument/2006/relationships/hyperlink" Target="https://nachi065.github.io/AI-Security-Wiki/19_Singapore_AI_Compliance/03_Regulatory_Crosswalk.html" TargetMode="External"/><Relationship Id="rId922" Type="http://schemas.openxmlformats.org/officeDocument/2006/relationships/hyperlink" Target="https://nachi065.github.io/AI-Security-Wiki/19_Singapore_AI_Compliance/03_Regulatory_Crosswalk.html" TargetMode="External"/><Relationship Id="rId923" Type="http://schemas.openxmlformats.org/officeDocument/2006/relationships/hyperlink" Target="https://nachi065.github.io/AI-Security-Wiki/19_Singapore_AI_Compliance/03_Regulatory_Crosswalk.html" TargetMode="External"/><Relationship Id="rId924" Type="http://schemas.openxmlformats.org/officeDocument/2006/relationships/hyperlink" Target="https://nachi065.github.io/AI-Security-Wiki/19_Singapore_AI_Compliance/03_Regulatory_Crosswalk.html" TargetMode="External"/><Relationship Id="rId925" Type="http://schemas.openxmlformats.org/officeDocument/2006/relationships/hyperlink" Target="https://nachi065.github.io/AI-Security-Wiki/19_Singapore_AI_Compliance/03_Regulatory_Crosswalk.html" TargetMode="External"/><Relationship Id="rId926" Type="http://schemas.openxmlformats.org/officeDocument/2006/relationships/hyperlink" Target="https://nachi065.github.io/AI-Security-Wiki/19_Singapore_AI_Compliance/03_Regulatory_Crosswalk.html" TargetMode="External"/><Relationship Id="rId927" Type="http://schemas.openxmlformats.org/officeDocument/2006/relationships/hyperlink" Target="https://nachi065.github.io/AI-Security-Wiki/19_Singapore_AI_Compliance/03_Regulatory_Crosswalk.html" TargetMode="External"/><Relationship Id="rId928" Type="http://schemas.openxmlformats.org/officeDocument/2006/relationships/hyperlink" Target="https://nachi065.github.io/AI-Security-Wiki/19_Singapore_AI_Compliance/03_Regulatory_Crosswalk.html" TargetMode="External"/><Relationship Id="rId929" Type="http://schemas.openxmlformats.org/officeDocument/2006/relationships/hyperlink" Target="https://nachi065.github.io/AI-Security-Wiki/19_Singapore_AI_Compliance/03_Regulatory_Crosswalk.html" TargetMode="External"/><Relationship Id="rId930" Type="http://schemas.openxmlformats.org/officeDocument/2006/relationships/hyperlink" Target="https://nachi065.github.io/AI-Security-Wiki/19_Singapore_AI_Compliance/03_Regulatory_Crosswalk.html" TargetMode="External"/><Relationship Id="rId931" Type="http://schemas.openxmlformats.org/officeDocument/2006/relationships/hyperlink" Target="https://nachi065.github.io/AI-Security-Wiki/19_Singapore_AI_Compliance/03_Regulatory_Crosswalk.html" TargetMode="External"/><Relationship Id="rId932" Type="http://schemas.openxmlformats.org/officeDocument/2006/relationships/hyperlink" Target="https://nachi065.github.io/AI-Security-Wiki/19_Singapore_AI_Compliance/03_Regulatory_Crosswalk.html" TargetMode="External"/><Relationship Id="rId933" Type="http://schemas.openxmlformats.org/officeDocument/2006/relationships/hyperlink" Target="https://nachi065.github.io/AI-Security-Wiki/19_Singapore_AI_Compliance/03_Regulatory_Crosswalk.html" TargetMode="External"/><Relationship Id="rId934" Type="http://schemas.openxmlformats.org/officeDocument/2006/relationships/hyperlink" Target="https://nachi065.github.io/AI-Security-Wiki/19_Singapore_AI_Compliance/03_Regulatory_Crosswalk.html" TargetMode="External"/><Relationship Id="rId935" Type="http://schemas.openxmlformats.org/officeDocument/2006/relationships/hyperlink" Target="https://nachi065.github.io/AI-Security-Wiki/19_Singapore_AI_Compliance/03_Regulatory_Crosswalk.html" TargetMode="External"/><Relationship Id="rId936" Type="http://schemas.openxmlformats.org/officeDocument/2006/relationships/hyperlink" Target="https://nachi065.github.io/AI-Security-Wiki/19_Singapore_AI_Compliance/03_Regulatory_Crosswalk.html" TargetMode="External"/><Relationship Id="rId937" Type="http://schemas.openxmlformats.org/officeDocument/2006/relationships/hyperlink" Target="https://nachi065.github.io/AI-Security-Wiki/19_Singapore_AI_Compliance/03_Regulatory_Crosswalk.html" TargetMode="External"/><Relationship Id="rId938" Type="http://schemas.openxmlformats.org/officeDocument/2006/relationships/hyperlink" Target="https://nachi065.github.io/AI-Security-Wiki/19_Singapore_AI_Compliance/03_Regulatory_Crosswalk.html" TargetMode="External"/><Relationship Id="rId939" Type="http://schemas.openxmlformats.org/officeDocument/2006/relationships/hyperlink" Target="https://nachi065.github.io/AI-Security-Wiki/19_Singapore_AI_Compliance/03_Regulatory_Crosswalk.html" TargetMode="External"/><Relationship Id="rId940" Type="http://schemas.openxmlformats.org/officeDocument/2006/relationships/hyperlink" Target="https://nachi065.github.io/AI-Security-Wiki/19_Singapore_AI_Compliance/03_Regulatory_Crosswalk.html" TargetMode="External"/><Relationship Id="rId941" Type="http://schemas.openxmlformats.org/officeDocument/2006/relationships/hyperlink" Target="https://nachi065.github.io/AI-Security-Wiki/19_Singapore_AI_Compliance/03_Regulatory_Crosswalk.html" TargetMode="External"/><Relationship Id="rId942" Type="http://schemas.openxmlformats.org/officeDocument/2006/relationships/hyperlink" Target="https://nachi065.github.io/AI-Security-Wiki/19_Singapore_AI_Compliance/03_Regulatory_Crosswalk.html" TargetMode="External"/><Relationship Id="rId943" Type="http://schemas.openxmlformats.org/officeDocument/2006/relationships/hyperlink" Target="https://nachi065.github.io/AI-Security-Wiki/19_Singapore_AI_Compliance/03_Regulatory_Crosswalk.html" TargetMode="External"/><Relationship Id="rId944" Type="http://schemas.openxmlformats.org/officeDocument/2006/relationships/hyperlink" Target="https://nachi065.github.io/AI-Security-Wiki/19_Singapore_AI_Compliance/03_Regulatory_Crosswalk.html" TargetMode="External"/><Relationship Id="rId945" Type="http://schemas.openxmlformats.org/officeDocument/2006/relationships/hyperlink" Target="https://nachi065.github.io/AI-Security-Wiki/19_Singapore_AI_Compliance/03_Regulatory_Crosswalk.html" TargetMode="External"/><Relationship Id="rId946" Type="http://schemas.openxmlformats.org/officeDocument/2006/relationships/hyperlink" Target="https://nachi065.github.io/AI-Security-Wiki/19_Singapore_AI_Compliance/03_Regulatory_Crosswalk.html" TargetMode="External"/><Relationship Id="rId947" Type="http://schemas.openxmlformats.org/officeDocument/2006/relationships/hyperlink" Target="https://nachi065.github.io/AI-Security-Wiki/19_Singapore_AI_Compliance/03_Regulatory_Crosswalk.html" TargetMode="External"/><Relationship Id="rId948" Type="http://schemas.openxmlformats.org/officeDocument/2006/relationships/hyperlink" Target="https://nachi065.github.io/AI-Security-Wiki/20_South_Korea_AI_Compliance/03_Regulatory_Crosswalk.html" TargetMode="External"/><Relationship Id="rId949" Type="http://schemas.openxmlformats.org/officeDocument/2006/relationships/hyperlink" Target="https://nachi065.github.io/AI-Security-Wiki/20_South_Korea_AI_Compliance/03_Regulatory_Crosswalk.html" TargetMode="External"/><Relationship Id="rId950" Type="http://schemas.openxmlformats.org/officeDocument/2006/relationships/hyperlink" Target="https://nachi065.github.io/AI-Security-Wiki/20_South_Korea_AI_Compliance/03_Regulatory_Crosswalk.html" TargetMode="External"/><Relationship Id="rId951" Type="http://schemas.openxmlformats.org/officeDocument/2006/relationships/hyperlink" Target="https://nachi065.github.io/AI-Security-Wiki/20_South_Korea_AI_Compliance/03_Regulatory_Crosswalk.html" TargetMode="External"/><Relationship Id="rId952" Type="http://schemas.openxmlformats.org/officeDocument/2006/relationships/hyperlink" Target="https://nachi065.github.io/AI-Security-Wiki/20_South_Korea_AI_Compliance/03_Regulatory_Crosswalk.html" TargetMode="External"/><Relationship Id="rId953" Type="http://schemas.openxmlformats.org/officeDocument/2006/relationships/hyperlink" Target="https://nachi065.github.io/AI-Security-Wiki/20_South_Korea_AI_Compliance/03_Regulatory_Crosswalk.html" TargetMode="External"/><Relationship Id="rId954" Type="http://schemas.openxmlformats.org/officeDocument/2006/relationships/hyperlink" Target="https://nachi065.github.io/AI-Security-Wiki/20_South_Korea_AI_Compliance/03_Regulatory_Crosswalk.html" TargetMode="External"/><Relationship Id="rId955" Type="http://schemas.openxmlformats.org/officeDocument/2006/relationships/hyperlink" Target="https://nachi065.github.io/AI-Security-Wiki/20_South_Korea_AI_Compliance/03_Regulatory_Crosswalk.html" TargetMode="External"/><Relationship Id="rId956" Type="http://schemas.openxmlformats.org/officeDocument/2006/relationships/hyperlink" Target="https://nachi065.github.io/AI-Security-Wiki/26_Hong_Kong_AI_Compliance/03_Regulatory_Crosswalk.html" TargetMode="External"/><Relationship Id="rId957" Type="http://schemas.openxmlformats.org/officeDocument/2006/relationships/hyperlink" Target="https://nachi065.github.io/AI-Security-Wiki/26_Hong_Kong_AI_Compliance/03_Regulatory_Crosswalk.html" TargetMode="External"/><Relationship Id="rId958" Type="http://schemas.openxmlformats.org/officeDocument/2006/relationships/hyperlink" Target="https://nachi065.github.io/AI-Security-Wiki/26_Hong_Kong_AI_Compliance/03_Regulatory_Crosswalk.html" TargetMode="External"/><Relationship Id="rId959" Type="http://schemas.openxmlformats.org/officeDocument/2006/relationships/hyperlink" Target="https://nachi065.github.io/AI-Security-Wiki/26_Hong_Kong_AI_Compliance/03_Regulatory_Crosswalk.html" TargetMode="External"/><Relationship Id="rId960" Type="http://schemas.openxmlformats.org/officeDocument/2006/relationships/hyperlink" Target="https://nachi065.github.io/AI-Security-Wiki/26_Hong_Kong_AI_Compliance/03_Regulatory_Crosswalk.html" TargetMode="External"/><Relationship Id="rId961" Type="http://schemas.openxmlformats.org/officeDocument/2006/relationships/hyperlink" Target="https://nachi065.github.io/AI-Security-Wiki/26_Hong_Kong_AI_Compliance/03_Regulatory_Crosswalk.html" TargetMode="External"/><Relationship Id="rId962" Type="http://schemas.openxmlformats.org/officeDocument/2006/relationships/hyperlink" Target="https://nachi065.github.io/AI-Security-Wiki/26_Hong_Kong_AI_Compliance/03_Regulatory_Crosswalk.html" TargetMode="External"/><Relationship Id="rId963" Type="http://schemas.openxmlformats.org/officeDocument/2006/relationships/hyperlink" Target="https://nachi065.github.io/AI-Security-Wiki/26_Hong_Kong_AI_Compliance/03_Regulatory_Crosswalk.html" TargetMode="External"/><Relationship Id="rId964" Type="http://schemas.openxmlformats.org/officeDocument/2006/relationships/hyperlink" Target="https://nachi065.github.io/AI-Security-Wiki/26_Hong_Kong_AI_Compliance/03_Regulatory_Crosswalk.html" TargetMode="External"/><Relationship Id="rId965" Type="http://schemas.openxmlformats.org/officeDocument/2006/relationships/hyperlink" Target="https://nachi065.github.io/AI-Security-Wiki/26_Hong_Kong_AI_Compliance/03_Regulatory_Crosswalk.html" TargetMode="External"/><Relationship Id="rId966" Type="http://schemas.openxmlformats.org/officeDocument/2006/relationships/hyperlink" Target="https://nachi065.github.io/AI-Security-Wiki/26_Hong_Kong_AI_Compliance/03_Regulatory_Crosswalk.html" TargetMode="External"/><Relationship Id="rId967" Type="http://schemas.openxmlformats.org/officeDocument/2006/relationships/hyperlink" Target="https://nachi065.github.io/AI-Security-Wiki/26_Hong_Kong_AI_Compliance/03_Regulatory_Crosswalk.html" TargetMode="External"/><Relationship Id="rId968" Type="http://schemas.openxmlformats.org/officeDocument/2006/relationships/hyperlink" Target="https://nachi065.github.io/AI-Security-Wiki/26_Hong_Kong_AI_Compliance/03_Regulatory_Crosswalk.html" TargetMode="External"/><Relationship Id="rId969" Type="http://schemas.openxmlformats.org/officeDocument/2006/relationships/hyperlink" Target="https://nachi065.github.io/AI-Security-Wiki/26_Hong_Kong_AI_Compliance/03_Regulatory_Crosswalk.html" TargetMode="External"/><Relationship Id="rId970" Type="http://schemas.openxmlformats.org/officeDocument/2006/relationships/hyperlink" Target="https://nachi065.github.io/AI-Security-Wiki/26_Hong_Kong_AI_Compliance/03_Regulatory_Crosswalk.html" TargetMode="External"/><Relationship Id="rId971" Type="http://schemas.openxmlformats.org/officeDocument/2006/relationships/hyperlink" Target="https://nachi065.github.io/AI-Security-Wiki/26_Hong_Kong_AI_Compliance/03_Regulatory_Crosswalk.html" TargetMode="External"/><Relationship Id="rId972" Type="http://schemas.openxmlformats.org/officeDocument/2006/relationships/hyperlink" Target="https://nachi065.github.io/AI-Security-Wiki/26_Hong_Kong_AI_Compliance/03_Regulatory_Crosswalk.html" TargetMode="External"/><Relationship Id="rId973" Type="http://schemas.openxmlformats.org/officeDocument/2006/relationships/hyperlink" Target="https://nachi065.github.io/AI-Security-Wiki/26_Hong_Kong_AI_Compliance/03_Regulatory_Crosswalk.html" TargetMode="External"/><Relationship Id="rId974"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35.0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10" customFormat="false" ht="15" hidden="false" customHeight="false" outlineLevel="0" collapsed="false">
      <c r="A10" s="4" t="s">
        <v>11</v>
      </c>
      <c r="B10" s="2"/>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4" customFormat="false" ht="15" hidden="false" customHeight="false" outlineLevel="0" collapsed="false">
      <c r="A34" s="4" t="s">
        <v>50</v>
      </c>
      <c r="B34" s="2"/>
    </row>
    <row r="35" customFormat="false" ht="15" hidden="false" customHeight="false" outlineLevel="0" collapsed="false">
      <c r="A35" s="5" t="s">
        <v>51</v>
      </c>
      <c r="B35" s="9" t="s">
        <v>52</v>
      </c>
    </row>
    <row r="36" customFormat="false" ht="15" hidden="false" customHeight="false" outlineLevel="0" collapsed="false">
      <c r="A36" s="7" t="s">
        <v>53</v>
      </c>
      <c r="B36" s="10" t="s">
        <v>54</v>
      </c>
    </row>
    <row r="37" customFormat="false" ht="15" hidden="false" customHeight="false" outlineLevel="0" collapsed="false">
      <c r="A37" s="5" t="s">
        <v>55</v>
      </c>
      <c r="B37" s="9" t="s">
        <v>56</v>
      </c>
    </row>
    <row r="38" customFormat="false" ht="15" hidden="false" customHeight="false" outlineLevel="0" collapsed="false">
      <c r="A38" s="7" t="s">
        <v>57</v>
      </c>
      <c r="B38" s="10" t="s">
        <v>58</v>
      </c>
    </row>
    <row r="39" customFormat="false" ht="15" hidden="false" customHeight="false" outlineLevel="0" collapsed="false">
      <c r="A39" s="5" t="s">
        <v>59</v>
      </c>
      <c r="B39" s="9" t="s">
        <v>60</v>
      </c>
    </row>
    <row r="41" customFormat="false" ht="27.75" hidden="false" customHeight="true" outlineLevel="0" collapsed="false">
      <c r="A41" s="11" t="s">
        <v>61</v>
      </c>
      <c r="B41" s="11"/>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48</v>
      </c>
      <c r="B1" s="13"/>
    </row>
    <row r="2" customFormat="false" ht="15" hidden="false" customHeight="false" outlineLevel="0" collapsed="false">
      <c r="A2" s="3" t="s">
        <v>62</v>
      </c>
    </row>
    <row r="4" customFormat="false" ht="15" hidden="false" customHeight="false" outlineLevel="0" collapsed="false">
      <c r="A4" s="14" t="s">
        <v>63</v>
      </c>
      <c r="B4" s="13"/>
    </row>
    <row r="5" customFormat="false" ht="15" hidden="false" customHeight="false" outlineLevel="0" collapsed="false">
      <c r="A5" s="5" t="s">
        <v>64</v>
      </c>
      <c r="B5" s="6" t="s">
        <v>0</v>
      </c>
    </row>
    <row r="6" customFormat="false" ht="15" hidden="false" customHeight="false" outlineLevel="0" collapsed="false">
      <c r="A6" s="5" t="s">
        <v>65</v>
      </c>
      <c r="B6" s="6" t="s">
        <v>66</v>
      </c>
    </row>
    <row r="7" customFormat="false" ht="23.85" hidden="false" customHeight="false" outlineLevel="0" collapsed="false">
      <c r="A7" s="5" t="s">
        <v>48</v>
      </c>
      <c r="B7" s="6" t="s">
        <v>67</v>
      </c>
    </row>
    <row r="8" customFormat="false" ht="15" hidden="false" customHeight="false" outlineLevel="0" collapsed="false">
      <c r="A8" s="5" t="s">
        <v>68</v>
      </c>
      <c r="B8" s="9" t="s">
        <v>69</v>
      </c>
    </row>
    <row r="9" customFormat="false" ht="15" hidden="false" customHeight="false" outlineLevel="0" collapsed="false">
      <c r="A9" s="5" t="s">
        <v>70</v>
      </c>
      <c r="B9" s="9" t="s">
        <v>71</v>
      </c>
    </row>
    <row r="10" customFormat="false" ht="15" hidden="false" customHeight="false" outlineLevel="0" collapsed="false">
      <c r="A10" s="5" t="s">
        <v>72</v>
      </c>
      <c r="B10" s="9" t="s">
        <v>73</v>
      </c>
    </row>
    <row r="11" customFormat="false" ht="15" hidden="false" customHeight="false" outlineLevel="0" collapsed="false">
      <c r="A11" s="5" t="s">
        <v>74</v>
      </c>
      <c r="B11" s="9" t="s">
        <v>75</v>
      </c>
    </row>
    <row r="13" customFormat="false" ht="15" hidden="false" customHeight="false" outlineLevel="0" collapsed="false">
      <c r="A13" s="14" t="s">
        <v>76</v>
      </c>
      <c r="B13" s="13"/>
    </row>
    <row r="14" customFormat="false" ht="23.85" hidden="false" customHeight="false" outlineLevel="0" collapsed="false">
      <c r="A14" s="5" t="s">
        <v>77</v>
      </c>
      <c r="B14" s="6" t="s">
        <v>78</v>
      </c>
    </row>
    <row r="15" customFormat="false" ht="35.05" hidden="false" customHeight="false" outlineLevel="0" collapsed="false">
      <c r="A15" s="5" t="s">
        <v>79</v>
      </c>
      <c r="B15" s="6" t="s">
        <v>80</v>
      </c>
    </row>
    <row r="16" customFormat="false" ht="23.85" hidden="false" customHeight="false" outlineLevel="0" collapsed="false">
      <c r="A16" s="5" t="s">
        <v>81</v>
      </c>
      <c r="B16" s="6" t="s">
        <v>82</v>
      </c>
    </row>
    <row r="18" customFormat="false" ht="15" hidden="false" customHeight="false" outlineLevel="0" collapsed="false">
      <c r="A18" s="14" t="s">
        <v>83</v>
      </c>
      <c r="B18" s="13"/>
    </row>
    <row r="19" customFormat="false" ht="23.85" hidden="false" customHeight="false" outlineLevel="0" collapsed="false">
      <c r="A19" s="5" t="s">
        <v>84</v>
      </c>
      <c r="B19" s="6" t="s">
        <v>85</v>
      </c>
    </row>
    <row r="20" customFormat="false" ht="15" hidden="false" customHeight="false" outlineLevel="0" collapsed="false">
      <c r="A20" s="5" t="s">
        <v>86</v>
      </c>
      <c r="B20" s="6" t="s">
        <v>87</v>
      </c>
    </row>
    <row r="22" customFormat="false" ht="15" hidden="false" customHeight="false" outlineLevel="0" collapsed="false">
      <c r="A22" s="14" t="s">
        <v>88</v>
      </c>
      <c r="B22" s="13"/>
    </row>
    <row r="23" customFormat="false" ht="35.05" hidden="false" customHeight="false" outlineLevel="0" collapsed="false">
      <c r="A23" s="5" t="s">
        <v>89</v>
      </c>
      <c r="B23" s="6" t="s">
        <v>90</v>
      </c>
    </row>
    <row r="25" customFormat="false" ht="15" hidden="false" customHeight="false" outlineLevel="0" collapsed="false">
      <c r="A25" s="14" t="s">
        <v>91</v>
      </c>
      <c r="B25" s="13"/>
    </row>
    <row r="26" customFormat="false" ht="35.05" hidden="false" customHeight="false" outlineLevel="0" collapsed="false">
      <c r="A26" s="5" t="s">
        <v>92</v>
      </c>
      <c r="B26" s="6" t="s">
        <v>93</v>
      </c>
    </row>
    <row r="27" customFormat="false" ht="35.05" hidden="false" customHeight="false" outlineLevel="0" collapsed="false">
      <c r="A27" s="5" t="s">
        <v>94</v>
      </c>
      <c r="B27" s="6" t="s">
        <v>95</v>
      </c>
    </row>
    <row r="28" customFormat="false" ht="23.85" hidden="false" customHeight="false" outlineLevel="0" collapsed="false">
      <c r="A28" s="5" t="s">
        <v>96</v>
      </c>
      <c r="B28" s="6" t="s">
        <v>97</v>
      </c>
    </row>
    <row r="29" customFormat="false" ht="15" hidden="false" customHeight="false" outlineLevel="0" collapsed="false">
      <c r="A29" s="5" t="s">
        <v>98</v>
      </c>
      <c r="B29" s="6"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4"/>
    <col collapsed="false" customWidth="true" hidden="false" outlineLevel="0" max="6" min="5" style="0" width="12"/>
    <col collapsed="false" customWidth="true" hidden="false" outlineLevel="0" max="7" min="7" style="0" width="4"/>
    <col collapsed="false" customWidth="true" hidden="false" outlineLevel="0" max="8" min="8" style="0" width="14"/>
  </cols>
  <sheetData>
    <row r="1" customFormat="false" ht="30" hidden="false" customHeight="true" outlineLevel="0" collapsed="false">
      <c r="A1" s="15" t="s">
        <v>100</v>
      </c>
      <c r="B1" s="16"/>
      <c r="C1" s="16"/>
      <c r="D1" s="16"/>
      <c r="E1" s="16"/>
      <c r="F1" s="16"/>
      <c r="G1" s="16"/>
      <c r="H1" s="16"/>
    </row>
    <row r="2" customFormat="false" ht="15" hidden="false" customHeight="false" outlineLevel="0" collapsed="false">
      <c r="A2" s="3" t="s">
        <v>101</v>
      </c>
    </row>
    <row r="4" customFormat="false" ht="23.85" hidden="false" customHeight="false" outlineLevel="0" collapsed="false">
      <c r="A4" s="17" t="s">
        <v>102</v>
      </c>
      <c r="B4" s="18" t="s">
        <v>103</v>
      </c>
      <c r="C4" s="19" t="s">
        <v>104</v>
      </c>
      <c r="D4" s="20" t="s">
        <v>105</v>
      </c>
      <c r="E4" s="21" t="s">
        <v>106</v>
      </c>
      <c r="F4" s="22" t="s">
        <v>107</v>
      </c>
    </row>
    <row r="5" customFormat="false" ht="15" hidden="false" customHeight="false" outlineLevel="0" collapsed="false">
      <c r="A5" s="23" t="s">
        <v>108</v>
      </c>
      <c r="B5" s="24" t="n">
        <f aca="false">COUNTIFS('Control Library'!$D$5:$D$50,A5,'Control Library'!$R$5:$R$50,"Not started")</f>
        <v>0</v>
      </c>
      <c r="C5" s="24" t="n">
        <f aca="false">COUNTIFS('Control Library'!$D$5:$D$50,A5,'Control Library'!$R$5:$R$50,"Planned")</f>
        <v>0</v>
      </c>
      <c r="D5" s="24" t="n">
        <f aca="false">COUNTIFS('Control Library'!$D$5:$D$50,A5,'Control Library'!$R$5:$R$50,"Partially implemented")</f>
        <v>0</v>
      </c>
      <c r="E5" s="24" t="n">
        <f aca="false">COUNTIFS('Control Library'!$D$5:$D$50,A5,'Control Library'!$R$5:$R$50,"Implemented")</f>
        <v>0</v>
      </c>
      <c r="F5" s="24" t="n">
        <f aca="false">COUNTIFS('Control Library'!$D$5:$D$50,A5,'Control Library'!$R$5:$R$50,"Not applicable")</f>
        <v>0</v>
      </c>
    </row>
    <row r="6" customFormat="false" ht="15" hidden="false" customHeight="false" outlineLevel="0" collapsed="false">
      <c r="A6" s="25" t="s">
        <v>109</v>
      </c>
      <c r="B6" s="24" t="n">
        <f aca="false">COUNTIFS('Control Library'!$D$5:$D$50,A6,'Control Library'!$R$5:$R$50,"Not started")</f>
        <v>0</v>
      </c>
      <c r="C6" s="24" t="n">
        <f aca="false">COUNTIFS('Control Library'!$D$5:$D$50,A6,'Control Library'!$R$5:$R$50,"Planned")</f>
        <v>0</v>
      </c>
      <c r="D6" s="24" t="n">
        <f aca="false">COUNTIFS('Control Library'!$D$5:$D$50,A6,'Control Library'!$R$5:$R$50,"Partially implemented")</f>
        <v>0</v>
      </c>
      <c r="E6" s="24" t="n">
        <f aca="false">COUNTIFS('Control Library'!$D$5:$D$50,A6,'Control Library'!$R$5:$R$50,"Implemented")</f>
        <v>0</v>
      </c>
      <c r="F6" s="24" t="n">
        <f aca="false">COUNTIFS('Control Library'!$D$5:$D$50,A6,'Control Library'!$R$5:$R$50,"Not applicable")</f>
        <v>0</v>
      </c>
    </row>
    <row r="7" customFormat="false" ht="15" hidden="false" customHeight="false" outlineLevel="0" collapsed="false">
      <c r="A7" s="5" t="s">
        <v>110</v>
      </c>
      <c r="B7" s="24" t="n">
        <f aca="false">COUNTBLANK('Control Library'!$R$5:$R$50)</f>
        <v>46</v>
      </c>
    </row>
    <row r="9" customFormat="false" ht="23.85" hidden="false" customHeight="false" outlineLevel="0" collapsed="false">
      <c r="A9" s="17" t="s">
        <v>111</v>
      </c>
      <c r="B9" s="18" t="s">
        <v>103</v>
      </c>
      <c r="C9" s="19" t="s">
        <v>104</v>
      </c>
      <c r="D9" s="20" t="s">
        <v>105</v>
      </c>
      <c r="E9" s="21" t="s">
        <v>106</v>
      </c>
      <c r="F9" s="22" t="s">
        <v>107</v>
      </c>
    </row>
    <row r="10" customFormat="false" ht="15" hidden="false" customHeight="false" outlineLevel="0" collapsed="false">
      <c r="A10" s="5" t="s">
        <v>112</v>
      </c>
      <c r="B10" s="26" t="n">
        <f aca="false">COUNTIFS('Control Library'!$C$5:$C$50,A10,'Control Library'!$R$5:$R$50,"Not started")</f>
        <v>0</v>
      </c>
      <c r="C10" s="26" t="n">
        <f aca="false">COUNTIFS('Control Library'!$C$5:$C$50,A10,'Control Library'!$R$5:$R$50,"Planned")</f>
        <v>0</v>
      </c>
      <c r="D10" s="26" t="n">
        <f aca="false">COUNTIFS('Control Library'!$C$5:$C$50,A10,'Control Library'!$R$5:$R$50,"Partially implemented")</f>
        <v>0</v>
      </c>
      <c r="E10" s="26" t="n">
        <f aca="false">COUNTIFS('Control Library'!$C$5:$C$50,A10,'Control Library'!$R$5:$R$50,"Implemented")</f>
        <v>0</v>
      </c>
      <c r="F10" s="26" t="n">
        <f aca="false">COUNTIFS('Control Library'!$C$5:$C$50,A10,'Control Library'!$R$5:$R$50,"Not applicable")</f>
        <v>0</v>
      </c>
    </row>
    <row r="11" customFormat="false" ht="15" hidden="false" customHeight="false" outlineLevel="0" collapsed="false">
      <c r="A11" s="5" t="s">
        <v>113</v>
      </c>
      <c r="B11" s="26" t="n">
        <f aca="false">COUNTIFS('Control Library'!$C$5:$C$50,A11,'Control Library'!$R$5:$R$50,"Not started")</f>
        <v>0</v>
      </c>
      <c r="C11" s="26" t="n">
        <f aca="false">COUNTIFS('Control Library'!$C$5:$C$50,A11,'Control Library'!$R$5:$R$50,"Planned")</f>
        <v>0</v>
      </c>
      <c r="D11" s="26" t="n">
        <f aca="false">COUNTIFS('Control Library'!$C$5:$C$50,A11,'Control Library'!$R$5:$R$50,"Partially implemented")</f>
        <v>0</v>
      </c>
      <c r="E11" s="26" t="n">
        <f aca="false">COUNTIFS('Control Library'!$C$5:$C$50,A11,'Control Library'!$R$5:$R$50,"Implemented")</f>
        <v>0</v>
      </c>
      <c r="F11" s="26" t="n">
        <f aca="false">COUNTIFS('Control Library'!$C$5:$C$50,A11,'Control Library'!$R$5:$R$50,"Not applicable")</f>
        <v>0</v>
      </c>
    </row>
    <row r="12" customFormat="false" ht="15" hidden="false" customHeight="false" outlineLevel="0" collapsed="false">
      <c r="A12" s="5" t="s">
        <v>114</v>
      </c>
      <c r="B12" s="26" t="n">
        <f aca="false">COUNTIFS('Control Library'!$C$5:$C$50,A12,'Control Library'!$R$5:$R$50,"Not started")</f>
        <v>0</v>
      </c>
      <c r="C12" s="26" t="n">
        <f aca="false">COUNTIFS('Control Library'!$C$5:$C$50,A12,'Control Library'!$R$5:$R$50,"Planned")</f>
        <v>0</v>
      </c>
      <c r="D12" s="26" t="n">
        <f aca="false">COUNTIFS('Control Library'!$C$5:$C$50,A12,'Control Library'!$R$5:$R$50,"Partially implemented")</f>
        <v>0</v>
      </c>
      <c r="E12" s="26" t="n">
        <f aca="false">COUNTIFS('Control Library'!$C$5:$C$50,A12,'Control Library'!$R$5:$R$50,"Implemented")</f>
        <v>0</v>
      </c>
      <c r="F12" s="26" t="n">
        <f aca="false">COUNTIFS('Control Library'!$C$5:$C$50,A12,'Control Library'!$R$5:$R$50,"Not applicable")</f>
        <v>0</v>
      </c>
    </row>
    <row r="13" customFormat="false" ht="15" hidden="false" customHeight="false" outlineLevel="0" collapsed="false">
      <c r="A13" s="5" t="s">
        <v>115</v>
      </c>
      <c r="B13" s="26" t="n">
        <f aca="false">COUNTIFS('Control Library'!$C$5:$C$50,A13,'Control Library'!$R$5:$R$50,"Not started")</f>
        <v>0</v>
      </c>
      <c r="C13" s="26" t="n">
        <f aca="false">COUNTIFS('Control Library'!$C$5:$C$50,A13,'Control Library'!$R$5:$R$50,"Planned")</f>
        <v>0</v>
      </c>
      <c r="D13" s="26" t="n">
        <f aca="false">COUNTIFS('Control Library'!$C$5:$C$50,A13,'Control Library'!$R$5:$R$50,"Partially implemented")</f>
        <v>0</v>
      </c>
      <c r="E13" s="26" t="n">
        <f aca="false">COUNTIFS('Control Library'!$C$5:$C$50,A13,'Control Library'!$R$5:$R$50,"Implemented")</f>
        <v>0</v>
      </c>
      <c r="F13" s="26" t="n">
        <f aca="false">COUNTIFS('Control Library'!$C$5:$C$50,A13,'Control Library'!$R$5:$R$50,"Not applicable")</f>
        <v>0</v>
      </c>
    </row>
    <row r="14" customFormat="false" ht="15" hidden="false" customHeight="false" outlineLevel="0" collapsed="false">
      <c r="A14" s="5" t="s">
        <v>116</v>
      </c>
      <c r="B14" s="26" t="n">
        <f aca="false">COUNTIFS('Control Library'!$C$5:$C$50,A14,'Control Library'!$R$5:$R$50,"Not started")</f>
        <v>0</v>
      </c>
      <c r="C14" s="26" t="n">
        <f aca="false">COUNTIFS('Control Library'!$C$5:$C$50,A14,'Control Library'!$R$5:$R$50,"Planned")</f>
        <v>0</v>
      </c>
      <c r="D14" s="26" t="n">
        <f aca="false">COUNTIFS('Control Library'!$C$5:$C$50,A14,'Control Library'!$R$5:$R$50,"Partially implemented")</f>
        <v>0</v>
      </c>
      <c r="E14" s="26" t="n">
        <f aca="false">COUNTIFS('Control Library'!$C$5:$C$50,A14,'Control Library'!$R$5:$R$50,"Implemented")</f>
        <v>0</v>
      </c>
      <c r="F14" s="26" t="n">
        <f aca="false">COUNTIFS('Control Library'!$C$5:$C$50,A14,'Control Library'!$R$5:$R$50,"Not applicable")</f>
        <v>0</v>
      </c>
    </row>
    <row r="15" customFormat="false" ht="15" hidden="false" customHeight="false" outlineLevel="0" collapsed="false">
      <c r="A15" s="5" t="s">
        <v>117</v>
      </c>
      <c r="B15" s="26" t="n">
        <f aca="false">COUNTIFS('Control Library'!$C$5:$C$50,A15,'Control Library'!$R$5:$R$50,"Not started")</f>
        <v>0</v>
      </c>
      <c r="C15" s="26" t="n">
        <f aca="false">COUNTIFS('Control Library'!$C$5:$C$50,A15,'Control Library'!$R$5:$R$50,"Planned")</f>
        <v>0</v>
      </c>
      <c r="D15" s="26" t="n">
        <f aca="false">COUNTIFS('Control Library'!$C$5:$C$50,A15,'Control Library'!$R$5:$R$50,"Partially implemented")</f>
        <v>0</v>
      </c>
      <c r="E15" s="26" t="n">
        <f aca="false">COUNTIFS('Control Library'!$C$5:$C$50,A15,'Control Library'!$R$5:$R$50,"Implemented")</f>
        <v>0</v>
      </c>
      <c r="F15" s="26" t="n">
        <f aca="false">COUNTIFS('Control Library'!$C$5:$C$50,A15,'Control Library'!$R$5:$R$50,"Not applicable")</f>
        <v>0</v>
      </c>
    </row>
    <row r="16" customFormat="false" ht="15" hidden="false" customHeight="false" outlineLevel="0" collapsed="false">
      <c r="A16" s="5" t="s">
        <v>118</v>
      </c>
      <c r="B16" s="26" t="n">
        <f aca="false">COUNTIFS('Control Library'!$C$5:$C$50,A16,'Control Library'!$R$5:$R$50,"Not started")</f>
        <v>0</v>
      </c>
      <c r="C16" s="26" t="n">
        <f aca="false">COUNTIFS('Control Library'!$C$5:$C$50,A16,'Control Library'!$R$5:$R$50,"Planned")</f>
        <v>0</v>
      </c>
      <c r="D16" s="26" t="n">
        <f aca="false">COUNTIFS('Control Library'!$C$5:$C$50,A16,'Control Library'!$R$5:$R$50,"Partially implemented")</f>
        <v>0</v>
      </c>
      <c r="E16" s="26" t="n">
        <f aca="false">COUNTIFS('Control Library'!$C$5:$C$50,A16,'Control Library'!$R$5:$R$50,"Implemented")</f>
        <v>0</v>
      </c>
      <c r="F16" s="26" t="n">
        <f aca="false">COUNTIFS('Control Library'!$C$5:$C$50,A16,'Control Library'!$R$5:$R$50,"Not applicable")</f>
        <v>0</v>
      </c>
    </row>
    <row r="17" customFormat="false" ht="15" hidden="false" customHeight="false" outlineLevel="0" collapsed="false">
      <c r="A17" s="5" t="s">
        <v>119</v>
      </c>
      <c r="B17" s="26" t="n">
        <f aca="false">COUNTIFS('Control Library'!$C$5:$C$50,A17,'Control Library'!$R$5:$R$50,"Not started")</f>
        <v>0</v>
      </c>
      <c r="C17" s="26" t="n">
        <f aca="false">COUNTIFS('Control Library'!$C$5:$C$50,A17,'Control Library'!$R$5:$R$50,"Planned")</f>
        <v>0</v>
      </c>
      <c r="D17" s="26" t="n">
        <f aca="false">COUNTIFS('Control Library'!$C$5:$C$50,A17,'Control Library'!$R$5:$R$50,"Partially implemented")</f>
        <v>0</v>
      </c>
      <c r="E17" s="26" t="n">
        <f aca="false">COUNTIFS('Control Library'!$C$5:$C$50,A17,'Control Library'!$R$5:$R$50,"Implemented")</f>
        <v>0</v>
      </c>
      <c r="F17" s="26" t="n">
        <f aca="false">COUNTIFS('Control Library'!$C$5:$C$50,A17,'Control Library'!$R$5:$R$50,"Not applicable")</f>
        <v>0</v>
      </c>
    </row>
    <row r="18" customFormat="false" ht="15" hidden="false" customHeight="false" outlineLevel="0" collapsed="false">
      <c r="A18" s="5" t="s">
        <v>120</v>
      </c>
      <c r="B18" s="26" t="n">
        <f aca="false">COUNTIFS('Control Library'!$C$5:$C$50,A18,'Control Library'!$R$5:$R$50,"Not started")</f>
        <v>0</v>
      </c>
      <c r="C18" s="26" t="n">
        <f aca="false">COUNTIFS('Control Library'!$C$5:$C$50,A18,'Control Library'!$R$5:$R$50,"Planned")</f>
        <v>0</v>
      </c>
      <c r="D18" s="26" t="n">
        <f aca="false">COUNTIFS('Control Library'!$C$5:$C$50,A18,'Control Library'!$R$5:$R$50,"Partially implemented")</f>
        <v>0</v>
      </c>
      <c r="E18" s="26" t="n">
        <f aca="false">COUNTIFS('Control Library'!$C$5:$C$50,A18,'Control Library'!$R$5:$R$50,"Implemented")</f>
        <v>0</v>
      </c>
      <c r="F18" s="26" t="n">
        <f aca="false">COUNTIFS('Control Library'!$C$5:$C$50,A18,'Control Library'!$R$5:$R$50,"Not applicable")</f>
        <v>0</v>
      </c>
    </row>
    <row r="19" customFormat="false" ht="15" hidden="false" customHeight="false" outlineLevel="0" collapsed="false">
      <c r="A19" s="5" t="s">
        <v>121</v>
      </c>
      <c r="B19" s="26" t="n">
        <f aca="false">COUNTIFS('Control Library'!$C$5:$C$50,A19,'Control Library'!$R$5:$R$50,"Not started")</f>
        <v>0</v>
      </c>
      <c r="C19" s="26" t="n">
        <f aca="false">COUNTIFS('Control Library'!$C$5:$C$50,A19,'Control Library'!$R$5:$R$50,"Planned")</f>
        <v>0</v>
      </c>
      <c r="D19" s="26" t="n">
        <f aca="false">COUNTIFS('Control Library'!$C$5:$C$50,A19,'Control Library'!$R$5:$R$50,"Partially implemented")</f>
        <v>0</v>
      </c>
      <c r="E19" s="26" t="n">
        <f aca="false">COUNTIFS('Control Library'!$C$5:$C$50,A19,'Control Library'!$R$5:$R$50,"Implemented")</f>
        <v>0</v>
      </c>
      <c r="F19" s="26" t="n">
        <f aca="false">COUNTIFS('Control Library'!$C$5:$C$50,A19,'Control Library'!$R$5:$R$50,"Not applicable")</f>
        <v>0</v>
      </c>
    </row>
    <row r="20" customFormat="false" ht="15" hidden="false" customHeight="false" outlineLevel="0" collapsed="false">
      <c r="A20" s="5" t="s">
        <v>122</v>
      </c>
      <c r="B20" s="26" t="n">
        <f aca="false">COUNTIFS('Control Library'!$C$5:$C$50,A20,'Control Library'!$R$5:$R$50,"Not started")</f>
        <v>0</v>
      </c>
      <c r="C20" s="26" t="n">
        <f aca="false">COUNTIFS('Control Library'!$C$5:$C$50,A20,'Control Library'!$R$5:$R$50,"Planned")</f>
        <v>0</v>
      </c>
      <c r="D20" s="26" t="n">
        <f aca="false">COUNTIFS('Control Library'!$C$5:$C$50,A20,'Control Library'!$R$5:$R$50,"Partially implemented")</f>
        <v>0</v>
      </c>
      <c r="E20" s="26" t="n">
        <f aca="false">COUNTIFS('Control Library'!$C$5:$C$50,A20,'Control Library'!$R$5:$R$50,"Implemented")</f>
        <v>0</v>
      </c>
      <c r="F20" s="26" t="n">
        <f aca="false">COUNTIFS('Control Library'!$C$5:$C$50,A20,'Control Library'!$R$5:$R$50,"Not applicable")</f>
        <v>0</v>
      </c>
    </row>
    <row r="22" customFormat="false" ht="15" hidden="false" customHeight="false" outlineLevel="0" collapsed="false">
      <c r="A22" s="17" t="s">
        <v>123</v>
      </c>
      <c r="B22" s="17" t="s">
        <v>124</v>
      </c>
      <c r="C22" s="17"/>
      <c r="D22" s="17"/>
      <c r="E22" s="17"/>
      <c r="F22" s="17"/>
    </row>
    <row r="23" customFormat="false" ht="15" hidden="false" customHeight="false" outlineLevel="0" collapsed="false">
      <c r="A23" s="27" t="s">
        <v>125</v>
      </c>
      <c r="B23" s="24" t="n">
        <f aca="false">COUNTIF('Control Library'!AA5:AA50,"Overdue")</f>
        <v>0</v>
      </c>
    </row>
    <row r="24" customFormat="false" ht="15" hidden="false" customHeight="false" outlineLevel="0" collapsed="false">
      <c r="A24" s="28" t="s">
        <v>126</v>
      </c>
      <c r="B24" s="24" t="n">
        <f aca="false">COUNTIF('Control Library'!AA5:AA50,"Due soon")</f>
        <v>0</v>
      </c>
    </row>
    <row r="25" customFormat="false" ht="15" hidden="false" customHeight="false" outlineLevel="0" collapsed="false">
      <c r="A25" s="29" t="s">
        <v>127</v>
      </c>
      <c r="B25" s="24" t="n">
        <f aca="false">COUNTIF('Control Library'!AA5:AA50,"On track")</f>
        <v>0</v>
      </c>
    </row>
    <row r="26" customFormat="false" ht="15" hidden="false" customHeight="false" outlineLevel="0" collapsed="false">
      <c r="A26" s="30" t="s">
        <v>128</v>
      </c>
      <c r="B26" s="24" t="n">
        <f aca="false">COUNTIF('Control Library'!AA5:AA50,"Not yet tested")</f>
        <v>44</v>
      </c>
    </row>
    <row r="27" customFormat="false" ht="15" hidden="false" customHeight="false" outlineLevel="0" collapsed="false">
      <c r="A27" s="27" t="s">
        <v>129</v>
      </c>
      <c r="B27" s="24" t="n">
        <f aca="false">COUNTIF('Control Library'!W5:W50,"Ineffective")</f>
        <v>0</v>
      </c>
    </row>
    <row r="30" customFormat="false" ht="27.75" hidden="false" customHeight="true" outlineLevel="0" collapsed="false">
      <c r="A30" s="11" t="s">
        <v>61</v>
      </c>
      <c r="B30" s="11"/>
      <c r="C30" s="11"/>
      <c r="D30" s="11"/>
      <c r="E30" s="11"/>
      <c r="F30" s="11"/>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6" min="6" style="0" width="22"/>
    <col collapsed="false" customWidth="true" hidden="false" outlineLevel="0" max="8" min="7" style="0" width="14"/>
    <col collapsed="false" customWidth="true" hidden="false" outlineLevel="0" max="9" min="9" style="0" width="22"/>
    <col collapsed="false" customWidth="true" hidden="false" outlineLevel="0" max="10" min="10" style="0" width="50"/>
    <col collapsed="false" customWidth="true" hidden="false" outlineLevel="0" max="11" min="11" style="0" width="40"/>
    <col collapsed="false" customWidth="true" hidden="false" outlineLevel="0" max="12" min="12" style="0" width="44"/>
    <col collapsed="false" customWidth="true" hidden="false" outlineLevel="0" max="13" min="13" style="0" width="18"/>
    <col collapsed="false" customWidth="true" hidden="false" outlineLevel="0" max="14" min="14" style="0" width="16"/>
    <col collapsed="false" customWidth="true" hidden="false" outlineLevel="0" max="15" min="15" style="0" width="30"/>
    <col collapsed="false" customWidth="true" hidden="false" outlineLevel="0" max="17" min="16" style="0" width="10"/>
    <col collapsed="false" customWidth="true" hidden="false" outlineLevel="0" max="19" min="18" style="0" width="16"/>
    <col collapsed="false" customWidth="true" hidden="false" outlineLevel="0" max="20" min="20" style="0" width="22"/>
    <col collapsed="false" customWidth="true" hidden="false" outlineLevel="0" max="21" min="21" style="0" width="12"/>
    <col collapsed="false" customWidth="true" hidden="false" outlineLevel="0" max="22" min="22" style="0" width="10"/>
    <col collapsed="false" customWidth="true" hidden="false" outlineLevel="0" max="23" min="23" style="0" width="14"/>
    <col collapsed="false" customWidth="true" hidden="false" outlineLevel="0" max="24" min="24" style="0" width="30"/>
    <col collapsed="false" customWidth="true" hidden="false" outlineLevel="0" max="26" min="25" style="0" width="12"/>
    <col collapsed="false" customWidth="true" hidden="false" outlineLevel="0" max="27" min="27" style="0" width="14"/>
  </cols>
  <sheetData>
    <row r="1" customFormat="false" ht="30" hidden="false" customHeight="true" outlineLevel="0" collapsed="false">
      <c r="A1" s="31" t="s">
        <v>130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row>
    <row r="2" customFormat="false" ht="15" hidden="false" customHeight="false" outlineLevel="0" collapsed="false">
      <c r="A2" s="3" t="s">
        <v>131</v>
      </c>
    </row>
    <row r="4" customFormat="false" ht="45" hidden="false" customHeight="true" outlineLevel="0" collapsed="false">
      <c r="A4" s="33" t="s">
        <v>132</v>
      </c>
      <c r="B4" s="33" t="s">
        <v>133</v>
      </c>
      <c r="C4" s="33" t="s">
        <v>134</v>
      </c>
      <c r="D4" s="33" t="s">
        <v>135</v>
      </c>
      <c r="E4" s="33" t="s">
        <v>136</v>
      </c>
      <c r="F4" s="33" t="s">
        <v>137</v>
      </c>
      <c r="G4" s="33" t="s">
        <v>138</v>
      </c>
      <c r="H4" s="33" t="s">
        <v>139</v>
      </c>
      <c r="I4" s="33" t="s">
        <v>140</v>
      </c>
      <c r="J4" s="33" t="s">
        <v>141</v>
      </c>
      <c r="K4" s="33" t="s">
        <v>142</v>
      </c>
      <c r="L4" s="33" t="s">
        <v>143</v>
      </c>
      <c r="M4" s="33" t="s">
        <v>144</v>
      </c>
      <c r="N4" s="33" t="s">
        <v>145</v>
      </c>
      <c r="O4" s="33" t="s">
        <v>146</v>
      </c>
      <c r="P4" s="33" t="s">
        <v>147</v>
      </c>
      <c r="Q4" s="34" t="s">
        <v>148</v>
      </c>
      <c r="R4" s="34" t="s">
        <v>149</v>
      </c>
      <c r="S4" s="34" t="s">
        <v>150</v>
      </c>
      <c r="T4" s="34" t="s">
        <v>151</v>
      </c>
      <c r="U4" s="34" t="s">
        <v>152</v>
      </c>
      <c r="V4" s="34" t="s">
        <v>153</v>
      </c>
      <c r="W4" s="34" t="s">
        <v>154</v>
      </c>
      <c r="X4" s="34" t="s">
        <v>155</v>
      </c>
      <c r="Y4" s="34" t="s">
        <v>156</v>
      </c>
      <c r="Z4" s="35" t="s">
        <v>157</v>
      </c>
      <c r="AA4" s="35" t="s">
        <v>158</v>
      </c>
    </row>
    <row r="5" customFormat="false" ht="102.2" hidden="false" customHeight="false" outlineLevel="0" collapsed="false">
      <c r="A5" s="36" t="s">
        <v>159</v>
      </c>
      <c r="B5" s="6" t="s">
        <v>160</v>
      </c>
      <c r="C5" s="6" t="s">
        <v>112</v>
      </c>
      <c r="D5" s="37" t="s">
        <v>108</v>
      </c>
      <c r="E5" s="6" t="s">
        <v>161</v>
      </c>
      <c r="F5" s="6" t="s">
        <v>162</v>
      </c>
      <c r="G5" s="37" t="s">
        <v>163</v>
      </c>
      <c r="H5" s="37" t="s">
        <v>164</v>
      </c>
      <c r="I5" s="6" t="s">
        <v>165</v>
      </c>
      <c r="J5" s="6" t="s">
        <v>166</v>
      </c>
      <c r="K5" s="6" t="s">
        <v>167</v>
      </c>
      <c r="L5" s="6" t="s">
        <v>168</v>
      </c>
      <c r="M5" s="6" t="s">
        <v>169</v>
      </c>
      <c r="N5" s="6" t="s">
        <v>170</v>
      </c>
      <c r="O5" s="6"/>
      <c r="P5" s="37" t="n">
        <v>33</v>
      </c>
      <c r="Q5" s="38" t="s">
        <v>171</v>
      </c>
      <c r="R5" s="38"/>
      <c r="S5" s="39"/>
      <c r="T5" s="39"/>
      <c r="U5" s="40"/>
      <c r="V5" s="41" t="n">
        <v>3</v>
      </c>
      <c r="W5" s="38"/>
      <c r="X5" s="39"/>
      <c r="Y5" s="40"/>
      <c r="Z5" s="42" t="str">
        <f aca="false">IF(OR(U5="",V5=""),"",EDATE(U5,V5))</f>
        <v/>
      </c>
      <c r="AA5" s="43" t="str">
        <f aca="true">IF(OR(Q5="No",R5="Not applicable"),"Not applicable",IF(U5="",IF(V5="","Event-driven: set date","Not yet tested"),IF(Z5="","Event-driven",IF(Z5&lt;TODAY(),"Overdue",IF(Z5-TODAY()&lt;=30,"Due soon","On track")))))</f>
        <v>Not yet tested</v>
      </c>
    </row>
    <row r="6" customFormat="false" ht="46.25" hidden="false" customHeight="false" outlineLevel="0" collapsed="false">
      <c r="A6" s="36" t="s">
        <v>172</v>
      </c>
      <c r="B6" s="44" t="s">
        <v>173</v>
      </c>
      <c r="C6" s="44" t="s">
        <v>112</v>
      </c>
      <c r="D6" s="45" t="s">
        <v>108</v>
      </c>
      <c r="E6" s="44" t="s">
        <v>174</v>
      </c>
      <c r="F6" s="44" t="s">
        <v>175</v>
      </c>
      <c r="G6" s="45" t="s">
        <v>176</v>
      </c>
      <c r="H6" s="45" t="s">
        <v>164</v>
      </c>
      <c r="I6" s="44" t="s">
        <v>177</v>
      </c>
      <c r="J6" s="44" t="s">
        <v>178</v>
      </c>
      <c r="K6" s="44" t="s">
        <v>179</v>
      </c>
      <c r="L6" s="44" t="s">
        <v>180</v>
      </c>
      <c r="M6" s="44" t="s">
        <v>181</v>
      </c>
      <c r="N6" s="44" t="s">
        <v>170</v>
      </c>
      <c r="O6" s="44"/>
      <c r="P6" s="45" t="n">
        <v>16</v>
      </c>
      <c r="Q6" s="38" t="s">
        <v>171</v>
      </c>
      <c r="R6" s="38"/>
      <c r="S6" s="39"/>
      <c r="T6" s="39"/>
      <c r="U6" s="40"/>
      <c r="V6" s="41" t="n">
        <v>3</v>
      </c>
      <c r="W6" s="38"/>
      <c r="X6" s="39"/>
      <c r="Y6" s="40"/>
      <c r="Z6" s="42" t="str">
        <f aca="false">IF(OR(U6="",V6=""),"",EDATE(U6,V6))</f>
        <v/>
      </c>
      <c r="AA6" s="43" t="str">
        <f aca="true">IF(OR(Q6="No",R6="Not applicable"),"Not applicable",IF(U6="",IF(V6="","Event-driven: set date","Not yet tested"),IF(Z6="","Event-driven",IF(Z6&lt;TODAY(),"Overdue",IF(Z6-TODAY()&lt;=30,"Due soon","On track")))))</f>
        <v>Not yet tested</v>
      </c>
    </row>
    <row r="7" customFormat="false" ht="46.25" hidden="false" customHeight="false" outlineLevel="0" collapsed="false">
      <c r="A7" s="36" t="s">
        <v>182</v>
      </c>
      <c r="B7" s="6" t="s">
        <v>183</v>
      </c>
      <c r="C7" s="6" t="s">
        <v>112</v>
      </c>
      <c r="D7" s="37" t="s">
        <v>109</v>
      </c>
      <c r="E7" s="6" t="s">
        <v>184</v>
      </c>
      <c r="F7" s="6" t="s">
        <v>185</v>
      </c>
      <c r="G7" s="37" t="s">
        <v>176</v>
      </c>
      <c r="H7" s="37" t="s">
        <v>164</v>
      </c>
      <c r="I7" s="6" t="s">
        <v>177</v>
      </c>
      <c r="J7" s="6" t="s">
        <v>186</v>
      </c>
      <c r="K7" s="6" t="s">
        <v>187</v>
      </c>
      <c r="L7" s="6" t="s">
        <v>188</v>
      </c>
      <c r="M7" s="6" t="s">
        <v>189</v>
      </c>
      <c r="N7" s="6" t="s">
        <v>170</v>
      </c>
      <c r="O7" s="6"/>
      <c r="P7" s="37" t="n">
        <v>6</v>
      </c>
      <c r="Q7" s="38" t="s">
        <v>171</v>
      </c>
      <c r="R7" s="38"/>
      <c r="S7" s="39"/>
      <c r="T7" s="39"/>
      <c r="U7" s="40"/>
      <c r="V7" s="41" t="n">
        <v>3</v>
      </c>
      <c r="W7" s="38"/>
      <c r="X7" s="39"/>
      <c r="Y7" s="40"/>
      <c r="Z7" s="42" t="str">
        <f aca="false">IF(OR(U7="",V7=""),"",EDATE(U7,V7))</f>
        <v/>
      </c>
      <c r="AA7" s="43" t="str">
        <f aca="true">IF(OR(Q7="No",R7="Not applicable"),"Not applicable",IF(U7="",IF(V7="","Event-driven: set date","Not yet tested"),IF(Z7="","Event-driven",IF(Z7&lt;TODAY(),"Overdue",IF(Z7-TODAY()&lt;=30,"Due soon","On track")))))</f>
        <v>Not yet tested</v>
      </c>
    </row>
    <row r="8" customFormat="false" ht="46.25" hidden="false" customHeight="false" outlineLevel="0" collapsed="false">
      <c r="A8" s="36" t="s">
        <v>190</v>
      </c>
      <c r="B8" s="44" t="s">
        <v>191</v>
      </c>
      <c r="C8" s="44" t="s">
        <v>112</v>
      </c>
      <c r="D8" s="45" t="s">
        <v>109</v>
      </c>
      <c r="E8" s="44" t="s">
        <v>192</v>
      </c>
      <c r="F8" s="44" t="s">
        <v>193</v>
      </c>
      <c r="G8" s="45" t="s">
        <v>176</v>
      </c>
      <c r="H8" s="45" t="s">
        <v>164</v>
      </c>
      <c r="I8" s="44" t="s">
        <v>194</v>
      </c>
      <c r="J8" s="44" t="s">
        <v>195</v>
      </c>
      <c r="K8" s="44" t="s">
        <v>196</v>
      </c>
      <c r="L8" s="44" t="s">
        <v>197</v>
      </c>
      <c r="M8" s="44" t="s">
        <v>198</v>
      </c>
      <c r="N8" s="44" t="s">
        <v>170</v>
      </c>
      <c r="O8" s="44"/>
      <c r="P8" s="45" t="n">
        <v>19</v>
      </c>
      <c r="Q8" s="38" t="s">
        <v>171</v>
      </c>
      <c r="R8" s="38"/>
      <c r="S8" s="39"/>
      <c r="T8" s="39"/>
      <c r="U8" s="40"/>
      <c r="V8" s="41" t="n">
        <v>3</v>
      </c>
      <c r="W8" s="38"/>
      <c r="X8" s="39"/>
      <c r="Y8" s="40"/>
      <c r="Z8" s="42" t="str">
        <f aca="false">IF(OR(U8="",V8=""),"",EDATE(U8,V8))</f>
        <v/>
      </c>
      <c r="AA8" s="43" t="str">
        <f aca="true">IF(OR(Q8="No",R8="Not applicable"),"Not applicable",IF(U8="",IF(V8="","Event-driven: set date","Not yet tested"),IF(Z8="","Event-driven",IF(Z8&lt;TODAY(),"Overdue",IF(Z8-TODAY()&lt;=30,"Due soon","On track")))))</f>
        <v>Not yet tested</v>
      </c>
    </row>
    <row r="9" customFormat="false" ht="46.25" hidden="false" customHeight="false" outlineLevel="0" collapsed="false">
      <c r="A9" s="36" t="s">
        <v>199</v>
      </c>
      <c r="B9" s="6" t="s">
        <v>200</v>
      </c>
      <c r="C9" s="6" t="s">
        <v>113</v>
      </c>
      <c r="D9" s="37" t="s">
        <v>108</v>
      </c>
      <c r="E9" s="6" t="s">
        <v>201</v>
      </c>
      <c r="F9" s="6" t="s">
        <v>202</v>
      </c>
      <c r="G9" s="37" t="s">
        <v>176</v>
      </c>
      <c r="H9" s="37" t="s">
        <v>164</v>
      </c>
      <c r="I9" s="6" t="s">
        <v>203</v>
      </c>
      <c r="J9" s="6" t="s">
        <v>204</v>
      </c>
      <c r="K9" s="6" t="s">
        <v>205</v>
      </c>
      <c r="L9" s="6" t="s">
        <v>206</v>
      </c>
      <c r="M9" s="6" t="s">
        <v>207</v>
      </c>
      <c r="N9" s="6" t="s">
        <v>208</v>
      </c>
      <c r="O9" s="6"/>
      <c r="P9" s="37" t="n">
        <v>52</v>
      </c>
      <c r="Q9" s="38" t="s">
        <v>171</v>
      </c>
      <c r="R9" s="38"/>
      <c r="S9" s="39"/>
      <c r="T9" s="39"/>
      <c r="U9" s="40"/>
      <c r="V9" s="41" t="n">
        <v>3</v>
      </c>
      <c r="W9" s="38"/>
      <c r="X9" s="39"/>
      <c r="Y9" s="40"/>
      <c r="Z9" s="42" t="str">
        <f aca="false">IF(OR(U9="",V9=""),"",EDATE(U9,V9))</f>
        <v/>
      </c>
      <c r="AA9" s="43" t="str">
        <f aca="true">IF(OR(Q9="No",R9="Not applicable"),"Not applicable",IF(U9="",IF(V9="","Event-driven: set date","Not yet tested"),IF(Z9="","Event-driven",IF(Z9&lt;TODAY(),"Overdue",IF(Z9-TODAY()&lt;=30,"Due soon","On track")))))</f>
        <v>Not yet tested</v>
      </c>
    </row>
    <row r="10" customFormat="false" ht="57.45" hidden="false" customHeight="false" outlineLevel="0" collapsed="false">
      <c r="A10" s="36" t="s">
        <v>209</v>
      </c>
      <c r="B10" s="44" t="s">
        <v>210</v>
      </c>
      <c r="C10" s="44" t="s">
        <v>114</v>
      </c>
      <c r="D10" s="45" t="s">
        <v>108</v>
      </c>
      <c r="E10" s="44" t="s">
        <v>211</v>
      </c>
      <c r="F10" s="44" t="s">
        <v>212</v>
      </c>
      <c r="G10" s="45" t="s">
        <v>213</v>
      </c>
      <c r="H10" s="45" t="s">
        <v>164</v>
      </c>
      <c r="I10" s="44" t="s">
        <v>214</v>
      </c>
      <c r="J10" s="44" t="s">
        <v>215</v>
      </c>
      <c r="K10" s="44" t="s">
        <v>216</v>
      </c>
      <c r="L10" s="44" t="s">
        <v>217</v>
      </c>
      <c r="M10" s="44" t="s">
        <v>218</v>
      </c>
      <c r="N10" s="44" t="s">
        <v>170</v>
      </c>
      <c r="O10" s="44"/>
      <c r="P10" s="45" t="n">
        <v>15</v>
      </c>
      <c r="Q10" s="38" t="s">
        <v>171</v>
      </c>
      <c r="R10" s="38"/>
      <c r="S10" s="39"/>
      <c r="T10" s="39"/>
      <c r="U10" s="40"/>
      <c r="V10" s="41" t="n">
        <v>3</v>
      </c>
      <c r="W10" s="38"/>
      <c r="X10" s="39"/>
      <c r="Y10" s="40"/>
      <c r="Z10" s="42" t="str">
        <f aca="false">IF(OR(U10="",V10=""),"",EDATE(U10,V10))</f>
        <v/>
      </c>
      <c r="AA10" s="43" t="str">
        <f aca="true">IF(OR(Q10="No",R10="Not applicable"),"Not applicable",IF(U10="",IF(V10="","Event-driven: set date","Not yet tested"),IF(Z10="","Event-driven",IF(Z10&lt;TODAY(),"Overdue",IF(Z10-TODAY()&lt;=30,"Due soon","On track")))))</f>
        <v>Not yet tested</v>
      </c>
    </row>
    <row r="11" customFormat="false" ht="46.25" hidden="false" customHeight="false" outlineLevel="0" collapsed="false">
      <c r="A11" s="36" t="s">
        <v>219</v>
      </c>
      <c r="B11" s="6" t="s">
        <v>220</v>
      </c>
      <c r="C11" s="6" t="s">
        <v>115</v>
      </c>
      <c r="D11" s="37" t="s">
        <v>109</v>
      </c>
      <c r="E11" s="6" t="s">
        <v>221</v>
      </c>
      <c r="F11" s="6" t="s">
        <v>222</v>
      </c>
      <c r="G11" s="37" t="s">
        <v>163</v>
      </c>
      <c r="H11" s="37" t="s">
        <v>223</v>
      </c>
      <c r="I11" s="6" t="s">
        <v>224</v>
      </c>
      <c r="J11" s="6" t="s">
        <v>225</v>
      </c>
      <c r="K11" s="6" t="s">
        <v>226</v>
      </c>
      <c r="L11" s="6" t="s">
        <v>227</v>
      </c>
      <c r="M11" s="6" t="s">
        <v>228</v>
      </c>
      <c r="N11" s="6" t="s">
        <v>229</v>
      </c>
      <c r="O11" s="6"/>
      <c r="P11" s="37" t="n">
        <v>15</v>
      </c>
      <c r="Q11" s="38" t="s">
        <v>171</v>
      </c>
      <c r="R11" s="38"/>
      <c r="S11" s="39"/>
      <c r="T11" s="39"/>
      <c r="U11" s="40"/>
      <c r="V11" s="41" t="n">
        <v>12</v>
      </c>
      <c r="W11" s="38"/>
      <c r="X11" s="39"/>
      <c r="Y11" s="40"/>
      <c r="Z11" s="42" t="str">
        <f aca="false">IF(OR(U11="",V11=""),"",EDATE(U11,V11))</f>
        <v/>
      </c>
      <c r="AA11" s="43" t="str">
        <f aca="true">IF(OR(Q11="No",R11="Not applicable"),"Not applicable",IF(U11="",IF(V11="","Event-driven: set date","Not yet tested"),IF(Z11="","Event-driven",IF(Z11&lt;TODAY(),"Overdue",IF(Z11-TODAY()&lt;=30,"Due soon","On track")))))</f>
        <v>Not yet tested</v>
      </c>
    </row>
    <row r="12" customFormat="false" ht="79.85" hidden="false" customHeight="false" outlineLevel="0" collapsed="false">
      <c r="A12" s="36" t="s">
        <v>230</v>
      </c>
      <c r="B12" s="44" t="s">
        <v>231</v>
      </c>
      <c r="C12" s="44" t="s">
        <v>116</v>
      </c>
      <c r="D12" s="45" t="s">
        <v>108</v>
      </c>
      <c r="E12" s="44" t="s">
        <v>232</v>
      </c>
      <c r="F12" s="44" t="s">
        <v>162</v>
      </c>
      <c r="G12" s="45" t="s">
        <v>233</v>
      </c>
      <c r="H12" s="45" t="s">
        <v>164</v>
      </c>
      <c r="I12" s="44" t="s">
        <v>234</v>
      </c>
      <c r="J12" s="44" t="s">
        <v>235</v>
      </c>
      <c r="K12" s="44" t="s">
        <v>236</v>
      </c>
      <c r="L12" s="44" t="s">
        <v>237</v>
      </c>
      <c r="M12" s="44" t="s">
        <v>169</v>
      </c>
      <c r="N12" s="44" t="s">
        <v>238</v>
      </c>
      <c r="O12" s="44"/>
      <c r="P12" s="45" t="n">
        <v>23</v>
      </c>
      <c r="Q12" s="38" t="s">
        <v>171</v>
      </c>
      <c r="R12" s="38"/>
      <c r="S12" s="39"/>
      <c r="T12" s="39"/>
      <c r="U12" s="40"/>
      <c r="V12" s="41" t="n">
        <v>6</v>
      </c>
      <c r="W12" s="38"/>
      <c r="X12" s="39"/>
      <c r="Y12" s="40"/>
      <c r="Z12" s="42" t="str">
        <f aca="false">IF(OR(U12="",V12=""),"",EDATE(U12,V12))</f>
        <v/>
      </c>
      <c r="AA12" s="43" t="str">
        <f aca="true">IF(OR(Q12="No",R12="Not applicable"),"Not applicable",IF(U12="",IF(V12="","Event-driven: set date","Not yet tested"),IF(Z12="","Event-driven",IF(Z12&lt;TODAY(),"Overdue",IF(Z12-TODAY()&lt;=30,"Due soon","On track")))))</f>
        <v>Not yet tested</v>
      </c>
    </row>
    <row r="13" customFormat="false" ht="46.25" hidden="false" customHeight="false" outlineLevel="0" collapsed="false">
      <c r="A13" s="36" t="s">
        <v>239</v>
      </c>
      <c r="B13" s="6" t="s">
        <v>240</v>
      </c>
      <c r="C13" s="6" t="s">
        <v>116</v>
      </c>
      <c r="D13" s="37" t="s">
        <v>109</v>
      </c>
      <c r="E13" s="6" t="s">
        <v>241</v>
      </c>
      <c r="F13" s="6" t="s">
        <v>162</v>
      </c>
      <c r="G13" s="37" t="s">
        <v>242</v>
      </c>
      <c r="H13" s="37" t="s">
        <v>164</v>
      </c>
      <c r="I13" s="6" t="s">
        <v>243</v>
      </c>
      <c r="J13" s="6" t="s">
        <v>244</v>
      </c>
      <c r="K13" s="6" t="s">
        <v>245</v>
      </c>
      <c r="L13" s="6" t="s">
        <v>246</v>
      </c>
      <c r="M13" s="6" t="s">
        <v>247</v>
      </c>
      <c r="N13" s="6" t="s">
        <v>238</v>
      </c>
      <c r="O13" s="6"/>
      <c r="P13" s="37" t="n">
        <v>22</v>
      </c>
      <c r="Q13" s="38" t="s">
        <v>171</v>
      </c>
      <c r="R13" s="38"/>
      <c r="S13" s="39"/>
      <c r="T13" s="39"/>
      <c r="U13" s="40"/>
      <c r="V13" s="41" t="n">
        <v>6</v>
      </c>
      <c r="W13" s="38"/>
      <c r="X13" s="39"/>
      <c r="Y13" s="40"/>
      <c r="Z13" s="42" t="str">
        <f aca="false">IF(OR(U13="",V13=""),"",EDATE(U13,V13))</f>
        <v/>
      </c>
      <c r="AA13" s="43" t="str">
        <f aca="true">IF(OR(Q13="No",R13="Not applicable"),"Not applicable",IF(U13="",IF(V13="","Event-driven: set date","Not yet tested"),IF(Z13="","Event-driven",IF(Z13&lt;TODAY(),"Overdue",IF(Z13-TODAY()&lt;=30,"Due soon","On track")))))</f>
        <v>Not yet tested</v>
      </c>
    </row>
    <row r="14" customFormat="false" ht="46.25" hidden="false" customHeight="false" outlineLevel="0" collapsed="false">
      <c r="A14" s="36" t="s">
        <v>248</v>
      </c>
      <c r="B14" s="44" t="s">
        <v>249</v>
      </c>
      <c r="C14" s="44" t="s">
        <v>112</v>
      </c>
      <c r="D14" s="45" t="s">
        <v>109</v>
      </c>
      <c r="E14" s="44" t="s">
        <v>250</v>
      </c>
      <c r="F14" s="44" t="s">
        <v>175</v>
      </c>
      <c r="G14" s="45" t="s">
        <v>176</v>
      </c>
      <c r="H14" s="45" t="s">
        <v>164</v>
      </c>
      <c r="I14" s="44" t="s">
        <v>251</v>
      </c>
      <c r="J14" s="44" t="s">
        <v>252</v>
      </c>
      <c r="K14" s="44" t="s">
        <v>253</v>
      </c>
      <c r="L14" s="44" t="s">
        <v>254</v>
      </c>
      <c r="M14" s="44" t="s">
        <v>181</v>
      </c>
      <c r="N14" s="44" t="s">
        <v>170</v>
      </c>
      <c r="O14" s="44"/>
      <c r="P14" s="45" t="n">
        <v>28</v>
      </c>
      <c r="Q14" s="38" t="s">
        <v>171</v>
      </c>
      <c r="R14" s="38"/>
      <c r="S14" s="39"/>
      <c r="T14" s="39"/>
      <c r="U14" s="40"/>
      <c r="V14" s="41" t="n">
        <v>3</v>
      </c>
      <c r="W14" s="38"/>
      <c r="X14" s="39"/>
      <c r="Y14" s="40"/>
      <c r="Z14" s="42" t="str">
        <f aca="false">IF(OR(U14="",V14=""),"",EDATE(U14,V14))</f>
        <v/>
      </c>
      <c r="AA14" s="43" t="str">
        <f aca="true">IF(OR(Q14="No",R14="Not applicable"),"Not applicable",IF(U14="",IF(V14="","Event-driven: set date","Not yet tested"),IF(Z14="","Event-driven",IF(Z14&lt;TODAY(),"Overdue",IF(Z14-TODAY()&lt;=30,"Due soon","On track")))))</f>
        <v>Not yet tested</v>
      </c>
    </row>
    <row r="15" customFormat="false" ht="79.85" hidden="false" customHeight="false" outlineLevel="0" collapsed="false">
      <c r="A15" s="36" t="s">
        <v>255</v>
      </c>
      <c r="B15" s="6" t="s">
        <v>256</v>
      </c>
      <c r="C15" s="6" t="s">
        <v>115</v>
      </c>
      <c r="D15" s="37" t="s">
        <v>108</v>
      </c>
      <c r="E15" s="6" t="s">
        <v>257</v>
      </c>
      <c r="F15" s="6" t="s">
        <v>222</v>
      </c>
      <c r="G15" s="37" t="s">
        <v>163</v>
      </c>
      <c r="H15" s="37" t="s">
        <v>164</v>
      </c>
      <c r="I15" s="6" t="s">
        <v>258</v>
      </c>
      <c r="J15" s="6" t="s">
        <v>259</v>
      </c>
      <c r="K15" s="6" t="s">
        <v>260</v>
      </c>
      <c r="L15" s="6" t="s">
        <v>261</v>
      </c>
      <c r="M15" s="6" t="s">
        <v>262</v>
      </c>
      <c r="N15" s="6" t="s">
        <v>170</v>
      </c>
      <c r="O15" s="6"/>
      <c r="P15" s="37" t="n">
        <v>19</v>
      </c>
      <c r="Q15" s="38" t="s">
        <v>171</v>
      </c>
      <c r="R15" s="38"/>
      <c r="S15" s="39"/>
      <c r="T15" s="39"/>
      <c r="U15" s="40"/>
      <c r="V15" s="41" t="n">
        <v>3</v>
      </c>
      <c r="W15" s="38"/>
      <c r="X15" s="39"/>
      <c r="Y15" s="40"/>
      <c r="Z15" s="42" t="str">
        <f aca="false">IF(OR(U15="",V15=""),"",EDATE(U15,V15))</f>
        <v/>
      </c>
      <c r="AA15" s="43" t="str">
        <f aca="true">IF(OR(Q15="No",R15="Not applicable"),"Not applicable",IF(U15="",IF(V15="","Event-driven: set date","Not yet tested"),IF(Z15="","Event-driven",IF(Z15&lt;TODAY(),"Overdue",IF(Z15-TODAY()&lt;=30,"Due soon","On track")))))</f>
        <v>Not yet tested</v>
      </c>
    </row>
    <row r="16" customFormat="false" ht="91" hidden="false" customHeight="false" outlineLevel="0" collapsed="false">
      <c r="A16" s="36" t="s">
        <v>263</v>
      </c>
      <c r="B16" s="44" t="s">
        <v>264</v>
      </c>
      <c r="C16" s="44" t="s">
        <v>115</v>
      </c>
      <c r="D16" s="45" t="s">
        <v>108</v>
      </c>
      <c r="E16" s="44" t="s">
        <v>265</v>
      </c>
      <c r="F16" s="44" t="s">
        <v>162</v>
      </c>
      <c r="G16" s="45" t="s">
        <v>163</v>
      </c>
      <c r="H16" s="45" t="s">
        <v>164</v>
      </c>
      <c r="I16" s="44" t="s">
        <v>266</v>
      </c>
      <c r="J16" s="44" t="s">
        <v>267</v>
      </c>
      <c r="K16" s="44" t="s">
        <v>268</v>
      </c>
      <c r="L16" s="44" t="s">
        <v>269</v>
      </c>
      <c r="M16" s="44" t="s">
        <v>270</v>
      </c>
      <c r="N16" s="44" t="s">
        <v>271</v>
      </c>
      <c r="O16" s="44"/>
      <c r="P16" s="45" t="n">
        <v>8</v>
      </c>
      <c r="Q16" s="38" t="s">
        <v>171</v>
      </c>
      <c r="R16" s="38"/>
      <c r="S16" s="39"/>
      <c r="T16" s="39"/>
      <c r="U16" s="40"/>
      <c r="V16" s="41" t="n">
        <v>12</v>
      </c>
      <c r="W16" s="38"/>
      <c r="X16" s="39"/>
      <c r="Y16" s="40"/>
      <c r="Z16" s="42" t="str">
        <f aca="false">IF(OR(U16="",V16=""),"",EDATE(U16,V16))</f>
        <v/>
      </c>
      <c r="AA16" s="43" t="str">
        <f aca="true">IF(OR(Q16="No",R16="Not applicable"),"Not applicable",IF(U16="",IF(V16="","Event-driven: set date","Not yet tested"),IF(Z16="","Event-driven",IF(Z16&lt;TODAY(),"Overdue",IF(Z16-TODAY()&lt;=30,"Due soon","On track")))))</f>
        <v>Not yet tested</v>
      </c>
    </row>
    <row r="17" customFormat="false" ht="46.25" hidden="false" customHeight="false" outlineLevel="0" collapsed="false">
      <c r="A17" s="36" t="s">
        <v>272</v>
      </c>
      <c r="B17" s="6" t="s">
        <v>273</v>
      </c>
      <c r="C17" s="6" t="s">
        <v>115</v>
      </c>
      <c r="D17" s="37" t="s">
        <v>108</v>
      </c>
      <c r="E17" s="6" t="s">
        <v>274</v>
      </c>
      <c r="F17" s="6" t="s">
        <v>275</v>
      </c>
      <c r="G17" s="37" t="s">
        <v>213</v>
      </c>
      <c r="H17" s="37" t="s">
        <v>164</v>
      </c>
      <c r="I17" s="6" t="s">
        <v>276</v>
      </c>
      <c r="J17" s="6" t="s">
        <v>277</v>
      </c>
      <c r="K17" s="6" t="s">
        <v>278</v>
      </c>
      <c r="L17" s="6" t="s">
        <v>279</v>
      </c>
      <c r="M17" s="6" t="s">
        <v>280</v>
      </c>
      <c r="N17" s="6" t="s">
        <v>281</v>
      </c>
      <c r="O17" s="6"/>
      <c r="P17" s="37" t="n">
        <v>41</v>
      </c>
      <c r="Q17" s="38" t="s">
        <v>171</v>
      </c>
      <c r="R17" s="38"/>
      <c r="S17" s="39"/>
      <c r="T17" s="39"/>
      <c r="U17" s="40"/>
      <c r="V17" s="41" t="n">
        <v>12</v>
      </c>
      <c r="W17" s="38"/>
      <c r="X17" s="39"/>
      <c r="Y17" s="40"/>
      <c r="Z17" s="42" t="str">
        <f aca="false">IF(OR(U17="",V17=""),"",EDATE(U17,V17))</f>
        <v/>
      </c>
      <c r="AA17" s="43" t="str">
        <f aca="true">IF(OR(Q17="No",R17="Not applicable"),"Not applicable",IF(U17="",IF(V17="","Event-driven: set date","Not yet tested"),IF(Z17="","Event-driven",IF(Z17&lt;TODAY(),"Overdue",IF(Z17-TODAY()&lt;=30,"Due soon","On track")))))</f>
        <v>Not yet tested</v>
      </c>
    </row>
    <row r="18" customFormat="false" ht="158.2" hidden="false" customHeight="false" outlineLevel="0" collapsed="false">
      <c r="A18" s="36" t="s">
        <v>282</v>
      </c>
      <c r="B18" s="44" t="s">
        <v>283</v>
      </c>
      <c r="C18" s="44" t="s">
        <v>115</v>
      </c>
      <c r="D18" s="45" t="s">
        <v>108</v>
      </c>
      <c r="E18" s="44" t="s">
        <v>284</v>
      </c>
      <c r="F18" s="44" t="s">
        <v>285</v>
      </c>
      <c r="G18" s="45" t="s">
        <v>163</v>
      </c>
      <c r="H18" s="45" t="s">
        <v>223</v>
      </c>
      <c r="I18" s="44" t="s">
        <v>286</v>
      </c>
      <c r="J18" s="44" t="s">
        <v>287</v>
      </c>
      <c r="K18" s="44" t="s">
        <v>288</v>
      </c>
      <c r="L18" s="44" t="s">
        <v>289</v>
      </c>
      <c r="M18" s="44" t="s">
        <v>290</v>
      </c>
      <c r="N18" s="44" t="s">
        <v>229</v>
      </c>
      <c r="O18" s="44"/>
      <c r="P18" s="45" t="n">
        <v>26</v>
      </c>
      <c r="Q18" s="38" t="s">
        <v>171</v>
      </c>
      <c r="R18" s="38"/>
      <c r="S18" s="39"/>
      <c r="T18" s="39"/>
      <c r="U18" s="40"/>
      <c r="V18" s="41" t="n">
        <v>12</v>
      </c>
      <c r="W18" s="38"/>
      <c r="X18" s="39"/>
      <c r="Y18" s="40"/>
      <c r="Z18" s="42" t="str">
        <f aca="false">IF(OR(U18="",V18=""),"",EDATE(U18,V18))</f>
        <v/>
      </c>
      <c r="AA18" s="43" t="str">
        <f aca="true">IF(OR(Q18="No",R18="Not applicable"),"Not applicable",IF(U18="",IF(V18="","Event-driven: set date","Not yet tested"),IF(Z18="","Event-driven",IF(Z18&lt;TODAY(),"Overdue",IF(Z18-TODAY()&lt;=30,"Due soon","On track")))))</f>
        <v>Not yet tested</v>
      </c>
    </row>
    <row r="19" customFormat="false" ht="169.4" hidden="false" customHeight="false" outlineLevel="0" collapsed="false">
      <c r="A19" s="36" t="s">
        <v>291</v>
      </c>
      <c r="B19" s="6" t="s">
        <v>292</v>
      </c>
      <c r="C19" s="6" t="s">
        <v>117</v>
      </c>
      <c r="D19" s="37" t="s">
        <v>108</v>
      </c>
      <c r="E19" s="6" t="s">
        <v>293</v>
      </c>
      <c r="F19" s="6" t="s">
        <v>294</v>
      </c>
      <c r="G19" s="37" t="s">
        <v>176</v>
      </c>
      <c r="H19" s="37" t="s">
        <v>164</v>
      </c>
      <c r="I19" s="6" t="s">
        <v>295</v>
      </c>
      <c r="J19" s="6" t="s">
        <v>296</v>
      </c>
      <c r="K19" s="6" t="s">
        <v>297</v>
      </c>
      <c r="L19" s="6" t="s">
        <v>298</v>
      </c>
      <c r="M19" s="6" t="s">
        <v>299</v>
      </c>
      <c r="N19" s="6" t="s">
        <v>238</v>
      </c>
      <c r="O19" s="6"/>
      <c r="P19" s="37" t="n">
        <v>45</v>
      </c>
      <c r="Q19" s="38" t="s">
        <v>171</v>
      </c>
      <c r="R19" s="38"/>
      <c r="S19" s="39"/>
      <c r="T19" s="39"/>
      <c r="U19" s="40"/>
      <c r="V19" s="41" t="n">
        <v>6</v>
      </c>
      <c r="W19" s="38"/>
      <c r="X19" s="39"/>
      <c r="Y19" s="40"/>
      <c r="Z19" s="42" t="str">
        <f aca="false">IF(OR(U19="",V19=""),"",EDATE(U19,V19))</f>
        <v/>
      </c>
      <c r="AA19" s="43" t="str">
        <f aca="true">IF(OR(Q19="No",R19="Not applicable"),"Not applicable",IF(U19="",IF(V19="","Event-driven: set date","Not yet tested"),IF(Z19="","Event-driven",IF(Z19&lt;TODAY(),"Overdue",IF(Z19-TODAY()&lt;=30,"Due soon","On track")))))</f>
        <v>Not yet tested</v>
      </c>
    </row>
    <row r="20" customFormat="false" ht="124.6" hidden="false" customHeight="false" outlineLevel="0" collapsed="false">
      <c r="A20" s="36" t="s">
        <v>300</v>
      </c>
      <c r="B20" s="44" t="s">
        <v>301</v>
      </c>
      <c r="C20" s="44" t="s">
        <v>117</v>
      </c>
      <c r="D20" s="45" t="s">
        <v>108</v>
      </c>
      <c r="E20" s="44" t="s">
        <v>302</v>
      </c>
      <c r="F20" s="44" t="s">
        <v>294</v>
      </c>
      <c r="G20" s="45" t="s">
        <v>176</v>
      </c>
      <c r="H20" s="45" t="s">
        <v>164</v>
      </c>
      <c r="I20" s="44" t="s">
        <v>303</v>
      </c>
      <c r="J20" s="44" t="s">
        <v>304</v>
      </c>
      <c r="K20" s="44" t="s">
        <v>305</v>
      </c>
      <c r="L20" s="44" t="s">
        <v>306</v>
      </c>
      <c r="M20" s="44" t="s">
        <v>299</v>
      </c>
      <c r="N20" s="44" t="s">
        <v>170</v>
      </c>
      <c r="O20" s="44"/>
      <c r="P20" s="45" t="n">
        <v>53</v>
      </c>
      <c r="Q20" s="38" t="s">
        <v>171</v>
      </c>
      <c r="R20" s="38"/>
      <c r="S20" s="39"/>
      <c r="T20" s="39"/>
      <c r="U20" s="40"/>
      <c r="V20" s="41" t="n">
        <v>3</v>
      </c>
      <c r="W20" s="38"/>
      <c r="X20" s="39"/>
      <c r="Y20" s="40"/>
      <c r="Z20" s="42" t="str">
        <f aca="false">IF(OR(U20="",V20=""),"",EDATE(U20,V20))</f>
        <v/>
      </c>
      <c r="AA20" s="43" t="str">
        <f aca="true">IF(OR(Q20="No",R20="Not applicable"),"Not applicable",IF(U20="",IF(V20="","Event-driven: set date","Not yet tested"),IF(Z20="","Event-driven",IF(Z20&lt;TODAY(),"Overdue",IF(Z20-TODAY()&lt;=30,"Due soon","On track")))))</f>
        <v>Not yet tested</v>
      </c>
    </row>
    <row r="21" customFormat="false" ht="180.55" hidden="false" customHeight="false" outlineLevel="0" collapsed="false">
      <c r="A21" s="36" t="s">
        <v>307</v>
      </c>
      <c r="B21" s="6" t="s">
        <v>308</v>
      </c>
      <c r="C21" s="6" t="s">
        <v>118</v>
      </c>
      <c r="D21" s="37" t="s">
        <v>108</v>
      </c>
      <c r="E21" s="6" t="s">
        <v>309</v>
      </c>
      <c r="F21" s="6" t="s">
        <v>294</v>
      </c>
      <c r="G21" s="37" t="s">
        <v>176</v>
      </c>
      <c r="H21" s="37" t="s">
        <v>164</v>
      </c>
      <c r="I21" s="6" t="s">
        <v>310</v>
      </c>
      <c r="J21" s="6" t="s">
        <v>311</v>
      </c>
      <c r="K21" s="6" t="s">
        <v>312</v>
      </c>
      <c r="L21" s="6" t="s">
        <v>313</v>
      </c>
      <c r="M21" s="6" t="s">
        <v>314</v>
      </c>
      <c r="N21" s="6" t="s">
        <v>238</v>
      </c>
      <c r="O21" s="6"/>
      <c r="P21" s="37" t="n">
        <v>39</v>
      </c>
      <c r="Q21" s="38" t="s">
        <v>171</v>
      </c>
      <c r="R21" s="38"/>
      <c r="S21" s="39"/>
      <c r="T21" s="39"/>
      <c r="U21" s="40"/>
      <c r="V21" s="41" t="n">
        <v>6</v>
      </c>
      <c r="W21" s="38"/>
      <c r="X21" s="39"/>
      <c r="Y21" s="40"/>
      <c r="Z21" s="42" t="str">
        <f aca="false">IF(OR(U21="",V21=""),"",EDATE(U21,V21))</f>
        <v/>
      </c>
      <c r="AA21" s="43" t="str">
        <f aca="true">IF(OR(Q21="No",R21="Not applicable"),"Not applicable",IF(U21="",IF(V21="","Event-driven: set date","Not yet tested"),IF(Z21="","Event-driven",IF(Z21&lt;TODAY(),"Overdue",IF(Z21-TODAY()&lt;=30,"Due soon","On track")))))</f>
        <v>Not yet tested</v>
      </c>
    </row>
    <row r="22" customFormat="false" ht="46.25" hidden="false" customHeight="false" outlineLevel="0" collapsed="false">
      <c r="A22" s="36" t="s">
        <v>315</v>
      </c>
      <c r="B22" s="44" t="s">
        <v>316</v>
      </c>
      <c r="C22" s="44" t="s">
        <v>118</v>
      </c>
      <c r="D22" s="45" t="s">
        <v>108</v>
      </c>
      <c r="E22" s="44" t="s">
        <v>317</v>
      </c>
      <c r="F22" s="44" t="s">
        <v>318</v>
      </c>
      <c r="G22" s="45" t="s">
        <v>176</v>
      </c>
      <c r="H22" s="45" t="s">
        <v>164</v>
      </c>
      <c r="I22" s="44" t="s">
        <v>319</v>
      </c>
      <c r="J22" s="44" t="s">
        <v>320</v>
      </c>
      <c r="K22" s="44" t="s">
        <v>321</v>
      </c>
      <c r="L22" s="44" t="s">
        <v>322</v>
      </c>
      <c r="M22" s="44" t="s">
        <v>323</v>
      </c>
      <c r="N22" s="44" t="s">
        <v>170</v>
      </c>
      <c r="O22" s="44"/>
      <c r="P22" s="45" t="n">
        <v>10</v>
      </c>
      <c r="Q22" s="38" t="s">
        <v>171</v>
      </c>
      <c r="R22" s="38"/>
      <c r="S22" s="39"/>
      <c r="T22" s="39"/>
      <c r="U22" s="40"/>
      <c r="V22" s="41" t="n">
        <v>3</v>
      </c>
      <c r="W22" s="38"/>
      <c r="X22" s="39"/>
      <c r="Y22" s="40"/>
      <c r="Z22" s="42" t="str">
        <f aca="false">IF(OR(U22="",V22=""),"",EDATE(U22,V22))</f>
        <v/>
      </c>
      <c r="AA22" s="43" t="str">
        <f aca="true">IF(OR(Q22="No",R22="Not applicable"),"Not applicable",IF(U22="",IF(V22="","Event-driven: set date","Not yet tested"),IF(Z22="","Event-driven",IF(Z22&lt;TODAY(),"Overdue",IF(Z22-TODAY()&lt;=30,"Due soon","On track")))))</f>
        <v>Not yet tested</v>
      </c>
    </row>
    <row r="23" customFormat="false" ht="113.4" hidden="false" customHeight="false" outlineLevel="0" collapsed="false">
      <c r="A23" s="36" t="s">
        <v>324</v>
      </c>
      <c r="B23" s="6" t="s">
        <v>325</v>
      </c>
      <c r="C23" s="6" t="s">
        <v>118</v>
      </c>
      <c r="D23" s="37" t="s">
        <v>109</v>
      </c>
      <c r="E23" s="6" t="s">
        <v>326</v>
      </c>
      <c r="F23" s="6" t="s">
        <v>318</v>
      </c>
      <c r="G23" s="37" t="s">
        <v>176</v>
      </c>
      <c r="H23" s="37" t="s">
        <v>164</v>
      </c>
      <c r="I23" s="6" t="s">
        <v>327</v>
      </c>
      <c r="J23" s="6" t="s">
        <v>328</v>
      </c>
      <c r="K23" s="6" t="s">
        <v>329</v>
      </c>
      <c r="L23" s="6" t="s">
        <v>330</v>
      </c>
      <c r="M23" s="6" t="s">
        <v>323</v>
      </c>
      <c r="N23" s="6" t="s">
        <v>170</v>
      </c>
      <c r="O23" s="6"/>
      <c r="P23" s="37" t="n">
        <v>15</v>
      </c>
      <c r="Q23" s="38" t="s">
        <v>171</v>
      </c>
      <c r="R23" s="38"/>
      <c r="S23" s="39"/>
      <c r="T23" s="39"/>
      <c r="U23" s="40"/>
      <c r="V23" s="41" t="n">
        <v>3</v>
      </c>
      <c r="W23" s="38"/>
      <c r="X23" s="39"/>
      <c r="Y23" s="40"/>
      <c r="Z23" s="42" t="str">
        <f aca="false">IF(OR(U23="",V23=""),"",EDATE(U23,V23))</f>
        <v/>
      </c>
      <c r="AA23" s="43" t="str">
        <f aca="true">IF(OR(Q23="No",R23="Not applicable"),"Not applicable",IF(U23="",IF(V23="","Event-driven: set date","Not yet tested"),IF(Z23="","Event-driven",IF(Z23&lt;TODAY(),"Overdue",IF(Z23-TODAY()&lt;=30,"Due soon","On track")))))</f>
        <v>Not yet tested</v>
      </c>
    </row>
    <row r="24" customFormat="false" ht="79.85" hidden="false" customHeight="false" outlineLevel="0" collapsed="false">
      <c r="A24" s="36" t="s">
        <v>331</v>
      </c>
      <c r="B24" s="44" t="s">
        <v>332</v>
      </c>
      <c r="C24" s="44" t="s">
        <v>113</v>
      </c>
      <c r="D24" s="45" t="s">
        <v>108</v>
      </c>
      <c r="E24" s="44" t="s">
        <v>333</v>
      </c>
      <c r="F24" s="44" t="s">
        <v>334</v>
      </c>
      <c r="G24" s="45" t="s">
        <v>176</v>
      </c>
      <c r="H24" s="45" t="s">
        <v>164</v>
      </c>
      <c r="I24" s="44" t="s">
        <v>335</v>
      </c>
      <c r="J24" s="44" t="s">
        <v>336</v>
      </c>
      <c r="K24" s="44" t="s">
        <v>337</v>
      </c>
      <c r="L24" s="44" t="s">
        <v>338</v>
      </c>
      <c r="M24" s="44" t="s">
        <v>207</v>
      </c>
      <c r="N24" s="44" t="s">
        <v>208</v>
      </c>
      <c r="O24" s="44"/>
      <c r="P24" s="45" t="n">
        <v>14</v>
      </c>
      <c r="Q24" s="38" t="s">
        <v>171</v>
      </c>
      <c r="R24" s="38"/>
      <c r="S24" s="39"/>
      <c r="T24" s="39"/>
      <c r="U24" s="40"/>
      <c r="V24" s="41" t="n">
        <v>3</v>
      </c>
      <c r="W24" s="38"/>
      <c r="X24" s="39"/>
      <c r="Y24" s="40"/>
      <c r="Z24" s="42" t="str">
        <f aca="false">IF(OR(U24="",V24=""),"",EDATE(U24,V24))</f>
        <v/>
      </c>
      <c r="AA24" s="43" t="str">
        <f aca="true">IF(OR(Q24="No",R24="Not applicable"),"Not applicable",IF(U24="",IF(V24="","Event-driven: set date","Not yet tested"),IF(Z24="","Event-driven",IF(Z24&lt;TODAY(),"Overdue",IF(Z24-TODAY()&lt;=30,"Due soon","On track")))))</f>
        <v>Not yet tested</v>
      </c>
    </row>
    <row r="25" customFormat="false" ht="46.25" hidden="false" customHeight="false" outlineLevel="0" collapsed="false">
      <c r="A25" s="36" t="s">
        <v>339</v>
      </c>
      <c r="B25" s="6" t="s">
        <v>340</v>
      </c>
      <c r="C25" s="6" t="s">
        <v>113</v>
      </c>
      <c r="D25" s="37" t="s">
        <v>109</v>
      </c>
      <c r="E25" s="6" t="s">
        <v>341</v>
      </c>
      <c r="F25" s="6" t="s">
        <v>342</v>
      </c>
      <c r="G25" s="37" t="s">
        <v>176</v>
      </c>
      <c r="H25" s="37" t="s">
        <v>164</v>
      </c>
      <c r="I25" s="6" t="s">
        <v>343</v>
      </c>
      <c r="J25" s="6" t="s">
        <v>344</v>
      </c>
      <c r="K25" s="6" t="s">
        <v>345</v>
      </c>
      <c r="L25" s="6" t="s">
        <v>346</v>
      </c>
      <c r="M25" s="6" t="s">
        <v>181</v>
      </c>
      <c r="N25" s="6" t="s">
        <v>238</v>
      </c>
      <c r="O25" s="6"/>
      <c r="P25" s="37" t="n">
        <v>28</v>
      </c>
      <c r="Q25" s="38" t="s">
        <v>171</v>
      </c>
      <c r="R25" s="38"/>
      <c r="S25" s="39"/>
      <c r="T25" s="39"/>
      <c r="U25" s="40"/>
      <c r="V25" s="41" t="n">
        <v>6</v>
      </c>
      <c r="W25" s="38"/>
      <c r="X25" s="39"/>
      <c r="Y25" s="40"/>
      <c r="Z25" s="42" t="str">
        <f aca="false">IF(OR(U25="",V25=""),"",EDATE(U25,V25))</f>
        <v/>
      </c>
      <c r="AA25" s="43" t="str">
        <f aca="true">IF(OR(Q25="No",R25="Not applicable"),"Not applicable",IF(U25="",IF(V25="","Event-driven: set date","Not yet tested"),IF(Z25="","Event-driven",IF(Z25&lt;TODAY(),"Overdue",IF(Z25-TODAY()&lt;=30,"Due soon","On track")))))</f>
        <v>Not yet tested</v>
      </c>
    </row>
    <row r="26" customFormat="false" ht="46.25" hidden="false" customHeight="false" outlineLevel="0" collapsed="false">
      <c r="A26" s="36" t="s">
        <v>347</v>
      </c>
      <c r="B26" s="44" t="s">
        <v>348</v>
      </c>
      <c r="C26" s="44" t="s">
        <v>114</v>
      </c>
      <c r="D26" s="45" t="s">
        <v>108</v>
      </c>
      <c r="E26" s="44" t="s">
        <v>349</v>
      </c>
      <c r="F26" s="44" t="s">
        <v>350</v>
      </c>
      <c r="G26" s="45" t="s">
        <v>213</v>
      </c>
      <c r="H26" s="45" t="s">
        <v>164</v>
      </c>
      <c r="I26" s="44" t="s">
        <v>351</v>
      </c>
      <c r="J26" s="44" t="s">
        <v>352</v>
      </c>
      <c r="K26" s="44" t="s">
        <v>353</v>
      </c>
      <c r="L26" s="44" t="s">
        <v>354</v>
      </c>
      <c r="M26" s="44" t="s">
        <v>355</v>
      </c>
      <c r="N26" s="44" t="s">
        <v>238</v>
      </c>
      <c r="O26" s="44"/>
      <c r="P26" s="45" t="n">
        <v>19</v>
      </c>
      <c r="Q26" s="38" t="s">
        <v>171</v>
      </c>
      <c r="R26" s="38"/>
      <c r="S26" s="39"/>
      <c r="T26" s="39"/>
      <c r="U26" s="40"/>
      <c r="V26" s="41" t="n">
        <v>6</v>
      </c>
      <c r="W26" s="38"/>
      <c r="X26" s="39"/>
      <c r="Y26" s="40"/>
      <c r="Z26" s="42" t="str">
        <f aca="false">IF(OR(U26="",V26=""),"",EDATE(U26,V26))</f>
        <v/>
      </c>
      <c r="AA26" s="43" t="str">
        <f aca="true">IF(OR(Q26="No",R26="Not applicable"),"Not applicable",IF(U26="",IF(V26="","Event-driven: set date","Not yet tested"),IF(Z26="","Event-driven",IF(Z26&lt;TODAY(),"Overdue",IF(Z26-TODAY()&lt;=30,"Due soon","On track")))))</f>
        <v>Not yet tested</v>
      </c>
    </row>
    <row r="27" customFormat="false" ht="46.25" hidden="false" customHeight="false" outlineLevel="0" collapsed="false">
      <c r="A27" s="36" t="s">
        <v>356</v>
      </c>
      <c r="B27" s="6" t="s">
        <v>357</v>
      </c>
      <c r="C27" s="6" t="s">
        <v>114</v>
      </c>
      <c r="D27" s="37" t="s">
        <v>108</v>
      </c>
      <c r="E27" s="6" t="s">
        <v>358</v>
      </c>
      <c r="F27" s="6" t="s">
        <v>212</v>
      </c>
      <c r="G27" s="37" t="s">
        <v>213</v>
      </c>
      <c r="H27" s="37" t="s">
        <v>164</v>
      </c>
      <c r="I27" s="6" t="s">
        <v>359</v>
      </c>
      <c r="J27" s="6" t="s">
        <v>360</v>
      </c>
      <c r="K27" s="6" t="s">
        <v>361</v>
      </c>
      <c r="L27" s="6" t="s">
        <v>362</v>
      </c>
      <c r="M27" s="6" t="s">
        <v>323</v>
      </c>
      <c r="N27" s="6" t="s">
        <v>238</v>
      </c>
      <c r="O27" s="6"/>
      <c r="P27" s="37" t="n">
        <v>8</v>
      </c>
      <c r="Q27" s="38" t="s">
        <v>171</v>
      </c>
      <c r="R27" s="38"/>
      <c r="S27" s="39"/>
      <c r="T27" s="39"/>
      <c r="U27" s="40"/>
      <c r="V27" s="41" t="n">
        <v>6</v>
      </c>
      <c r="W27" s="38"/>
      <c r="X27" s="39"/>
      <c r="Y27" s="40"/>
      <c r="Z27" s="42" t="str">
        <f aca="false">IF(OR(U27="",V27=""),"",EDATE(U27,V27))</f>
        <v/>
      </c>
      <c r="AA27" s="43" t="str">
        <f aca="true">IF(OR(Q27="No",R27="Not applicable"),"Not applicable",IF(U27="",IF(V27="","Event-driven: set date","Not yet tested"),IF(Z27="","Event-driven",IF(Z27&lt;TODAY(),"Overdue",IF(Z27-TODAY()&lt;=30,"Due soon","On track")))))</f>
        <v>Not yet tested</v>
      </c>
    </row>
    <row r="28" customFormat="false" ht="68.65" hidden="false" customHeight="false" outlineLevel="0" collapsed="false">
      <c r="A28" s="36" t="s">
        <v>363</v>
      </c>
      <c r="B28" s="44" t="s">
        <v>364</v>
      </c>
      <c r="C28" s="44" t="s">
        <v>114</v>
      </c>
      <c r="D28" s="45" t="s">
        <v>108</v>
      </c>
      <c r="E28" s="44" t="s">
        <v>365</v>
      </c>
      <c r="F28" s="44" t="s">
        <v>366</v>
      </c>
      <c r="G28" s="45" t="s">
        <v>176</v>
      </c>
      <c r="H28" s="45" t="s">
        <v>164</v>
      </c>
      <c r="I28" s="44" t="s">
        <v>367</v>
      </c>
      <c r="J28" s="44" t="s">
        <v>368</v>
      </c>
      <c r="K28" s="44" t="s">
        <v>369</v>
      </c>
      <c r="L28" s="44" t="s">
        <v>370</v>
      </c>
      <c r="M28" s="44" t="s">
        <v>218</v>
      </c>
      <c r="N28" s="44" t="s">
        <v>170</v>
      </c>
      <c r="O28" s="44"/>
      <c r="P28" s="45" t="n">
        <v>16</v>
      </c>
      <c r="Q28" s="38" t="s">
        <v>171</v>
      </c>
      <c r="R28" s="38"/>
      <c r="S28" s="39"/>
      <c r="T28" s="39"/>
      <c r="U28" s="40"/>
      <c r="V28" s="41" t="n">
        <v>3</v>
      </c>
      <c r="W28" s="38"/>
      <c r="X28" s="39"/>
      <c r="Y28" s="40"/>
      <c r="Z28" s="42" t="str">
        <f aca="false">IF(OR(U28="",V28=""),"",EDATE(U28,V28))</f>
        <v/>
      </c>
      <c r="AA28" s="43" t="str">
        <f aca="true">IF(OR(Q28="No",R28="Not applicable"),"Not applicable",IF(U28="",IF(V28="","Event-driven: set date","Not yet tested"),IF(Z28="","Event-driven",IF(Z28&lt;TODAY(),"Overdue",IF(Z28-TODAY()&lt;=30,"Due soon","On track")))))</f>
        <v>Not yet tested</v>
      </c>
    </row>
    <row r="29" customFormat="false" ht="191.75" hidden="false" customHeight="false" outlineLevel="0" collapsed="false">
      <c r="A29" s="36" t="s">
        <v>371</v>
      </c>
      <c r="B29" s="6" t="s">
        <v>372</v>
      </c>
      <c r="C29" s="6" t="s">
        <v>114</v>
      </c>
      <c r="D29" s="37" t="s">
        <v>108</v>
      </c>
      <c r="E29" s="6" t="s">
        <v>373</v>
      </c>
      <c r="F29" s="6" t="s">
        <v>374</v>
      </c>
      <c r="G29" s="37" t="s">
        <v>242</v>
      </c>
      <c r="H29" s="37" t="s">
        <v>164</v>
      </c>
      <c r="I29" s="6" t="s">
        <v>375</v>
      </c>
      <c r="J29" s="6" t="s">
        <v>376</v>
      </c>
      <c r="K29" s="6" t="s">
        <v>377</v>
      </c>
      <c r="L29" s="6" t="s">
        <v>378</v>
      </c>
      <c r="M29" s="6" t="s">
        <v>379</v>
      </c>
      <c r="N29" s="6" t="s">
        <v>238</v>
      </c>
      <c r="O29" s="6"/>
      <c r="P29" s="37" t="n">
        <v>13</v>
      </c>
      <c r="Q29" s="38" t="s">
        <v>171</v>
      </c>
      <c r="R29" s="38"/>
      <c r="S29" s="39"/>
      <c r="T29" s="39"/>
      <c r="U29" s="40"/>
      <c r="V29" s="41" t="n">
        <v>6</v>
      </c>
      <c r="W29" s="38"/>
      <c r="X29" s="39"/>
      <c r="Y29" s="40"/>
      <c r="Z29" s="42" t="str">
        <f aca="false">IF(OR(U29="",V29=""),"",EDATE(U29,V29))</f>
        <v/>
      </c>
      <c r="AA29" s="43" t="str">
        <f aca="true">IF(OR(Q29="No",R29="Not applicable"),"Not applicable",IF(U29="",IF(V29="","Event-driven: set date","Not yet tested"),IF(Z29="","Event-driven",IF(Z29&lt;TODAY(),"Overdue",IF(Z29-TODAY()&lt;=30,"Due soon","On track")))))</f>
        <v>Not yet tested</v>
      </c>
    </row>
    <row r="30" customFormat="false" ht="102.2" hidden="false" customHeight="false" outlineLevel="0" collapsed="false">
      <c r="A30" s="36" t="s">
        <v>380</v>
      </c>
      <c r="B30" s="44" t="s">
        <v>381</v>
      </c>
      <c r="C30" s="44" t="s">
        <v>114</v>
      </c>
      <c r="D30" s="45" t="s">
        <v>109</v>
      </c>
      <c r="E30" s="44" t="s">
        <v>382</v>
      </c>
      <c r="F30" s="44" t="s">
        <v>350</v>
      </c>
      <c r="G30" s="45" t="s">
        <v>176</v>
      </c>
      <c r="H30" s="45" t="s">
        <v>164</v>
      </c>
      <c r="I30" s="44" t="s">
        <v>383</v>
      </c>
      <c r="J30" s="44" t="s">
        <v>384</v>
      </c>
      <c r="K30" s="44" t="s">
        <v>385</v>
      </c>
      <c r="L30" s="44" t="s">
        <v>386</v>
      </c>
      <c r="M30" s="44" t="s">
        <v>323</v>
      </c>
      <c r="N30" s="44" t="s">
        <v>238</v>
      </c>
      <c r="O30" s="44"/>
      <c r="P30" s="45" t="n">
        <v>9</v>
      </c>
      <c r="Q30" s="38" t="s">
        <v>171</v>
      </c>
      <c r="R30" s="38"/>
      <c r="S30" s="39"/>
      <c r="T30" s="39"/>
      <c r="U30" s="40"/>
      <c r="V30" s="41" t="n">
        <v>6</v>
      </c>
      <c r="W30" s="38"/>
      <c r="X30" s="39"/>
      <c r="Y30" s="40"/>
      <c r="Z30" s="42" t="str">
        <f aca="false">IF(OR(U30="",V30=""),"",EDATE(U30,V30))</f>
        <v/>
      </c>
      <c r="AA30" s="43" t="str">
        <f aca="true">IF(OR(Q30="No",R30="Not applicable"),"Not applicable",IF(U30="",IF(V30="","Event-driven: set date","Not yet tested"),IF(Z30="","Event-driven",IF(Z30&lt;TODAY(),"Overdue",IF(Z30-TODAY()&lt;=30,"Due soon","On track")))))</f>
        <v>Not yet tested</v>
      </c>
    </row>
    <row r="31" customFormat="false" ht="46.25" hidden="false" customHeight="false" outlineLevel="0" collapsed="false">
      <c r="A31" s="36" t="s">
        <v>387</v>
      </c>
      <c r="B31" s="6" t="s">
        <v>388</v>
      </c>
      <c r="C31" s="6" t="s">
        <v>114</v>
      </c>
      <c r="D31" s="37" t="s">
        <v>108</v>
      </c>
      <c r="E31" s="6" t="s">
        <v>389</v>
      </c>
      <c r="F31" s="6" t="s">
        <v>212</v>
      </c>
      <c r="G31" s="37" t="s">
        <v>233</v>
      </c>
      <c r="H31" s="37" t="s">
        <v>164</v>
      </c>
      <c r="I31" s="6" t="s">
        <v>390</v>
      </c>
      <c r="J31" s="6" t="s">
        <v>391</v>
      </c>
      <c r="K31" s="6" t="s">
        <v>392</v>
      </c>
      <c r="L31" s="6" t="s">
        <v>393</v>
      </c>
      <c r="M31" s="6" t="s">
        <v>394</v>
      </c>
      <c r="N31" s="6" t="s">
        <v>238</v>
      </c>
      <c r="O31" s="6"/>
      <c r="P31" s="37" t="n">
        <v>12</v>
      </c>
      <c r="Q31" s="38" t="s">
        <v>171</v>
      </c>
      <c r="R31" s="38"/>
      <c r="S31" s="39"/>
      <c r="T31" s="39"/>
      <c r="U31" s="40"/>
      <c r="V31" s="41" t="n">
        <v>6</v>
      </c>
      <c r="W31" s="38"/>
      <c r="X31" s="39"/>
      <c r="Y31" s="40"/>
      <c r="Z31" s="42" t="str">
        <f aca="false">IF(OR(U31="",V31=""),"",EDATE(U31,V31))</f>
        <v/>
      </c>
      <c r="AA31" s="43" t="str">
        <f aca="true">IF(OR(Q31="No",R31="Not applicable"),"Not applicable",IF(U31="",IF(V31="","Event-driven: set date","Not yet tested"),IF(Z31="","Event-driven",IF(Z31&lt;TODAY(),"Overdue",IF(Z31-TODAY()&lt;=30,"Due soon","On track")))))</f>
        <v>Not yet tested</v>
      </c>
    </row>
    <row r="32" customFormat="false" ht="46.25" hidden="false" customHeight="false" outlineLevel="0" collapsed="false">
      <c r="A32" s="36" t="s">
        <v>395</v>
      </c>
      <c r="B32" s="44" t="s">
        <v>396</v>
      </c>
      <c r="C32" s="44" t="s">
        <v>119</v>
      </c>
      <c r="D32" s="45" t="s">
        <v>109</v>
      </c>
      <c r="E32" s="44" t="s">
        <v>397</v>
      </c>
      <c r="F32" s="44" t="s">
        <v>202</v>
      </c>
      <c r="G32" s="45" t="s">
        <v>233</v>
      </c>
      <c r="H32" s="45" t="s">
        <v>398</v>
      </c>
      <c r="I32" s="44" t="s">
        <v>399</v>
      </c>
      <c r="J32" s="44" t="s">
        <v>400</v>
      </c>
      <c r="K32" s="44" t="s">
        <v>401</v>
      </c>
      <c r="L32" s="44" t="s">
        <v>402</v>
      </c>
      <c r="M32" s="44" t="s">
        <v>403</v>
      </c>
      <c r="N32" s="44" t="s">
        <v>238</v>
      </c>
      <c r="O32" s="44"/>
      <c r="P32" s="45" t="n">
        <v>20</v>
      </c>
      <c r="Q32" s="38" t="s">
        <v>171</v>
      </c>
      <c r="R32" s="38"/>
      <c r="S32" s="39"/>
      <c r="T32" s="39"/>
      <c r="U32" s="40"/>
      <c r="V32" s="41" t="n">
        <v>6</v>
      </c>
      <c r="W32" s="38"/>
      <c r="X32" s="39"/>
      <c r="Y32" s="40"/>
      <c r="Z32" s="42" t="str">
        <f aca="false">IF(OR(U32="",V32=""),"",EDATE(U32,V32))</f>
        <v/>
      </c>
      <c r="AA32" s="43" t="str">
        <f aca="true">IF(OR(Q32="No",R32="Not applicable"),"Not applicable",IF(U32="",IF(V32="","Event-driven: set date","Not yet tested"),IF(Z32="","Event-driven",IF(Z32&lt;TODAY(),"Overdue",IF(Z32-TODAY()&lt;=30,"Due soon","On track")))))</f>
        <v>Not yet tested</v>
      </c>
    </row>
    <row r="33" customFormat="false" ht="124.6" hidden="false" customHeight="false" outlineLevel="0" collapsed="false">
      <c r="A33" s="36" t="s">
        <v>404</v>
      </c>
      <c r="B33" s="6" t="s">
        <v>405</v>
      </c>
      <c r="C33" s="6" t="s">
        <v>119</v>
      </c>
      <c r="D33" s="37" t="s">
        <v>109</v>
      </c>
      <c r="E33" s="6" t="s">
        <v>406</v>
      </c>
      <c r="F33" s="6" t="s">
        <v>407</v>
      </c>
      <c r="G33" s="37" t="s">
        <v>176</v>
      </c>
      <c r="H33" s="37" t="s">
        <v>164</v>
      </c>
      <c r="I33" s="6" t="s">
        <v>399</v>
      </c>
      <c r="J33" s="6" t="s">
        <v>408</v>
      </c>
      <c r="K33" s="6" t="s">
        <v>409</v>
      </c>
      <c r="L33" s="6" t="s">
        <v>410</v>
      </c>
      <c r="M33" s="6" t="s">
        <v>411</v>
      </c>
      <c r="N33" s="6" t="s">
        <v>412</v>
      </c>
      <c r="O33" s="6"/>
      <c r="P33" s="37" t="n">
        <v>18</v>
      </c>
      <c r="Q33" s="38" t="s">
        <v>171</v>
      </c>
      <c r="R33" s="38"/>
      <c r="S33" s="39"/>
      <c r="T33" s="39"/>
      <c r="U33" s="40"/>
      <c r="V33" s="41"/>
      <c r="W33" s="38"/>
      <c r="X33" s="39"/>
      <c r="Y33" s="40"/>
      <c r="Z33" s="42" t="str">
        <f aca="false">IF(OR(U33="",V33=""),"",EDATE(U33,V33))</f>
        <v/>
      </c>
      <c r="AA33" s="43" t="str">
        <f aca="true">IF(OR(Q33="No",R33="Not applicable"),"Not applicable",IF(U33="",IF(V33="","Event-driven: set date","Not yet tested"),IF(Z33="","Event-driven",IF(Z33&lt;TODAY(),"Overdue",IF(Z33-TODAY()&lt;=30,"Due soon","On track")))))</f>
        <v>Event-driven: set date</v>
      </c>
    </row>
    <row r="34" customFormat="false" ht="46.25" hidden="false" customHeight="false" outlineLevel="0" collapsed="false">
      <c r="A34" s="36" t="s">
        <v>413</v>
      </c>
      <c r="B34" s="44" t="s">
        <v>414</v>
      </c>
      <c r="C34" s="44" t="s">
        <v>119</v>
      </c>
      <c r="D34" s="45" t="s">
        <v>109</v>
      </c>
      <c r="E34" s="44" t="s">
        <v>415</v>
      </c>
      <c r="F34" s="44" t="s">
        <v>407</v>
      </c>
      <c r="G34" s="45" t="s">
        <v>233</v>
      </c>
      <c r="H34" s="45" t="s">
        <v>398</v>
      </c>
      <c r="I34" s="44" t="s">
        <v>399</v>
      </c>
      <c r="J34" s="44" t="s">
        <v>416</v>
      </c>
      <c r="K34" s="44" t="s">
        <v>417</v>
      </c>
      <c r="L34" s="44" t="s">
        <v>418</v>
      </c>
      <c r="M34" s="44" t="s">
        <v>419</v>
      </c>
      <c r="N34" s="44" t="s">
        <v>238</v>
      </c>
      <c r="O34" s="44"/>
      <c r="P34" s="45" t="n">
        <v>16</v>
      </c>
      <c r="Q34" s="38" t="s">
        <v>171</v>
      </c>
      <c r="R34" s="38"/>
      <c r="S34" s="39"/>
      <c r="T34" s="39"/>
      <c r="U34" s="40"/>
      <c r="V34" s="41" t="n">
        <v>6</v>
      </c>
      <c r="W34" s="38"/>
      <c r="X34" s="39"/>
      <c r="Y34" s="40"/>
      <c r="Z34" s="42" t="str">
        <f aca="false">IF(OR(U34="",V34=""),"",EDATE(U34,V34))</f>
        <v/>
      </c>
      <c r="AA34" s="43" t="str">
        <f aca="true">IF(OR(Q34="No",R34="Not applicable"),"Not applicable",IF(U34="",IF(V34="","Event-driven: set date","Not yet tested"),IF(Z34="","Event-driven",IF(Z34&lt;TODAY(),"Overdue",IF(Z34-TODAY()&lt;=30,"Due soon","On track")))))</f>
        <v>Not yet tested</v>
      </c>
    </row>
    <row r="35" customFormat="false" ht="158.2" hidden="false" customHeight="false" outlineLevel="0" collapsed="false">
      <c r="A35" s="36" t="s">
        <v>420</v>
      </c>
      <c r="B35" s="6" t="s">
        <v>421</v>
      </c>
      <c r="C35" s="6" t="s">
        <v>120</v>
      </c>
      <c r="D35" s="37" t="s">
        <v>109</v>
      </c>
      <c r="E35" s="6" t="s">
        <v>422</v>
      </c>
      <c r="F35" s="6" t="s">
        <v>423</v>
      </c>
      <c r="G35" s="37" t="s">
        <v>176</v>
      </c>
      <c r="H35" s="37" t="s">
        <v>164</v>
      </c>
      <c r="I35" s="6" t="s">
        <v>424</v>
      </c>
      <c r="J35" s="6" t="s">
        <v>425</v>
      </c>
      <c r="K35" s="6" t="s">
        <v>426</v>
      </c>
      <c r="L35" s="6" t="s">
        <v>427</v>
      </c>
      <c r="M35" s="6" t="s">
        <v>198</v>
      </c>
      <c r="N35" s="6" t="s">
        <v>170</v>
      </c>
      <c r="O35" s="6"/>
      <c r="P35" s="37" t="n">
        <v>25</v>
      </c>
      <c r="Q35" s="38" t="s">
        <v>171</v>
      </c>
      <c r="R35" s="38"/>
      <c r="S35" s="39"/>
      <c r="T35" s="39"/>
      <c r="U35" s="40"/>
      <c r="V35" s="41" t="n">
        <v>3</v>
      </c>
      <c r="W35" s="38"/>
      <c r="X35" s="39"/>
      <c r="Y35" s="40"/>
      <c r="Z35" s="42" t="str">
        <f aca="false">IF(OR(U35="",V35=""),"",EDATE(U35,V35))</f>
        <v/>
      </c>
      <c r="AA35" s="43" t="str">
        <f aca="true">IF(OR(Q35="No",R35="Not applicable"),"Not applicable",IF(U35="",IF(V35="","Event-driven: set date","Not yet tested"),IF(Z35="","Event-driven",IF(Z35&lt;TODAY(),"Overdue",IF(Z35-TODAY()&lt;=30,"Due soon","On track")))))</f>
        <v>Not yet tested</v>
      </c>
    </row>
    <row r="36" customFormat="false" ht="46.25" hidden="false" customHeight="false" outlineLevel="0" collapsed="false">
      <c r="A36" s="36" t="s">
        <v>428</v>
      </c>
      <c r="B36" s="44" t="s">
        <v>429</v>
      </c>
      <c r="C36" s="44" t="s">
        <v>120</v>
      </c>
      <c r="D36" s="45" t="s">
        <v>109</v>
      </c>
      <c r="E36" s="44" t="s">
        <v>430</v>
      </c>
      <c r="F36" s="44" t="s">
        <v>407</v>
      </c>
      <c r="G36" s="45" t="s">
        <v>233</v>
      </c>
      <c r="H36" s="45" t="s">
        <v>398</v>
      </c>
      <c r="I36" s="44" t="s">
        <v>431</v>
      </c>
      <c r="J36" s="44" t="s">
        <v>432</v>
      </c>
      <c r="K36" s="44" t="s">
        <v>433</v>
      </c>
      <c r="L36" s="44" t="s">
        <v>434</v>
      </c>
      <c r="M36" s="44" t="s">
        <v>394</v>
      </c>
      <c r="N36" s="44" t="s">
        <v>238</v>
      </c>
      <c r="O36" s="44"/>
      <c r="P36" s="45" t="n">
        <v>27</v>
      </c>
      <c r="Q36" s="38" t="s">
        <v>171</v>
      </c>
      <c r="R36" s="38"/>
      <c r="S36" s="39"/>
      <c r="T36" s="39"/>
      <c r="U36" s="40"/>
      <c r="V36" s="41" t="n">
        <v>6</v>
      </c>
      <c r="W36" s="38"/>
      <c r="X36" s="39"/>
      <c r="Y36" s="40"/>
      <c r="Z36" s="42" t="str">
        <f aca="false">IF(OR(U36="",V36=""),"",EDATE(U36,V36))</f>
        <v/>
      </c>
      <c r="AA36" s="43" t="str">
        <f aca="true">IF(OR(Q36="No",R36="Not applicable"),"Not applicable",IF(U36="",IF(V36="","Event-driven: set date","Not yet tested"),IF(Z36="","Event-driven",IF(Z36&lt;TODAY(),"Overdue",IF(Z36-TODAY()&lt;=30,"Due soon","On track")))))</f>
        <v>Not yet tested</v>
      </c>
    </row>
    <row r="37" customFormat="false" ht="91" hidden="false" customHeight="false" outlineLevel="0" collapsed="false">
      <c r="A37" s="36" t="s">
        <v>435</v>
      </c>
      <c r="B37" s="6" t="s">
        <v>436</v>
      </c>
      <c r="C37" s="6" t="s">
        <v>121</v>
      </c>
      <c r="D37" s="37" t="s">
        <v>108</v>
      </c>
      <c r="E37" s="6" t="s">
        <v>437</v>
      </c>
      <c r="F37" s="6" t="s">
        <v>438</v>
      </c>
      <c r="G37" s="37" t="s">
        <v>176</v>
      </c>
      <c r="H37" s="37" t="s">
        <v>164</v>
      </c>
      <c r="I37" s="6" t="s">
        <v>439</v>
      </c>
      <c r="J37" s="6" t="s">
        <v>440</v>
      </c>
      <c r="K37" s="6" t="s">
        <v>441</v>
      </c>
      <c r="L37" s="6" t="s">
        <v>442</v>
      </c>
      <c r="M37" s="6" t="s">
        <v>355</v>
      </c>
      <c r="N37" s="6" t="s">
        <v>443</v>
      </c>
      <c r="O37" s="6"/>
      <c r="P37" s="37" t="n">
        <v>8</v>
      </c>
      <c r="Q37" s="38" t="s">
        <v>171</v>
      </c>
      <c r="R37" s="38"/>
      <c r="S37" s="39"/>
      <c r="T37" s="39"/>
      <c r="U37" s="40"/>
      <c r="V37" s="41" t="n">
        <v>12</v>
      </c>
      <c r="W37" s="38"/>
      <c r="X37" s="39"/>
      <c r="Y37" s="40"/>
      <c r="Z37" s="42" t="str">
        <f aca="false">IF(OR(U37="",V37=""),"",EDATE(U37,V37))</f>
        <v/>
      </c>
      <c r="AA37" s="43" t="str">
        <f aca="true">IF(OR(Q37="No",R37="Not applicable"),"Not applicable",IF(U37="",IF(V37="","Event-driven: set date","Not yet tested"),IF(Z37="","Event-driven",IF(Z37&lt;TODAY(),"Overdue",IF(Z37-TODAY()&lt;=30,"Due soon","On track")))))</f>
        <v>Not yet tested</v>
      </c>
    </row>
    <row r="38" customFormat="false" ht="147" hidden="false" customHeight="false" outlineLevel="0" collapsed="false">
      <c r="A38" s="36" t="s">
        <v>444</v>
      </c>
      <c r="B38" s="44" t="s">
        <v>445</v>
      </c>
      <c r="C38" s="44" t="s">
        <v>121</v>
      </c>
      <c r="D38" s="45" t="s">
        <v>109</v>
      </c>
      <c r="E38" s="44" t="s">
        <v>446</v>
      </c>
      <c r="F38" s="44" t="s">
        <v>318</v>
      </c>
      <c r="G38" s="45" t="s">
        <v>176</v>
      </c>
      <c r="H38" s="45" t="s">
        <v>164</v>
      </c>
      <c r="I38" s="44" t="s">
        <v>447</v>
      </c>
      <c r="J38" s="44" t="s">
        <v>448</v>
      </c>
      <c r="K38" s="44" t="s">
        <v>449</v>
      </c>
      <c r="L38" s="44" t="s">
        <v>450</v>
      </c>
      <c r="M38" s="44" t="s">
        <v>451</v>
      </c>
      <c r="N38" s="44" t="s">
        <v>452</v>
      </c>
      <c r="O38" s="44"/>
      <c r="P38" s="45" t="n">
        <v>38</v>
      </c>
      <c r="Q38" s="38" t="s">
        <v>171</v>
      </c>
      <c r="R38" s="38"/>
      <c r="S38" s="39"/>
      <c r="T38" s="39"/>
      <c r="U38" s="40"/>
      <c r="V38" s="41"/>
      <c r="W38" s="38"/>
      <c r="X38" s="39"/>
      <c r="Y38" s="40"/>
      <c r="Z38" s="42" t="str">
        <f aca="false">IF(OR(U38="",V38=""),"",EDATE(U38,V38))</f>
        <v/>
      </c>
      <c r="AA38" s="43" t="str">
        <f aca="true">IF(OR(Q38="No",R38="Not applicable"),"Not applicable",IF(U38="",IF(V38="","Event-driven: set date","Not yet tested"),IF(Z38="","Event-driven",IF(Z38&lt;TODAY(),"Overdue",IF(Z38-TODAY()&lt;=30,"Due soon","On track")))))</f>
        <v>Event-driven: set date</v>
      </c>
    </row>
    <row r="39" customFormat="false" ht="102.2" hidden="false" customHeight="false" outlineLevel="0" collapsed="false">
      <c r="A39" s="36" t="s">
        <v>453</v>
      </c>
      <c r="B39" s="6" t="s">
        <v>454</v>
      </c>
      <c r="C39" s="6" t="s">
        <v>116</v>
      </c>
      <c r="D39" s="37" t="s">
        <v>108</v>
      </c>
      <c r="E39" s="6" t="s">
        <v>455</v>
      </c>
      <c r="F39" s="6" t="s">
        <v>222</v>
      </c>
      <c r="G39" s="37" t="s">
        <v>242</v>
      </c>
      <c r="H39" s="37" t="s">
        <v>164</v>
      </c>
      <c r="I39" s="6" t="s">
        <v>456</v>
      </c>
      <c r="J39" s="6" t="s">
        <v>457</v>
      </c>
      <c r="K39" s="6" t="s">
        <v>458</v>
      </c>
      <c r="L39" s="6" t="s">
        <v>459</v>
      </c>
      <c r="M39" s="6" t="s">
        <v>460</v>
      </c>
      <c r="N39" s="6" t="s">
        <v>461</v>
      </c>
      <c r="O39" s="6"/>
      <c r="P39" s="37" t="n">
        <v>40</v>
      </c>
      <c r="Q39" s="38" t="s">
        <v>171</v>
      </c>
      <c r="R39" s="38"/>
      <c r="S39" s="39"/>
      <c r="T39" s="39"/>
      <c r="U39" s="40"/>
      <c r="V39" s="41" t="n">
        <v>12</v>
      </c>
      <c r="W39" s="38"/>
      <c r="X39" s="39"/>
      <c r="Y39" s="40"/>
      <c r="Z39" s="42" t="str">
        <f aca="false">IF(OR(U39="",V39=""),"",EDATE(U39,V39))</f>
        <v/>
      </c>
      <c r="AA39" s="43" t="str">
        <f aca="true">IF(OR(Q39="No",R39="Not applicable"),"Not applicable",IF(U39="",IF(V39="","Event-driven: set date","Not yet tested"),IF(Z39="","Event-driven",IF(Z39&lt;TODAY(),"Overdue",IF(Z39-TODAY()&lt;=30,"Due soon","On track")))))</f>
        <v>Not yet tested</v>
      </c>
    </row>
    <row r="40" customFormat="false" ht="46.25" hidden="false" customHeight="false" outlineLevel="0" collapsed="false">
      <c r="A40" s="36" t="s">
        <v>462</v>
      </c>
      <c r="B40" s="44" t="s">
        <v>463</v>
      </c>
      <c r="C40" s="44" t="s">
        <v>122</v>
      </c>
      <c r="D40" s="45" t="s">
        <v>108</v>
      </c>
      <c r="E40" s="44" t="s">
        <v>464</v>
      </c>
      <c r="F40" s="44" t="s">
        <v>294</v>
      </c>
      <c r="G40" s="45" t="s">
        <v>233</v>
      </c>
      <c r="H40" s="45" t="s">
        <v>164</v>
      </c>
      <c r="I40" s="44" t="s">
        <v>465</v>
      </c>
      <c r="J40" s="44" t="s">
        <v>466</v>
      </c>
      <c r="K40" s="44" t="s">
        <v>467</v>
      </c>
      <c r="L40" s="44" t="s">
        <v>468</v>
      </c>
      <c r="M40" s="44" t="s">
        <v>469</v>
      </c>
      <c r="N40" s="44" t="s">
        <v>170</v>
      </c>
      <c r="O40" s="44"/>
      <c r="P40" s="45" t="n">
        <v>30</v>
      </c>
      <c r="Q40" s="38" t="s">
        <v>171</v>
      </c>
      <c r="R40" s="38"/>
      <c r="S40" s="39"/>
      <c r="T40" s="39"/>
      <c r="U40" s="40"/>
      <c r="V40" s="41" t="n">
        <v>3</v>
      </c>
      <c r="W40" s="38"/>
      <c r="X40" s="39"/>
      <c r="Y40" s="40"/>
      <c r="Z40" s="42" t="str">
        <f aca="false">IF(OR(U40="",V40=""),"",EDATE(U40,V40))</f>
        <v/>
      </c>
      <c r="AA40" s="43" t="str">
        <f aca="true">IF(OR(Q40="No",R40="Not applicable"),"Not applicable",IF(U40="",IF(V40="","Event-driven: set date","Not yet tested"),IF(Z40="","Event-driven",IF(Z40&lt;TODAY(),"Overdue",IF(Z40-TODAY()&lt;=30,"Due soon","On track")))))</f>
        <v>Not yet tested</v>
      </c>
    </row>
    <row r="41" customFormat="false" ht="113.4" hidden="false" customHeight="false" outlineLevel="0" collapsed="false">
      <c r="A41" s="36" t="s">
        <v>470</v>
      </c>
      <c r="B41" s="6" t="s">
        <v>471</v>
      </c>
      <c r="C41" s="6" t="s">
        <v>115</v>
      </c>
      <c r="D41" s="37" t="s">
        <v>109</v>
      </c>
      <c r="E41" s="6" t="s">
        <v>472</v>
      </c>
      <c r="F41" s="6" t="s">
        <v>222</v>
      </c>
      <c r="G41" s="37" t="s">
        <v>213</v>
      </c>
      <c r="H41" s="37" t="s">
        <v>164</v>
      </c>
      <c r="I41" s="6" t="s">
        <v>473</v>
      </c>
      <c r="J41" s="6" t="s">
        <v>474</v>
      </c>
      <c r="K41" s="6" t="s">
        <v>475</v>
      </c>
      <c r="L41" s="6" t="s">
        <v>476</v>
      </c>
      <c r="M41" s="6" t="s">
        <v>477</v>
      </c>
      <c r="N41" s="6" t="s">
        <v>170</v>
      </c>
      <c r="O41" s="6"/>
      <c r="P41" s="37" t="n">
        <v>10</v>
      </c>
      <c r="Q41" s="38" t="s">
        <v>171</v>
      </c>
      <c r="R41" s="38"/>
      <c r="S41" s="39"/>
      <c r="T41" s="39"/>
      <c r="U41" s="40"/>
      <c r="V41" s="41" t="n">
        <v>3</v>
      </c>
      <c r="W41" s="38"/>
      <c r="X41" s="39"/>
      <c r="Y41" s="40"/>
      <c r="Z41" s="42" t="str">
        <f aca="false">IF(OR(U41="",V41=""),"",EDATE(U41,V41))</f>
        <v/>
      </c>
      <c r="AA41" s="43" t="str">
        <f aca="true">IF(OR(Q41="No",R41="Not applicable"),"Not applicable",IF(U41="",IF(V41="","Event-driven: set date","Not yet tested"),IF(Z41="","Event-driven",IF(Z41&lt;TODAY(),"Overdue",IF(Z41-TODAY()&lt;=30,"Due soon","On track")))))</f>
        <v>Not yet tested</v>
      </c>
    </row>
    <row r="42" customFormat="false" ht="57.45" hidden="false" customHeight="false" outlineLevel="0" collapsed="false">
      <c r="A42" s="36" t="s">
        <v>478</v>
      </c>
      <c r="B42" s="44" t="s">
        <v>479</v>
      </c>
      <c r="C42" s="44" t="s">
        <v>121</v>
      </c>
      <c r="D42" s="45" t="s">
        <v>109</v>
      </c>
      <c r="E42" s="44" t="s">
        <v>480</v>
      </c>
      <c r="F42" s="44" t="s">
        <v>222</v>
      </c>
      <c r="G42" s="45" t="s">
        <v>242</v>
      </c>
      <c r="H42" s="45" t="s">
        <v>164</v>
      </c>
      <c r="I42" s="44" t="s">
        <v>481</v>
      </c>
      <c r="J42" s="44" t="s">
        <v>482</v>
      </c>
      <c r="K42" s="44" t="s">
        <v>483</v>
      </c>
      <c r="L42" s="44" t="s">
        <v>484</v>
      </c>
      <c r="M42" s="44" t="s">
        <v>485</v>
      </c>
      <c r="N42" s="44" t="s">
        <v>170</v>
      </c>
      <c r="O42" s="44"/>
      <c r="P42" s="45" t="n">
        <v>17</v>
      </c>
      <c r="Q42" s="38" t="s">
        <v>171</v>
      </c>
      <c r="R42" s="38"/>
      <c r="S42" s="39"/>
      <c r="T42" s="39"/>
      <c r="U42" s="40"/>
      <c r="V42" s="41" t="n">
        <v>3</v>
      </c>
      <c r="W42" s="38"/>
      <c r="X42" s="39"/>
      <c r="Y42" s="40"/>
      <c r="Z42" s="42" t="str">
        <f aca="false">IF(OR(U42="",V42=""),"",EDATE(U42,V42))</f>
        <v/>
      </c>
      <c r="AA42" s="43" t="str">
        <f aca="true">IF(OR(Q42="No",R42="Not applicable"),"Not applicable",IF(U42="",IF(V42="","Event-driven: set date","Not yet tested"),IF(Z42="","Event-driven",IF(Z42&lt;TODAY(),"Overdue",IF(Z42-TODAY()&lt;=30,"Due soon","On track")))))</f>
        <v>Not yet tested</v>
      </c>
    </row>
    <row r="43" customFormat="false" ht="57.45" hidden="false" customHeight="false" outlineLevel="0" collapsed="false">
      <c r="A43" s="36" t="s">
        <v>486</v>
      </c>
      <c r="B43" s="6" t="s">
        <v>487</v>
      </c>
      <c r="C43" s="6" t="s">
        <v>113</v>
      </c>
      <c r="D43" s="37" t="s">
        <v>109</v>
      </c>
      <c r="E43" s="6" t="s">
        <v>488</v>
      </c>
      <c r="F43" s="6" t="s">
        <v>489</v>
      </c>
      <c r="G43" s="37" t="s">
        <v>176</v>
      </c>
      <c r="H43" s="37" t="s">
        <v>164</v>
      </c>
      <c r="I43" s="6" t="s">
        <v>490</v>
      </c>
      <c r="J43" s="6" t="s">
        <v>491</v>
      </c>
      <c r="K43" s="6" t="s">
        <v>492</v>
      </c>
      <c r="L43" s="6" t="s">
        <v>493</v>
      </c>
      <c r="M43" s="6" t="s">
        <v>494</v>
      </c>
      <c r="N43" s="6" t="s">
        <v>208</v>
      </c>
      <c r="O43" s="6"/>
      <c r="P43" s="37" t="n">
        <v>9</v>
      </c>
      <c r="Q43" s="38" t="s">
        <v>171</v>
      </c>
      <c r="R43" s="38"/>
      <c r="S43" s="39"/>
      <c r="T43" s="39"/>
      <c r="U43" s="40"/>
      <c r="V43" s="41" t="n">
        <v>3</v>
      </c>
      <c r="W43" s="38"/>
      <c r="X43" s="39"/>
      <c r="Y43" s="40"/>
      <c r="Z43" s="42" t="str">
        <f aca="false">IF(OR(U43="",V43=""),"",EDATE(U43,V43))</f>
        <v/>
      </c>
      <c r="AA43" s="43" t="str">
        <f aca="true">IF(OR(Q43="No",R43="Not applicable"),"Not applicable",IF(U43="",IF(V43="","Event-driven: set date","Not yet tested"),IF(Z43="","Event-driven",IF(Z43&lt;TODAY(),"Overdue",IF(Z43-TODAY()&lt;=30,"Due soon","On track")))))</f>
        <v>Not yet tested</v>
      </c>
    </row>
    <row r="44" customFormat="false" ht="68.65" hidden="false" customHeight="false" outlineLevel="0" collapsed="false">
      <c r="A44" s="36" t="s">
        <v>495</v>
      </c>
      <c r="B44" s="44" t="s">
        <v>496</v>
      </c>
      <c r="C44" s="44" t="s">
        <v>120</v>
      </c>
      <c r="D44" s="45" t="s">
        <v>109</v>
      </c>
      <c r="E44" s="44" t="s">
        <v>497</v>
      </c>
      <c r="F44" s="44" t="s">
        <v>498</v>
      </c>
      <c r="G44" s="45" t="s">
        <v>233</v>
      </c>
      <c r="H44" s="45" t="s">
        <v>164</v>
      </c>
      <c r="I44" s="44" t="s">
        <v>499</v>
      </c>
      <c r="J44" s="44" t="s">
        <v>500</v>
      </c>
      <c r="K44" s="44" t="s">
        <v>501</v>
      </c>
      <c r="L44" s="44" t="s">
        <v>502</v>
      </c>
      <c r="M44" s="44" t="s">
        <v>503</v>
      </c>
      <c r="N44" s="44" t="s">
        <v>238</v>
      </c>
      <c r="O44" s="44"/>
      <c r="P44" s="45" t="n">
        <v>14</v>
      </c>
      <c r="Q44" s="38" t="s">
        <v>171</v>
      </c>
      <c r="R44" s="38"/>
      <c r="S44" s="39"/>
      <c r="T44" s="39"/>
      <c r="U44" s="40"/>
      <c r="V44" s="41" t="n">
        <v>6</v>
      </c>
      <c r="W44" s="38"/>
      <c r="X44" s="39"/>
      <c r="Y44" s="40"/>
      <c r="Z44" s="42" t="str">
        <f aca="false">IF(OR(U44="",V44=""),"",EDATE(U44,V44))</f>
        <v/>
      </c>
      <c r="AA44" s="43" t="str">
        <f aca="true">IF(OR(Q44="No",R44="Not applicable"),"Not applicable",IF(U44="",IF(V44="","Event-driven: set date","Not yet tested"),IF(Z44="","Event-driven",IF(Z44&lt;TODAY(),"Overdue",IF(Z44-TODAY()&lt;=30,"Due soon","On track")))))</f>
        <v>Not yet tested</v>
      </c>
    </row>
    <row r="45" customFormat="false" ht="180.55" hidden="false" customHeight="false" outlineLevel="0" collapsed="false">
      <c r="A45" s="36" t="s">
        <v>504</v>
      </c>
      <c r="B45" s="6" t="s">
        <v>505</v>
      </c>
      <c r="C45" s="6" t="s">
        <v>121</v>
      </c>
      <c r="D45" s="37" t="s">
        <v>109</v>
      </c>
      <c r="E45" s="6" t="s">
        <v>506</v>
      </c>
      <c r="F45" s="6" t="s">
        <v>438</v>
      </c>
      <c r="G45" s="37" t="s">
        <v>176</v>
      </c>
      <c r="H45" s="37" t="s">
        <v>164</v>
      </c>
      <c r="I45" s="6" t="s">
        <v>507</v>
      </c>
      <c r="J45" s="6" t="s">
        <v>508</v>
      </c>
      <c r="K45" s="6" t="s">
        <v>509</v>
      </c>
      <c r="L45" s="6" t="s">
        <v>510</v>
      </c>
      <c r="M45" s="6" t="s">
        <v>511</v>
      </c>
      <c r="N45" s="6" t="s">
        <v>512</v>
      </c>
      <c r="O45" s="6"/>
      <c r="P45" s="37" t="n">
        <v>7</v>
      </c>
      <c r="Q45" s="38" t="s">
        <v>171</v>
      </c>
      <c r="R45" s="38"/>
      <c r="S45" s="39"/>
      <c r="T45" s="39"/>
      <c r="U45" s="40"/>
      <c r="V45" s="41" t="n">
        <v>12</v>
      </c>
      <c r="W45" s="38"/>
      <c r="X45" s="39"/>
      <c r="Y45" s="40"/>
      <c r="Z45" s="42" t="str">
        <f aca="false">IF(OR(U45="",V45=""),"",EDATE(U45,V45))</f>
        <v/>
      </c>
      <c r="AA45" s="43" t="str">
        <f aca="true">IF(OR(Q45="No",R45="Not applicable"),"Not applicable",IF(U45="",IF(V45="","Event-driven: set date","Not yet tested"),IF(Z45="","Event-driven",IF(Z45&lt;TODAY(),"Overdue",IF(Z45-TODAY()&lt;=30,"Due soon","On track")))))</f>
        <v>Not yet tested</v>
      </c>
    </row>
    <row r="46" customFormat="false" ht="113.4" hidden="false" customHeight="false" outlineLevel="0" collapsed="false">
      <c r="A46" s="36" t="s">
        <v>513</v>
      </c>
      <c r="B46" s="44" t="s">
        <v>514</v>
      </c>
      <c r="C46" s="44" t="s">
        <v>115</v>
      </c>
      <c r="D46" s="45" t="s">
        <v>109</v>
      </c>
      <c r="E46" s="44" t="s">
        <v>515</v>
      </c>
      <c r="F46" s="44" t="s">
        <v>498</v>
      </c>
      <c r="G46" s="45" t="s">
        <v>213</v>
      </c>
      <c r="H46" s="45" t="s">
        <v>164</v>
      </c>
      <c r="I46" s="44" t="s">
        <v>516</v>
      </c>
      <c r="J46" s="44" t="s">
        <v>517</v>
      </c>
      <c r="K46" s="44" t="s">
        <v>518</v>
      </c>
      <c r="L46" s="44" t="s">
        <v>519</v>
      </c>
      <c r="M46" s="44" t="s">
        <v>520</v>
      </c>
      <c r="N46" s="44" t="s">
        <v>521</v>
      </c>
      <c r="O46" s="44"/>
      <c r="P46" s="45" t="n">
        <v>4</v>
      </c>
      <c r="Q46" s="38" t="s">
        <v>171</v>
      </c>
      <c r="R46" s="38"/>
      <c r="S46" s="39"/>
      <c r="T46" s="39"/>
      <c r="U46" s="40"/>
      <c r="V46" s="41" t="n">
        <v>12</v>
      </c>
      <c r="W46" s="38"/>
      <c r="X46" s="39"/>
      <c r="Y46" s="40"/>
      <c r="Z46" s="42" t="str">
        <f aca="false">IF(OR(U46="",V46=""),"",EDATE(U46,V46))</f>
        <v/>
      </c>
      <c r="AA46" s="43" t="str">
        <f aca="true">IF(OR(Q46="No",R46="Not applicable"),"Not applicable",IF(U46="",IF(V46="","Event-driven: set date","Not yet tested"),IF(Z46="","Event-driven",IF(Z46&lt;TODAY(),"Overdue",IF(Z46-TODAY()&lt;=30,"Due soon","On track")))))</f>
        <v>Not yet tested</v>
      </c>
    </row>
    <row r="47" customFormat="false" ht="68.65" hidden="false" customHeight="false" outlineLevel="0" collapsed="false">
      <c r="A47" s="36" t="s">
        <v>522</v>
      </c>
      <c r="B47" s="6" t="s">
        <v>523</v>
      </c>
      <c r="C47" s="6" t="s">
        <v>115</v>
      </c>
      <c r="D47" s="37" t="s">
        <v>109</v>
      </c>
      <c r="E47" s="6" t="s">
        <v>524</v>
      </c>
      <c r="F47" s="6" t="s">
        <v>222</v>
      </c>
      <c r="G47" s="37" t="s">
        <v>242</v>
      </c>
      <c r="H47" s="37" t="s">
        <v>164</v>
      </c>
      <c r="I47" s="6" t="s">
        <v>525</v>
      </c>
      <c r="J47" s="6" t="s">
        <v>526</v>
      </c>
      <c r="K47" s="6" t="s">
        <v>527</v>
      </c>
      <c r="L47" s="6" t="s">
        <v>528</v>
      </c>
      <c r="M47" s="6" t="s">
        <v>529</v>
      </c>
      <c r="N47" s="6" t="s">
        <v>170</v>
      </c>
      <c r="O47" s="6"/>
      <c r="P47" s="37" t="n">
        <v>4</v>
      </c>
      <c r="Q47" s="38" t="s">
        <v>171</v>
      </c>
      <c r="R47" s="38"/>
      <c r="S47" s="39"/>
      <c r="T47" s="39"/>
      <c r="U47" s="40"/>
      <c r="V47" s="41" t="n">
        <v>3</v>
      </c>
      <c r="W47" s="38"/>
      <c r="X47" s="39"/>
      <c r="Y47" s="40"/>
      <c r="Z47" s="42" t="str">
        <f aca="false">IF(OR(U47="",V47=""),"",EDATE(U47,V47))</f>
        <v/>
      </c>
      <c r="AA47" s="43" t="str">
        <f aca="true">IF(OR(Q47="No",R47="Not applicable"),"Not applicable",IF(U47="",IF(V47="","Event-driven: set date","Not yet tested"),IF(Z47="","Event-driven",IF(Z47&lt;TODAY(),"Overdue",IF(Z47-TODAY()&lt;=30,"Due soon","On track")))))</f>
        <v>Not yet tested</v>
      </c>
    </row>
    <row r="48" customFormat="false" ht="68.65" hidden="false" customHeight="false" outlineLevel="0" collapsed="false">
      <c r="A48" s="36" t="s">
        <v>530</v>
      </c>
      <c r="B48" s="44" t="s">
        <v>531</v>
      </c>
      <c r="C48" s="44" t="s">
        <v>115</v>
      </c>
      <c r="D48" s="45" t="s">
        <v>109</v>
      </c>
      <c r="E48" s="44" t="s">
        <v>532</v>
      </c>
      <c r="F48" s="44" t="s">
        <v>162</v>
      </c>
      <c r="G48" s="45" t="s">
        <v>176</v>
      </c>
      <c r="H48" s="45" t="s">
        <v>164</v>
      </c>
      <c r="I48" s="44" t="s">
        <v>533</v>
      </c>
      <c r="J48" s="44" t="s">
        <v>534</v>
      </c>
      <c r="K48" s="44" t="s">
        <v>535</v>
      </c>
      <c r="L48" s="44" t="s">
        <v>536</v>
      </c>
      <c r="M48" s="44" t="s">
        <v>537</v>
      </c>
      <c r="N48" s="44" t="s">
        <v>538</v>
      </c>
      <c r="O48" s="44"/>
      <c r="P48" s="45" t="n">
        <v>3</v>
      </c>
      <c r="Q48" s="38" t="s">
        <v>171</v>
      </c>
      <c r="R48" s="38"/>
      <c r="S48" s="39"/>
      <c r="T48" s="39"/>
      <c r="U48" s="40"/>
      <c r="V48" s="41" t="n">
        <v>12</v>
      </c>
      <c r="W48" s="38"/>
      <c r="X48" s="39"/>
      <c r="Y48" s="40"/>
      <c r="Z48" s="42" t="str">
        <f aca="false">IF(OR(U48="",V48=""),"",EDATE(U48,V48))</f>
        <v/>
      </c>
      <c r="AA48" s="43" t="str">
        <f aca="true">IF(OR(Q48="No",R48="Not applicable"),"Not applicable",IF(U48="",IF(V48="","Event-driven: set date","Not yet tested"),IF(Z48="","Event-driven",IF(Z48&lt;TODAY(),"Overdue",IF(Z48-TODAY()&lt;=30,"Due soon","On track")))))</f>
        <v>Not yet tested</v>
      </c>
    </row>
    <row r="49" customFormat="false" ht="258.95" hidden="false" customHeight="false" outlineLevel="0" collapsed="false">
      <c r="A49" s="36" t="s">
        <v>539</v>
      </c>
      <c r="B49" s="6" t="s">
        <v>540</v>
      </c>
      <c r="C49" s="6" t="s">
        <v>115</v>
      </c>
      <c r="D49" s="37" t="s">
        <v>109</v>
      </c>
      <c r="E49" s="6" t="s">
        <v>541</v>
      </c>
      <c r="F49" s="6" t="s">
        <v>438</v>
      </c>
      <c r="G49" s="37" t="s">
        <v>213</v>
      </c>
      <c r="H49" s="37" t="s">
        <v>164</v>
      </c>
      <c r="I49" s="6" t="s">
        <v>542</v>
      </c>
      <c r="J49" s="6" t="s">
        <v>543</v>
      </c>
      <c r="K49" s="6" t="s">
        <v>544</v>
      </c>
      <c r="L49" s="6" t="s">
        <v>545</v>
      </c>
      <c r="M49" s="6" t="s">
        <v>546</v>
      </c>
      <c r="N49" s="6" t="s">
        <v>547</v>
      </c>
      <c r="O49" s="6" t="s">
        <v>548</v>
      </c>
      <c r="P49" s="37" t="n">
        <v>4</v>
      </c>
      <c r="Q49" s="38" t="s">
        <v>171</v>
      </c>
      <c r="R49" s="38"/>
      <c r="S49" s="39"/>
      <c r="T49" s="39"/>
      <c r="U49" s="40"/>
      <c r="V49" s="41" t="n">
        <v>6</v>
      </c>
      <c r="W49" s="38"/>
      <c r="X49" s="39"/>
      <c r="Y49" s="40"/>
      <c r="Z49" s="42" t="str">
        <f aca="false">IF(OR(U49="",V49=""),"",EDATE(U49,V49))</f>
        <v/>
      </c>
      <c r="AA49" s="43" t="str">
        <f aca="true">IF(OR(Q49="No",R49="Not applicable"),"Not applicable",IF(U49="",IF(V49="","Event-driven: set date","Not yet tested"),IF(Z49="","Event-driven",IF(Z49&lt;TODAY(),"Overdue",IF(Z49-TODAY()&lt;=30,"Due soon","On track")))))</f>
        <v>Not yet tested</v>
      </c>
    </row>
    <row r="50" customFormat="false" ht="124.6" hidden="false" customHeight="false" outlineLevel="0" collapsed="false">
      <c r="A50" s="36" t="s">
        <v>549</v>
      </c>
      <c r="B50" s="44" t="s">
        <v>550</v>
      </c>
      <c r="C50" s="44" t="s">
        <v>115</v>
      </c>
      <c r="D50" s="45" t="s">
        <v>109</v>
      </c>
      <c r="E50" s="44" t="s">
        <v>551</v>
      </c>
      <c r="F50" s="44" t="s">
        <v>552</v>
      </c>
      <c r="G50" s="45" t="s">
        <v>213</v>
      </c>
      <c r="H50" s="45" t="s">
        <v>164</v>
      </c>
      <c r="I50" s="44" t="s">
        <v>553</v>
      </c>
      <c r="J50" s="44" t="s">
        <v>554</v>
      </c>
      <c r="K50" s="44" t="s">
        <v>555</v>
      </c>
      <c r="L50" s="44" t="s">
        <v>556</v>
      </c>
      <c r="M50" s="44" t="s">
        <v>529</v>
      </c>
      <c r="N50" s="44" t="s">
        <v>557</v>
      </c>
      <c r="O50" s="44" t="s">
        <v>558</v>
      </c>
      <c r="P50" s="45" t="n">
        <v>4</v>
      </c>
      <c r="Q50" s="38" t="s">
        <v>171</v>
      </c>
      <c r="R50" s="38"/>
      <c r="S50" s="39"/>
      <c r="T50" s="39"/>
      <c r="U50" s="40"/>
      <c r="V50" s="41" t="n">
        <v>12</v>
      </c>
      <c r="W50" s="38"/>
      <c r="X50" s="39"/>
      <c r="Y50" s="40"/>
      <c r="Z50" s="42" t="str">
        <f aca="false">IF(OR(U50="",V50=""),"",EDATE(U50,V50))</f>
        <v/>
      </c>
      <c r="AA50" s="43" t="str">
        <f aca="true">IF(OR(Q50="No",R50="Not applicable"),"Not applicable",IF(U50="",IF(V50="","Event-driven: set date","Not yet tested"),IF(Z50="","Event-driven",IF(Z50&lt;TODAY(),"Overdue",IF(Z50-TODAY()&lt;=30,"Due soon","On track")))))</f>
        <v>Not yet tested</v>
      </c>
    </row>
  </sheetData>
  <autoFilter ref="A4:AA50"/>
  <conditionalFormatting sqref="R5:R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W5:W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AA5:AA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P50">
    <cfRule type="expression" priority="18" aboveAverage="0" equalAverage="0" bottom="0" percent="0" rank="0" text="" dxfId="25">
      <formula>$Q5="No"</formula>
    </cfRule>
  </conditionalFormatting>
  <dataValidations count="5">
    <dataValidation allowBlank="true" error="Choose a value from the list (edit the Lists sheet to change the options)." errorStyle="warning" operator="between" showDropDown="false" showErrorMessage="true" showInputMessage="false" sqref="Q5:Q50" type="list">
      <formula1>Lists!$B$2:$B$3</formula1>
      <formula2>0</formula2>
    </dataValidation>
    <dataValidation allowBlank="true" error="Choose a value from the list (edit the Lists sheet to change the options)." errorStyle="warning" operator="between" showDropDown="false" showErrorMessage="true" showInputMessage="false" sqref="R5:R50" type="list">
      <formula1>Lists!$A$2:$A$6</formula1>
      <formula2>0</formula2>
    </dataValidation>
    <dataValidation allowBlank="true" error="Choose a value from the list (edit the Lists sheet to change the options)." errorStyle="warning" operator="between" showDropDown="false" showErrorMessage="true" showInputMessage="false" sqref="W5:W50" type="list">
      <formula1>Lists!$C$2:$C$5</formula1>
      <formula2>0</formula2>
    </dataValidation>
    <dataValidation allowBlank="true" error="Enter a date (for example 2026-10-17)." errorStyle="warning" operator="greaterThan" showDropDown="false" showErrorMessage="true" showInputMessage="false" sqref="U5:U50" type="date">
      <formula1>DATE(2000,1,1)</formula1>
      <formula2>0</formula2>
    </dataValidation>
    <dataValidation allowBlank="true" error="Enter a date (for example 2026-10-17)." errorStyle="warning" operator="greaterThan" showDropDown="false" showErrorMessage="true" showInputMessage="false" sqref="Y5:Y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2"/>
    <col collapsed="false" customWidth="true" hidden="false" outlineLevel="0" max="3" min="3" style="0" width="9"/>
    <col collapsed="false" customWidth="true" hidden="false" outlineLevel="0" max="8" min="4" style="0" width="12"/>
  </cols>
  <sheetData>
    <row r="1" customFormat="false" ht="30" hidden="false" customHeight="true" outlineLevel="0" collapsed="false">
      <c r="A1" s="15" t="s">
        <v>559</v>
      </c>
      <c r="B1" s="16"/>
      <c r="C1" s="16"/>
      <c r="D1" s="16"/>
      <c r="E1" s="16"/>
      <c r="F1" s="16"/>
      <c r="G1" s="16"/>
      <c r="H1" s="16"/>
    </row>
    <row r="2" customFormat="false" ht="15" hidden="false" customHeight="false" outlineLevel="0" collapsed="false">
      <c r="A2" s="3" t="s">
        <v>560</v>
      </c>
    </row>
    <row r="4" customFormat="false" ht="23.85" hidden="false" customHeight="false" outlineLevel="0" collapsed="false">
      <c r="A4" s="17" t="s">
        <v>561</v>
      </c>
      <c r="B4" s="17" t="s">
        <v>562</v>
      </c>
      <c r="C4" s="17" t="s">
        <v>563</v>
      </c>
      <c r="D4" s="17" t="s">
        <v>564</v>
      </c>
      <c r="E4" s="17" t="s">
        <v>565</v>
      </c>
      <c r="F4" s="17" t="s">
        <v>566</v>
      </c>
      <c r="G4" s="17" t="s">
        <v>567</v>
      </c>
      <c r="H4" s="17" t="s">
        <v>568</v>
      </c>
    </row>
    <row r="5" customFormat="false" ht="15" hidden="false" customHeight="false" outlineLevel="0" collapsed="false">
      <c r="A5" s="46" t="s">
        <v>569</v>
      </c>
      <c r="B5" s="47" t="s">
        <v>570</v>
      </c>
      <c r="C5" s="26" t="n">
        <f aca="false">COUNTIF('Framework Crosswalk'!$A$5:$A$977,A5)</f>
        <v>24</v>
      </c>
      <c r="D5" s="26" t="n">
        <f aca="false">C5-COUNTIFS('Framework Crosswalk'!$A$5:$A$977,A5,'Framework Crosswalk'!$K$5:$K$977,"No wiki control")</f>
        <v>24</v>
      </c>
      <c r="E5" s="26" t="n">
        <f aca="false">COUNTIFS('Framework Crosswalk'!$A$5:$A$977,A5,'Framework Crosswalk'!$K$5:$K$977,"Fully covered")</f>
        <v>0</v>
      </c>
      <c r="F5" s="26" t="n">
        <f aca="false">COUNTIFS('Framework Crosswalk'!$A$5:$A$977,A5,'Framework Crosswalk'!$K$5:$K$977,"Partly covered")</f>
        <v>0</v>
      </c>
      <c r="G5" s="26" t="n">
        <f aca="false">COUNTIFS('Framework Crosswalk'!$A$5:$A$977,A5,'Framework Crosswalk'!$K$5:$K$977,"Not covered")</f>
        <v>24</v>
      </c>
      <c r="H5" s="48" t="n">
        <f aca="false">IF(D5=0,"",E5/D5)</f>
        <v>0</v>
      </c>
    </row>
    <row r="6" customFormat="false" ht="15" hidden="false" customHeight="false" outlineLevel="0" collapsed="false">
      <c r="A6" s="46" t="s">
        <v>571</v>
      </c>
      <c r="B6" s="47" t="s">
        <v>570</v>
      </c>
      <c r="C6" s="26" t="n">
        <f aca="false">COUNTIF('Framework Crosswalk'!$A$5:$A$977,A6)</f>
        <v>25</v>
      </c>
      <c r="D6" s="26" t="n">
        <f aca="false">C6-COUNTIFS('Framework Crosswalk'!$A$5:$A$977,A6,'Framework Crosswalk'!$K$5:$K$977,"No wiki control")</f>
        <v>25</v>
      </c>
      <c r="E6" s="26" t="n">
        <f aca="false">COUNTIFS('Framework Crosswalk'!$A$5:$A$977,A6,'Framework Crosswalk'!$K$5:$K$977,"Fully covered")</f>
        <v>0</v>
      </c>
      <c r="F6" s="26" t="n">
        <f aca="false">COUNTIFS('Framework Crosswalk'!$A$5:$A$977,A6,'Framework Crosswalk'!$K$5:$K$977,"Partly covered")</f>
        <v>0</v>
      </c>
      <c r="G6" s="26" t="n">
        <f aca="false">COUNTIFS('Framework Crosswalk'!$A$5:$A$977,A6,'Framework Crosswalk'!$K$5:$K$977,"Not covered")</f>
        <v>25</v>
      </c>
      <c r="H6" s="48" t="n">
        <f aca="false">IF(D6=0,"",E6/D6)</f>
        <v>0</v>
      </c>
    </row>
    <row r="7" customFormat="false" ht="15" hidden="false" customHeight="false" outlineLevel="0" collapsed="false">
      <c r="A7" s="46" t="s">
        <v>572</v>
      </c>
      <c r="B7" s="47" t="s">
        <v>570</v>
      </c>
      <c r="C7" s="26" t="n">
        <f aca="false">COUNTIF('Framework Crosswalk'!$A$5:$A$977,A7)</f>
        <v>55</v>
      </c>
      <c r="D7" s="26" t="n">
        <f aca="false">C7-COUNTIFS('Framework Crosswalk'!$A$5:$A$977,A7,'Framework Crosswalk'!$K$5:$K$977,"No wiki control")</f>
        <v>55</v>
      </c>
      <c r="E7" s="26" t="n">
        <f aca="false">COUNTIFS('Framework Crosswalk'!$A$5:$A$977,A7,'Framework Crosswalk'!$K$5:$K$977,"Fully covered")</f>
        <v>0</v>
      </c>
      <c r="F7" s="26" t="n">
        <f aca="false">COUNTIFS('Framework Crosswalk'!$A$5:$A$977,A7,'Framework Crosswalk'!$K$5:$K$977,"Partly covered")</f>
        <v>0</v>
      </c>
      <c r="G7" s="26" t="n">
        <f aca="false">COUNTIFS('Framework Crosswalk'!$A$5:$A$977,A7,'Framework Crosswalk'!$K$5:$K$977,"Not covered")</f>
        <v>55</v>
      </c>
      <c r="H7" s="48" t="n">
        <f aca="false">IF(D7=0,"",E7/D7)</f>
        <v>0</v>
      </c>
    </row>
    <row r="8" customFormat="false" ht="15" hidden="false" customHeight="false" outlineLevel="0" collapsed="false">
      <c r="A8" s="46" t="s">
        <v>573</v>
      </c>
      <c r="B8" s="47" t="s">
        <v>570</v>
      </c>
      <c r="C8" s="26" t="n">
        <f aca="false">COUNTIF('Framework Crosswalk'!$A$5:$A$977,A8)</f>
        <v>72</v>
      </c>
      <c r="D8" s="26" t="n">
        <f aca="false">C8-COUNTIFS('Framework Crosswalk'!$A$5:$A$977,A8,'Framework Crosswalk'!$K$5:$K$977,"No wiki control")</f>
        <v>47</v>
      </c>
      <c r="E8" s="26" t="n">
        <f aca="false">COUNTIFS('Framework Crosswalk'!$A$5:$A$977,A8,'Framework Crosswalk'!$K$5:$K$977,"Fully covered")</f>
        <v>0</v>
      </c>
      <c r="F8" s="26" t="n">
        <f aca="false">COUNTIFS('Framework Crosswalk'!$A$5:$A$977,A8,'Framework Crosswalk'!$K$5:$K$977,"Partly covered")</f>
        <v>0</v>
      </c>
      <c r="G8" s="26" t="n">
        <f aca="false">COUNTIFS('Framework Crosswalk'!$A$5:$A$977,A8,'Framework Crosswalk'!$K$5:$K$977,"Not covered")</f>
        <v>47</v>
      </c>
      <c r="H8" s="48" t="n">
        <f aca="false">IF(D8=0,"",E8/D8)</f>
        <v>0</v>
      </c>
    </row>
    <row r="9" customFormat="false" ht="15" hidden="false" customHeight="false" outlineLevel="0" collapsed="false">
      <c r="A9" s="46" t="s">
        <v>574</v>
      </c>
      <c r="B9" s="47" t="s">
        <v>570</v>
      </c>
      <c r="C9" s="26" t="n">
        <f aca="false">COUNTIF('Framework Crosswalk'!$A$5:$A$977,A9)</f>
        <v>12</v>
      </c>
      <c r="D9" s="26" t="n">
        <f aca="false">C9-COUNTIFS('Framework Crosswalk'!$A$5:$A$977,A9,'Framework Crosswalk'!$K$5:$K$977,"No wiki control")</f>
        <v>12</v>
      </c>
      <c r="E9" s="26" t="n">
        <f aca="false">COUNTIFS('Framework Crosswalk'!$A$5:$A$977,A9,'Framework Crosswalk'!$K$5:$K$977,"Fully covered")</f>
        <v>0</v>
      </c>
      <c r="F9" s="26" t="n">
        <f aca="false">COUNTIFS('Framework Crosswalk'!$A$5:$A$977,A9,'Framework Crosswalk'!$K$5:$K$977,"Partly covered")</f>
        <v>0</v>
      </c>
      <c r="G9" s="26" t="n">
        <f aca="false">COUNTIFS('Framework Crosswalk'!$A$5:$A$977,A9,'Framework Crosswalk'!$K$5:$K$977,"Not covered")</f>
        <v>12</v>
      </c>
      <c r="H9" s="48" t="n">
        <f aca="false">IF(D9=0,"",E9/D9)</f>
        <v>0</v>
      </c>
    </row>
    <row r="10" customFormat="false" ht="15" hidden="false" customHeight="false" outlineLevel="0" collapsed="false">
      <c r="A10" s="46" t="s">
        <v>575</v>
      </c>
      <c r="B10" s="47" t="s">
        <v>570</v>
      </c>
      <c r="C10" s="26" t="n">
        <f aca="false">COUNTIF('Framework Crosswalk'!$A$5:$A$977,A10)</f>
        <v>20</v>
      </c>
      <c r="D10" s="26" t="n">
        <f aca="false">C10-COUNTIFS('Framework Crosswalk'!$A$5:$A$977,A10,'Framework Crosswalk'!$K$5:$K$977,"No wiki control")</f>
        <v>18</v>
      </c>
      <c r="E10" s="26" t="n">
        <f aca="false">COUNTIFS('Framework Crosswalk'!$A$5:$A$977,A10,'Framework Crosswalk'!$K$5:$K$977,"Fully covered")</f>
        <v>0</v>
      </c>
      <c r="F10" s="26" t="n">
        <f aca="false">COUNTIFS('Framework Crosswalk'!$A$5:$A$977,A10,'Framework Crosswalk'!$K$5:$K$977,"Partly covered")</f>
        <v>0</v>
      </c>
      <c r="G10" s="26" t="n">
        <f aca="false">COUNTIFS('Framework Crosswalk'!$A$5:$A$977,A10,'Framework Crosswalk'!$K$5:$K$977,"Not covered")</f>
        <v>18</v>
      </c>
      <c r="H10" s="48" t="n">
        <f aca="false">IF(D10=0,"",E10/D10)</f>
        <v>0</v>
      </c>
    </row>
    <row r="11" customFormat="false" ht="15" hidden="false" customHeight="false" outlineLevel="0" collapsed="false">
      <c r="A11" s="30" t="s">
        <v>576</v>
      </c>
      <c r="B11" s="49" t="s">
        <v>577</v>
      </c>
      <c r="C11" s="26" t="n">
        <f aca="false">COUNTIF('Framework Crosswalk'!$A$5:$A$977,A11)</f>
        <v>10</v>
      </c>
      <c r="D11" s="26" t="n">
        <f aca="false">C11-COUNTIFS('Framework Crosswalk'!$A$5:$A$977,A11,'Framework Crosswalk'!$K$5:$K$977,"No wiki control")</f>
        <v>10</v>
      </c>
      <c r="E11" s="26" t="n">
        <f aca="false">COUNTIFS('Framework Crosswalk'!$A$5:$A$977,A11,'Framework Crosswalk'!$K$5:$K$977,"Fully covered")</f>
        <v>0</v>
      </c>
      <c r="F11" s="26" t="n">
        <f aca="false">COUNTIFS('Framework Crosswalk'!$A$5:$A$977,A11,'Framework Crosswalk'!$K$5:$K$977,"Partly covered")</f>
        <v>0</v>
      </c>
      <c r="G11" s="26" t="n">
        <f aca="false">COUNTIFS('Framework Crosswalk'!$A$5:$A$977,A11,'Framework Crosswalk'!$K$5:$K$977,"Not covered")</f>
        <v>10</v>
      </c>
      <c r="H11" s="48" t="n">
        <f aca="false">IF(D11=0,"",E11/D11)</f>
        <v>0</v>
      </c>
    </row>
    <row r="12" customFormat="false" ht="15" hidden="false" customHeight="false" outlineLevel="0" collapsed="false">
      <c r="A12" s="30" t="s">
        <v>578</v>
      </c>
      <c r="B12" s="49" t="s">
        <v>577</v>
      </c>
      <c r="C12" s="26" t="n">
        <f aca="false">COUNTIF('Framework Crosswalk'!$A$5:$A$977,A12)</f>
        <v>10</v>
      </c>
      <c r="D12" s="26" t="n">
        <f aca="false">C12-COUNTIFS('Framework Crosswalk'!$A$5:$A$977,A12,'Framework Crosswalk'!$K$5:$K$977,"No wiki control")</f>
        <v>10</v>
      </c>
      <c r="E12" s="26" t="n">
        <f aca="false">COUNTIFS('Framework Crosswalk'!$A$5:$A$977,A12,'Framework Crosswalk'!$K$5:$K$977,"Fully covered")</f>
        <v>0</v>
      </c>
      <c r="F12" s="26" t="n">
        <f aca="false">COUNTIFS('Framework Crosswalk'!$A$5:$A$977,A12,'Framework Crosswalk'!$K$5:$K$977,"Partly covered")</f>
        <v>0</v>
      </c>
      <c r="G12" s="26" t="n">
        <f aca="false">COUNTIFS('Framework Crosswalk'!$A$5:$A$977,A12,'Framework Crosswalk'!$K$5:$K$977,"Not covered")</f>
        <v>10</v>
      </c>
      <c r="H12" s="48" t="n">
        <f aca="false">IF(D12=0,"",E12/D12)</f>
        <v>0</v>
      </c>
    </row>
    <row r="13" customFormat="false" ht="15" hidden="false" customHeight="false" outlineLevel="0" collapsed="false">
      <c r="A13" s="30" t="s">
        <v>579</v>
      </c>
      <c r="B13" s="49" t="s">
        <v>577</v>
      </c>
      <c r="C13" s="26" t="n">
        <f aca="false">COUNTIF('Framework Crosswalk'!$A$5:$A$977,A13)</f>
        <v>10</v>
      </c>
      <c r="D13" s="26" t="n">
        <f aca="false">C13-COUNTIFS('Framework Crosswalk'!$A$5:$A$977,A13,'Framework Crosswalk'!$K$5:$K$977,"No wiki control")</f>
        <v>10</v>
      </c>
      <c r="E13" s="26" t="n">
        <f aca="false">COUNTIFS('Framework Crosswalk'!$A$5:$A$977,A13,'Framework Crosswalk'!$K$5:$K$977,"Fully covered")</f>
        <v>0</v>
      </c>
      <c r="F13" s="26" t="n">
        <f aca="false">COUNTIFS('Framework Crosswalk'!$A$5:$A$977,A13,'Framework Crosswalk'!$K$5:$K$977,"Partly covered")</f>
        <v>0</v>
      </c>
      <c r="G13" s="26" t="n">
        <f aca="false">COUNTIFS('Framework Crosswalk'!$A$5:$A$977,A13,'Framework Crosswalk'!$K$5:$K$977,"Not covered")</f>
        <v>10</v>
      </c>
      <c r="H13" s="48" t="n">
        <f aca="false">IF(D13=0,"",E13/D13)</f>
        <v>0</v>
      </c>
    </row>
    <row r="14" customFormat="false" ht="15" hidden="false" customHeight="false" outlineLevel="0" collapsed="false">
      <c r="A14" s="30" t="s">
        <v>580</v>
      </c>
      <c r="B14" s="49" t="s">
        <v>577</v>
      </c>
      <c r="C14" s="26" t="n">
        <f aca="false">COUNTIF('Framework Crosswalk'!$A$5:$A$977,A14)</f>
        <v>55</v>
      </c>
      <c r="D14" s="26" t="n">
        <f aca="false">C14-COUNTIFS('Framework Crosswalk'!$A$5:$A$977,A14,'Framework Crosswalk'!$K$5:$K$977,"No wiki control")</f>
        <v>55</v>
      </c>
      <c r="E14" s="26" t="n">
        <f aca="false">COUNTIFS('Framework Crosswalk'!$A$5:$A$977,A14,'Framework Crosswalk'!$K$5:$K$977,"Fully covered")</f>
        <v>0</v>
      </c>
      <c r="F14" s="26" t="n">
        <f aca="false">COUNTIFS('Framework Crosswalk'!$A$5:$A$977,A14,'Framework Crosswalk'!$K$5:$K$977,"Partly covered")</f>
        <v>0</v>
      </c>
      <c r="G14" s="26" t="n">
        <f aca="false">COUNTIFS('Framework Crosswalk'!$A$5:$A$977,A14,'Framework Crosswalk'!$K$5:$K$977,"Not covered")</f>
        <v>55</v>
      </c>
      <c r="H14" s="48" t="n">
        <f aca="false">IF(D14=0,"",E14/D14)</f>
        <v>0</v>
      </c>
    </row>
    <row r="15" customFormat="false" ht="15" hidden="false" customHeight="false" outlineLevel="0" collapsed="false">
      <c r="A15" s="30" t="s">
        <v>581</v>
      </c>
      <c r="B15" s="49" t="s">
        <v>577</v>
      </c>
      <c r="C15" s="26" t="n">
        <f aca="false">COUNTIF('Framework Crosswalk'!$A$5:$A$977,A15)</f>
        <v>32</v>
      </c>
      <c r="D15" s="26" t="n">
        <f aca="false">C15-COUNTIFS('Framework Crosswalk'!$A$5:$A$977,A15,'Framework Crosswalk'!$K$5:$K$977,"No wiki control")</f>
        <v>32</v>
      </c>
      <c r="E15" s="26" t="n">
        <f aca="false">COUNTIFS('Framework Crosswalk'!$A$5:$A$977,A15,'Framework Crosswalk'!$K$5:$K$977,"Fully covered")</f>
        <v>0</v>
      </c>
      <c r="F15" s="26" t="n">
        <f aca="false">COUNTIFS('Framework Crosswalk'!$A$5:$A$977,A15,'Framework Crosswalk'!$K$5:$K$977,"Partly covered")</f>
        <v>0</v>
      </c>
      <c r="G15" s="26" t="n">
        <f aca="false">COUNTIFS('Framework Crosswalk'!$A$5:$A$977,A15,'Framework Crosswalk'!$K$5:$K$977,"Not covered")</f>
        <v>32</v>
      </c>
      <c r="H15" s="48" t="n">
        <f aca="false">IF(D15=0,"",E15/D15)</f>
        <v>0</v>
      </c>
    </row>
    <row r="16" customFormat="false" ht="15" hidden="false" customHeight="false" outlineLevel="0" collapsed="false">
      <c r="A16" s="30" t="s">
        <v>582</v>
      </c>
      <c r="B16" s="49" t="s">
        <v>577</v>
      </c>
      <c r="C16" s="26" t="n">
        <f aca="false">COUNTIF('Framework Crosswalk'!$A$5:$A$977,A16)</f>
        <v>26</v>
      </c>
      <c r="D16" s="26" t="n">
        <f aca="false">C16-COUNTIFS('Framework Crosswalk'!$A$5:$A$977,A16,'Framework Crosswalk'!$K$5:$K$977,"No wiki control")</f>
        <v>25</v>
      </c>
      <c r="E16" s="26" t="n">
        <f aca="false">COUNTIFS('Framework Crosswalk'!$A$5:$A$977,A16,'Framework Crosswalk'!$K$5:$K$977,"Fully covered")</f>
        <v>0</v>
      </c>
      <c r="F16" s="26" t="n">
        <f aca="false">COUNTIFS('Framework Crosswalk'!$A$5:$A$977,A16,'Framework Crosswalk'!$K$5:$K$977,"Partly covered")</f>
        <v>0</v>
      </c>
      <c r="G16" s="26" t="n">
        <f aca="false">COUNTIFS('Framework Crosswalk'!$A$5:$A$977,A16,'Framework Crosswalk'!$K$5:$K$977,"Not covered")</f>
        <v>25</v>
      </c>
      <c r="H16" s="48" t="n">
        <f aca="false">IF(D16=0,"",E16/D16)</f>
        <v>0</v>
      </c>
    </row>
    <row r="17" customFormat="false" ht="15" hidden="false" customHeight="false" outlineLevel="0" collapsed="false">
      <c r="A17" s="50" t="s">
        <v>583</v>
      </c>
      <c r="B17" s="51" t="s">
        <v>584</v>
      </c>
      <c r="C17" s="26" t="n">
        <f aca="false">COUNTIF('Framework Crosswalk'!$A$5:$A$977,A17)</f>
        <v>38</v>
      </c>
      <c r="D17" s="26" t="n">
        <f aca="false">C17-COUNTIFS('Framework Crosswalk'!$A$5:$A$977,A17,'Framework Crosswalk'!$K$5:$K$977,"No wiki control")</f>
        <v>33</v>
      </c>
      <c r="E17" s="26" t="n">
        <f aca="false">COUNTIFS('Framework Crosswalk'!$A$5:$A$977,A17,'Framework Crosswalk'!$K$5:$K$977,"Fully covered")</f>
        <v>0</v>
      </c>
      <c r="F17" s="26" t="n">
        <f aca="false">COUNTIFS('Framework Crosswalk'!$A$5:$A$977,A17,'Framework Crosswalk'!$K$5:$K$977,"Partly covered")</f>
        <v>0</v>
      </c>
      <c r="G17" s="26" t="n">
        <f aca="false">COUNTIFS('Framework Crosswalk'!$A$5:$A$977,A17,'Framework Crosswalk'!$K$5:$K$977,"Not covered")</f>
        <v>33</v>
      </c>
      <c r="H17" s="48" t="n">
        <f aca="false">IF(D17=0,"",E17/D17)</f>
        <v>0</v>
      </c>
    </row>
    <row r="18" customFormat="false" ht="15" hidden="false" customHeight="false" outlineLevel="0" collapsed="false">
      <c r="A18" s="50" t="s">
        <v>585</v>
      </c>
      <c r="B18" s="51" t="s">
        <v>584</v>
      </c>
      <c r="C18" s="26" t="n">
        <f aca="false">COUNTIF('Framework Crosswalk'!$A$5:$A$977,A18)</f>
        <v>9</v>
      </c>
      <c r="D18" s="26" t="n">
        <f aca="false">C18-COUNTIFS('Framework Crosswalk'!$A$5:$A$977,A18,'Framework Crosswalk'!$K$5:$K$977,"No wiki control")</f>
        <v>9</v>
      </c>
      <c r="E18" s="26" t="n">
        <f aca="false">COUNTIFS('Framework Crosswalk'!$A$5:$A$977,A18,'Framework Crosswalk'!$K$5:$K$977,"Fully covered")</f>
        <v>0</v>
      </c>
      <c r="F18" s="26" t="n">
        <f aca="false">COUNTIFS('Framework Crosswalk'!$A$5:$A$977,A18,'Framework Crosswalk'!$K$5:$K$977,"Partly covered")</f>
        <v>0</v>
      </c>
      <c r="G18" s="26" t="n">
        <f aca="false">COUNTIFS('Framework Crosswalk'!$A$5:$A$977,A18,'Framework Crosswalk'!$K$5:$K$977,"Not covered")</f>
        <v>9</v>
      </c>
      <c r="H18" s="48" t="n">
        <f aca="false">IF(D18=0,"",E18/D18)</f>
        <v>0</v>
      </c>
    </row>
    <row r="19" customFormat="false" ht="15" hidden="false" customHeight="false" outlineLevel="0" collapsed="false">
      <c r="A19" s="50" t="s">
        <v>586</v>
      </c>
      <c r="B19" s="51" t="s">
        <v>584</v>
      </c>
      <c r="C19" s="26" t="n">
        <f aca="false">COUNTIF('Framework Crosswalk'!$A$5:$A$977,A19)</f>
        <v>93</v>
      </c>
      <c r="D19" s="26" t="n">
        <f aca="false">C19-COUNTIFS('Framework Crosswalk'!$A$5:$A$977,A19,'Framework Crosswalk'!$K$5:$K$977,"No wiki control")</f>
        <v>65</v>
      </c>
      <c r="E19" s="26" t="n">
        <f aca="false">COUNTIFS('Framework Crosswalk'!$A$5:$A$977,A19,'Framework Crosswalk'!$K$5:$K$977,"Fully covered")</f>
        <v>0</v>
      </c>
      <c r="F19" s="26" t="n">
        <f aca="false">COUNTIFS('Framework Crosswalk'!$A$5:$A$977,A19,'Framework Crosswalk'!$K$5:$K$977,"Partly covered")</f>
        <v>0</v>
      </c>
      <c r="G19" s="26" t="n">
        <f aca="false">COUNTIFS('Framework Crosswalk'!$A$5:$A$977,A19,'Framework Crosswalk'!$K$5:$K$977,"Not covered")</f>
        <v>65</v>
      </c>
      <c r="H19" s="48" t="n">
        <f aca="false">IF(D19=0,"",E19/D19)</f>
        <v>0</v>
      </c>
    </row>
    <row r="20" customFormat="false" ht="15" hidden="false" customHeight="false" outlineLevel="0" collapsed="false">
      <c r="A20" s="50" t="s">
        <v>587</v>
      </c>
      <c r="B20" s="51" t="s">
        <v>584</v>
      </c>
      <c r="C20" s="26" t="n">
        <f aca="false">COUNTIF('Framework Crosswalk'!$A$5:$A$977,A20)</f>
        <v>3</v>
      </c>
      <c r="D20" s="26" t="n">
        <f aca="false">C20-COUNTIFS('Framework Crosswalk'!$A$5:$A$977,A20,'Framework Crosswalk'!$K$5:$K$977,"No wiki control")</f>
        <v>3</v>
      </c>
      <c r="E20" s="26" t="n">
        <f aca="false">COUNTIFS('Framework Crosswalk'!$A$5:$A$977,A20,'Framework Crosswalk'!$K$5:$K$977,"Fully covered")</f>
        <v>0</v>
      </c>
      <c r="F20" s="26" t="n">
        <f aca="false">COUNTIFS('Framework Crosswalk'!$A$5:$A$977,A20,'Framework Crosswalk'!$K$5:$K$977,"Partly covered")</f>
        <v>0</v>
      </c>
      <c r="G20" s="26" t="n">
        <f aca="false">COUNTIFS('Framework Crosswalk'!$A$5:$A$977,A20,'Framework Crosswalk'!$K$5:$K$977,"Not covered")</f>
        <v>3</v>
      </c>
      <c r="H20" s="48" t="n">
        <f aca="false">IF(D20=0,"",E20/D20)</f>
        <v>0</v>
      </c>
    </row>
    <row r="21" customFormat="false" ht="15" hidden="false" customHeight="false" outlineLevel="0" collapsed="false">
      <c r="A21" s="50" t="s">
        <v>588</v>
      </c>
      <c r="B21" s="51" t="s">
        <v>584</v>
      </c>
      <c r="C21" s="26" t="n">
        <f aca="false">COUNTIF('Framework Crosswalk'!$A$5:$A$977,A21)</f>
        <v>4</v>
      </c>
      <c r="D21" s="26" t="n">
        <f aca="false">C21-COUNTIFS('Framework Crosswalk'!$A$5:$A$977,A21,'Framework Crosswalk'!$K$5:$K$977,"No wiki control")</f>
        <v>1</v>
      </c>
      <c r="E21" s="26" t="n">
        <f aca="false">COUNTIFS('Framework Crosswalk'!$A$5:$A$977,A21,'Framework Crosswalk'!$K$5:$K$977,"Fully covered")</f>
        <v>0</v>
      </c>
      <c r="F21" s="26" t="n">
        <f aca="false">COUNTIFS('Framework Crosswalk'!$A$5:$A$977,A21,'Framework Crosswalk'!$K$5:$K$977,"Partly covered")</f>
        <v>0</v>
      </c>
      <c r="G21" s="26" t="n">
        <f aca="false">COUNTIFS('Framework Crosswalk'!$A$5:$A$977,A21,'Framework Crosswalk'!$K$5:$K$977,"Not covered")</f>
        <v>1</v>
      </c>
      <c r="H21" s="48" t="n">
        <f aca="false">IF(D21=0,"",E21/D21)</f>
        <v>0</v>
      </c>
    </row>
    <row r="22" customFormat="false" ht="15" hidden="false" customHeight="false" outlineLevel="0" collapsed="false">
      <c r="A22" s="50" t="s">
        <v>589</v>
      </c>
      <c r="B22" s="51" t="s">
        <v>584</v>
      </c>
      <c r="C22" s="26" t="n">
        <f aca="false">COUNTIF('Framework Crosswalk'!$A$5:$A$977,A22)</f>
        <v>9</v>
      </c>
      <c r="D22" s="26" t="n">
        <f aca="false">C22-COUNTIFS('Framework Crosswalk'!$A$5:$A$977,A22,'Framework Crosswalk'!$K$5:$K$977,"No wiki control")</f>
        <v>8</v>
      </c>
      <c r="E22" s="26" t="n">
        <f aca="false">COUNTIFS('Framework Crosswalk'!$A$5:$A$977,A22,'Framework Crosswalk'!$K$5:$K$977,"Fully covered")</f>
        <v>0</v>
      </c>
      <c r="F22" s="26" t="n">
        <f aca="false">COUNTIFS('Framework Crosswalk'!$A$5:$A$977,A22,'Framework Crosswalk'!$K$5:$K$977,"Partly covered")</f>
        <v>0</v>
      </c>
      <c r="G22" s="26" t="n">
        <f aca="false">COUNTIFS('Framework Crosswalk'!$A$5:$A$977,A22,'Framework Crosswalk'!$K$5:$K$977,"Not covered")</f>
        <v>8</v>
      </c>
      <c r="H22" s="48" t="n">
        <f aca="false">IF(D22=0,"",E22/D22)</f>
        <v>0</v>
      </c>
    </row>
    <row r="23" customFormat="false" ht="15" hidden="false" customHeight="false" outlineLevel="0" collapsed="false">
      <c r="A23" s="50" t="s">
        <v>590</v>
      </c>
      <c r="B23" s="51" t="s">
        <v>584</v>
      </c>
      <c r="C23" s="26" t="n">
        <f aca="false">COUNTIF('Framework Crosswalk'!$A$5:$A$977,A23)</f>
        <v>5</v>
      </c>
      <c r="D23" s="26" t="n">
        <f aca="false">C23-COUNTIFS('Framework Crosswalk'!$A$5:$A$977,A23,'Framework Crosswalk'!$K$5:$K$977,"No wiki control")</f>
        <v>4</v>
      </c>
      <c r="E23" s="26" t="n">
        <f aca="false">COUNTIFS('Framework Crosswalk'!$A$5:$A$977,A23,'Framework Crosswalk'!$K$5:$K$977,"Fully covered")</f>
        <v>0</v>
      </c>
      <c r="F23" s="26" t="n">
        <f aca="false">COUNTIFS('Framework Crosswalk'!$A$5:$A$977,A23,'Framework Crosswalk'!$K$5:$K$977,"Partly covered")</f>
        <v>0</v>
      </c>
      <c r="G23" s="26" t="n">
        <f aca="false">COUNTIFS('Framework Crosswalk'!$A$5:$A$977,A23,'Framework Crosswalk'!$K$5:$K$977,"Not covered")</f>
        <v>4</v>
      </c>
      <c r="H23" s="48" t="n">
        <f aca="false">IF(D23=0,"",E23/D23)</f>
        <v>0</v>
      </c>
    </row>
    <row r="24" customFormat="false" ht="15" hidden="false" customHeight="false" outlineLevel="0" collapsed="false">
      <c r="A24" s="50" t="s">
        <v>591</v>
      </c>
      <c r="B24" s="51" t="s">
        <v>584</v>
      </c>
      <c r="C24" s="26" t="n">
        <f aca="false">COUNTIF('Framework Crosswalk'!$A$5:$A$977,A24)</f>
        <v>7</v>
      </c>
      <c r="D24" s="26" t="n">
        <f aca="false">C24-COUNTIFS('Framework Crosswalk'!$A$5:$A$977,A24,'Framework Crosswalk'!$K$5:$K$977,"No wiki control")</f>
        <v>6</v>
      </c>
      <c r="E24" s="26" t="n">
        <f aca="false">COUNTIFS('Framework Crosswalk'!$A$5:$A$977,A24,'Framework Crosswalk'!$K$5:$K$977,"Fully covered")</f>
        <v>0</v>
      </c>
      <c r="F24" s="26" t="n">
        <f aca="false">COUNTIFS('Framework Crosswalk'!$A$5:$A$977,A24,'Framework Crosswalk'!$K$5:$K$977,"Partly covered")</f>
        <v>0</v>
      </c>
      <c r="G24" s="26" t="n">
        <f aca="false">COUNTIFS('Framework Crosswalk'!$A$5:$A$977,A24,'Framework Crosswalk'!$K$5:$K$977,"Not covered")</f>
        <v>6</v>
      </c>
      <c r="H24" s="48" t="n">
        <f aca="false">IF(D24=0,"",E24/D24)</f>
        <v>0</v>
      </c>
    </row>
    <row r="25" customFormat="false" ht="15" hidden="false" customHeight="false" outlineLevel="0" collapsed="false">
      <c r="A25" s="50" t="s">
        <v>592</v>
      </c>
      <c r="B25" s="51" t="s">
        <v>584</v>
      </c>
      <c r="C25" s="26" t="n">
        <f aca="false">COUNTIF('Framework Crosswalk'!$A$5:$A$977,A25)</f>
        <v>7</v>
      </c>
      <c r="D25" s="26" t="n">
        <f aca="false">C25-COUNTIFS('Framework Crosswalk'!$A$5:$A$977,A25,'Framework Crosswalk'!$K$5:$K$977,"No wiki control")</f>
        <v>6</v>
      </c>
      <c r="E25" s="26" t="n">
        <f aca="false">COUNTIFS('Framework Crosswalk'!$A$5:$A$977,A25,'Framework Crosswalk'!$K$5:$K$977,"Fully covered")</f>
        <v>0</v>
      </c>
      <c r="F25" s="26" t="n">
        <f aca="false">COUNTIFS('Framework Crosswalk'!$A$5:$A$977,A25,'Framework Crosswalk'!$K$5:$K$977,"Partly covered")</f>
        <v>0</v>
      </c>
      <c r="G25" s="26" t="n">
        <f aca="false">COUNTIFS('Framework Crosswalk'!$A$5:$A$977,A25,'Framework Crosswalk'!$K$5:$K$977,"Not covered")</f>
        <v>6</v>
      </c>
      <c r="H25" s="48" t="n">
        <f aca="false">IF(D25=0,"",E25/D25)</f>
        <v>0</v>
      </c>
    </row>
    <row r="26" customFormat="false" ht="15" hidden="false" customHeight="false" outlineLevel="0" collapsed="false">
      <c r="A26" s="50" t="s">
        <v>593</v>
      </c>
      <c r="B26" s="51" t="s">
        <v>584</v>
      </c>
      <c r="C26" s="26" t="n">
        <f aca="false">COUNTIF('Framework Crosswalk'!$A$5:$A$977,A26)</f>
        <v>8</v>
      </c>
      <c r="D26" s="26" t="n">
        <f aca="false">C26-COUNTIFS('Framework Crosswalk'!$A$5:$A$977,A26,'Framework Crosswalk'!$K$5:$K$977,"No wiki control")</f>
        <v>8</v>
      </c>
      <c r="E26" s="26" t="n">
        <f aca="false">COUNTIFS('Framework Crosswalk'!$A$5:$A$977,A26,'Framework Crosswalk'!$K$5:$K$977,"Fully covered")</f>
        <v>0</v>
      </c>
      <c r="F26" s="26" t="n">
        <f aca="false">COUNTIFS('Framework Crosswalk'!$A$5:$A$977,A26,'Framework Crosswalk'!$K$5:$K$977,"Partly covered")</f>
        <v>0</v>
      </c>
      <c r="G26" s="26" t="n">
        <f aca="false">COUNTIFS('Framework Crosswalk'!$A$5:$A$977,A26,'Framework Crosswalk'!$K$5:$K$977,"Not covered")</f>
        <v>8</v>
      </c>
      <c r="H26" s="48" t="n">
        <f aca="false">IF(D26=0,"",E26/D26)</f>
        <v>0</v>
      </c>
    </row>
    <row r="27" customFormat="false" ht="15" hidden="false" customHeight="false" outlineLevel="0" collapsed="false">
      <c r="A27" s="50" t="s">
        <v>594</v>
      </c>
      <c r="B27" s="51" t="s">
        <v>584</v>
      </c>
      <c r="C27" s="26" t="n">
        <f aca="false">COUNTIF('Framework Crosswalk'!$A$5:$A$977,A27)</f>
        <v>4</v>
      </c>
      <c r="D27" s="26" t="n">
        <f aca="false">C27-COUNTIFS('Framework Crosswalk'!$A$5:$A$977,A27,'Framework Crosswalk'!$K$5:$K$977,"No wiki control")</f>
        <v>3</v>
      </c>
      <c r="E27" s="26" t="n">
        <f aca="false">COUNTIFS('Framework Crosswalk'!$A$5:$A$977,A27,'Framework Crosswalk'!$K$5:$K$977,"Fully covered")</f>
        <v>0</v>
      </c>
      <c r="F27" s="26" t="n">
        <f aca="false">COUNTIFS('Framework Crosswalk'!$A$5:$A$977,A27,'Framework Crosswalk'!$K$5:$K$977,"Partly covered")</f>
        <v>0</v>
      </c>
      <c r="G27" s="26" t="n">
        <f aca="false">COUNTIFS('Framework Crosswalk'!$A$5:$A$977,A27,'Framework Crosswalk'!$K$5:$K$977,"Not covered")</f>
        <v>3</v>
      </c>
      <c r="H27" s="48" t="n">
        <f aca="false">IF(D27=0,"",E27/D27)</f>
        <v>0</v>
      </c>
    </row>
    <row r="28" customFormat="false" ht="15" hidden="false" customHeight="false" outlineLevel="0" collapsed="false">
      <c r="A28" s="50" t="s">
        <v>595</v>
      </c>
      <c r="B28" s="51" t="s">
        <v>584</v>
      </c>
      <c r="C28" s="26" t="n">
        <f aca="false">COUNTIF('Framework Crosswalk'!$A$5:$A$977,A28)</f>
        <v>4</v>
      </c>
      <c r="D28" s="26" t="n">
        <f aca="false">C28-COUNTIFS('Framework Crosswalk'!$A$5:$A$977,A28,'Framework Crosswalk'!$K$5:$K$977,"No wiki control")</f>
        <v>1</v>
      </c>
      <c r="E28" s="26" t="n">
        <f aca="false">COUNTIFS('Framework Crosswalk'!$A$5:$A$977,A28,'Framework Crosswalk'!$K$5:$K$977,"Fully covered")</f>
        <v>0</v>
      </c>
      <c r="F28" s="26" t="n">
        <f aca="false">COUNTIFS('Framework Crosswalk'!$A$5:$A$977,A28,'Framework Crosswalk'!$K$5:$K$977,"Partly covered")</f>
        <v>0</v>
      </c>
      <c r="G28" s="26" t="n">
        <f aca="false">COUNTIFS('Framework Crosswalk'!$A$5:$A$977,A28,'Framework Crosswalk'!$K$5:$K$977,"Not covered")</f>
        <v>1</v>
      </c>
      <c r="H28" s="48" t="n">
        <f aca="false">IF(D28=0,"",E28/D28)</f>
        <v>0</v>
      </c>
    </row>
    <row r="29" customFormat="false" ht="15" hidden="false" customHeight="false" outlineLevel="0" collapsed="false">
      <c r="A29" s="50" t="s">
        <v>596</v>
      </c>
      <c r="B29" s="51" t="s">
        <v>584</v>
      </c>
      <c r="C29" s="26" t="n">
        <f aca="false">COUNTIF('Framework Crosswalk'!$A$5:$A$977,A29)</f>
        <v>7</v>
      </c>
      <c r="D29" s="26" t="n">
        <f aca="false">C29-COUNTIFS('Framework Crosswalk'!$A$5:$A$977,A29,'Framework Crosswalk'!$K$5:$K$977,"No wiki control")</f>
        <v>4</v>
      </c>
      <c r="E29" s="26" t="n">
        <f aca="false">COUNTIFS('Framework Crosswalk'!$A$5:$A$977,A29,'Framework Crosswalk'!$K$5:$K$977,"Fully covered")</f>
        <v>0</v>
      </c>
      <c r="F29" s="26" t="n">
        <f aca="false">COUNTIFS('Framework Crosswalk'!$A$5:$A$977,A29,'Framework Crosswalk'!$K$5:$K$977,"Partly covered")</f>
        <v>0</v>
      </c>
      <c r="G29" s="26" t="n">
        <f aca="false">COUNTIFS('Framework Crosswalk'!$A$5:$A$977,A29,'Framework Crosswalk'!$K$5:$K$977,"Not covered")</f>
        <v>4</v>
      </c>
      <c r="H29" s="48" t="n">
        <f aca="false">IF(D29=0,"",E29/D29)</f>
        <v>0</v>
      </c>
    </row>
    <row r="30" customFormat="false" ht="15" hidden="false" customHeight="false" outlineLevel="0" collapsed="false">
      <c r="A30" s="52" t="s">
        <v>597</v>
      </c>
      <c r="B30" s="53" t="s">
        <v>598</v>
      </c>
      <c r="C30" s="26" t="n">
        <f aca="false">COUNTIF('Framework Crosswalk'!$A$5:$A$977,A30)</f>
        <v>22</v>
      </c>
      <c r="D30" s="26" t="n">
        <f aca="false">C30-COUNTIFS('Framework Crosswalk'!$A$5:$A$977,A30,'Framework Crosswalk'!$K$5:$K$977,"No wiki control")</f>
        <v>21</v>
      </c>
      <c r="E30" s="26" t="n">
        <f aca="false">COUNTIFS('Framework Crosswalk'!$A$5:$A$977,A30,'Framework Crosswalk'!$K$5:$K$977,"Fully covered")</f>
        <v>0</v>
      </c>
      <c r="F30" s="26" t="n">
        <f aca="false">COUNTIFS('Framework Crosswalk'!$A$5:$A$977,A30,'Framework Crosswalk'!$K$5:$K$977,"Partly covered")</f>
        <v>0</v>
      </c>
      <c r="G30" s="26" t="n">
        <f aca="false">COUNTIFS('Framework Crosswalk'!$A$5:$A$977,A30,'Framework Crosswalk'!$K$5:$K$977,"Not covered")</f>
        <v>21</v>
      </c>
      <c r="H30" s="48" t="n">
        <f aca="false">IF(D30=0,"",E30/D30)</f>
        <v>0</v>
      </c>
    </row>
    <row r="31" customFormat="false" ht="15" hidden="false" customHeight="false" outlineLevel="0" collapsed="false">
      <c r="A31" s="52" t="s">
        <v>599</v>
      </c>
      <c r="B31" s="53" t="s">
        <v>598</v>
      </c>
      <c r="C31" s="26" t="n">
        <f aca="false">COUNTIF('Framework Crosswalk'!$A$5:$A$977,A31)</f>
        <v>18</v>
      </c>
      <c r="D31" s="26" t="n">
        <f aca="false">C31-COUNTIFS('Framework Crosswalk'!$A$5:$A$977,A31,'Framework Crosswalk'!$K$5:$K$977,"No wiki control")</f>
        <v>18</v>
      </c>
      <c r="E31" s="26" t="n">
        <f aca="false">COUNTIFS('Framework Crosswalk'!$A$5:$A$977,A31,'Framework Crosswalk'!$K$5:$K$977,"Fully covered")</f>
        <v>0</v>
      </c>
      <c r="F31" s="26" t="n">
        <f aca="false">COUNTIFS('Framework Crosswalk'!$A$5:$A$977,A31,'Framework Crosswalk'!$K$5:$K$977,"Partly covered")</f>
        <v>0</v>
      </c>
      <c r="G31" s="26" t="n">
        <f aca="false">COUNTIFS('Framework Crosswalk'!$A$5:$A$977,A31,'Framework Crosswalk'!$K$5:$K$977,"Not covered")</f>
        <v>18</v>
      </c>
      <c r="H31" s="48" t="n">
        <f aca="false">IF(D31=0,"",E31/D31)</f>
        <v>0</v>
      </c>
    </row>
    <row r="32" customFormat="false" ht="15" hidden="false" customHeight="false" outlineLevel="0" collapsed="false">
      <c r="A32" s="52" t="s">
        <v>600</v>
      </c>
      <c r="B32" s="53" t="s">
        <v>598</v>
      </c>
      <c r="C32" s="26" t="n">
        <f aca="false">COUNTIF('Framework Crosswalk'!$A$5:$A$977,A32)</f>
        <v>61</v>
      </c>
      <c r="D32" s="26" t="n">
        <f aca="false">C32-COUNTIFS('Framework Crosswalk'!$A$5:$A$977,A32,'Framework Crosswalk'!$K$5:$K$977,"No wiki control")</f>
        <v>38</v>
      </c>
      <c r="E32" s="26" t="n">
        <f aca="false">COUNTIFS('Framework Crosswalk'!$A$5:$A$977,A32,'Framework Crosswalk'!$K$5:$K$977,"Fully covered")</f>
        <v>0</v>
      </c>
      <c r="F32" s="26" t="n">
        <f aca="false">COUNTIFS('Framework Crosswalk'!$A$5:$A$977,A32,'Framework Crosswalk'!$K$5:$K$977,"Partly covered")</f>
        <v>0</v>
      </c>
      <c r="G32" s="26" t="n">
        <f aca="false">COUNTIFS('Framework Crosswalk'!$A$5:$A$977,A32,'Framework Crosswalk'!$K$5:$K$977,"Not covered")</f>
        <v>38</v>
      </c>
      <c r="H32" s="48" t="n">
        <f aca="false">IF(D32=0,"",E32/D32)</f>
        <v>0</v>
      </c>
    </row>
    <row r="33" customFormat="false" ht="15" hidden="false" customHeight="false" outlineLevel="0" collapsed="false">
      <c r="A33" s="52" t="s">
        <v>601</v>
      </c>
      <c r="B33" s="53" t="s">
        <v>598</v>
      </c>
      <c r="C33" s="26" t="n">
        <f aca="false">COUNTIF('Framework Crosswalk'!$A$5:$A$977,A33)</f>
        <v>20</v>
      </c>
      <c r="D33" s="26" t="n">
        <f aca="false">C33-COUNTIFS('Framework Crosswalk'!$A$5:$A$977,A33,'Framework Crosswalk'!$K$5:$K$977,"No wiki control")</f>
        <v>20</v>
      </c>
      <c r="E33" s="26" t="n">
        <f aca="false">COUNTIFS('Framework Crosswalk'!$A$5:$A$977,A33,'Framework Crosswalk'!$K$5:$K$977,"Fully covered")</f>
        <v>0</v>
      </c>
      <c r="F33" s="26" t="n">
        <f aca="false">COUNTIFS('Framework Crosswalk'!$A$5:$A$977,A33,'Framework Crosswalk'!$K$5:$K$977,"Partly covered")</f>
        <v>0</v>
      </c>
      <c r="G33" s="26" t="n">
        <f aca="false">COUNTIFS('Framework Crosswalk'!$A$5:$A$977,A33,'Framework Crosswalk'!$K$5:$K$977,"Not covered")</f>
        <v>20</v>
      </c>
      <c r="H33" s="48" t="n">
        <f aca="false">IF(D33=0,"",E33/D33)</f>
        <v>0</v>
      </c>
    </row>
    <row r="34" customFormat="false" ht="15" hidden="false" customHeight="false" outlineLevel="0" collapsed="false">
      <c r="A34" s="52" t="s">
        <v>602</v>
      </c>
      <c r="B34" s="53" t="s">
        <v>598</v>
      </c>
      <c r="C34" s="26" t="n">
        <f aca="false">COUNTIF('Framework Crosswalk'!$A$5:$A$977,A34)</f>
        <v>14</v>
      </c>
      <c r="D34" s="26" t="n">
        <f aca="false">C34-COUNTIFS('Framework Crosswalk'!$A$5:$A$977,A34,'Framework Crosswalk'!$K$5:$K$977,"No wiki control")</f>
        <v>14</v>
      </c>
      <c r="E34" s="26" t="n">
        <f aca="false">COUNTIFS('Framework Crosswalk'!$A$5:$A$977,A34,'Framework Crosswalk'!$K$5:$K$977,"Fully covered")</f>
        <v>0</v>
      </c>
      <c r="F34" s="26" t="n">
        <f aca="false">COUNTIFS('Framework Crosswalk'!$A$5:$A$977,A34,'Framework Crosswalk'!$K$5:$K$977,"Partly covered")</f>
        <v>0</v>
      </c>
      <c r="G34" s="26" t="n">
        <f aca="false">COUNTIFS('Framework Crosswalk'!$A$5:$A$977,A34,'Framework Crosswalk'!$K$5:$K$977,"Not covered")</f>
        <v>14</v>
      </c>
      <c r="H34" s="48" t="n">
        <f aca="false">IF(D34=0,"",E34/D34)</f>
        <v>0</v>
      </c>
    </row>
    <row r="35" customFormat="false" ht="15" hidden="false" customHeight="false" outlineLevel="0" collapsed="false">
      <c r="A35" s="52" t="s">
        <v>603</v>
      </c>
      <c r="B35" s="53" t="s">
        <v>598</v>
      </c>
      <c r="C35" s="26" t="n">
        <f aca="false">COUNTIF('Framework Crosswalk'!$A$5:$A$977,A35)</f>
        <v>29</v>
      </c>
      <c r="D35" s="26" t="n">
        <f aca="false">C35-COUNTIFS('Framework Crosswalk'!$A$5:$A$977,A35,'Framework Crosswalk'!$K$5:$K$977,"No wiki control")</f>
        <v>29</v>
      </c>
      <c r="E35" s="26" t="n">
        <f aca="false">COUNTIFS('Framework Crosswalk'!$A$5:$A$977,A35,'Framework Crosswalk'!$K$5:$K$977,"Fully covered")</f>
        <v>0</v>
      </c>
      <c r="F35" s="26" t="n">
        <f aca="false">COUNTIFS('Framework Crosswalk'!$A$5:$A$977,A35,'Framework Crosswalk'!$K$5:$K$977,"Partly covered")</f>
        <v>0</v>
      </c>
      <c r="G35" s="26" t="n">
        <f aca="false">COUNTIFS('Framework Crosswalk'!$A$5:$A$977,A35,'Framework Crosswalk'!$K$5:$K$977,"Not covered")</f>
        <v>29</v>
      </c>
      <c r="H35" s="48" t="n">
        <f aca="false">IF(D35=0,"",E35/D35)</f>
        <v>0</v>
      </c>
    </row>
    <row r="36" customFormat="false" ht="15" hidden="false" customHeight="false" outlineLevel="0" collapsed="false">
      <c r="A36" s="54" t="s">
        <v>604</v>
      </c>
      <c r="B36" s="55" t="s">
        <v>605</v>
      </c>
      <c r="C36" s="26" t="n">
        <f aca="false">COUNTIF('Framework Crosswalk'!$A$5:$A$977,A36)</f>
        <v>5</v>
      </c>
      <c r="D36" s="26" t="n">
        <f aca="false">C36-COUNTIFS('Framework Crosswalk'!$A$5:$A$977,A36,'Framework Crosswalk'!$K$5:$K$977,"No wiki control")</f>
        <v>5</v>
      </c>
      <c r="E36" s="26" t="n">
        <f aca="false">COUNTIFS('Framework Crosswalk'!$A$5:$A$977,A36,'Framework Crosswalk'!$K$5:$K$977,"Fully covered")</f>
        <v>0</v>
      </c>
      <c r="F36" s="26" t="n">
        <f aca="false">COUNTIFS('Framework Crosswalk'!$A$5:$A$977,A36,'Framework Crosswalk'!$K$5:$K$977,"Partly covered")</f>
        <v>0</v>
      </c>
      <c r="G36" s="26" t="n">
        <f aca="false">COUNTIFS('Framework Crosswalk'!$A$5:$A$977,A36,'Framework Crosswalk'!$K$5:$K$977,"Not covered")</f>
        <v>5</v>
      </c>
      <c r="H36" s="48" t="n">
        <f aca="false">IF(D36=0,"",E36/D36)</f>
        <v>0</v>
      </c>
    </row>
    <row r="37" customFormat="false" ht="15" hidden="false" customHeight="false" outlineLevel="0" collapsed="false">
      <c r="A37" s="54" t="s">
        <v>606</v>
      </c>
      <c r="B37" s="55" t="s">
        <v>605</v>
      </c>
      <c r="C37" s="26" t="n">
        <f aca="false">COUNTIF('Framework Crosswalk'!$A$5:$A$977,A37)</f>
        <v>7</v>
      </c>
      <c r="D37" s="26" t="n">
        <f aca="false">C37-COUNTIFS('Framework Crosswalk'!$A$5:$A$977,A37,'Framework Crosswalk'!$K$5:$K$977,"No wiki control")</f>
        <v>6</v>
      </c>
      <c r="E37" s="26" t="n">
        <f aca="false">COUNTIFS('Framework Crosswalk'!$A$5:$A$977,A37,'Framework Crosswalk'!$K$5:$K$977,"Fully covered")</f>
        <v>0</v>
      </c>
      <c r="F37" s="26" t="n">
        <f aca="false">COUNTIFS('Framework Crosswalk'!$A$5:$A$977,A37,'Framework Crosswalk'!$K$5:$K$977,"Partly covered")</f>
        <v>0</v>
      </c>
      <c r="G37" s="26" t="n">
        <f aca="false">COUNTIFS('Framework Crosswalk'!$A$5:$A$977,A37,'Framework Crosswalk'!$K$5:$K$977,"Not covered")</f>
        <v>6</v>
      </c>
      <c r="H37" s="48" t="n">
        <f aca="false">IF(D37=0,"",E37/D37)</f>
        <v>0</v>
      </c>
    </row>
    <row r="38" customFormat="false" ht="15" hidden="false" customHeight="false" outlineLevel="0" collapsed="false">
      <c r="A38" s="54" t="s">
        <v>607</v>
      </c>
      <c r="B38" s="55" t="s">
        <v>605</v>
      </c>
      <c r="C38" s="26" t="n">
        <f aca="false">COUNTIF('Framework Crosswalk'!$A$5:$A$977,A38)</f>
        <v>10</v>
      </c>
      <c r="D38" s="26" t="n">
        <f aca="false">C38-COUNTIFS('Framework Crosswalk'!$A$5:$A$977,A38,'Framework Crosswalk'!$K$5:$K$977,"No wiki control")</f>
        <v>9</v>
      </c>
      <c r="E38" s="26" t="n">
        <f aca="false">COUNTIFS('Framework Crosswalk'!$A$5:$A$977,A38,'Framework Crosswalk'!$K$5:$K$977,"Fully covered")</f>
        <v>0</v>
      </c>
      <c r="F38" s="26" t="n">
        <f aca="false">COUNTIFS('Framework Crosswalk'!$A$5:$A$977,A38,'Framework Crosswalk'!$K$5:$K$977,"Partly covered")</f>
        <v>0</v>
      </c>
      <c r="G38" s="26" t="n">
        <f aca="false">COUNTIFS('Framework Crosswalk'!$A$5:$A$977,A38,'Framework Crosswalk'!$K$5:$K$977,"Not covered")</f>
        <v>9</v>
      </c>
      <c r="H38" s="48" t="n">
        <f aca="false">IF(D38=0,"",E38/D38)</f>
        <v>0</v>
      </c>
    </row>
    <row r="39" customFormat="false" ht="15" hidden="false" customHeight="false" outlineLevel="0" collapsed="false">
      <c r="A39" s="54" t="s">
        <v>608</v>
      </c>
      <c r="B39" s="55" t="s">
        <v>605</v>
      </c>
      <c r="C39" s="26" t="n">
        <f aca="false">COUNTIF('Framework Crosswalk'!$A$5:$A$977,A39)</f>
        <v>5</v>
      </c>
      <c r="D39" s="26" t="n">
        <f aca="false">C39-COUNTIFS('Framework Crosswalk'!$A$5:$A$977,A39,'Framework Crosswalk'!$K$5:$K$977,"No wiki control")</f>
        <v>4</v>
      </c>
      <c r="E39" s="26" t="n">
        <f aca="false">COUNTIFS('Framework Crosswalk'!$A$5:$A$977,A39,'Framework Crosswalk'!$K$5:$K$977,"Fully covered")</f>
        <v>0</v>
      </c>
      <c r="F39" s="26" t="n">
        <f aca="false">COUNTIFS('Framework Crosswalk'!$A$5:$A$977,A39,'Framework Crosswalk'!$K$5:$K$977,"Partly covered")</f>
        <v>0</v>
      </c>
      <c r="G39" s="26" t="n">
        <f aca="false">COUNTIFS('Framework Crosswalk'!$A$5:$A$977,A39,'Framework Crosswalk'!$K$5:$K$977,"Not covered")</f>
        <v>4</v>
      </c>
      <c r="H39" s="48" t="n">
        <f aca="false">IF(D39=0,"",E39/D39)</f>
        <v>0</v>
      </c>
    </row>
    <row r="40" customFormat="false" ht="15" hidden="false" customHeight="false" outlineLevel="0" collapsed="false">
      <c r="A40" s="56" t="s">
        <v>609</v>
      </c>
      <c r="B40" s="39" t="s">
        <v>610</v>
      </c>
      <c r="C40" s="26" t="n">
        <f aca="false">COUNTIF('Framework Crosswalk'!$A$5:$A$977,A40)</f>
        <v>12</v>
      </c>
      <c r="D40" s="26" t="n">
        <f aca="false">C40-COUNTIFS('Framework Crosswalk'!$A$5:$A$977,A40,'Framework Crosswalk'!$K$5:$K$977,"No wiki control")</f>
        <v>10</v>
      </c>
      <c r="E40" s="26" t="n">
        <f aca="false">COUNTIFS('Framework Crosswalk'!$A$5:$A$977,A40,'Framework Crosswalk'!$K$5:$K$977,"Fully covered")</f>
        <v>0</v>
      </c>
      <c r="F40" s="26" t="n">
        <f aca="false">COUNTIFS('Framework Crosswalk'!$A$5:$A$977,A40,'Framework Crosswalk'!$K$5:$K$977,"Partly covered")</f>
        <v>0</v>
      </c>
      <c r="G40" s="26" t="n">
        <f aca="false">COUNTIFS('Framework Crosswalk'!$A$5:$A$977,A40,'Framework Crosswalk'!$K$5:$K$977,"Not covered")</f>
        <v>10</v>
      </c>
      <c r="H40" s="48" t="n">
        <f aca="false">IF(D40=0,"",E40/D40)</f>
        <v>0</v>
      </c>
    </row>
    <row r="41" customFormat="false" ht="15" hidden="false" customHeight="false" outlineLevel="0" collapsed="false">
      <c r="A41" s="56" t="s">
        <v>611</v>
      </c>
      <c r="B41" s="39" t="s">
        <v>610</v>
      </c>
      <c r="C41" s="26" t="n">
        <f aca="false">COUNTIF('Framework Crosswalk'!$A$5:$A$977,A41)</f>
        <v>11</v>
      </c>
      <c r="D41" s="26" t="n">
        <f aca="false">C41-COUNTIFS('Framework Crosswalk'!$A$5:$A$977,A41,'Framework Crosswalk'!$K$5:$K$977,"No wiki control")</f>
        <v>8</v>
      </c>
      <c r="E41" s="26" t="n">
        <f aca="false">COUNTIFS('Framework Crosswalk'!$A$5:$A$977,A41,'Framework Crosswalk'!$K$5:$K$977,"Fully covered")</f>
        <v>0</v>
      </c>
      <c r="F41" s="26" t="n">
        <f aca="false">COUNTIFS('Framework Crosswalk'!$A$5:$A$977,A41,'Framework Crosswalk'!$K$5:$K$977,"Partly covered")</f>
        <v>0</v>
      </c>
      <c r="G41" s="26" t="n">
        <f aca="false">COUNTIFS('Framework Crosswalk'!$A$5:$A$977,A41,'Framework Crosswalk'!$K$5:$K$977,"Not covered")</f>
        <v>8</v>
      </c>
      <c r="H41" s="48" t="n">
        <f aca="false">IF(D41=0,"",E41/D41)</f>
        <v>0</v>
      </c>
    </row>
    <row r="42" customFormat="false" ht="15" hidden="false" customHeight="false" outlineLevel="0" collapsed="false">
      <c r="A42" s="57" t="s">
        <v>612</v>
      </c>
      <c r="B42" s="58" t="s">
        <v>613</v>
      </c>
      <c r="C42" s="26" t="n">
        <f aca="false">COUNTIF('Framework Crosswalk'!$A$5:$A$977,A42)</f>
        <v>14</v>
      </c>
      <c r="D42" s="26" t="n">
        <f aca="false">C42-COUNTIFS('Framework Crosswalk'!$A$5:$A$977,A42,'Framework Crosswalk'!$K$5:$K$977,"No wiki control")</f>
        <v>14</v>
      </c>
      <c r="E42" s="26" t="n">
        <f aca="false">COUNTIFS('Framework Crosswalk'!$A$5:$A$977,A42,'Framework Crosswalk'!$K$5:$K$977,"Fully covered")</f>
        <v>0</v>
      </c>
      <c r="F42" s="26" t="n">
        <f aca="false">COUNTIFS('Framework Crosswalk'!$A$5:$A$977,A42,'Framework Crosswalk'!$K$5:$K$977,"Partly covered")</f>
        <v>0</v>
      </c>
      <c r="G42" s="26" t="n">
        <f aca="false">COUNTIFS('Framework Crosswalk'!$A$5:$A$977,A42,'Framework Crosswalk'!$K$5:$K$977,"Not covered")</f>
        <v>14</v>
      </c>
      <c r="H42" s="48" t="n">
        <f aca="false">IF(D42=0,"",E42/D42)</f>
        <v>0</v>
      </c>
    </row>
    <row r="43" customFormat="false" ht="15" hidden="false" customHeight="false" outlineLevel="0" collapsed="false">
      <c r="A43" s="57" t="s">
        <v>614</v>
      </c>
      <c r="B43" s="58" t="s">
        <v>613</v>
      </c>
      <c r="C43" s="26" t="n">
        <f aca="false">COUNTIF('Framework Crosswalk'!$A$5:$A$977,A43)</f>
        <v>33</v>
      </c>
      <c r="D43" s="26" t="n">
        <f aca="false">C43-COUNTIFS('Framework Crosswalk'!$A$5:$A$977,A43,'Framework Crosswalk'!$K$5:$K$977,"No wiki control")</f>
        <v>26</v>
      </c>
      <c r="E43" s="26" t="n">
        <f aca="false">COUNTIFS('Framework Crosswalk'!$A$5:$A$977,A43,'Framework Crosswalk'!$K$5:$K$977,"Fully covered")</f>
        <v>0</v>
      </c>
      <c r="F43" s="26" t="n">
        <f aca="false">COUNTIFS('Framework Crosswalk'!$A$5:$A$977,A43,'Framework Crosswalk'!$K$5:$K$977,"Partly covered")</f>
        <v>0</v>
      </c>
      <c r="G43" s="26" t="n">
        <f aca="false">COUNTIFS('Framework Crosswalk'!$A$5:$A$977,A43,'Framework Crosswalk'!$K$5:$K$977,"Not covered")</f>
        <v>26</v>
      </c>
      <c r="H43" s="48" t="n">
        <f aca="false">IF(D43=0,"",E43/D43)</f>
        <v>0</v>
      </c>
    </row>
    <row r="44" customFormat="false" ht="15" hidden="false" customHeight="false" outlineLevel="0" collapsed="false">
      <c r="A44" s="57" t="s">
        <v>615</v>
      </c>
      <c r="B44" s="58" t="s">
        <v>613</v>
      </c>
      <c r="C44" s="26" t="n">
        <f aca="false">COUNTIF('Framework Crosswalk'!$A$5:$A$977,A44)</f>
        <v>23</v>
      </c>
      <c r="D44" s="26" t="n">
        <f aca="false">C44-COUNTIFS('Framework Crosswalk'!$A$5:$A$977,A44,'Framework Crosswalk'!$K$5:$K$977,"No wiki control")</f>
        <v>21</v>
      </c>
      <c r="E44" s="26" t="n">
        <f aca="false">COUNTIFS('Framework Crosswalk'!$A$5:$A$977,A44,'Framework Crosswalk'!$K$5:$K$977,"Fully covered")</f>
        <v>0</v>
      </c>
      <c r="F44" s="26" t="n">
        <f aca="false">COUNTIFS('Framework Crosswalk'!$A$5:$A$977,A44,'Framework Crosswalk'!$K$5:$K$977,"Partly covered")</f>
        <v>0</v>
      </c>
      <c r="G44" s="26" t="n">
        <f aca="false">COUNTIFS('Framework Crosswalk'!$A$5:$A$977,A44,'Framework Crosswalk'!$K$5:$K$977,"Not covered")</f>
        <v>21</v>
      </c>
      <c r="H44" s="48" t="n">
        <f aca="false">IF(D44=0,"",E44/D44)</f>
        <v>0</v>
      </c>
    </row>
    <row r="45" customFormat="false" ht="15" hidden="false" customHeight="false" outlineLevel="0" collapsed="false">
      <c r="A45" s="57" t="s">
        <v>616</v>
      </c>
      <c r="B45" s="58" t="s">
        <v>613</v>
      </c>
      <c r="C45" s="26" t="n">
        <f aca="false">COUNTIF('Framework Crosswalk'!$A$5:$A$977,A45)</f>
        <v>13</v>
      </c>
      <c r="D45" s="26" t="n">
        <f aca="false">C45-COUNTIFS('Framework Crosswalk'!$A$5:$A$977,A45,'Framework Crosswalk'!$K$5:$K$977,"No wiki control")</f>
        <v>12</v>
      </c>
      <c r="E45" s="26" t="n">
        <f aca="false">COUNTIFS('Framework Crosswalk'!$A$5:$A$977,A45,'Framework Crosswalk'!$K$5:$K$977,"Fully covered")</f>
        <v>0</v>
      </c>
      <c r="F45" s="26" t="n">
        <f aca="false">COUNTIFS('Framework Crosswalk'!$A$5:$A$977,A45,'Framework Crosswalk'!$K$5:$K$977,"Partly covered")</f>
        <v>0</v>
      </c>
      <c r="G45" s="26" t="n">
        <f aca="false">COUNTIFS('Framework Crosswalk'!$A$5:$A$977,A45,'Framework Crosswalk'!$K$5:$K$977,"Not covered")</f>
        <v>12</v>
      </c>
      <c r="H45" s="48" t="n">
        <f aca="false">IF(D45=0,"",E45/D45)</f>
        <v>0</v>
      </c>
    </row>
    <row r="46" customFormat="false" ht="15" hidden="false" customHeight="false" outlineLevel="0" collapsed="false">
      <c r="A46" s="57" t="s">
        <v>617</v>
      </c>
      <c r="B46" s="58" t="s">
        <v>613</v>
      </c>
      <c r="C46" s="26" t="n">
        <f aca="false">COUNTIF('Framework Crosswalk'!$A$5:$A$977,A46)</f>
        <v>17</v>
      </c>
      <c r="D46" s="26" t="n">
        <f aca="false">C46-COUNTIFS('Framework Crosswalk'!$A$5:$A$977,A46,'Framework Crosswalk'!$K$5:$K$977,"No wiki control")</f>
        <v>13</v>
      </c>
      <c r="E46" s="26" t="n">
        <f aca="false">COUNTIFS('Framework Crosswalk'!$A$5:$A$977,A46,'Framework Crosswalk'!$K$5:$K$977,"Fully covered")</f>
        <v>0</v>
      </c>
      <c r="F46" s="26" t="n">
        <f aca="false">COUNTIFS('Framework Crosswalk'!$A$5:$A$977,A46,'Framework Crosswalk'!$K$5:$K$977,"Partly covered")</f>
        <v>0</v>
      </c>
      <c r="G46" s="26" t="n">
        <f aca="false">COUNTIFS('Framework Crosswalk'!$A$5:$A$977,A46,'Framework Crosswalk'!$K$5:$K$977,"Not covered")</f>
        <v>13</v>
      </c>
      <c r="H46" s="48" t="n">
        <f aca="false">IF(D46=0,"",E46/D46)</f>
        <v>0</v>
      </c>
    </row>
    <row r="47" customFormat="false" ht="15" hidden="false" customHeight="false" outlineLevel="0" collapsed="false">
      <c r="A47" s="57" t="s">
        <v>618</v>
      </c>
      <c r="B47" s="58" t="s">
        <v>613</v>
      </c>
      <c r="C47" s="26" t="n">
        <f aca="false">COUNTIF('Framework Crosswalk'!$A$5:$A$977,A47)</f>
        <v>10</v>
      </c>
      <c r="D47" s="26" t="n">
        <f aca="false">C47-COUNTIFS('Framework Crosswalk'!$A$5:$A$977,A47,'Framework Crosswalk'!$K$5:$K$977,"No wiki control")</f>
        <v>9</v>
      </c>
      <c r="E47" s="26" t="n">
        <f aca="false">COUNTIFS('Framework Crosswalk'!$A$5:$A$977,A47,'Framework Crosswalk'!$K$5:$K$977,"Fully covered")</f>
        <v>0</v>
      </c>
      <c r="F47" s="26" t="n">
        <f aca="false">COUNTIFS('Framework Crosswalk'!$A$5:$A$977,A47,'Framework Crosswalk'!$K$5:$K$977,"Partly covered")</f>
        <v>0</v>
      </c>
      <c r="G47" s="26" t="n">
        <f aca="false">COUNTIFS('Framework Crosswalk'!$A$5:$A$977,A47,'Framework Crosswalk'!$K$5:$K$977,"Not covered")</f>
        <v>9</v>
      </c>
      <c r="H47" s="48" t="n">
        <f aca="false">IF(D47=0,"",E47/D47)</f>
        <v>0</v>
      </c>
    </row>
    <row r="48" customFormat="false" ht="15" hidden="false" customHeight="false" outlineLevel="0" collapsed="false">
      <c r="A48" s="57" t="s">
        <v>619</v>
      </c>
      <c r="B48" s="58" t="s">
        <v>613</v>
      </c>
      <c r="C48" s="26" t="n">
        <f aca="false">COUNTIF('Framework Crosswalk'!$A$5:$A$977,A48)</f>
        <v>4</v>
      </c>
      <c r="D48" s="26" t="n">
        <f aca="false">C48-COUNTIFS('Framework Crosswalk'!$A$5:$A$977,A48,'Framework Crosswalk'!$K$5:$K$977,"No wiki control")</f>
        <v>4</v>
      </c>
      <c r="E48" s="26" t="n">
        <f aca="false">COUNTIFS('Framework Crosswalk'!$A$5:$A$977,A48,'Framework Crosswalk'!$K$5:$K$977,"Fully covered")</f>
        <v>0</v>
      </c>
      <c r="F48" s="26" t="n">
        <f aca="false">COUNTIFS('Framework Crosswalk'!$A$5:$A$977,A48,'Framework Crosswalk'!$K$5:$K$977,"Partly covered")</f>
        <v>0</v>
      </c>
      <c r="G48" s="26" t="n">
        <f aca="false">COUNTIFS('Framework Crosswalk'!$A$5:$A$977,A48,'Framework Crosswalk'!$K$5:$K$977,"Not covered")</f>
        <v>4</v>
      </c>
      <c r="H48" s="48" t="n">
        <f aca="false">IF(D48=0,"",E48/D48)</f>
        <v>0</v>
      </c>
    </row>
    <row r="49" customFormat="false" ht="15" hidden="false" customHeight="false" outlineLevel="0" collapsed="false">
      <c r="A49" s="57" t="s">
        <v>620</v>
      </c>
      <c r="B49" s="58" t="s">
        <v>613</v>
      </c>
      <c r="C49" s="26" t="n">
        <f aca="false">COUNTIF('Framework Crosswalk'!$A$5:$A$977,A49)</f>
        <v>8</v>
      </c>
      <c r="D49" s="26" t="n">
        <f aca="false">C49-COUNTIFS('Framework Crosswalk'!$A$5:$A$977,A49,'Framework Crosswalk'!$K$5:$K$977,"No wiki control")</f>
        <v>7</v>
      </c>
      <c r="E49" s="26" t="n">
        <f aca="false">COUNTIFS('Framework Crosswalk'!$A$5:$A$977,A49,'Framework Crosswalk'!$K$5:$K$977,"Fully covered")</f>
        <v>0</v>
      </c>
      <c r="F49" s="26" t="n">
        <f aca="false">COUNTIFS('Framework Crosswalk'!$A$5:$A$977,A49,'Framework Crosswalk'!$K$5:$K$977,"Partly covered")</f>
        <v>0</v>
      </c>
      <c r="G49" s="26" t="n">
        <f aca="false">COUNTIFS('Framework Crosswalk'!$A$5:$A$977,A49,'Framework Crosswalk'!$K$5:$K$977,"Not covered")</f>
        <v>7</v>
      </c>
      <c r="H49" s="48" t="n">
        <f aca="false">IF(D49=0,"",E49/D49)</f>
        <v>0</v>
      </c>
    </row>
    <row r="50" customFormat="false" ht="15" hidden="false" customHeight="false" outlineLevel="0" collapsed="false">
      <c r="A50" s="57" t="s">
        <v>621</v>
      </c>
      <c r="B50" s="58" t="s">
        <v>613</v>
      </c>
      <c r="C50" s="26" t="n">
        <f aca="false">COUNTIF('Framework Crosswalk'!$A$5:$A$977,A50)</f>
        <v>9</v>
      </c>
      <c r="D50" s="26" t="n">
        <f aca="false">C50-COUNTIFS('Framework Crosswalk'!$A$5:$A$977,A50,'Framework Crosswalk'!$K$5:$K$977,"No wiki control")</f>
        <v>8</v>
      </c>
      <c r="E50" s="26" t="n">
        <f aca="false">COUNTIFS('Framework Crosswalk'!$A$5:$A$977,A50,'Framework Crosswalk'!$K$5:$K$977,"Fully covered")</f>
        <v>0</v>
      </c>
      <c r="F50" s="26" t="n">
        <f aca="false">COUNTIFS('Framework Crosswalk'!$A$5:$A$977,A50,'Framework Crosswalk'!$K$5:$K$977,"Partly covered")</f>
        <v>0</v>
      </c>
      <c r="G50" s="26" t="n">
        <f aca="false">COUNTIFS('Framework Crosswalk'!$A$5:$A$977,A50,'Framework Crosswalk'!$K$5:$K$977,"Not covered")</f>
        <v>8</v>
      </c>
      <c r="H50" s="48" t="n">
        <f aca="false">IF(D50=0,"",E50/D50)</f>
        <v>0</v>
      </c>
    </row>
    <row r="51" customFormat="false" ht="15" hidden="false" customHeight="false" outlineLevel="0" collapsed="false">
      <c r="A51" s="57" t="s">
        <v>622</v>
      </c>
      <c r="B51" s="58" t="s">
        <v>613</v>
      </c>
      <c r="C51" s="26" t="n">
        <f aca="false">COUNTIF('Framework Crosswalk'!$A$5:$A$977,A51)</f>
        <v>13</v>
      </c>
      <c r="D51" s="26" t="n">
        <f aca="false">C51-COUNTIFS('Framework Crosswalk'!$A$5:$A$977,A51,'Framework Crosswalk'!$K$5:$K$977,"No wiki control")</f>
        <v>12</v>
      </c>
      <c r="E51" s="26" t="n">
        <f aca="false">COUNTIFS('Framework Crosswalk'!$A$5:$A$977,A51,'Framework Crosswalk'!$K$5:$K$977,"Fully covered")</f>
        <v>0</v>
      </c>
      <c r="F51" s="26" t="n">
        <f aca="false">COUNTIFS('Framework Crosswalk'!$A$5:$A$977,A51,'Framework Crosswalk'!$K$5:$K$977,"Partly covered")</f>
        <v>0</v>
      </c>
      <c r="G51" s="26" t="n">
        <f aca="false">COUNTIFS('Framework Crosswalk'!$A$5:$A$977,A51,'Framework Crosswalk'!$K$5:$K$977,"Not covered")</f>
        <v>12</v>
      </c>
      <c r="H51" s="48" t="n">
        <f aca="false">IF(D51=0,"",E51/D51)</f>
        <v>0</v>
      </c>
    </row>
    <row r="52" customFormat="false" ht="15" hidden="false" customHeight="false" outlineLevel="0" collapsed="false">
      <c r="A52" s="57" t="s">
        <v>623</v>
      </c>
      <c r="B52" s="58" t="s">
        <v>613</v>
      </c>
      <c r="C52" s="26" t="n">
        <f aca="false">COUNTIF('Framework Crosswalk'!$A$5:$A$977,A52)</f>
        <v>6</v>
      </c>
      <c r="D52" s="26" t="n">
        <f aca="false">C52-COUNTIFS('Framework Crosswalk'!$A$5:$A$977,A52,'Framework Crosswalk'!$K$5:$K$977,"No wiki control")</f>
        <v>6</v>
      </c>
      <c r="E52" s="26" t="n">
        <f aca="false">COUNTIFS('Framework Crosswalk'!$A$5:$A$977,A52,'Framework Crosswalk'!$K$5:$K$977,"Fully covered")</f>
        <v>0</v>
      </c>
      <c r="F52" s="26" t="n">
        <f aca="false">COUNTIFS('Framework Crosswalk'!$A$5:$A$977,A52,'Framework Crosswalk'!$K$5:$K$977,"Partly covered")</f>
        <v>0</v>
      </c>
      <c r="G52" s="26" t="n">
        <f aca="false">COUNTIFS('Framework Crosswalk'!$A$5:$A$977,A52,'Framework Crosswalk'!$K$5:$K$977,"Not covered")</f>
        <v>6</v>
      </c>
      <c r="H52" s="48" t="n">
        <f aca="false">IF(D52=0,"",E52/D52)</f>
        <v>0</v>
      </c>
    </row>
    <row r="53" customFormat="false" ht="15" hidden="false" customHeight="false" outlineLevel="0" collapsed="false">
      <c r="A53" s="57" t="s">
        <v>624</v>
      </c>
      <c r="B53" s="58" t="s">
        <v>613</v>
      </c>
      <c r="C53" s="26" t="n">
        <f aca="false">COUNTIF('Framework Crosswalk'!$A$5:$A$977,A53)</f>
        <v>34</v>
      </c>
      <c r="D53" s="26" t="n">
        <f aca="false">C53-COUNTIFS('Framework Crosswalk'!$A$5:$A$977,A53,'Framework Crosswalk'!$K$5:$K$977,"No wiki control")</f>
        <v>34</v>
      </c>
      <c r="E53" s="26" t="n">
        <f aca="false">COUNTIFS('Framework Crosswalk'!$A$5:$A$977,A53,'Framework Crosswalk'!$K$5:$K$977,"Fully covered")</f>
        <v>0</v>
      </c>
      <c r="F53" s="26" t="n">
        <f aca="false">COUNTIFS('Framework Crosswalk'!$A$5:$A$977,A53,'Framework Crosswalk'!$K$5:$K$977,"Partly covered")</f>
        <v>0</v>
      </c>
      <c r="G53" s="26" t="n">
        <f aca="false">COUNTIFS('Framework Crosswalk'!$A$5:$A$977,A53,'Framework Crosswalk'!$K$5:$K$977,"Not covered")</f>
        <v>34</v>
      </c>
      <c r="H53" s="48" t="n">
        <f aca="false">IF(D53=0,"",E53/D53)</f>
        <v>0</v>
      </c>
    </row>
    <row r="54" customFormat="false" ht="15" hidden="false" customHeight="false" outlineLevel="0" collapsed="false">
      <c r="A54" s="57" t="s">
        <v>625</v>
      </c>
      <c r="B54" s="58" t="s">
        <v>613</v>
      </c>
      <c r="C54" s="26" t="n">
        <f aca="false">COUNTIF('Framework Crosswalk'!$A$5:$A$977,A54)</f>
        <v>8</v>
      </c>
      <c r="D54" s="26" t="n">
        <f aca="false">C54-COUNTIFS('Framework Crosswalk'!$A$5:$A$977,A54,'Framework Crosswalk'!$K$5:$K$977,"No wiki control")</f>
        <v>6</v>
      </c>
      <c r="E54" s="26" t="n">
        <f aca="false">COUNTIFS('Framework Crosswalk'!$A$5:$A$977,A54,'Framework Crosswalk'!$K$5:$K$977,"Fully covered")</f>
        <v>0</v>
      </c>
      <c r="F54" s="26" t="n">
        <f aca="false">COUNTIFS('Framework Crosswalk'!$A$5:$A$977,A54,'Framework Crosswalk'!$K$5:$K$977,"Partly covered")</f>
        <v>0</v>
      </c>
      <c r="G54" s="26" t="n">
        <f aca="false">COUNTIFS('Framework Crosswalk'!$A$5:$A$977,A54,'Framework Crosswalk'!$K$5:$K$977,"Not covered")</f>
        <v>6</v>
      </c>
      <c r="H54" s="48" t="n">
        <f aca="false">IF(D54=0,"",E54/D54)</f>
        <v>0</v>
      </c>
    </row>
    <row r="55" customFormat="false" ht="15" hidden="false" customHeight="false" outlineLevel="0" collapsed="false">
      <c r="A55" s="57" t="s">
        <v>626</v>
      </c>
      <c r="B55" s="58" t="s">
        <v>613</v>
      </c>
      <c r="C55" s="26" t="n">
        <f aca="false">COUNTIF('Framework Crosswalk'!$A$5:$A$977,A55)</f>
        <v>18</v>
      </c>
      <c r="D55" s="26" t="n">
        <f aca="false">C55-COUNTIFS('Framework Crosswalk'!$A$5:$A$977,A55,'Framework Crosswalk'!$K$5:$K$977,"No wiki control")</f>
        <v>17</v>
      </c>
      <c r="E55" s="26" t="n">
        <f aca="false">COUNTIFS('Framework Crosswalk'!$A$5:$A$977,A55,'Framework Crosswalk'!$K$5:$K$977,"Fully covered")</f>
        <v>0</v>
      </c>
      <c r="F55" s="26" t="n">
        <f aca="false">COUNTIFS('Framework Crosswalk'!$A$5:$A$977,A55,'Framework Crosswalk'!$K$5:$K$977,"Partly covered")</f>
        <v>0</v>
      </c>
      <c r="G55" s="26" t="n">
        <f aca="false">COUNTIFS('Framework Crosswalk'!$A$5:$A$977,A55,'Framework Crosswalk'!$K$5:$K$977,"Not covered")</f>
        <v>17</v>
      </c>
      <c r="H55" s="48" t="n">
        <f aca="false">IF(D55=0,"",E55/D55)</f>
        <v>0</v>
      </c>
    </row>
  </sheetData>
  <conditionalFormatting sqref="H5:H55">
    <cfRule type="dataBar" priority="2">
      <dataBar showValue="1" minLength="10" maxLength="90">
        <cfvo type="num" val="0"/>
        <cfvo type="num" val="1"/>
        <color rgb="FF63BE7B"/>
      </dataBar>
      <extLst>
        <ext xmlns:x14="http://schemas.microsoft.com/office/spreadsheetml/2009/9/main" uri="{B025F937-C7B1-47D3-B67F-A62EFF666E3E}">
          <x14:id>{601EC0DE-F1C2-44EF-B4C3-9C21893D17C4}</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01EC0DE-F1C2-44EF-B4C3-9C21893D17C4}">
            <x14:dataBar minLength="10" maxLength="90" axisPosition="none" gradient="true">
              <x14:cfvo type="num">
                <xm:f>0</xm:f>
              </x14:cfvo>
              <x14:cfvo type="num">
                <xm:f>1</xm:f>
              </x14:cfvo>
              <x14:negativeFillColor rgb="FF63BE7B"/>
              <x14:axisColor rgb="FF000000"/>
            </x14:dataBar>
          </x14:cfRule>
          <xm:sqref>H5:H55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9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8"/>
    <col collapsed="false" customWidth="true" hidden="false" outlineLevel="0" max="4" min="4" style="0" width="42"/>
    <col collapsed="false" customWidth="true" hidden="false" outlineLevel="0" max="5" min="5" style="0" width="34"/>
    <col collapsed="false" customWidth="true" hidden="false" outlineLevel="0" max="6" min="6" style="0" width="18"/>
    <col collapsed="false" customWidth="true" hidden="false" outlineLevel="0" max="7" min="7" style="0" width="26"/>
    <col collapsed="false" customWidth="true" hidden="false" outlineLevel="0" max="8" min="8" style="0" width="16"/>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30"/>
  </cols>
  <sheetData>
    <row r="1" customFormat="false" ht="30" hidden="false" customHeight="true" outlineLevel="0" collapsed="false">
      <c r="A1" s="59" t="s">
        <v>40</v>
      </c>
      <c r="B1" s="60"/>
      <c r="C1" s="60"/>
      <c r="D1" s="60"/>
      <c r="E1" s="60"/>
      <c r="F1" s="60"/>
      <c r="G1" s="60"/>
      <c r="H1" s="60"/>
      <c r="I1" s="60"/>
      <c r="J1" s="60"/>
      <c r="K1" s="60"/>
      <c r="L1" s="60"/>
    </row>
    <row r="2" customFormat="false" ht="15" hidden="false" customHeight="false" outlineLevel="0" collapsed="false">
      <c r="A2" s="3" t="s">
        <v>627</v>
      </c>
    </row>
    <row r="4" customFormat="false" ht="31.5" hidden="false" customHeight="true" outlineLevel="0" collapsed="false">
      <c r="A4" s="61" t="s">
        <v>561</v>
      </c>
      <c r="B4" s="61" t="s">
        <v>562</v>
      </c>
      <c r="C4" s="61" t="s">
        <v>628</v>
      </c>
      <c r="D4" s="61" t="s">
        <v>629</v>
      </c>
      <c r="E4" s="61" t="s">
        <v>630</v>
      </c>
      <c r="F4" s="61" t="s">
        <v>631</v>
      </c>
      <c r="G4" s="61" t="s">
        <v>632</v>
      </c>
      <c r="H4" s="61" t="s">
        <v>633</v>
      </c>
      <c r="I4" s="35" t="s">
        <v>634</v>
      </c>
      <c r="J4" s="35" t="s">
        <v>635</v>
      </c>
      <c r="K4" s="35" t="s">
        <v>38</v>
      </c>
      <c r="L4" s="61" t="s">
        <v>636</v>
      </c>
    </row>
    <row r="5" customFormat="false" ht="23.85" hidden="false" customHeight="false" outlineLevel="0" collapsed="false">
      <c r="A5" s="47" t="s">
        <v>569</v>
      </c>
      <c r="B5" s="47" t="s">
        <v>570</v>
      </c>
      <c r="C5" s="5" t="s">
        <v>637</v>
      </c>
      <c r="D5" s="6" t="s">
        <v>638</v>
      </c>
      <c r="E5" s="6" t="s">
        <v>639</v>
      </c>
      <c r="F5" s="6" t="s">
        <v>640</v>
      </c>
      <c r="G5" s="6" t="s">
        <v>641</v>
      </c>
      <c r="H5" s="6" t="s">
        <v>642</v>
      </c>
      <c r="I5" s="26" t="n">
        <v>4</v>
      </c>
      <c r="J5" s="26"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5" s="43" t="str">
        <f aca="false">IF(I5=0,"No wiki control",IF(J5=I5,"Fully covered",IF(J5=0,"Not covered","Partly covered")))</f>
        <v>Not covered</v>
      </c>
      <c r="L5" s="9" t="s">
        <v>643</v>
      </c>
    </row>
    <row r="6" customFormat="false" ht="23.85" hidden="false" customHeight="false" outlineLevel="0" collapsed="false">
      <c r="A6" s="47" t="s">
        <v>569</v>
      </c>
      <c r="B6" s="47" t="s">
        <v>570</v>
      </c>
      <c r="C6" s="5" t="s">
        <v>644</v>
      </c>
      <c r="D6" s="6" t="s">
        <v>645</v>
      </c>
      <c r="E6" s="6" t="s">
        <v>646</v>
      </c>
      <c r="F6" s="6" t="s">
        <v>640</v>
      </c>
      <c r="G6" s="6" t="s">
        <v>647</v>
      </c>
      <c r="H6" s="6" t="s">
        <v>642</v>
      </c>
      <c r="I6" s="26" t="n">
        <v>5</v>
      </c>
      <c r="J6"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6" s="43" t="str">
        <f aca="false">IF(I6=0,"No wiki control",IF(J6=I6,"Fully covered",IF(J6=0,"Not covered","Partly covered")))</f>
        <v>Not covered</v>
      </c>
      <c r="L6" s="9" t="s">
        <v>643</v>
      </c>
    </row>
    <row r="7" customFormat="false" ht="23.85" hidden="false" customHeight="false" outlineLevel="0" collapsed="false">
      <c r="A7" s="47" t="s">
        <v>569</v>
      </c>
      <c r="B7" s="47" t="s">
        <v>570</v>
      </c>
      <c r="C7" s="5" t="s">
        <v>648</v>
      </c>
      <c r="D7" s="6" t="s">
        <v>649</v>
      </c>
      <c r="E7" s="6" t="s">
        <v>646</v>
      </c>
      <c r="F7" s="6" t="s">
        <v>640</v>
      </c>
      <c r="G7" s="6" t="s">
        <v>647</v>
      </c>
      <c r="H7" s="6" t="s">
        <v>642</v>
      </c>
      <c r="I7" s="26" t="n">
        <v>5</v>
      </c>
      <c r="J7"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 s="43" t="str">
        <f aca="false">IF(I7=0,"No wiki control",IF(J7=I7,"Fully covered",IF(J7=0,"Not covered","Partly covered")))</f>
        <v>Not covered</v>
      </c>
      <c r="L7" s="9" t="s">
        <v>643</v>
      </c>
    </row>
    <row r="8" customFormat="false" ht="23.85" hidden="false" customHeight="false" outlineLevel="0" collapsed="false">
      <c r="A8" s="47" t="s">
        <v>569</v>
      </c>
      <c r="B8" s="47" t="s">
        <v>570</v>
      </c>
      <c r="C8" s="5" t="s">
        <v>650</v>
      </c>
      <c r="D8" s="6" t="s">
        <v>651</v>
      </c>
      <c r="E8" s="6" t="s">
        <v>495</v>
      </c>
      <c r="F8" s="6" t="s">
        <v>640</v>
      </c>
      <c r="G8" s="6" t="s">
        <v>652</v>
      </c>
      <c r="H8" s="6" t="s">
        <v>642</v>
      </c>
      <c r="I8" s="26" t="n">
        <v>1</v>
      </c>
      <c r="J8" s="26" t="n">
        <f aca="false">COUNTIFS('Control Library'!$A$5:$A$50,"AI-CTRL-040",'Control Library'!$R$5:$R$50,"Implemented")</f>
        <v>0</v>
      </c>
      <c r="K8" s="43" t="str">
        <f aca="false">IF(I8=0,"No wiki control",IF(J8=I8,"Fully covered",IF(J8=0,"Not covered","Partly covered")))</f>
        <v>Not covered</v>
      </c>
      <c r="L8" s="9" t="s">
        <v>643</v>
      </c>
    </row>
    <row r="9" customFormat="false" ht="23.85" hidden="false" customHeight="false" outlineLevel="0" collapsed="false">
      <c r="A9" s="47" t="s">
        <v>569</v>
      </c>
      <c r="B9" s="47" t="s">
        <v>570</v>
      </c>
      <c r="C9" s="5" t="s">
        <v>653</v>
      </c>
      <c r="D9" s="6" t="s">
        <v>654</v>
      </c>
      <c r="E9" s="6" t="s">
        <v>655</v>
      </c>
      <c r="F9" s="6" t="s">
        <v>640</v>
      </c>
      <c r="G9" s="6" t="s">
        <v>656</v>
      </c>
      <c r="H9" s="6" t="s">
        <v>657</v>
      </c>
      <c r="I9" s="26" t="n">
        <v>4</v>
      </c>
      <c r="J9"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9" s="43" t="str">
        <f aca="false">IF(I9=0,"No wiki control",IF(J9=I9,"Fully covered",IF(J9=0,"Not covered","Partly covered")))</f>
        <v>Not covered</v>
      </c>
      <c r="L9" s="9" t="s">
        <v>643</v>
      </c>
    </row>
    <row r="10" customFormat="false" ht="23.85" hidden="false" customHeight="false" outlineLevel="0" collapsed="false">
      <c r="A10" s="47" t="s">
        <v>569</v>
      </c>
      <c r="B10" s="47" t="s">
        <v>570</v>
      </c>
      <c r="C10" s="5" t="s">
        <v>658</v>
      </c>
      <c r="D10" s="6" t="s">
        <v>659</v>
      </c>
      <c r="E10" s="6" t="s">
        <v>660</v>
      </c>
      <c r="F10" s="6" t="s">
        <v>640</v>
      </c>
      <c r="G10" s="6" t="s">
        <v>661</v>
      </c>
      <c r="H10" s="6" t="s">
        <v>642</v>
      </c>
      <c r="I10" s="26" t="n">
        <v>4</v>
      </c>
      <c r="J10" s="26" t="n">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f>
        <v>0</v>
      </c>
      <c r="K10" s="43" t="str">
        <f aca="false">IF(I10=0,"No wiki control",IF(J10=I10,"Fully covered",IF(J10=0,"Not covered","Partly covered")))</f>
        <v>Not covered</v>
      </c>
      <c r="L10" s="9" t="s">
        <v>643</v>
      </c>
    </row>
    <row r="11" customFormat="false" ht="23.85" hidden="false" customHeight="false" outlineLevel="0" collapsed="false">
      <c r="A11" s="47" t="s">
        <v>569</v>
      </c>
      <c r="B11" s="47" t="s">
        <v>570</v>
      </c>
      <c r="C11" s="5" t="s">
        <v>662</v>
      </c>
      <c r="D11" s="6" t="s">
        <v>663</v>
      </c>
      <c r="E11" s="6" t="s">
        <v>664</v>
      </c>
      <c r="F11" s="6" t="s">
        <v>640</v>
      </c>
      <c r="G11" s="6" t="s">
        <v>665</v>
      </c>
      <c r="H11" s="6" t="s">
        <v>642</v>
      </c>
      <c r="I11" s="26" t="n">
        <v>3</v>
      </c>
      <c r="J11" s="26" t="n">
        <f aca="false">COUNTIFS('Control Library'!$A$5:$A$50,"AI-CTRL-008",'Control Library'!$R$5:$R$50,"Implemented")+COUNTIFS('Control Library'!$A$5:$A$50,"AI-CTRL-038",'Control Library'!$R$5:$R$50,"Implemented")+COUNTIFS('Control Library'!$A$5:$A$50,"AI-CTRL-041",'Control Library'!$R$5:$R$50,"Implemented")</f>
        <v>0</v>
      </c>
      <c r="K11" s="43" t="str">
        <f aca="false">IF(I11=0,"No wiki control",IF(J11=I11,"Fully covered",IF(J11=0,"Not covered","Partly covered")))</f>
        <v>Not covered</v>
      </c>
      <c r="L11" s="9" t="s">
        <v>643</v>
      </c>
    </row>
    <row r="12" customFormat="false" ht="23.85" hidden="false" customHeight="false" outlineLevel="0" collapsed="false">
      <c r="A12" s="47" t="s">
        <v>569</v>
      </c>
      <c r="B12" s="47" t="s">
        <v>570</v>
      </c>
      <c r="C12" s="5" t="s">
        <v>666</v>
      </c>
      <c r="D12" s="6" t="s">
        <v>667</v>
      </c>
      <c r="E12" s="6" t="s">
        <v>655</v>
      </c>
      <c r="F12" s="6" t="s">
        <v>640</v>
      </c>
      <c r="G12" s="6" t="s">
        <v>656</v>
      </c>
      <c r="H12" s="6" t="s">
        <v>657</v>
      </c>
      <c r="I12" s="26" t="n">
        <v>4</v>
      </c>
      <c r="J12"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12" s="43" t="str">
        <f aca="false">IF(I12=0,"No wiki control",IF(J12=I12,"Fully covered",IF(J12=0,"Not covered","Partly covered")))</f>
        <v>Not covered</v>
      </c>
      <c r="L12" s="9" t="s">
        <v>643</v>
      </c>
    </row>
    <row r="13" customFormat="false" ht="23.85" hidden="false" customHeight="false" outlineLevel="0" collapsed="false">
      <c r="A13" s="47" t="s">
        <v>569</v>
      </c>
      <c r="B13" s="47" t="s">
        <v>570</v>
      </c>
      <c r="C13" s="5" t="s">
        <v>668</v>
      </c>
      <c r="D13" s="6" t="s">
        <v>669</v>
      </c>
      <c r="E13" s="6" t="s">
        <v>670</v>
      </c>
      <c r="F13" s="6" t="s">
        <v>640</v>
      </c>
      <c r="G13" s="6" t="s">
        <v>671</v>
      </c>
      <c r="H13" s="6" t="s">
        <v>642</v>
      </c>
      <c r="I13" s="26" t="n">
        <v>3</v>
      </c>
      <c r="J13" s="26" t="n">
        <f aca="false">COUNTIFS('Control Library'!$A$5:$A$50,"AI-CTRL-017",'Control Library'!$R$5:$R$50,"Implemented")+COUNTIFS('Control Library'!$A$5:$A$50,"AI-CTRL-019",'Control Library'!$R$5:$R$50,"Implemented")+COUNTIFS('Control Library'!$A$5:$A$50,"AI-CTRL-034",'Control Library'!$R$5:$R$50,"Implemented")</f>
        <v>0</v>
      </c>
      <c r="K13" s="43" t="str">
        <f aca="false">IF(I13=0,"No wiki control",IF(J13=I13,"Fully covered",IF(J13=0,"Not covered","Partly covered")))</f>
        <v>Not covered</v>
      </c>
      <c r="L13" s="9" t="s">
        <v>643</v>
      </c>
    </row>
    <row r="14" customFormat="false" ht="23.85" hidden="false" customHeight="false" outlineLevel="0" collapsed="false">
      <c r="A14" s="47" t="s">
        <v>569</v>
      </c>
      <c r="B14" s="47" t="s">
        <v>570</v>
      </c>
      <c r="C14" s="5" t="s">
        <v>672</v>
      </c>
      <c r="D14" s="6" t="s">
        <v>673</v>
      </c>
      <c r="E14" s="6" t="s">
        <v>674</v>
      </c>
      <c r="F14" s="6" t="s">
        <v>640</v>
      </c>
      <c r="G14" s="6" t="s">
        <v>675</v>
      </c>
      <c r="H14" s="6" t="s">
        <v>642</v>
      </c>
      <c r="I14" s="26" t="n">
        <v>3</v>
      </c>
      <c r="J14" s="26" t="n">
        <f aca="false">COUNTIFS('Control Library'!$A$5:$A$50,"AI-CTRL-034",'Control Library'!$R$5:$R$50,"Implemented")+COUNTIFS('Control Library'!$A$5:$A$50,"AI-CTRL-035",'Control Library'!$R$5:$R$50,"Implemented")+COUNTIFS('Control Library'!$A$5:$A$50,"AI-CTRL-039",'Control Library'!$R$5:$R$50,"Implemented")</f>
        <v>0</v>
      </c>
      <c r="K14" s="43" t="str">
        <f aca="false">IF(I14=0,"No wiki control",IF(J14=I14,"Fully covered",IF(J14=0,"Not covered","Partly covered")))</f>
        <v>Not covered</v>
      </c>
      <c r="L14" s="9" t="s">
        <v>643</v>
      </c>
    </row>
    <row r="15" customFormat="false" ht="23.85" hidden="false" customHeight="false" outlineLevel="0" collapsed="false">
      <c r="A15" s="47" t="s">
        <v>569</v>
      </c>
      <c r="B15" s="47" t="s">
        <v>570</v>
      </c>
      <c r="C15" s="5" t="s">
        <v>676</v>
      </c>
      <c r="D15" s="6" t="s">
        <v>677</v>
      </c>
      <c r="E15" s="6" t="s">
        <v>678</v>
      </c>
      <c r="F15" s="6" t="s">
        <v>640</v>
      </c>
      <c r="G15" s="6" t="s">
        <v>679</v>
      </c>
      <c r="H15" s="6" t="s">
        <v>642</v>
      </c>
      <c r="I15" s="26" t="n">
        <v>4</v>
      </c>
      <c r="J15" s="26"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5" s="43" t="str">
        <f aca="false">IF(I15=0,"No wiki control",IF(J15=I15,"Fully covered",IF(J15=0,"Not covered","Partly covered")))</f>
        <v>Not covered</v>
      </c>
      <c r="L15" s="9" t="s">
        <v>643</v>
      </c>
    </row>
    <row r="16" customFormat="false" ht="57.45" hidden="false" customHeight="false" outlineLevel="0" collapsed="false">
      <c r="A16" s="47" t="s">
        <v>569</v>
      </c>
      <c r="B16" s="47" t="s">
        <v>570</v>
      </c>
      <c r="C16" s="5" t="s">
        <v>680</v>
      </c>
      <c r="D16" s="6" t="s">
        <v>681</v>
      </c>
      <c r="E16" s="6" t="s">
        <v>682</v>
      </c>
      <c r="F16" s="6" t="s">
        <v>640</v>
      </c>
      <c r="G16" s="6" t="s">
        <v>683</v>
      </c>
      <c r="H16" s="6" t="s">
        <v>657</v>
      </c>
      <c r="I16" s="26" t="n">
        <v>13</v>
      </c>
      <c r="J16" s="26"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Library'!$A$5:$A$50,"AI-CTRL-017",'Control Library'!$R$5:$R$50,"Implemented")+COUNTIFS('Control Library'!$A$5:$A$50,"AI-CTRL-021",'Control Library'!$R$5:$R$50,"Implemented")+COUNTIFS('Control Library'!$A$5:$A$50,"AI-CTRL-032",'Control Library'!$R$5:$R$50,"Implemented")+COUNTIFS('Control Library'!$A$5:$A$50,"AI-CTRL-042",'Control Library'!$R$5:$R$50,"Implemented")+COUNTIFS('Control Library'!$A$5:$A$50,"AI-CTRL-043",'Control Library'!$R$5:$R$50,"Implemented")</f>
        <v>0</v>
      </c>
      <c r="K16" s="43" t="str">
        <f aca="false">IF(I16=0,"No wiki control",IF(J16=I16,"Fully covered",IF(J16=0,"Not covered","Partly covered")))</f>
        <v>Not covered</v>
      </c>
      <c r="L16" s="9" t="s">
        <v>643</v>
      </c>
    </row>
    <row r="17" customFormat="false" ht="35.05" hidden="false" customHeight="false" outlineLevel="0" collapsed="false">
      <c r="A17" s="47" t="s">
        <v>569</v>
      </c>
      <c r="B17" s="47" t="s">
        <v>570</v>
      </c>
      <c r="C17" s="5" t="s">
        <v>684</v>
      </c>
      <c r="D17" s="6" t="s">
        <v>685</v>
      </c>
      <c r="E17" s="6" t="s">
        <v>686</v>
      </c>
      <c r="F17" s="6" t="s">
        <v>640</v>
      </c>
      <c r="G17" s="6" t="s">
        <v>687</v>
      </c>
      <c r="H17" s="6" t="s">
        <v>688</v>
      </c>
      <c r="I17" s="26" t="n">
        <v>8</v>
      </c>
      <c r="J17" s="26" t="n">
        <f aca="false">COUNTIFS('Control Library'!$A$5:$A$50,"AI-CTRL-012",'Control Library'!$R$5:$R$50,"Implemented")+COUNTIFS('Control Library'!$A$5:$A$50,"AI-CTRL-013",'Control Library'!$R$5:$R$50,"Implemented")+COUNTIFS('Control Library'!$A$5:$A$50,"AI-CTRL-023",'Control Library'!$R$5:$R$50,"Implemented")+COUNTIFS('Control Library'!$A$5:$A$50,"AI-CTRL-037",'Control Library'!$R$5:$R$50,"Implemented")+COUNTIFS('Control Library'!$A$5:$A$50,"AI-CTRL-038",'Control Library'!$R$5:$R$50,"Implemented")+COUNTIFS('Control Library'!$A$5:$A$50,"AI-CTRL-042",'Control Library'!$R$5:$R$50,"Implemented")+COUNTIFS('Control Library'!$A$5:$A$50,"AI-CTRL-044",'Control Library'!$R$5:$R$50,"Implemented")+COUNTIFS('Control Library'!$A$5:$A$50,"AI-CTRL-045",'Control Library'!$R$5:$R$50,"Implemented")</f>
        <v>0</v>
      </c>
      <c r="K17" s="43" t="str">
        <f aca="false">IF(I17=0,"No wiki control",IF(J17=I17,"Fully covered",IF(J17=0,"Not covered","Partly covered")))</f>
        <v>Not covered</v>
      </c>
      <c r="L17" s="9" t="s">
        <v>643</v>
      </c>
    </row>
    <row r="18" customFormat="false" ht="23.85" hidden="false" customHeight="false" outlineLevel="0" collapsed="false">
      <c r="A18" s="47" t="s">
        <v>569</v>
      </c>
      <c r="B18" s="47" t="s">
        <v>570</v>
      </c>
      <c r="C18" s="5" t="s">
        <v>689</v>
      </c>
      <c r="D18" s="6" t="s">
        <v>690</v>
      </c>
      <c r="E18" s="6" t="s">
        <v>691</v>
      </c>
      <c r="F18" s="6" t="s">
        <v>640</v>
      </c>
      <c r="G18" s="6" t="s">
        <v>553</v>
      </c>
      <c r="H18" s="6" t="s">
        <v>642</v>
      </c>
      <c r="I18" s="26" t="n">
        <v>5</v>
      </c>
      <c r="J18"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f>
        <v>0</v>
      </c>
      <c r="K18" s="43" t="str">
        <f aca="false">IF(I18=0,"No wiki control",IF(J18=I18,"Fully covered",IF(J18=0,"Not covered","Partly covered")))</f>
        <v>Not covered</v>
      </c>
      <c r="L18" s="9" t="s">
        <v>643</v>
      </c>
    </row>
    <row r="19" customFormat="false" ht="23.85" hidden="false" customHeight="false" outlineLevel="0" collapsed="false">
      <c r="A19" s="47" t="s">
        <v>569</v>
      </c>
      <c r="B19" s="47" t="s">
        <v>570</v>
      </c>
      <c r="C19" s="5" t="s">
        <v>692</v>
      </c>
      <c r="D19" s="6" t="s">
        <v>693</v>
      </c>
      <c r="E19" s="6" t="s">
        <v>694</v>
      </c>
      <c r="F19" s="6" t="s">
        <v>640</v>
      </c>
      <c r="G19" s="6" t="s">
        <v>319</v>
      </c>
      <c r="H19" s="6" t="s">
        <v>657</v>
      </c>
      <c r="I19" s="26" t="n">
        <v>5</v>
      </c>
      <c r="J19" s="26" t="n">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f>
        <v>0</v>
      </c>
      <c r="K19" s="43" t="str">
        <f aca="false">IF(I19=0,"No wiki control",IF(J19=I19,"Fully covered",IF(J19=0,"Not covered","Partly covered")))</f>
        <v>Not covered</v>
      </c>
      <c r="L19" s="9" t="s">
        <v>643</v>
      </c>
    </row>
    <row r="20" customFormat="false" ht="46.25" hidden="false" customHeight="false" outlineLevel="0" collapsed="false">
      <c r="A20" s="47" t="s">
        <v>569</v>
      </c>
      <c r="B20" s="47" t="s">
        <v>570</v>
      </c>
      <c r="C20" s="5" t="s">
        <v>695</v>
      </c>
      <c r="D20" s="6" t="s">
        <v>696</v>
      </c>
      <c r="E20" s="6" t="s">
        <v>697</v>
      </c>
      <c r="F20" s="6" t="s">
        <v>640</v>
      </c>
      <c r="G20" s="6" t="s">
        <v>399</v>
      </c>
      <c r="H20" s="6" t="s">
        <v>657</v>
      </c>
      <c r="I20" s="26" t="n">
        <v>10</v>
      </c>
      <c r="J20"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0" s="43" t="str">
        <f aca="false">IF(I20=0,"No wiki control",IF(J20=I20,"Fully covered",IF(J20=0,"Not covered","Partly covered")))</f>
        <v>Not covered</v>
      </c>
      <c r="L20" s="9" t="s">
        <v>643</v>
      </c>
    </row>
    <row r="21" customFormat="false" ht="46.25" hidden="false" customHeight="false" outlineLevel="0" collapsed="false">
      <c r="A21" s="47" t="s">
        <v>569</v>
      </c>
      <c r="B21" s="47" t="s">
        <v>570</v>
      </c>
      <c r="C21" s="5" t="s">
        <v>698</v>
      </c>
      <c r="D21" s="6" t="s">
        <v>699</v>
      </c>
      <c r="E21" s="6" t="s">
        <v>697</v>
      </c>
      <c r="F21" s="6" t="s">
        <v>640</v>
      </c>
      <c r="G21" s="6" t="s">
        <v>399</v>
      </c>
      <c r="H21" s="6" t="s">
        <v>657</v>
      </c>
      <c r="I21" s="26" t="n">
        <v>10</v>
      </c>
      <c r="J21"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1" s="43" t="str">
        <f aca="false">IF(I21=0,"No wiki control",IF(J21=I21,"Fully covered",IF(J21=0,"Not covered","Partly covered")))</f>
        <v>Not covered</v>
      </c>
      <c r="L21" s="9" t="s">
        <v>643</v>
      </c>
    </row>
    <row r="22" customFormat="false" ht="35.05" hidden="false" customHeight="false" outlineLevel="0" collapsed="false">
      <c r="A22" s="47" t="s">
        <v>569</v>
      </c>
      <c r="B22" s="47" t="s">
        <v>570</v>
      </c>
      <c r="C22" s="5" t="s">
        <v>700</v>
      </c>
      <c r="D22" s="6" t="s">
        <v>701</v>
      </c>
      <c r="E22" s="6" t="s">
        <v>702</v>
      </c>
      <c r="F22" s="6" t="s">
        <v>640</v>
      </c>
      <c r="G22" s="6" t="s">
        <v>703</v>
      </c>
      <c r="H22" s="6" t="s">
        <v>642</v>
      </c>
      <c r="I22" s="26" t="n">
        <v>7</v>
      </c>
      <c r="J22" s="26" t="n">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22" s="43" t="str">
        <f aca="false">IF(I22=0,"No wiki control",IF(J22=I22,"Fully covered",IF(J22=0,"Not covered","Partly covered")))</f>
        <v>Not covered</v>
      </c>
      <c r="L22" s="9" t="s">
        <v>643</v>
      </c>
    </row>
    <row r="23" customFormat="false" ht="57.45" hidden="false" customHeight="false" outlineLevel="0" collapsed="false">
      <c r="A23" s="47" t="s">
        <v>569</v>
      </c>
      <c r="B23" s="47" t="s">
        <v>570</v>
      </c>
      <c r="C23" s="5" t="s">
        <v>704</v>
      </c>
      <c r="D23" s="6" t="s">
        <v>705</v>
      </c>
      <c r="E23" s="6" t="s">
        <v>706</v>
      </c>
      <c r="F23" s="6" t="s">
        <v>640</v>
      </c>
      <c r="G23" s="6" t="s">
        <v>707</v>
      </c>
      <c r="H23" s="6" t="s">
        <v>657</v>
      </c>
      <c r="I23" s="26" t="n">
        <v>12</v>
      </c>
      <c r="J23" s="26"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23" s="43" t="str">
        <f aca="false">IF(I23=0,"No wiki control",IF(J23=I23,"Fully covered",IF(J23=0,"Not covered","Partly covered")))</f>
        <v>Not covered</v>
      </c>
      <c r="L23" s="9" t="s">
        <v>643</v>
      </c>
    </row>
    <row r="24" customFormat="false" ht="23.85" hidden="false" customHeight="false" outlineLevel="0" collapsed="false">
      <c r="A24" s="47" t="s">
        <v>569</v>
      </c>
      <c r="B24" s="47" t="s">
        <v>570</v>
      </c>
      <c r="C24" s="5" t="s">
        <v>708</v>
      </c>
      <c r="D24" s="6" t="s">
        <v>709</v>
      </c>
      <c r="E24" s="6" t="s">
        <v>710</v>
      </c>
      <c r="F24" s="6" t="s">
        <v>640</v>
      </c>
      <c r="G24" s="6" t="s">
        <v>711</v>
      </c>
      <c r="H24" s="6" t="s">
        <v>642</v>
      </c>
      <c r="I24" s="26" t="n">
        <v>4</v>
      </c>
      <c r="J24" s="26" t="n">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f>
        <v>0</v>
      </c>
      <c r="K24" s="43" t="str">
        <f aca="false">IF(I24=0,"No wiki control",IF(J24=I24,"Fully covered",IF(J24=0,"Not covered","Partly covered")))</f>
        <v>Not covered</v>
      </c>
      <c r="L24" s="9" t="s">
        <v>643</v>
      </c>
    </row>
    <row r="25" customFormat="false" ht="46.25" hidden="false" customHeight="false" outlineLevel="0" collapsed="false">
      <c r="A25" s="47" t="s">
        <v>569</v>
      </c>
      <c r="B25" s="47" t="s">
        <v>570</v>
      </c>
      <c r="C25" s="5" t="s">
        <v>712</v>
      </c>
      <c r="D25" s="6" t="s">
        <v>713</v>
      </c>
      <c r="E25" s="6" t="s">
        <v>697</v>
      </c>
      <c r="F25" s="6" t="s">
        <v>640</v>
      </c>
      <c r="G25" s="6" t="s">
        <v>714</v>
      </c>
      <c r="H25" s="6" t="s">
        <v>642</v>
      </c>
      <c r="I25" s="26" t="n">
        <v>10</v>
      </c>
      <c r="J25"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5" s="43" t="str">
        <f aca="false">IF(I25=0,"No wiki control",IF(J25=I25,"Fully covered",IF(J25=0,"Not covered","Partly covered")))</f>
        <v>Not covered</v>
      </c>
      <c r="L25" s="9" t="s">
        <v>643</v>
      </c>
    </row>
    <row r="26" customFormat="false" ht="23.85" hidden="false" customHeight="false" outlineLevel="0" collapsed="false">
      <c r="A26" s="47" t="s">
        <v>569</v>
      </c>
      <c r="B26" s="47" t="s">
        <v>570</v>
      </c>
      <c r="C26" s="5" t="s">
        <v>715</v>
      </c>
      <c r="D26" s="6" t="s">
        <v>716</v>
      </c>
      <c r="E26" s="6" t="s">
        <v>717</v>
      </c>
      <c r="F26" s="6" t="s">
        <v>640</v>
      </c>
      <c r="G26" s="6" t="s">
        <v>718</v>
      </c>
      <c r="H26" s="6" t="s">
        <v>642</v>
      </c>
      <c r="I26" s="26" t="n">
        <v>3</v>
      </c>
      <c r="J26" s="26" t="n">
        <f aca="false">COUNTIFS('Control Library'!$A$5:$A$50,"AI-CTRL-025",'Control Library'!$R$5:$R$50,"Implemented")+COUNTIFS('Control Library'!$A$5:$A$50,"AI-CTRL-026",'Control Library'!$R$5:$R$50,"Implemented")+COUNTIFS('Control Library'!$A$5:$A$50,"AI-CTRL-027",'Control Library'!$R$5:$R$50,"Implemented")</f>
        <v>0</v>
      </c>
      <c r="K26" s="43" t="str">
        <f aca="false">IF(I26=0,"No wiki control",IF(J26=I26,"Fully covered",IF(J26=0,"Not covered","Partly covered")))</f>
        <v>Not covered</v>
      </c>
      <c r="L26" s="9" t="s">
        <v>643</v>
      </c>
    </row>
    <row r="27" customFormat="false" ht="23.85" hidden="false" customHeight="false" outlineLevel="0" collapsed="false">
      <c r="A27" s="47" t="s">
        <v>569</v>
      </c>
      <c r="B27" s="47" t="s">
        <v>570</v>
      </c>
      <c r="C27" s="5" t="s">
        <v>719</v>
      </c>
      <c r="D27" s="6" t="s">
        <v>720</v>
      </c>
      <c r="E27" s="6" t="s">
        <v>721</v>
      </c>
      <c r="F27" s="6" t="s">
        <v>640</v>
      </c>
      <c r="G27" s="6" t="s">
        <v>722</v>
      </c>
      <c r="H27" s="6" t="s">
        <v>642</v>
      </c>
      <c r="I27" s="26" t="n">
        <v>4</v>
      </c>
      <c r="J27" s="26" t="n">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f>
        <v>0</v>
      </c>
      <c r="K27" s="43" t="str">
        <f aca="false">IF(I27=0,"No wiki control",IF(J27=I27,"Fully covered",IF(J27=0,"Not covered","Partly covered")))</f>
        <v>Not covered</v>
      </c>
      <c r="L27" s="9" t="s">
        <v>643</v>
      </c>
    </row>
    <row r="28" customFormat="false" ht="23.85" hidden="false" customHeight="false" outlineLevel="0" collapsed="false">
      <c r="A28" s="47" t="s">
        <v>569</v>
      </c>
      <c r="B28" s="47" t="s">
        <v>570</v>
      </c>
      <c r="C28" s="5" t="s">
        <v>723</v>
      </c>
      <c r="D28" s="6" t="s">
        <v>724</v>
      </c>
      <c r="E28" s="6" t="s">
        <v>725</v>
      </c>
      <c r="F28" s="6" t="s">
        <v>640</v>
      </c>
      <c r="G28" s="6" t="s">
        <v>726</v>
      </c>
      <c r="H28" s="6" t="s">
        <v>642</v>
      </c>
      <c r="I28" s="26" t="n">
        <v>2</v>
      </c>
      <c r="J28" s="26" t="n">
        <f aca="false">COUNTIFS('Control Library'!$A$5:$A$50,"AI-CTRL-024",'Control Library'!$R$5:$R$50,"Implemented")+COUNTIFS('Control Library'!$A$5:$A$50,"AI-CTRL-031",'Control Library'!$R$5:$R$50,"Implemented")</f>
        <v>0</v>
      </c>
      <c r="K28" s="43" t="str">
        <f aca="false">IF(I28=0,"No wiki control",IF(J28=I28,"Fully covered",IF(J28=0,"Not covered","Partly covered")))</f>
        <v>Not covered</v>
      </c>
      <c r="L28" s="9" t="s">
        <v>643</v>
      </c>
    </row>
    <row r="29" customFormat="false" ht="23.85" hidden="false" customHeight="false" outlineLevel="0" collapsed="false">
      <c r="A29" s="47" t="s">
        <v>571</v>
      </c>
      <c r="B29" s="47" t="s">
        <v>570</v>
      </c>
      <c r="C29" s="5" t="s">
        <v>727</v>
      </c>
      <c r="D29" s="6" t="s">
        <v>728</v>
      </c>
      <c r="E29" s="6" t="s">
        <v>729</v>
      </c>
      <c r="F29" s="6" t="s">
        <v>730</v>
      </c>
      <c r="G29" s="6" t="s">
        <v>731</v>
      </c>
      <c r="H29" s="6"/>
      <c r="I29" s="26" t="n">
        <v>3</v>
      </c>
      <c r="J29" s="26" t="n">
        <f aca="false">COUNTIFS('Control Library'!$A$5:$A$50,"AI-CTRL-002",'Control Library'!$R$5:$R$50,"Implemented")+COUNTIFS('Control Library'!$A$5:$A$50,"AI-CTRL-003",'Control Library'!$R$5:$R$50,"Implemented")+COUNTIFS('Control Library'!$A$5:$A$50,"AI-CTRL-017",'Control Library'!$R$5:$R$50,"Implemented")</f>
        <v>0</v>
      </c>
      <c r="K29" s="43" t="str">
        <f aca="false">IF(I29=0,"No wiki control",IF(J29=I29,"Fully covered",IF(J29=0,"Not covered","Partly covered")))</f>
        <v>Not covered</v>
      </c>
      <c r="L29" s="9" t="s">
        <v>643</v>
      </c>
    </row>
    <row r="30" customFormat="false" ht="23.85" hidden="false" customHeight="false" outlineLevel="0" collapsed="false">
      <c r="A30" s="47" t="s">
        <v>571</v>
      </c>
      <c r="B30" s="47" t="s">
        <v>570</v>
      </c>
      <c r="C30" s="5" t="s">
        <v>732</v>
      </c>
      <c r="D30" s="6" t="s">
        <v>733</v>
      </c>
      <c r="E30" s="6" t="s">
        <v>734</v>
      </c>
      <c r="F30" s="6" t="s">
        <v>730</v>
      </c>
      <c r="G30" s="6" t="s">
        <v>234</v>
      </c>
      <c r="H30" s="6"/>
      <c r="I30" s="26" t="n">
        <v>2</v>
      </c>
      <c r="J30" s="26" t="n">
        <f aca="false">COUNTIFS('Control Library'!$A$5:$A$50,"AI-CTRL-008",'Control Library'!$R$5:$R$50,"Implemented")+COUNTIFS('Control Library'!$A$5:$A$50,"AI-CTRL-009",'Control Library'!$R$5:$R$50,"Implemented")</f>
        <v>0</v>
      </c>
      <c r="K30" s="43" t="str">
        <f aca="false">IF(I30=0,"No wiki control",IF(J30=I30,"Fully covered",IF(J30=0,"Not covered","Partly covered")))</f>
        <v>Not covered</v>
      </c>
      <c r="L30" s="9" t="s">
        <v>643</v>
      </c>
    </row>
    <row r="31" customFormat="false" ht="23.85" hidden="false" customHeight="false" outlineLevel="0" collapsed="false">
      <c r="A31" s="47" t="s">
        <v>571</v>
      </c>
      <c r="B31" s="47" t="s">
        <v>570</v>
      </c>
      <c r="C31" s="5" t="s">
        <v>735</v>
      </c>
      <c r="D31" s="6" t="s">
        <v>736</v>
      </c>
      <c r="E31" s="6" t="s">
        <v>462</v>
      </c>
      <c r="F31" s="6" t="s">
        <v>730</v>
      </c>
      <c r="G31" s="6" t="s">
        <v>465</v>
      </c>
      <c r="H31" s="6"/>
      <c r="I31" s="26" t="n">
        <v>1</v>
      </c>
      <c r="J31" s="26" t="n">
        <f aca="false">COUNTIFS('Control Library'!$A$5:$A$50,"AI-CTRL-036",'Control Library'!$R$5:$R$50,"Implemented")</f>
        <v>0</v>
      </c>
      <c r="K31" s="43" t="str">
        <f aca="false">IF(I31=0,"No wiki control",IF(J31=I31,"Fully covered",IF(J31=0,"Not covered","Partly covered")))</f>
        <v>Not covered</v>
      </c>
      <c r="L31" s="9" t="s">
        <v>643</v>
      </c>
    </row>
    <row r="32" customFormat="false" ht="35.05" hidden="false" customHeight="false" outlineLevel="0" collapsed="false">
      <c r="A32" s="47" t="s">
        <v>571</v>
      </c>
      <c r="B32" s="47" t="s">
        <v>570</v>
      </c>
      <c r="C32" s="5" t="s">
        <v>737</v>
      </c>
      <c r="D32" s="6" t="s">
        <v>738</v>
      </c>
      <c r="E32" s="6" t="s">
        <v>739</v>
      </c>
      <c r="F32" s="6" t="s">
        <v>730</v>
      </c>
      <c r="G32" s="6" t="s">
        <v>740</v>
      </c>
      <c r="H32" s="6"/>
      <c r="I32" s="26" t="n">
        <v>2</v>
      </c>
      <c r="J32" s="26" t="n">
        <f aca="false">COUNTIFS('Control Library'!$A$5:$A$50,"AI-CTRL-034",'Control Library'!$R$5:$R$50,"Implemented")+COUNTIFS('Control Library'!$A$5:$A$50,"AI-CTRL-045",'Control Library'!$R$5:$R$50,"Implemented")</f>
        <v>0</v>
      </c>
      <c r="K32" s="43" t="str">
        <f aca="false">IF(I32=0,"No wiki control",IF(J32=I32,"Fully covered",IF(J32=0,"Not covered","Partly covered")))</f>
        <v>Not covered</v>
      </c>
      <c r="L32" s="9" t="s">
        <v>643</v>
      </c>
    </row>
    <row r="33" customFormat="false" ht="23.85" hidden="false" customHeight="false" outlineLevel="0" collapsed="false">
      <c r="A33" s="47" t="s">
        <v>571</v>
      </c>
      <c r="B33" s="47" t="s">
        <v>570</v>
      </c>
      <c r="C33" s="5" t="s">
        <v>741</v>
      </c>
      <c r="D33" s="6" t="s">
        <v>742</v>
      </c>
      <c r="E33" s="6" t="s">
        <v>486</v>
      </c>
      <c r="F33" s="6" t="s">
        <v>730</v>
      </c>
      <c r="G33" s="6" t="s">
        <v>490</v>
      </c>
      <c r="H33" s="6"/>
      <c r="I33" s="26" t="n">
        <v>1</v>
      </c>
      <c r="J33" s="26" t="n">
        <f aca="false">COUNTIFS('Control Library'!$A$5:$A$50,"AI-CTRL-039",'Control Library'!$R$5:$R$50,"Implemented")</f>
        <v>0</v>
      </c>
      <c r="K33" s="43" t="str">
        <f aca="false">IF(I33=0,"No wiki control",IF(J33=I33,"Fully covered",IF(J33=0,"Not covered","Partly covered")))</f>
        <v>Not covered</v>
      </c>
      <c r="L33" s="9" t="s">
        <v>643</v>
      </c>
    </row>
    <row r="34" customFormat="false" ht="23.85" hidden="false" customHeight="false" outlineLevel="0" collapsed="false">
      <c r="A34" s="47" t="s">
        <v>571</v>
      </c>
      <c r="B34" s="47" t="s">
        <v>570</v>
      </c>
      <c r="C34" s="5" t="s">
        <v>743</v>
      </c>
      <c r="D34" s="6" t="s">
        <v>744</v>
      </c>
      <c r="E34" s="6" t="s">
        <v>745</v>
      </c>
      <c r="F34" s="6" t="s">
        <v>730</v>
      </c>
      <c r="G34" s="6" t="s">
        <v>746</v>
      </c>
      <c r="H34" s="6"/>
      <c r="I34" s="26" t="n">
        <v>2</v>
      </c>
      <c r="J34" s="26" t="n">
        <f aca="false">COUNTIFS('Control Library'!$A$5:$A$50,"AI-CTRL-034",'Control Library'!$R$5:$R$50,"Implemented")+COUNTIFS('Control Library'!$A$5:$A$50,"AI-CTRL-039",'Control Library'!$R$5:$R$50,"Implemented")</f>
        <v>0</v>
      </c>
      <c r="K34" s="43" t="str">
        <f aca="false">IF(I34=0,"No wiki control",IF(J34=I34,"Fully covered",IF(J34=0,"Not covered","Partly covered")))</f>
        <v>Not covered</v>
      </c>
      <c r="L34" s="9" t="s">
        <v>643</v>
      </c>
    </row>
    <row r="35" customFormat="false" ht="23.85" hidden="false" customHeight="false" outlineLevel="0" collapsed="false">
      <c r="A35" s="47" t="s">
        <v>571</v>
      </c>
      <c r="B35" s="47" t="s">
        <v>570</v>
      </c>
      <c r="C35" s="5" t="s">
        <v>747</v>
      </c>
      <c r="D35" s="6" t="s">
        <v>748</v>
      </c>
      <c r="E35" s="6" t="s">
        <v>315</v>
      </c>
      <c r="F35" s="6" t="s">
        <v>730</v>
      </c>
      <c r="G35" s="6" t="s">
        <v>319</v>
      </c>
      <c r="H35" s="6"/>
      <c r="I35" s="26" t="n">
        <v>1</v>
      </c>
      <c r="J35" s="26" t="n">
        <f aca="false">COUNTIFS('Control Library'!$A$5:$A$50,"AI-CTRL-018",'Control Library'!$R$5:$R$50,"Implemented")</f>
        <v>0</v>
      </c>
      <c r="K35" s="43" t="str">
        <f aca="false">IF(I35=0,"No wiki control",IF(J35=I35,"Fully covered",IF(J35=0,"Not covered","Partly covered")))</f>
        <v>Not covered</v>
      </c>
      <c r="L35" s="9" t="s">
        <v>643</v>
      </c>
    </row>
    <row r="36" customFormat="false" ht="23.85" hidden="false" customHeight="false" outlineLevel="0" collapsed="false">
      <c r="A36" s="47" t="s">
        <v>571</v>
      </c>
      <c r="B36" s="47" t="s">
        <v>570</v>
      </c>
      <c r="C36" s="5" t="s">
        <v>749</v>
      </c>
      <c r="D36" s="6" t="s">
        <v>750</v>
      </c>
      <c r="E36" s="6" t="s">
        <v>664</v>
      </c>
      <c r="F36" s="6" t="s">
        <v>730</v>
      </c>
      <c r="G36" s="6" t="s">
        <v>751</v>
      </c>
      <c r="H36" s="6"/>
      <c r="I36" s="26" t="n">
        <v>3</v>
      </c>
      <c r="J36" s="26" t="n">
        <f aca="false">COUNTIFS('Control Library'!$A$5:$A$50,"AI-CTRL-008",'Control Library'!$R$5:$R$50,"Implemented")+COUNTIFS('Control Library'!$A$5:$A$50,"AI-CTRL-038",'Control Library'!$R$5:$R$50,"Implemented")+COUNTIFS('Control Library'!$A$5:$A$50,"AI-CTRL-041",'Control Library'!$R$5:$R$50,"Implemented")</f>
        <v>0</v>
      </c>
      <c r="K36" s="43" t="str">
        <f aca="false">IF(I36=0,"No wiki control",IF(J36=I36,"Fully covered",IF(J36=0,"Not covered","Partly covered")))</f>
        <v>Not covered</v>
      </c>
      <c r="L36" s="9" t="s">
        <v>643</v>
      </c>
    </row>
    <row r="37" customFormat="false" ht="23.85" hidden="false" customHeight="false" outlineLevel="0" collapsed="false">
      <c r="A37" s="47" t="s">
        <v>571</v>
      </c>
      <c r="B37" s="47" t="s">
        <v>570</v>
      </c>
      <c r="C37" s="5" t="s">
        <v>752</v>
      </c>
      <c r="D37" s="6" t="s">
        <v>753</v>
      </c>
      <c r="E37" s="6" t="s">
        <v>324</v>
      </c>
      <c r="F37" s="6" t="s">
        <v>730</v>
      </c>
      <c r="G37" s="6" t="s">
        <v>327</v>
      </c>
      <c r="H37" s="6"/>
      <c r="I37" s="26" t="n">
        <v>1</v>
      </c>
      <c r="J37" s="26" t="n">
        <f aca="false">COUNTIFS('Control Library'!$A$5:$A$50,"AI-CTRL-019",'Control Library'!$R$5:$R$50,"Implemented")</f>
        <v>0</v>
      </c>
      <c r="K37" s="43" t="str">
        <f aca="false">IF(I37=0,"No wiki control",IF(J37=I37,"Fully covered",IF(J37=0,"Not covered","Partly covered")))</f>
        <v>Not covered</v>
      </c>
      <c r="L37" s="9" t="s">
        <v>643</v>
      </c>
    </row>
    <row r="38" customFormat="false" ht="23.85" hidden="false" customHeight="false" outlineLevel="0" collapsed="false">
      <c r="A38" s="47" t="s">
        <v>571</v>
      </c>
      <c r="B38" s="47" t="s">
        <v>570</v>
      </c>
      <c r="C38" s="5" t="s">
        <v>754</v>
      </c>
      <c r="D38" s="6" t="s">
        <v>755</v>
      </c>
      <c r="E38" s="6" t="s">
        <v>756</v>
      </c>
      <c r="F38" s="6" t="s">
        <v>730</v>
      </c>
      <c r="G38" s="6" t="s">
        <v>335</v>
      </c>
      <c r="H38" s="6"/>
      <c r="I38" s="26" t="n">
        <v>2</v>
      </c>
      <c r="J38" s="26" t="n">
        <f aca="false">COUNTIFS('Control Library'!$A$5:$A$50,"AI-CTRL-005",'Control Library'!$R$5:$R$50,"Implemented")+COUNTIFS('Control Library'!$A$5:$A$50,"AI-CTRL-020",'Control Library'!$R$5:$R$50,"Implemented")</f>
        <v>0</v>
      </c>
      <c r="K38" s="43" t="str">
        <f aca="false">IF(I38=0,"No wiki control",IF(J38=I38,"Fully covered",IF(J38=0,"Not covered","Partly covered")))</f>
        <v>Not covered</v>
      </c>
      <c r="L38" s="9" t="s">
        <v>643</v>
      </c>
    </row>
    <row r="39" customFormat="false" ht="35.05" hidden="false" customHeight="false" outlineLevel="0" collapsed="false">
      <c r="A39" s="47" t="s">
        <v>571</v>
      </c>
      <c r="B39" s="47" t="s">
        <v>570</v>
      </c>
      <c r="C39" s="5" t="s">
        <v>757</v>
      </c>
      <c r="D39" s="6" t="s">
        <v>758</v>
      </c>
      <c r="E39" s="6" t="s">
        <v>759</v>
      </c>
      <c r="F39" s="6" t="s">
        <v>730</v>
      </c>
      <c r="G39" s="6" t="s">
        <v>760</v>
      </c>
      <c r="H39" s="6"/>
      <c r="I39" s="26" t="n">
        <v>2</v>
      </c>
      <c r="J39" s="26" t="n">
        <f aca="false">COUNTIFS('Control Library'!$A$5:$A$50,"AI-CTRL-033",'Control Library'!$R$5:$R$50,"Implemented")+COUNTIFS('Control Library'!$A$5:$A$50,"AI-CTRL-034",'Control Library'!$R$5:$R$50,"Implemented")</f>
        <v>0</v>
      </c>
      <c r="K39" s="43" t="str">
        <f aca="false">IF(I39=0,"No wiki control",IF(J39=I39,"Fully covered",IF(J39=0,"Not covered","Partly covered")))</f>
        <v>Not covered</v>
      </c>
      <c r="L39" s="9" t="s">
        <v>643</v>
      </c>
    </row>
    <row r="40" customFormat="false" ht="23.85" hidden="false" customHeight="false" outlineLevel="0" collapsed="false">
      <c r="A40" s="47" t="s">
        <v>571</v>
      </c>
      <c r="B40" s="47" t="s">
        <v>570</v>
      </c>
      <c r="C40" s="5" t="s">
        <v>761</v>
      </c>
      <c r="D40" s="6" t="s">
        <v>762</v>
      </c>
      <c r="E40" s="6" t="s">
        <v>763</v>
      </c>
      <c r="F40" s="6" t="s">
        <v>730</v>
      </c>
      <c r="G40" s="6" t="s">
        <v>764</v>
      </c>
      <c r="H40" s="6"/>
      <c r="I40" s="26" t="n">
        <v>2</v>
      </c>
      <c r="J40" s="26" t="n">
        <f aca="false">COUNTIFS('Control Library'!$A$5:$A$50,"AI-CTRL-017",'Control Library'!$R$5:$R$50,"Implemented")+COUNTIFS('Control Library'!$A$5:$A$50,"AI-CTRL-019",'Control Library'!$R$5:$R$50,"Implemented")</f>
        <v>0</v>
      </c>
      <c r="K40" s="43" t="str">
        <f aca="false">IF(I40=0,"No wiki control",IF(J40=I40,"Fully covered",IF(J40=0,"Not covered","Partly covered")))</f>
        <v>Not covered</v>
      </c>
      <c r="L40" s="9" t="s">
        <v>643</v>
      </c>
    </row>
    <row r="41" customFormat="false" ht="23.85" hidden="false" customHeight="false" outlineLevel="0" collapsed="false">
      <c r="A41" s="47" t="s">
        <v>571</v>
      </c>
      <c r="B41" s="47" t="s">
        <v>570</v>
      </c>
      <c r="C41" s="5" t="s">
        <v>765</v>
      </c>
      <c r="D41" s="6" t="s">
        <v>766</v>
      </c>
      <c r="E41" s="6" t="s">
        <v>767</v>
      </c>
      <c r="F41" s="6" t="s">
        <v>730</v>
      </c>
      <c r="G41" s="6" t="s">
        <v>768</v>
      </c>
      <c r="H41" s="6"/>
      <c r="I41" s="26" t="n">
        <v>3</v>
      </c>
      <c r="J41" s="26" t="n">
        <f aca="false">COUNTIFS('Control Library'!$A$5:$A$50,"AI-CTRL-013",'Control Library'!$R$5:$R$50,"Implemented")+COUNTIFS('Control Library'!$A$5:$A$50,"AI-CTRL-014",'Control Library'!$R$5:$R$50,"Implemented")+COUNTIFS('Control Library'!$A$5:$A$50,"AI-CTRL-046",'Control Library'!$R$5:$R$50,"Implemented")</f>
        <v>0</v>
      </c>
      <c r="K41" s="43" t="str">
        <f aca="false">IF(I41=0,"No wiki control",IF(J41=I41,"Fully covered",IF(J41=0,"Not covered","Partly covered")))</f>
        <v>Not covered</v>
      </c>
      <c r="L41" s="9" t="s">
        <v>643</v>
      </c>
    </row>
    <row r="42" customFormat="false" ht="23.85" hidden="false" customHeight="false" outlineLevel="0" collapsed="false">
      <c r="A42" s="47" t="s">
        <v>571</v>
      </c>
      <c r="B42" s="47" t="s">
        <v>570</v>
      </c>
      <c r="C42" s="5" t="s">
        <v>769</v>
      </c>
      <c r="D42" s="6" t="s">
        <v>770</v>
      </c>
      <c r="E42" s="6" t="s">
        <v>771</v>
      </c>
      <c r="F42" s="6" t="s">
        <v>730</v>
      </c>
      <c r="G42" s="6" t="s">
        <v>772</v>
      </c>
      <c r="H42" s="6"/>
      <c r="I42" s="26" t="n">
        <v>2</v>
      </c>
      <c r="J42" s="26" t="n">
        <f aca="false">COUNTIFS('Control Library'!$A$5:$A$50,"AI-CTRL-036",'Control Library'!$R$5:$R$50,"Implemented")+COUNTIFS('Control Library'!$A$5:$A$50,"AI-CTRL-040",'Control Library'!$R$5:$R$50,"Implemented")</f>
        <v>0</v>
      </c>
      <c r="K42" s="43" t="str">
        <f aca="false">IF(I42=0,"No wiki control",IF(J42=I42,"Fully covered",IF(J42=0,"Not covered","Partly covered")))</f>
        <v>Not covered</v>
      </c>
      <c r="L42" s="9" t="s">
        <v>643</v>
      </c>
    </row>
    <row r="43" customFormat="false" ht="23.85" hidden="false" customHeight="false" outlineLevel="0" collapsed="false">
      <c r="A43" s="47" t="s">
        <v>571</v>
      </c>
      <c r="B43" s="47" t="s">
        <v>570</v>
      </c>
      <c r="C43" s="5" t="s">
        <v>773</v>
      </c>
      <c r="D43" s="6" t="s">
        <v>774</v>
      </c>
      <c r="E43" s="6" t="s">
        <v>775</v>
      </c>
      <c r="F43" s="6" t="s">
        <v>730</v>
      </c>
      <c r="G43" s="6" t="s">
        <v>776</v>
      </c>
      <c r="H43" s="6"/>
      <c r="I43" s="26" t="n">
        <v>2</v>
      </c>
      <c r="J43" s="26" t="n">
        <f aca="false">COUNTIFS('Control Library'!$A$5:$A$50,"AI-CTRL-031",'Control Library'!$R$5:$R$50,"Implemented")+COUNTIFS('Control Library'!$A$5:$A$50,"AI-CTRL-034",'Control Library'!$R$5:$R$50,"Implemented")</f>
        <v>0</v>
      </c>
      <c r="K43" s="43" t="str">
        <f aca="false">IF(I43=0,"No wiki control",IF(J43=I43,"Fully covered",IF(J43=0,"Not covered","Partly covered")))</f>
        <v>Not covered</v>
      </c>
      <c r="L43" s="9" t="s">
        <v>643</v>
      </c>
    </row>
    <row r="44" customFormat="false" ht="23.85" hidden="false" customHeight="false" outlineLevel="0" collapsed="false">
      <c r="A44" s="47" t="s">
        <v>571</v>
      </c>
      <c r="B44" s="47" t="s">
        <v>570</v>
      </c>
      <c r="C44" s="5" t="s">
        <v>777</v>
      </c>
      <c r="D44" s="6" t="s">
        <v>778</v>
      </c>
      <c r="E44" s="6" t="s">
        <v>779</v>
      </c>
      <c r="F44" s="6" t="s">
        <v>730</v>
      </c>
      <c r="G44" s="6" t="s">
        <v>303</v>
      </c>
      <c r="H44" s="6"/>
      <c r="I44" s="26" t="n">
        <v>2</v>
      </c>
      <c r="J44" s="26" t="n">
        <f aca="false">COUNTIFS('Control Library'!$A$5:$A$50,"AI-CTRL-016",'Control Library'!$R$5:$R$50,"Implemented")+COUNTIFS('Control Library'!$A$5:$A$50,"AI-CTRL-018",'Control Library'!$R$5:$R$50,"Implemented")</f>
        <v>0</v>
      </c>
      <c r="K44" s="43" t="str">
        <f aca="false">IF(I44=0,"No wiki control",IF(J44=I44,"Fully covered",IF(J44=0,"Not covered","Partly covered")))</f>
        <v>Not covered</v>
      </c>
      <c r="L44" s="9" t="s">
        <v>643</v>
      </c>
    </row>
    <row r="45" customFormat="false" ht="23.85" hidden="false" customHeight="false" outlineLevel="0" collapsed="false">
      <c r="A45" s="47" t="s">
        <v>571</v>
      </c>
      <c r="B45" s="47" t="s">
        <v>570</v>
      </c>
      <c r="C45" s="5" t="s">
        <v>780</v>
      </c>
      <c r="D45" s="6" t="s">
        <v>781</v>
      </c>
      <c r="E45" s="6" t="s">
        <v>782</v>
      </c>
      <c r="F45" s="6" t="s">
        <v>730</v>
      </c>
      <c r="G45" s="6" t="s">
        <v>783</v>
      </c>
      <c r="H45" s="6"/>
      <c r="I45" s="26" t="n">
        <v>2</v>
      </c>
      <c r="J45" s="26" t="n">
        <f aca="false">COUNTIFS('Control Library'!$A$5:$A$50,"AI-CTRL-017",'Control Library'!$R$5:$R$50,"Implemented")+COUNTIFS('Control Library'!$A$5:$A$50,"AI-CTRL-032",'Control Library'!$R$5:$R$50,"Implemented")</f>
        <v>0</v>
      </c>
      <c r="K45" s="43" t="str">
        <f aca="false">IF(I45=0,"No wiki control",IF(J45=I45,"Fully covered",IF(J45=0,"Not covered","Partly covered")))</f>
        <v>Not covered</v>
      </c>
      <c r="L45" s="9" t="s">
        <v>643</v>
      </c>
    </row>
    <row r="46" customFormat="false" ht="23.85" hidden="false" customHeight="false" outlineLevel="0" collapsed="false">
      <c r="A46" s="47" t="s">
        <v>571</v>
      </c>
      <c r="B46" s="47" t="s">
        <v>570</v>
      </c>
      <c r="C46" s="5" t="s">
        <v>784</v>
      </c>
      <c r="D46" s="6" t="s">
        <v>785</v>
      </c>
      <c r="E46" s="6" t="s">
        <v>199</v>
      </c>
      <c r="F46" s="6" t="s">
        <v>730</v>
      </c>
      <c r="G46" s="6" t="s">
        <v>203</v>
      </c>
      <c r="H46" s="6"/>
      <c r="I46" s="26" t="n">
        <v>1</v>
      </c>
      <c r="J46" s="26" t="n">
        <f aca="false">COUNTIFS('Control Library'!$A$5:$A$50,"AI-CTRL-005",'Control Library'!$R$5:$R$50,"Implemented")</f>
        <v>0</v>
      </c>
      <c r="K46" s="43" t="str">
        <f aca="false">IF(I46=0,"No wiki control",IF(J46=I46,"Fully covered",IF(J46=0,"Not covered","Partly covered")))</f>
        <v>Not covered</v>
      </c>
      <c r="L46" s="9" t="s">
        <v>643</v>
      </c>
    </row>
    <row r="47" customFormat="false" ht="23.85" hidden="false" customHeight="false" outlineLevel="0" collapsed="false">
      <c r="A47" s="47" t="s">
        <v>571</v>
      </c>
      <c r="B47" s="47" t="s">
        <v>570</v>
      </c>
      <c r="C47" s="5" t="s">
        <v>786</v>
      </c>
      <c r="D47" s="6" t="s">
        <v>787</v>
      </c>
      <c r="E47" s="6" t="s">
        <v>788</v>
      </c>
      <c r="F47" s="6" t="s">
        <v>730</v>
      </c>
      <c r="G47" s="6" t="s">
        <v>789</v>
      </c>
      <c r="H47" s="6"/>
      <c r="I47" s="26" t="n">
        <v>2</v>
      </c>
      <c r="J47" s="26" t="n">
        <f aca="false">COUNTIFS('Control Library'!$A$5:$A$50,"AI-CTRL-016",'Control Library'!$R$5:$R$50,"Implemented")+COUNTIFS('Control Library'!$A$5:$A$50,"AI-CTRL-022",'Control Library'!$R$5:$R$50,"Implemented")</f>
        <v>0</v>
      </c>
      <c r="K47" s="43" t="str">
        <f aca="false">IF(I47=0,"No wiki control",IF(J47=I47,"Fully covered",IF(J47=0,"Not covered","Partly covered")))</f>
        <v>Not covered</v>
      </c>
      <c r="L47" s="9" t="s">
        <v>643</v>
      </c>
    </row>
    <row r="48" customFormat="false" ht="23.85" hidden="false" customHeight="false" outlineLevel="0" collapsed="false">
      <c r="A48" s="47" t="s">
        <v>571</v>
      </c>
      <c r="B48" s="47" t="s">
        <v>570</v>
      </c>
      <c r="C48" s="5" t="s">
        <v>790</v>
      </c>
      <c r="D48" s="6" t="s">
        <v>791</v>
      </c>
      <c r="E48" s="6" t="s">
        <v>792</v>
      </c>
      <c r="F48" s="6" t="s">
        <v>730</v>
      </c>
      <c r="G48" s="6" t="s">
        <v>793</v>
      </c>
      <c r="H48" s="6"/>
      <c r="I48" s="26" t="n">
        <v>3</v>
      </c>
      <c r="J48" s="26" t="n">
        <f aca="false">COUNTIFS('Control Library'!$A$5:$A$50,"AI-CTRL-020",'Control Library'!$R$5:$R$50,"Implemented")+COUNTIFS('Control Library'!$A$5:$A$50,"AI-CTRL-022",'Control Library'!$R$5:$R$50,"Implemented")+COUNTIFS('Control Library'!$A$5:$A$50,"AI-CTRL-024",'Control Library'!$R$5:$R$50,"Implemented")</f>
        <v>0</v>
      </c>
      <c r="K48" s="43" t="str">
        <f aca="false">IF(I48=0,"No wiki control",IF(J48=I48,"Fully covered",IF(J48=0,"Not covered","Partly covered")))</f>
        <v>Not covered</v>
      </c>
      <c r="L48" s="9" t="s">
        <v>643</v>
      </c>
    </row>
    <row r="49" customFormat="false" ht="23.85" hidden="false" customHeight="false" outlineLevel="0" collapsed="false">
      <c r="A49" s="47" t="s">
        <v>571</v>
      </c>
      <c r="B49" s="47" t="s">
        <v>570</v>
      </c>
      <c r="C49" s="5" t="s">
        <v>794</v>
      </c>
      <c r="D49" s="6" t="s">
        <v>795</v>
      </c>
      <c r="E49" s="6" t="s">
        <v>363</v>
      </c>
      <c r="F49" s="6" t="s">
        <v>730</v>
      </c>
      <c r="G49" s="6" t="s">
        <v>367</v>
      </c>
      <c r="H49" s="6"/>
      <c r="I49" s="26" t="n">
        <v>1</v>
      </c>
      <c r="J49" s="26" t="n">
        <f aca="false">COUNTIFS('Control Library'!$A$5:$A$50,"AI-CTRL-024",'Control Library'!$R$5:$R$50,"Implemented")</f>
        <v>0</v>
      </c>
      <c r="K49" s="43" t="str">
        <f aca="false">IF(I49=0,"No wiki control",IF(J49=I49,"Fully covered",IF(J49=0,"Not covered","Partly covered")))</f>
        <v>Not covered</v>
      </c>
      <c r="L49" s="9" t="s">
        <v>643</v>
      </c>
    </row>
    <row r="50" customFormat="false" ht="23.85" hidden="false" customHeight="false" outlineLevel="0" collapsed="false">
      <c r="A50" s="47" t="s">
        <v>571</v>
      </c>
      <c r="B50" s="47" t="s">
        <v>570</v>
      </c>
      <c r="C50" s="5" t="s">
        <v>796</v>
      </c>
      <c r="D50" s="6" t="s">
        <v>797</v>
      </c>
      <c r="E50" s="6" t="s">
        <v>798</v>
      </c>
      <c r="F50" s="6" t="s">
        <v>730</v>
      </c>
      <c r="G50" s="6" t="s">
        <v>390</v>
      </c>
      <c r="H50" s="6"/>
      <c r="I50" s="26" t="n">
        <v>2</v>
      </c>
      <c r="J50" s="26" t="n">
        <f aca="false">COUNTIFS('Control Library'!$A$5:$A$50,"AI-CTRL-006",'Control Library'!$R$5:$R$50,"Implemented")+COUNTIFS('Control Library'!$A$5:$A$50,"AI-CTRL-027",'Control Library'!$R$5:$R$50,"Implemented")</f>
        <v>0</v>
      </c>
      <c r="K50" s="43" t="str">
        <f aca="false">IF(I50=0,"No wiki control",IF(J50=I50,"Fully covered",IF(J50=0,"Not covered","Partly covered")))</f>
        <v>Not covered</v>
      </c>
      <c r="L50" s="9" t="s">
        <v>643</v>
      </c>
    </row>
    <row r="51" customFormat="false" ht="23.85" hidden="false" customHeight="false" outlineLevel="0" collapsed="false">
      <c r="A51" s="47" t="s">
        <v>571</v>
      </c>
      <c r="B51" s="47" t="s">
        <v>570</v>
      </c>
      <c r="C51" s="5" t="s">
        <v>799</v>
      </c>
      <c r="D51" s="6" t="s">
        <v>800</v>
      </c>
      <c r="E51" s="6" t="s">
        <v>801</v>
      </c>
      <c r="F51" s="6" t="s">
        <v>730</v>
      </c>
      <c r="G51" s="6" t="s">
        <v>802</v>
      </c>
      <c r="H51" s="6"/>
      <c r="I51" s="26" t="n">
        <v>2</v>
      </c>
      <c r="J51" s="26" t="n">
        <f aca="false">COUNTIFS('Control Library'!$A$5:$A$50,"AI-CTRL-015",'Control Library'!$R$5:$R$50,"Implemented")+COUNTIFS('Control Library'!$A$5:$A$50,"AI-CTRL-016",'Control Library'!$R$5:$R$50,"Implemented")</f>
        <v>0</v>
      </c>
      <c r="K51" s="43" t="str">
        <f aca="false">IF(I51=0,"No wiki control",IF(J51=I51,"Fully covered",IF(J51=0,"Not covered","Partly covered")))</f>
        <v>Not covered</v>
      </c>
      <c r="L51" s="9" t="s">
        <v>643</v>
      </c>
    </row>
    <row r="52" customFormat="false" ht="23.85" hidden="false" customHeight="false" outlineLevel="0" collapsed="false">
      <c r="A52" s="47" t="s">
        <v>571</v>
      </c>
      <c r="B52" s="47" t="s">
        <v>570</v>
      </c>
      <c r="C52" s="5" t="s">
        <v>803</v>
      </c>
      <c r="D52" s="6" t="s">
        <v>804</v>
      </c>
      <c r="E52" s="6" t="s">
        <v>805</v>
      </c>
      <c r="F52" s="6" t="s">
        <v>730</v>
      </c>
      <c r="G52" s="6" t="s">
        <v>542</v>
      </c>
      <c r="H52" s="6"/>
      <c r="I52" s="26" t="n">
        <v>2</v>
      </c>
      <c r="J52" s="26" t="n">
        <f aca="false">COUNTIFS('Control Library'!$A$5:$A$50,"AI-CTRL-023",'Control Library'!$R$5:$R$50,"Implemented")+COUNTIFS('Control Library'!$A$5:$A$50,"AI-CTRL-045",'Control Library'!$R$5:$R$50,"Implemented")</f>
        <v>0</v>
      </c>
      <c r="K52" s="43" t="str">
        <f aca="false">IF(I52=0,"No wiki control",IF(J52=I52,"Fully covered",IF(J52=0,"Not covered","Partly covered")))</f>
        <v>Not covered</v>
      </c>
      <c r="L52" s="9" t="s">
        <v>643</v>
      </c>
    </row>
    <row r="53" customFormat="false" ht="23.85" hidden="false" customHeight="false" outlineLevel="0" collapsed="false">
      <c r="A53" s="47" t="s">
        <v>571</v>
      </c>
      <c r="B53" s="47" t="s">
        <v>570</v>
      </c>
      <c r="C53" s="5" t="s">
        <v>806</v>
      </c>
      <c r="D53" s="6" t="s">
        <v>807</v>
      </c>
      <c r="E53" s="6" t="s">
        <v>725</v>
      </c>
      <c r="F53" s="6" t="s">
        <v>730</v>
      </c>
      <c r="G53" s="6" t="s">
        <v>808</v>
      </c>
      <c r="H53" s="6"/>
      <c r="I53" s="26" t="n">
        <v>2</v>
      </c>
      <c r="J53" s="26" t="n">
        <f aca="false">COUNTIFS('Control Library'!$A$5:$A$50,"AI-CTRL-024",'Control Library'!$R$5:$R$50,"Implemented")+COUNTIFS('Control Library'!$A$5:$A$50,"AI-CTRL-031",'Control Library'!$R$5:$R$50,"Implemented")</f>
        <v>0</v>
      </c>
      <c r="K53" s="43" t="str">
        <f aca="false">IF(I53=0,"No wiki control",IF(J53=I53,"Fully covered",IF(J53=0,"Not covered","Partly covered")))</f>
        <v>Not covered</v>
      </c>
      <c r="L53" s="9" t="s">
        <v>643</v>
      </c>
    </row>
    <row r="54" customFormat="false" ht="23.85" hidden="false" customHeight="false" outlineLevel="0" collapsed="false">
      <c r="A54" s="47" t="s">
        <v>572</v>
      </c>
      <c r="B54" s="47" t="s">
        <v>570</v>
      </c>
      <c r="C54" s="5" t="s">
        <v>809</v>
      </c>
      <c r="D54" s="6" t="s">
        <v>810</v>
      </c>
      <c r="E54" s="6" t="s">
        <v>478</v>
      </c>
      <c r="F54" s="6" t="s">
        <v>730</v>
      </c>
      <c r="G54" s="6" t="s">
        <v>811</v>
      </c>
      <c r="H54" s="6" t="s">
        <v>657</v>
      </c>
      <c r="I54" s="26" t="n">
        <v>1</v>
      </c>
      <c r="J54" s="26" t="n">
        <f aca="false">COUNTIFS('Control Library'!$A$5:$A$50,"AI-CTRL-038",'Control Library'!$R$5:$R$50,"Implemented")</f>
        <v>0</v>
      </c>
      <c r="K54" s="43" t="str">
        <f aca="false">IF(I54=0,"No wiki control",IF(J54=I54,"Fully covered",IF(J54=0,"Not covered","Partly covered")))</f>
        <v>Not covered</v>
      </c>
      <c r="L54" s="9" t="s">
        <v>812</v>
      </c>
    </row>
    <row r="55" customFormat="false" ht="35.05" hidden="false" customHeight="false" outlineLevel="0" collapsed="false">
      <c r="A55" s="47" t="s">
        <v>572</v>
      </c>
      <c r="B55" s="47" t="s">
        <v>570</v>
      </c>
      <c r="C55" s="5" t="s">
        <v>813</v>
      </c>
      <c r="D55" s="6" t="s">
        <v>814</v>
      </c>
      <c r="E55" s="6" t="s">
        <v>815</v>
      </c>
      <c r="F55" s="6" t="s">
        <v>640</v>
      </c>
      <c r="G55" s="6" t="s">
        <v>258</v>
      </c>
      <c r="H55" s="6" t="s">
        <v>657</v>
      </c>
      <c r="I55" s="26" t="n">
        <v>7</v>
      </c>
      <c r="J55" s="26" t="n">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Library'!$R$5:$R$50,"Implemented")+COUNTIFS('Control Library'!$A$5:$A$50,"AI-CTRL-045",'Control Library'!$R$5:$R$50,"Implemented")</f>
        <v>0</v>
      </c>
      <c r="K55" s="43" t="str">
        <f aca="false">IF(I55=0,"No wiki control",IF(J55=I55,"Fully covered",IF(J55=0,"Not covered","Partly covered")))</f>
        <v>Not covered</v>
      </c>
      <c r="L55" s="9" t="s">
        <v>812</v>
      </c>
    </row>
    <row r="56" customFormat="false" ht="23.85" hidden="false" customHeight="false" outlineLevel="0" collapsed="false">
      <c r="A56" s="47" t="s">
        <v>572</v>
      </c>
      <c r="B56" s="47" t="s">
        <v>570</v>
      </c>
      <c r="C56" s="5" t="s">
        <v>816</v>
      </c>
      <c r="D56" s="6" t="s">
        <v>817</v>
      </c>
      <c r="E56" s="6" t="s">
        <v>263</v>
      </c>
      <c r="F56" s="6" t="s">
        <v>730</v>
      </c>
      <c r="G56" s="6" t="s">
        <v>165</v>
      </c>
      <c r="H56" s="6" t="s">
        <v>657</v>
      </c>
      <c r="I56" s="26" t="n">
        <v>1</v>
      </c>
      <c r="J56" s="26" t="n">
        <f aca="false">COUNTIFS('Control Library'!$A$5:$A$50,"AI-CTRL-012",'Control Library'!$R$5:$R$50,"Implemented")</f>
        <v>0</v>
      </c>
      <c r="K56" s="43" t="str">
        <f aca="false">IF(I56=0,"No wiki control",IF(J56=I56,"Fully covered",IF(J56=0,"Not covered","Partly covered")))</f>
        <v>Not covered</v>
      </c>
      <c r="L56" s="9" t="s">
        <v>812</v>
      </c>
    </row>
    <row r="57" customFormat="false" ht="35.05" hidden="false" customHeight="false" outlineLevel="0" collapsed="false">
      <c r="A57" s="47" t="s">
        <v>572</v>
      </c>
      <c r="B57" s="47" t="s">
        <v>570</v>
      </c>
      <c r="C57" s="5" t="s">
        <v>818</v>
      </c>
      <c r="D57" s="6" t="s">
        <v>819</v>
      </c>
      <c r="E57" s="6" t="s">
        <v>513</v>
      </c>
      <c r="F57" s="6" t="s">
        <v>730</v>
      </c>
      <c r="G57" s="6"/>
      <c r="H57" s="6" t="s">
        <v>657</v>
      </c>
      <c r="I57" s="26" t="n">
        <v>1</v>
      </c>
      <c r="J57" s="26" t="n">
        <f aca="false">COUNTIFS('Control Library'!$A$5:$A$50,"AI-CTRL-042",'Control Library'!$R$5:$R$50,"Implemented")</f>
        <v>0</v>
      </c>
      <c r="K57" s="43" t="str">
        <f aca="false">IF(I57=0,"No wiki control",IF(J57=I57,"Fully covered",IF(J57=0,"Not covered","Partly covered")))</f>
        <v>Not covered</v>
      </c>
      <c r="L57" s="9" t="s">
        <v>812</v>
      </c>
    </row>
    <row r="58" customFormat="false" ht="35.05" hidden="false" customHeight="false" outlineLevel="0" collapsed="false">
      <c r="A58" s="47" t="s">
        <v>572</v>
      </c>
      <c r="B58" s="47" t="s">
        <v>570</v>
      </c>
      <c r="C58" s="5" t="s">
        <v>820</v>
      </c>
      <c r="D58" s="6" t="s">
        <v>821</v>
      </c>
      <c r="E58" s="6" t="s">
        <v>822</v>
      </c>
      <c r="F58" s="6" t="s">
        <v>640</v>
      </c>
      <c r="G58" s="6" t="s">
        <v>823</v>
      </c>
      <c r="H58" s="6" t="s">
        <v>657</v>
      </c>
      <c r="I58" s="26" t="n">
        <v>6</v>
      </c>
      <c r="J58" s="26" t="n">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58" s="43" t="str">
        <f aca="false">IF(I58=0,"No wiki control",IF(J58=I58,"Fully covered",IF(J58=0,"Not covered","Partly covered")))</f>
        <v>Not covered</v>
      </c>
      <c r="L58" s="9" t="s">
        <v>812</v>
      </c>
    </row>
    <row r="59" customFormat="false" ht="23.85" hidden="false" customHeight="false" outlineLevel="0" collapsed="false">
      <c r="A59" s="47" t="s">
        <v>572</v>
      </c>
      <c r="B59" s="47" t="s">
        <v>570</v>
      </c>
      <c r="C59" s="5" t="s">
        <v>824</v>
      </c>
      <c r="D59" s="6" t="s">
        <v>825</v>
      </c>
      <c r="E59" s="6" t="s">
        <v>826</v>
      </c>
      <c r="F59" s="6" t="s">
        <v>640</v>
      </c>
      <c r="G59" s="6" t="s">
        <v>827</v>
      </c>
      <c r="H59" s="6" t="s">
        <v>642</v>
      </c>
      <c r="I59" s="26" t="n">
        <v>2</v>
      </c>
      <c r="J59" s="26" t="n">
        <f aca="false">COUNTIFS('Control Library'!$A$5:$A$50,"AI-CTRL-011",'Control Library'!$R$5:$R$50,"Implemented")+COUNTIFS('Control Library'!$A$5:$A$50,"AI-CTRL-037",'Control Library'!$R$5:$R$50,"Implemented")</f>
        <v>0</v>
      </c>
      <c r="K59" s="43" t="str">
        <f aca="false">IF(I59=0,"No wiki control",IF(J59=I59,"Fully covered",IF(J59=0,"Not covered","Partly covered")))</f>
        <v>Not covered</v>
      </c>
      <c r="L59" s="9" t="s">
        <v>812</v>
      </c>
    </row>
    <row r="60" customFormat="false" ht="23.85" hidden="false" customHeight="false" outlineLevel="0" collapsed="false">
      <c r="A60" s="47" t="s">
        <v>572</v>
      </c>
      <c r="B60" s="47" t="s">
        <v>570</v>
      </c>
      <c r="C60" s="5" t="s">
        <v>828</v>
      </c>
      <c r="D60" s="6" t="s">
        <v>829</v>
      </c>
      <c r="E60" s="6" t="s">
        <v>826</v>
      </c>
      <c r="F60" s="6" t="s">
        <v>640</v>
      </c>
      <c r="G60" s="6" t="s">
        <v>827</v>
      </c>
      <c r="H60" s="6" t="s">
        <v>642</v>
      </c>
      <c r="I60" s="26" t="n">
        <v>2</v>
      </c>
      <c r="J60" s="26" t="n">
        <f aca="false">COUNTIFS('Control Library'!$A$5:$A$50,"AI-CTRL-011",'Control Library'!$R$5:$R$50,"Implemented")+COUNTIFS('Control Library'!$A$5:$A$50,"AI-CTRL-037",'Control Library'!$R$5:$R$50,"Implemented")</f>
        <v>0</v>
      </c>
      <c r="K60" s="43" t="str">
        <f aca="false">IF(I60=0,"No wiki control",IF(J60=I60,"Fully covered",IF(J60=0,"Not covered","Partly covered")))</f>
        <v>Not covered</v>
      </c>
      <c r="L60" s="9" t="s">
        <v>812</v>
      </c>
    </row>
    <row r="61" customFormat="false" ht="35.05" hidden="false" customHeight="false" outlineLevel="0" collapsed="false">
      <c r="A61" s="47" t="s">
        <v>572</v>
      </c>
      <c r="B61" s="47" t="s">
        <v>570</v>
      </c>
      <c r="C61" s="5" t="s">
        <v>830</v>
      </c>
      <c r="D61" s="6" t="s">
        <v>831</v>
      </c>
      <c r="E61" s="6" t="s">
        <v>655</v>
      </c>
      <c r="F61" s="6" t="s">
        <v>640</v>
      </c>
      <c r="G61" s="6" t="s">
        <v>832</v>
      </c>
      <c r="H61" s="6" t="s">
        <v>657</v>
      </c>
      <c r="I61" s="26" t="n">
        <v>4</v>
      </c>
      <c r="J61" s="26"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61" s="43" t="str">
        <f aca="false">IF(I61=0,"No wiki control",IF(J61=I61,"Fully covered",IF(J61=0,"Not covered","Partly covered")))</f>
        <v>Not covered</v>
      </c>
      <c r="L61" s="9" t="s">
        <v>812</v>
      </c>
    </row>
    <row r="62" customFormat="false" ht="23.85" hidden="false" customHeight="false" outlineLevel="0" collapsed="false">
      <c r="A62" s="47" t="s">
        <v>572</v>
      </c>
      <c r="B62" s="47" t="s">
        <v>570</v>
      </c>
      <c r="C62" s="5" t="s">
        <v>833</v>
      </c>
      <c r="D62" s="6" t="s">
        <v>834</v>
      </c>
      <c r="E62" s="6" t="s">
        <v>835</v>
      </c>
      <c r="F62" s="6" t="s">
        <v>640</v>
      </c>
      <c r="G62" s="6" t="s">
        <v>836</v>
      </c>
      <c r="H62" s="6" t="s">
        <v>642</v>
      </c>
      <c r="I62" s="26" t="n">
        <v>4</v>
      </c>
      <c r="J62" s="26" t="n">
        <f aca="false">COUNTIFS('Control Library'!$A$5:$A$50,"AI-CTRL-011",'Control Library'!$R$5:$R$50,"Implemented")+COUNTIFS('Control Library'!$A$5:$A$50,"AI-CTRL-014",'Control Library'!$R$5:$R$50,"Implemented")+COUNTIFS('Control Library'!$A$5:$A$50,"AI-CTRL-036",'Control Library'!$R$5:$R$50,"Implemented")+COUNTIFS('Control Library'!$A$5:$A$50,"AI-CTRL-037",'Control Library'!$R$5:$R$50,"Implemented")</f>
        <v>0</v>
      </c>
      <c r="K62" s="43" t="str">
        <f aca="false">IF(I62=0,"No wiki control",IF(J62=I62,"Fully covered",IF(J62=0,"Not covered","Partly covered")))</f>
        <v>Not covered</v>
      </c>
      <c r="L62" s="9" t="s">
        <v>812</v>
      </c>
    </row>
    <row r="63" customFormat="false" ht="91" hidden="false" customHeight="false" outlineLevel="0" collapsed="false">
      <c r="A63" s="47" t="s">
        <v>572</v>
      </c>
      <c r="B63" s="47" t="s">
        <v>570</v>
      </c>
      <c r="C63" s="5" t="s">
        <v>837</v>
      </c>
      <c r="D63" s="6" t="s">
        <v>838</v>
      </c>
      <c r="E63" s="6" t="s">
        <v>839</v>
      </c>
      <c r="F63" s="6" t="s">
        <v>640</v>
      </c>
      <c r="G63" s="6" t="s">
        <v>840</v>
      </c>
      <c r="H63" s="6" t="s">
        <v>642</v>
      </c>
      <c r="I63" s="26" t="n">
        <v>20</v>
      </c>
      <c r="J63" s="26" t="n">
        <f aca="false">COUNTIFS('Control Library'!$A$5:$A$50,"AI-CTRL-002",'Control Library'!$R$5:$R$50,"Implemented")+COUNTIFS('Control Library'!$A$5:$A$50,"AI-CTRL-003",'Control Library'!$R$5:$R$50,"Implemented")+COUNTIFS('Control Library'!$A$5:$A$50,"AI-CTRL-005",'Control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Library'!$A$5:$A$50,"AI-CTRL-029",'Control Library'!$R$5:$R$50,"Implemented")+COUNTIFS('Control Library'!$A$5:$A$50,"AI-CTRL-032",'Control Library'!$R$5:$R$50,"Implemented")+COUNTIFS('Control Library'!$A$5:$A$50,"AI-CTRL-037",'Control Library'!$R$5:$R$50,"Implemented")+COUNTIFS('Control Library'!$A$5:$A$50,"AI-CTRL-038",'Control Library'!$R$5:$R$50,"Implemented")+COUNTIFS('Control Library'!$A$5:$A$50,"AI-CTRL-042",'Control Library'!$R$5:$R$50,"Implemented")+COUNTIFS('Control Library'!$A$5:$A$50,"AI-CTRL-043",'Control Library'!$R$5:$R$50,"Implemented")+COUNTIFS('Control Library'!$A$5:$A$50,"AI-CTRL-045",'Control Library'!$R$5:$R$50,"Implemented")</f>
        <v>0</v>
      </c>
      <c r="K63" s="43" t="str">
        <f aca="false">IF(I63=0,"No wiki control",IF(J63=I63,"Fully covered",IF(J63=0,"Not covered","Partly covered")))</f>
        <v>Not covered</v>
      </c>
      <c r="L63" s="9" t="s">
        <v>812</v>
      </c>
    </row>
    <row r="64" customFormat="false" ht="23.85" hidden="false" customHeight="false" outlineLevel="0" collapsed="false">
      <c r="A64" s="47" t="s">
        <v>572</v>
      </c>
      <c r="B64" s="47" t="s">
        <v>570</v>
      </c>
      <c r="C64" s="5" t="s">
        <v>841</v>
      </c>
      <c r="D64" s="6" t="s">
        <v>842</v>
      </c>
      <c r="E64" s="6" t="s">
        <v>670</v>
      </c>
      <c r="F64" s="6" t="s">
        <v>640</v>
      </c>
      <c r="G64" s="6" t="s">
        <v>671</v>
      </c>
      <c r="H64" s="6" t="s">
        <v>642</v>
      </c>
      <c r="I64" s="26" t="n">
        <v>3</v>
      </c>
      <c r="J64" s="26" t="n">
        <f aca="false">COUNTIFS('Control Library'!$A$5:$A$50,"AI-CTRL-017",'Control Library'!$R$5:$R$50,"Implemented")+COUNTIFS('Control Library'!$A$5:$A$50,"AI-CTRL-019",'Control Library'!$R$5:$R$50,"Implemented")+COUNTIFS('Control Library'!$A$5:$A$50,"AI-CTRL-034",'Control Library'!$R$5:$R$50,"Implemented")</f>
        <v>0</v>
      </c>
      <c r="K64" s="43" t="str">
        <f aca="false">IF(I64=0,"No wiki control",IF(J64=I64,"Fully covered",IF(J64=0,"Not covered","Partly covered")))</f>
        <v>Not covered</v>
      </c>
      <c r="L64" s="9" t="s">
        <v>812</v>
      </c>
    </row>
    <row r="65" customFormat="false" ht="46.25" hidden="false" customHeight="false" outlineLevel="0" collapsed="false">
      <c r="A65" s="47" t="s">
        <v>572</v>
      </c>
      <c r="B65" s="47" t="s">
        <v>570</v>
      </c>
      <c r="C65" s="5" t="s">
        <v>843</v>
      </c>
      <c r="D65" s="6" t="s">
        <v>844</v>
      </c>
      <c r="E65" s="6" t="s">
        <v>845</v>
      </c>
      <c r="F65" s="6" t="s">
        <v>640</v>
      </c>
      <c r="G65" s="6" t="s">
        <v>846</v>
      </c>
      <c r="H65" s="6" t="s">
        <v>642</v>
      </c>
      <c r="I65" s="26" t="n">
        <v>10</v>
      </c>
      <c r="J65" s="26" t="n">
        <f aca="false">COUNTIFS('Control Library'!$A$5:$A$50,"AI-CTRL-008",'Control Library'!$R$5:$R$50,"Implemented")+COUNTIFS('Control Library'!$A$5:$A$50,"AI-CTRL-013",'Control Library'!$R$5:$R$50,"Implemented")+COUNTIFS('Control Library'!$A$5:$A$50,"AI-CTRL-017",'Control Library'!$R$5:$R$50,"Implemented")+COUNTIFS('Control Library'!$A$5:$A$50,"AI-CTRL-025",'Control Library'!$R$5:$R$50,"Implemented")+COUNTIFS('Control Library'!$A$5:$A$50,"AI-CTRL-026",'Control Library'!$R$5:$R$50,"Implemented")+COUNTIFS('Control Library'!$A$5:$A$50,"AI-CTRL-027",'Control Library'!$R$5:$R$50,"Implemented")+COUNTIFS('Control Library'!$A$5:$A$50,"AI-CTRL-029",'Control Library'!$R$5:$R$50,"Implemented")+COUNTIFS('Control Library'!$A$5:$A$50,"AI-CTRL-035",'Control Library'!$R$5:$R$50,"Implemented")+COUNTIFS('Control Library'!$A$5:$A$50,"AI-CTRL-038",'Control Library'!$R$5:$R$50,"Implemented")+COUNTIFS('Control Library'!$A$5:$A$50,"AI-CTRL-042",'Control Library'!$R$5:$R$50,"Implemented")</f>
        <v>0</v>
      </c>
      <c r="K65" s="43" t="str">
        <f aca="false">IF(I65=0,"No wiki control",IF(J65=I65,"Fully covered",IF(J65=0,"Not covered","Partly covered")))</f>
        <v>Not covered</v>
      </c>
      <c r="L65" s="9" t="s">
        <v>812</v>
      </c>
    </row>
    <row r="66" customFormat="false" ht="23.85" hidden="false" customHeight="false" outlineLevel="0" collapsed="false">
      <c r="A66" s="47" t="s">
        <v>572</v>
      </c>
      <c r="B66" s="47" t="s">
        <v>570</v>
      </c>
      <c r="C66" s="5" t="s">
        <v>847</v>
      </c>
      <c r="D66" s="6" t="s">
        <v>848</v>
      </c>
      <c r="E66" s="6" t="s">
        <v>404</v>
      </c>
      <c r="F66" s="6" t="s">
        <v>730</v>
      </c>
      <c r="G66" s="6" t="s">
        <v>849</v>
      </c>
      <c r="H66" s="6" t="s">
        <v>657</v>
      </c>
      <c r="I66" s="26" t="n">
        <v>1</v>
      </c>
      <c r="J66" s="26" t="n">
        <f aca="false">COUNTIFS('Control Library'!$A$5:$A$50,"AI-CTRL-029",'Control Library'!$R$5:$R$50,"Implemented")</f>
        <v>0</v>
      </c>
      <c r="K66" s="43" t="str">
        <f aca="false">IF(I66=0,"No wiki control",IF(J66=I66,"Fully covered",IF(J66=0,"Not covered","Partly covered")))</f>
        <v>Not covered</v>
      </c>
      <c r="L66" s="9" t="s">
        <v>812</v>
      </c>
    </row>
    <row r="67" customFormat="false" ht="35.05" hidden="false" customHeight="false" outlineLevel="0" collapsed="false">
      <c r="A67" s="47" t="s">
        <v>572</v>
      </c>
      <c r="B67" s="47" t="s">
        <v>570</v>
      </c>
      <c r="C67" s="5" t="s">
        <v>850</v>
      </c>
      <c r="D67" s="6" t="s">
        <v>851</v>
      </c>
      <c r="E67" s="6" t="s">
        <v>852</v>
      </c>
      <c r="F67" s="6" t="s">
        <v>640</v>
      </c>
      <c r="G67" s="6" t="s">
        <v>853</v>
      </c>
      <c r="H67" s="6" t="s">
        <v>642</v>
      </c>
      <c r="I67" s="26" t="n">
        <v>7</v>
      </c>
      <c r="J67"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67" s="43" t="str">
        <f aca="false">IF(I67=0,"No wiki control",IF(J67=I67,"Fully covered",IF(J67=0,"Not covered","Partly covered")))</f>
        <v>Not covered</v>
      </c>
      <c r="L67" s="9" t="s">
        <v>812</v>
      </c>
    </row>
    <row r="68" customFormat="false" ht="35.05" hidden="false" customHeight="false" outlineLevel="0" collapsed="false">
      <c r="A68" s="47" t="s">
        <v>572</v>
      </c>
      <c r="B68" s="47" t="s">
        <v>570</v>
      </c>
      <c r="C68" s="5" t="s">
        <v>854</v>
      </c>
      <c r="D68" s="6" t="s">
        <v>855</v>
      </c>
      <c r="E68" s="6" t="s">
        <v>856</v>
      </c>
      <c r="F68" s="6" t="s">
        <v>640</v>
      </c>
      <c r="G68" s="6" t="s">
        <v>857</v>
      </c>
      <c r="H68" s="6" t="s">
        <v>642</v>
      </c>
      <c r="I68" s="26" t="n">
        <v>7</v>
      </c>
      <c r="J68" s="26" t="n">
        <f aca="false">COUNTIFS('Control Library'!$A$5:$A$50,"AI-CTRL-033",'Control Library'!$R$5:$R$50,"Implemented")+COUNTIFS('Control Library'!$A$5:$A$50,"AI-CTRL-034",'Control Library'!$R$5:$R$50,"Implemented")+COUNTIFS('Control Library'!$A$5:$A$50,"AI-CTRL-038",'Control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68" s="43" t="str">
        <f aca="false">IF(I68=0,"No wiki control",IF(J68=I68,"Fully covered",IF(J68=0,"Not covered","Partly covered")))</f>
        <v>Not covered</v>
      </c>
      <c r="L68" s="9" t="s">
        <v>812</v>
      </c>
    </row>
    <row r="69" customFormat="false" ht="23.85" hidden="false" customHeight="false" outlineLevel="0" collapsed="false">
      <c r="A69" s="47" t="s">
        <v>572</v>
      </c>
      <c r="B69" s="47" t="s">
        <v>570</v>
      </c>
      <c r="C69" s="5" t="s">
        <v>858</v>
      </c>
      <c r="D69" s="6" t="s">
        <v>859</v>
      </c>
      <c r="E69" s="6" t="s">
        <v>413</v>
      </c>
      <c r="F69" s="6" t="s">
        <v>730</v>
      </c>
      <c r="G69" s="6" t="s">
        <v>399</v>
      </c>
      <c r="H69" s="6" t="s">
        <v>657</v>
      </c>
      <c r="I69" s="26" t="n">
        <v>1</v>
      </c>
      <c r="J69" s="26" t="n">
        <f aca="false">COUNTIFS('Control Library'!$A$5:$A$50,"AI-CTRL-030",'Control Library'!$R$5:$R$50,"Implemented")</f>
        <v>0</v>
      </c>
      <c r="K69" s="43" t="str">
        <f aca="false">IF(I69=0,"No wiki control",IF(J69=I69,"Fully covered",IF(J69=0,"Not covered","Partly covered")))</f>
        <v>Not covered</v>
      </c>
      <c r="L69" s="9" t="s">
        <v>812</v>
      </c>
    </row>
    <row r="70" customFormat="false" ht="23.85" hidden="false" customHeight="false" outlineLevel="0" collapsed="false">
      <c r="A70" s="47" t="s">
        <v>572</v>
      </c>
      <c r="B70" s="47" t="s">
        <v>570</v>
      </c>
      <c r="C70" s="5" t="s">
        <v>860</v>
      </c>
      <c r="D70" s="6" t="s">
        <v>861</v>
      </c>
      <c r="E70" s="6" t="s">
        <v>664</v>
      </c>
      <c r="F70" s="6" t="s">
        <v>640</v>
      </c>
      <c r="G70" s="6" t="s">
        <v>665</v>
      </c>
      <c r="H70" s="6" t="s">
        <v>642</v>
      </c>
      <c r="I70" s="26" t="n">
        <v>3</v>
      </c>
      <c r="J70" s="26" t="n">
        <f aca="false">COUNTIFS('Control Library'!$A$5:$A$50,"AI-CTRL-008",'Control Library'!$R$5:$R$50,"Implemented")+COUNTIFS('Control Library'!$A$5:$A$50,"AI-CTRL-038",'Control Library'!$R$5:$R$50,"Implemented")+COUNTIFS('Control Library'!$A$5:$A$50,"AI-CTRL-041",'Control Library'!$R$5:$R$50,"Implemented")</f>
        <v>0</v>
      </c>
      <c r="K70" s="43" t="str">
        <f aca="false">IF(I70=0,"No wiki control",IF(J70=I70,"Fully covered",IF(J70=0,"Not covered","Partly covered")))</f>
        <v>Not covered</v>
      </c>
      <c r="L70" s="9" t="s">
        <v>812</v>
      </c>
    </row>
    <row r="71" customFormat="false" ht="46.25" hidden="false" customHeight="false" outlineLevel="0" collapsed="false">
      <c r="A71" s="47" t="s">
        <v>572</v>
      </c>
      <c r="B71" s="47" t="s">
        <v>570</v>
      </c>
      <c r="C71" s="5" t="s">
        <v>862</v>
      </c>
      <c r="D71" s="6" t="s">
        <v>863</v>
      </c>
      <c r="E71" s="6" t="s">
        <v>864</v>
      </c>
      <c r="F71" s="6" t="s">
        <v>640</v>
      </c>
      <c r="G71" s="6" t="s">
        <v>865</v>
      </c>
      <c r="H71" s="6" t="s">
        <v>642</v>
      </c>
      <c r="I71" s="26" t="n">
        <v>9</v>
      </c>
      <c r="J71" s="26" t="n">
        <f aca="false">COUNTIFS('Control Library'!$A$5:$A$50,"AI-CTRL-008",'Control Library'!$R$5:$R$50,"Implemented")+COUNTIFS('Control Library'!$A$5:$A$50,"AI-CTRL-009",'Control Library'!$R$5:$R$50,"Implemented")+COUNTIFS('Control Library'!$A$5:$A$50,"AI-CTRL-030",'Control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Library'!$A$5:$A$50,"AI-CTRL-041",'Control Library'!$R$5:$R$50,"Implemented")+COUNTIFS('Control Library'!$A$5:$A$50,"AI-CTRL-043",'Control Library'!$R$5:$R$50,"Implemented")</f>
        <v>0</v>
      </c>
      <c r="K71" s="43" t="str">
        <f aca="false">IF(I71=0,"No wiki control",IF(J71=I71,"Fully covered",IF(J71=0,"Not covered","Partly covered")))</f>
        <v>Not covered</v>
      </c>
      <c r="L71" s="9" t="s">
        <v>812</v>
      </c>
    </row>
    <row r="72" customFormat="false" ht="35.05" hidden="false" customHeight="false" outlineLevel="0" collapsed="false">
      <c r="A72" s="47" t="s">
        <v>572</v>
      </c>
      <c r="B72" s="47" t="s">
        <v>570</v>
      </c>
      <c r="C72" s="5" t="s">
        <v>866</v>
      </c>
      <c r="D72" s="6" t="s">
        <v>867</v>
      </c>
      <c r="E72" s="6" t="s">
        <v>868</v>
      </c>
      <c r="F72" s="6" t="s">
        <v>640</v>
      </c>
      <c r="G72" s="6" t="s">
        <v>869</v>
      </c>
      <c r="H72" s="6" t="s">
        <v>642</v>
      </c>
      <c r="I72" s="26" t="n">
        <v>7</v>
      </c>
      <c r="J72" s="26" t="n">
        <f aca="false">COUNTIFS('Control Library'!$A$5:$A$50,"AI-CTRL-014",'Control Library'!$R$5:$R$50,"Implemented")+COUNTIFS('Control Library'!$A$5:$A$50,"AI-CTRL-017",'Control Library'!$R$5:$R$50,"Implemented")+COUNTIFS('Control Library'!$A$5:$A$50,"AI-CTRL-019",'Control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2" s="43" t="str">
        <f aca="false">IF(I72=0,"No wiki control",IF(J72=I72,"Fully covered",IF(J72=0,"Not covered","Partly covered")))</f>
        <v>Not covered</v>
      </c>
      <c r="L72" s="9" t="s">
        <v>812</v>
      </c>
    </row>
    <row r="73" customFormat="false" ht="46.25" hidden="false" customHeight="false" outlineLevel="0" collapsed="false">
      <c r="A73" s="47" t="s">
        <v>572</v>
      </c>
      <c r="B73" s="47" t="s">
        <v>570</v>
      </c>
      <c r="C73" s="5" t="s">
        <v>870</v>
      </c>
      <c r="D73" s="6" t="s">
        <v>871</v>
      </c>
      <c r="E73" s="6" t="s">
        <v>872</v>
      </c>
      <c r="F73" s="6" t="s">
        <v>640</v>
      </c>
      <c r="G73" s="6" t="s">
        <v>873</v>
      </c>
      <c r="H73" s="6" t="s">
        <v>642</v>
      </c>
      <c r="I73" s="26" t="n">
        <v>9</v>
      </c>
      <c r="J73" s="26" t="n">
        <f aca="false">COUNTIFS('Control Library'!$A$5:$A$50,"AI-CTRL-004",'Control Library'!$R$5:$R$50,"Implemented")+COUNTIFS('Control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Library'!$A$5:$A$50,"AI-CTRL-027",'Control Library'!$R$5:$R$50,"Implemented")</f>
        <v>0</v>
      </c>
      <c r="K73" s="43" t="str">
        <f aca="false">IF(I73=0,"No wiki control",IF(J73=I73,"Fully covered",IF(J73=0,"Not covered","Partly covered")))</f>
        <v>Not covered</v>
      </c>
      <c r="L73" s="9" t="s">
        <v>812</v>
      </c>
    </row>
    <row r="74" customFormat="false" ht="23.85" hidden="false" customHeight="false" outlineLevel="0" collapsed="false">
      <c r="A74" s="47" t="s">
        <v>572</v>
      </c>
      <c r="B74" s="47" t="s">
        <v>570</v>
      </c>
      <c r="C74" s="5" t="s">
        <v>874</v>
      </c>
      <c r="D74" s="6" t="s">
        <v>875</v>
      </c>
      <c r="E74" s="6" t="s">
        <v>876</v>
      </c>
      <c r="F74" s="6" t="s">
        <v>730</v>
      </c>
      <c r="G74" s="6" t="s">
        <v>877</v>
      </c>
      <c r="H74" s="6" t="s">
        <v>642</v>
      </c>
      <c r="I74" s="26" t="n">
        <v>2</v>
      </c>
      <c r="J74" s="26" t="n">
        <f aca="false">COUNTIFS('Control Library'!$A$5:$A$50,"AI-CTRL-019",'Control Library'!$R$5:$R$50,"Implemented")+COUNTIFS('Control Library'!$A$5:$A$50,"AI-CTRL-029",'Control Library'!$R$5:$R$50,"Implemented")</f>
        <v>0</v>
      </c>
      <c r="K74" s="43" t="str">
        <f aca="false">IF(I74=0,"No wiki control",IF(J74=I74,"Fully covered",IF(J74=0,"Not covered","Partly covered")))</f>
        <v>Not covered</v>
      </c>
      <c r="L74" s="9" t="s">
        <v>812</v>
      </c>
    </row>
    <row r="75" customFormat="false" ht="35.05" hidden="false" customHeight="false" outlineLevel="0" collapsed="false">
      <c r="A75" s="47" t="s">
        <v>572</v>
      </c>
      <c r="B75" s="47" t="s">
        <v>570</v>
      </c>
      <c r="C75" s="5" t="s">
        <v>878</v>
      </c>
      <c r="D75" s="6" t="s">
        <v>879</v>
      </c>
      <c r="E75" s="6" t="s">
        <v>880</v>
      </c>
      <c r="F75" s="6" t="s">
        <v>640</v>
      </c>
      <c r="G75" s="6" t="s">
        <v>881</v>
      </c>
      <c r="H75" s="6" t="s">
        <v>642</v>
      </c>
      <c r="I75" s="26" t="n">
        <v>8</v>
      </c>
      <c r="J75" s="26" t="n">
        <f aca="false">COUNTIFS('Control Library'!$A$5:$A$50,"AI-CTRL-005",'Control Library'!$R$5:$R$50,"Implemented")+COUNTIFS('Control Library'!$A$5:$A$50,"AI-CTRL-008",'Control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75" s="43" t="str">
        <f aca="false">IF(I75=0,"No wiki control",IF(J75=I75,"Fully covered",IF(J75=0,"Not covered","Partly covered")))</f>
        <v>Not covered</v>
      </c>
      <c r="L75" s="9" t="s">
        <v>812</v>
      </c>
    </row>
    <row r="76" customFormat="false" ht="57.45" hidden="false" customHeight="false" outlineLevel="0" collapsed="false">
      <c r="A76" s="47" t="s">
        <v>572</v>
      </c>
      <c r="B76" s="47" t="s">
        <v>570</v>
      </c>
      <c r="C76" s="5" t="s">
        <v>882</v>
      </c>
      <c r="D76" s="6" t="s">
        <v>883</v>
      </c>
      <c r="E76" s="6" t="s">
        <v>884</v>
      </c>
      <c r="F76" s="6" t="s">
        <v>640</v>
      </c>
      <c r="G76" s="6" t="s">
        <v>885</v>
      </c>
      <c r="H76" s="6" t="s">
        <v>642</v>
      </c>
      <c r="I76" s="26" t="n">
        <v>13</v>
      </c>
      <c r="J76" s="26" t="n">
        <f aca="false">COUNTIFS('Control Library'!$A$5:$A$50,"AI-CTRL-009",'Control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f>
        <v>0</v>
      </c>
      <c r="K76" s="43" t="str">
        <f aca="false">IF(I76=0,"No wiki control",IF(J76=I76,"Fully covered",IF(J76=0,"Not covered","Partly covered")))</f>
        <v>Not covered</v>
      </c>
      <c r="L76" s="9" t="s">
        <v>812</v>
      </c>
    </row>
    <row r="77" customFormat="false" ht="68.65" hidden="false" customHeight="false" outlineLevel="0" collapsed="false">
      <c r="A77" s="47" t="s">
        <v>572</v>
      </c>
      <c r="B77" s="47" t="s">
        <v>570</v>
      </c>
      <c r="C77" s="5" t="s">
        <v>886</v>
      </c>
      <c r="D77" s="6" t="s">
        <v>887</v>
      </c>
      <c r="E77" s="6" t="s">
        <v>888</v>
      </c>
      <c r="F77" s="6" t="s">
        <v>640</v>
      </c>
      <c r="G77" s="6" t="s">
        <v>889</v>
      </c>
      <c r="H77" s="6" t="s">
        <v>642</v>
      </c>
      <c r="I77" s="26" t="n">
        <v>16</v>
      </c>
      <c r="J77" s="26" t="n">
        <f aca="false">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77" s="43" t="str">
        <f aca="false">IF(I77=0,"No wiki control",IF(J77=I77,"Fully covered",IF(J77=0,"Not covered","Partly covered")))</f>
        <v>Not covered</v>
      </c>
      <c r="L77" s="9" t="s">
        <v>812</v>
      </c>
    </row>
    <row r="78" customFormat="false" ht="57.45" hidden="false" customHeight="false" outlineLevel="0" collapsed="false">
      <c r="A78" s="47" t="s">
        <v>572</v>
      </c>
      <c r="B78" s="47" t="s">
        <v>570</v>
      </c>
      <c r="C78" s="5" t="s">
        <v>890</v>
      </c>
      <c r="D78" s="6" t="s">
        <v>891</v>
      </c>
      <c r="E78" s="6" t="s">
        <v>892</v>
      </c>
      <c r="F78" s="6" t="s">
        <v>640</v>
      </c>
      <c r="G78" s="6" t="s">
        <v>893</v>
      </c>
      <c r="H78" s="6" t="s">
        <v>642</v>
      </c>
      <c r="I78" s="26" t="n">
        <v>11</v>
      </c>
      <c r="J78" s="26" t="n">
        <f aca="false">COUNTIFS('Control Library'!$A$5:$A$50,"AI-CTRL-004",'Control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78" s="43" t="str">
        <f aca="false">IF(I78=0,"No wiki control",IF(J78=I78,"Fully covered",IF(J78=0,"Not covered","Partly covered")))</f>
        <v>Not covered</v>
      </c>
      <c r="L78" s="9" t="s">
        <v>812</v>
      </c>
    </row>
    <row r="79" customFormat="false" ht="35.05" hidden="false" customHeight="false" outlineLevel="0" collapsed="false">
      <c r="A79" s="47" t="s">
        <v>572</v>
      </c>
      <c r="B79" s="47" t="s">
        <v>570</v>
      </c>
      <c r="C79" s="5" t="s">
        <v>894</v>
      </c>
      <c r="D79" s="6" t="s">
        <v>895</v>
      </c>
      <c r="E79" s="6" t="s">
        <v>896</v>
      </c>
      <c r="F79" s="6" t="s">
        <v>640</v>
      </c>
      <c r="G79" s="6" t="s">
        <v>897</v>
      </c>
      <c r="H79" s="6" t="s">
        <v>642</v>
      </c>
      <c r="I79" s="26" t="n">
        <v>7</v>
      </c>
      <c r="J79" s="26"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Library'!$R$5:$R$50,"Implemented")+COUNTIFS('Control Library'!$A$5:$A$50,"AI-CTRL-045",'Control Library'!$R$5:$R$50,"Implemented")</f>
        <v>0</v>
      </c>
      <c r="K79" s="43" t="str">
        <f aca="false">IF(I79=0,"No wiki control",IF(J79=I79,"Fully covered",IF(J79=0,"Not covered","Partly covered")))</f>
        <v>Not covered</v>
      </c>
      <c r="L79" s="9" t="s">
        <v>812</v>
      </c>
    </row>
    <row r="80" customFormat="false" ht="35.05" hidden="false" customHeight="false" outlineLevel="0" collapsed="false">
      <c r="A80" s="47" t="s">
        <v>572</v>
      </c>
      <c r="B80" s="47" t="s">
        <v>570</v>
      </c>
      <c r="C80" s="5" t="s">
        <v>898</v>
      </c>
      <c r="D80" s="6" t="s">
        <v>899</v>
      </c>
      <c r="E80" s="6" t="s">
        <v>900</v>
      </c>
      <c r="F80" s="6" t="s">
        <v>640</v>
      </c>
      <c r="G80" s="6" t="s">
        <v>901</v>
      </c>
      <c r="H80" s="6" t="s">
        <v>642</v>
      </c>
      <c r="I80" s="26" t="n">
        <v>6</v>
      </c>
      <c r="J80" s="26" t="n">
        <f aca="false">COUNTIFS('Control Library'!$A$5:$A$50,"AI-CTRL-034",'Control Library'!$R$5:$R$50,"Implemented")+COUNTIFS('Control Library'!$A$5:$A$50,"AI-CTRL-035",'Control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0" s="43" t="str">
        <f aca="false">IF(I80=0,"No wiki control",IF(J80=I80,"Fully covered",IF(J80=0,"Not covered","Partly covered")))</f>
        <v>Not covered</v>
      </c>
      <c r="L80" s="9" t="s">
        <v>812</v>
      </c>
    </row>
    <row r="81" customFormat="false" ht="23.85" hidden="false" customHeight="false" outlineLevel="0" collapsed="false">
      <c r="A81" s="47" t="s">
        <v>572</v>
      </c>
      <c r="B81" s="47" t="s">
        <v>570</v>
      </c>
      <c r="C81" s="5" t="s">
        <v>902</v>
      </c>
      <c r="D81" s="6" t="s">
        <v>903</v>
      </c>
      <c r="E81" s="6" t="s">
        <v>904</v>
      </c>
      <c r="F81" s="6" t="s">
        <v>640</v>
      </c>
      <c r="G81" s="6" t="s">
        <v>905</v>
      </c>
      <c r="H81" s="6" t="s">
        <v>642</v>
      </c>
      <c r="I81" s="26" t="n">
        <v>5</v>
      </c>
      <c r="J81" s="26" t="n">
        <f aca="false">COUNTIFS('Control Library'!$A$5:$A$50,"AI-CTRL-012",'Control Library'!$R$5:$R$50,"Implemented")+COUNTIFS('Control Library'!$A$5:$A$50,"AI-CTRL-023",'Control Library'!$R$5:$R$50,"Implemented")+COUNTIFS('Control Library'!$A$5:$A$50,"AI-CTRL-039",'Control Library'!$R$5:$R$50,"Implemented")+COUNTIFS('Control Library'!$A$5:$A$50,"AI-CTRL-044",'Control Library'!$R$5:$R$50,"Implemented")+COUNTIFS('Control Library'!$A$5:$A$50,"AI-CTRL-045",'Control Library'!$R$5:$R$50,"Implemented")</f>
        <v>0</v>
      </c>
      <c r="K81" s="43" t="str">
        <f aca="false">IF(I81=0,"No wiki control",IF(J81=I81,"Fully covered",IF(J81=0,"Not covered","Partly covered")))</f>
        <v>Not covered</v>
      </c>
      <c r="L81" s="9" t="s">
        <v>812</v>
      </c>
    </row>
    <row r="82" customFormat="false" ht="23.85" hidden="false" customHeight="false" outlineLevel="0" collapsed="false">
      <c r="A82" s="47" t="s">
        <v>572</v>
      </c>
      <c r="B82" s="47" t="s">
        <v>570</v>
      </c>
      <c r="C82" s="5" t="s">
        <v>906</v>
      </c>
      <c r="D82" s="6" t="s">
        <v>907</v>
      </c>
      <c r="E82" s="6" t="s">
        <v>639</v>
      </c>
      <c r="F82" s="6" t="s">
        <v>640</v>
      </c>
      <c r="G82" s="6" t="s">
        <v>641</v>
      </c>
      <c r="H82" s="6" t="s">
        <v>657</v>
      </c>
      <c r="I82" s="26" t="n">
        <v>4</v>
      </c>
      <c r="J82" s="26"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2" s="43" t="str">
        <f aca="false">IF(I82=0,"No wiki control",IF(J82=I82,"Fully covered",IF(J82=0,"Not covered","Partly covered")))</f>
        <v>Not covered</v>
      </c>
      <c r="L82" s="9" t="s">
        <v>812</v>
      </c>
    </row>
    <row r="83" customFormat="false" ht="46.25" hidden="false" customHeight="false" outlineLevel="0" collapsed="false">
      <c r="A83" s="47" t="s">
        <v>572</v>
      </c>
      <c r="B83" s="47" t="s">
        <v>570</v>
      </c>
      <c r="C83" s="5" t="s">
        <v>908</v>
      </c>
      <c r="D83" s="6" t="s">
        <v>909</v>
      </c>
      <c r="E83" s="6" t="s">
        <v>910</v>
      </c>
      <c r="F83" s="6" t="s">
        <v>640</v>
      </c>
      <c r="G83" s="6" t="s">
        <v>911</v>
      </c>
      <c r="H83" s="6" t="s">
        <v>657</v>
      </c>
      <c r="I83" s="26" t="n">
        <v>10</v>
      </c>
      <c r="J83" s="26" t="n">
        <f aca="false">COUNTIFS('Control Library'!$A$5:$A$50,"AI-CTRL-012",'Control Library'!$R$5:$R$50,"Implemented")+COUNTIFS('Control Library'!$A$5:$A$50,"AI-CTRL-013",'Control Library'!$R$5:$R$50,"Implemented")+COUNTIFS('Control Library'!$A$5:$A$50,"AI-CTRL-014",'Control Library'!$R$5:$R$50,"Implemented")+COUNTIFS('Control Library'!$A$5:$A$50,"AI-CTRL-020",'Control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Library'!$A$5:$A$50,"AI-CTRL-040",'Control Library'!$R$5:$R$50,"Implemented")+COUNTIFS('Control Library'!$A$5:$A$50,"AI-CTRL-045",'Control Library'!$R$5:$R$50,"Implemented")</f>
        <v>0</v>
      </c>
      <c r="K83" s="43" t="str">
        <f aca="false">IF(I83=0,"No wiki control",IF(J83=I83,"Fully covered",IF(J83=0,"Not covered","Partly covered")))</f>
        <v>Not covered</v>
      </c>
      <c r="L83" s="9" t="s">
        <v>812</v>
      </c>
    </row>
    <row r="84" customFormat="false" ht="23.85" hidden="false" customHeight="false" outlineLevel="0" collapsed="false">
      <c r="A84" s="47" t="s">
        <v>572</v>
      </c>
      <c r="B84" s="47" t="s">
        <v>570</v>
      </c>
      <c r="C84" s="5" t="s">
        <v>912</v>
      </c>
      <c r="D84" s="6" t="s">
        <v>913</v>
      </c>
      <c r="E84" s="6" t="s">
        <v>914</v>
      </c>
      <c r="F84" s="6" t="s">
        <v>640</v>
      </c>
      <c r="G84" s="6" t="s">
        <v>915</v>
      </c>
      <c r="H84" s="6" t="s">
        <v>642</v>
      </c>
      <c r="I84" s="26" t="n">
        <v>3</v>
      </c>
      <c r="J84" s="26" t="n">
        <f aca="false">COUNTIFS('Control Library'!$A$5:$A$50,"AI-CTRL-025",'Control Library'!$R$5:$R$50,"Implemented")+COUNTIFS('Control Library'!$A$5:$A$50,"AI-CTRL-036",'Control Library'!$R$5:$R$50,"Implemented")+COUNTIFS('Control Library'!$A$5:$A$50,"AI-CTRL-040",'Control Library'!$R$5:$R$50,"Implemented")</f>
        <v>0</v>
      </c>
      <c r="K84" s="43" t="str">
        <f aca="false">IF(I84=0,"No wiki control",IF(J84=I84,"Fully covered",IF(J84=0,"Not covered","Partly covered")))</f>
        <v>Not covered</v>
      </c>
      <c r="L84" s="9" t="s">
        <v>812</v>
      </c>
    </row>
    <row r="85" customFormat="false" ht="35.05" hidden="false" customHeight="false" outlineLevel="0" collapsed="false">
      <c r="A85" s="47" t="s">
        <v>572</v>
      </c>
      <c r="B85" s="47" t="s">
        <v>570</v>
      </c>
      <c r="C85" s="5" t="s">
        <v>916</v>
      </c>
      <c r="D85" s="6" t="s">
        <v>917</v>
      </c>
      <c r="E85" s="6" t="s">
        <v>646</v>
      </c>
      <c r="F85" s="6" t="s">
        <v>640</v>
      </c>
      <c r="G85" s="6" t="s">
        <v>918</v>
      </c>
      <c r="H85" s="6" t="s">
        <v>642</v>
      </c>
      <c r="I85" s="26" t="n">
        <v>5</v>
      </c>
      <c r="J85" s="26"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85" s="43" t="str">
        <f aca="false">IF(I85=0,"No wiki control",IF(J85=I85,"Fully covered",IF(J85=0,"Not covered","Partly covered")))</f>
        <v>Not covered</v>
      </c>
      <c r="L85" s="9" t="s">
        <v>812</v>
      </c>
    </row>
    <row r="86" customFormat="false" ht="23.85" hidden="false" customHeight="false" outlineLevel="0" collapsed="false">
      <c r="A86" s="47" t="s">
        <v>572</v>
      </c>
      <c r="B86" s="47" t="s">
        <v>570</v>
      </c>
      <c r="C86" s="5" t="s">
        <v>919</v>
      </c>
      <c r="D86" s="6" t="s">
        <v>920</v>
      </c>
      <c r="E86" s="6" t="s">
        <v>921</v>
      </c>
      <c r="F86" s="6" t="s">
        <v>640</v>
      </c>
      <c r="G86" s="6" t="s">
        <v>922</v>
      </c>
      <c r="H86" s="6" t="s">
        <v>642</v>
      </c>
      <c r="I86" s="26" t="n">
        <v>5</v>
      </c>
      <c r="J86" s="26" t="n">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f>
        <v>0</v>
      </c>
      <c r="K86" s="43" t="str">
        <f aca="false">IF(I86=0,"No wiki control",IF(J86=I86,"Fully covered",IF(J86=0,"Not covered","Partly covered")))</f>
        <v>Not covered</v>
      </c>
      <c r="L86" s="9" t="s">
        <v>812</v>
      </c>
    </row>
    <row r="87" customFormat="false" ht="57.45" hidden="false" customHeight="false" outlineLevel="0" collapsed="false">
      <c r="A87" s="47" t="s">
        <v>572</v>
      </c>
      <c r="B87" s="47" t="s">
        <v>570</v>
      </c>
      <c r="C87" s="5" t="s">
        <v>923</v>
      </c>
      <c r="D87" s="6" t="s">
        <v>924</v>
      </c>
      <c r="E87" s="6" t="s">
        <v>925</v>
      </c>
      <c r="F87" s="6" t="s">
        <v>640</v>
      </c>
      <c r="G87" s="6" t="s">
        <v>926</v>
      </c>
      <c r="H87" s="6" t="s">
        <v>642</v>
      </c>
      <c r="I87" s="26" t="n">
        <v>13</v>
      </c>
      <c r="J87" s="26" t="n">
        <f aca="false">COUNTIFS('Control Library'!$A$5:$A$50,"AI-CTRL-001",'Control Library'!$R$5:$R$50,"Implemented")+COUNTIFS('Control Library'!$A$5:$A$50,"AI-CTRL-008",'Control Library'!$R$5:$R$50,"Implemented")+COUNTIFS('Control Library'!$A$5:$A$50,"AI-CTRL-010",'Control Library'!$R$5:$R$50,"Implemented")+COUNTIFS('Control Library'!$A$5:$A$50,"AI-CTRL-011",'Control Library'!$R$5:$R$50,"Implemented")+COUNTIFS('Control Library'!$A$5:$A$50,"AI-CTRL-012",'Control Library'!$R$5:$R$50,"Implemented")+COUNTIFS('Control Library'!$A$5:$A$50,"AI-CTRL-014",'Control Library'!$R$5:$R$50,"Implemented")+COUNTIFS('Control Library'!$A$5:$A$50,"AI-CTRL-030",'Control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Library'!$A$5:$A$50,"AI-CTRL-040",'Control Library'!$R$5:$R$50,"Implemented")+COUNTIFS('Control Library'!$A$5:$A$50,"AI-CTRL-044",'Control Library'!$R$5:$R$50,"Implemented")</f>
        <v>0</v>
      </c>
      <c r="K87" s="43" t="str">
        <f aca="false">IF(I87=0,"No wiki control",IF(J87=I87,"Fully covered",IF(J87=0,"Not covered","Partly covered")))</f>
        <v>Not covered</v>
      </c>
      <c r="L87" s="9" t="s">
        <v>812</v>
      </c>
    </row>
    <row r="88" customFormat="false" ht="35.05" hidden="false" customHeight="false" outlineLevel="0" collapsed="false">
      <c r="A88" s="47" t="s">
        <v>572</v>
      </c>
      <c r="B88" s="47" t="s">
        <v>570</v>
      </c>
      <c r="C88" s="5" t="s">
        <v>927</v>
      </c>
      <c r="D88" s="6" t="s">
        <v>928</v>
      </c>
      <c r="E88" s="6" t="s">
        <v>929</v>
      </c>
      <c r="F88" s="6" t="s">
        <v>640</v>
      </c>
      <c r="G88" s="6" t="s">
        <v>930</v>
      </c>
      <c r="H88" s="6" t="s">
        <v>642</v>
      </c>
      <c r="I88" s="26" t="n">
        <v>6</v>
      </c>
      <c r="J88" s="26" t="n">
        <f aca="false">COUNTIFS('Control Library'!$A$5:$A$50,"AI-CTRL-008",'Control Library'!$R$5:$R$50,"Implemented")+COUNTIFS('Control Library'!$A$5:$A$50,"AI-CTRL-009",'Control Library'!$R$5:$R$50,"Implemented")+COUNTIFS('Control Library'!$A$5:$A$50,"AI-CTRL-015",'Control Library'!$R$5:$R$50,"Implemented")+COUNTIFS('Control Library'!$A$5:$A$50,"AI-CTRL-035",'Control Library'!$R$5:$R$50,"Implemented")+COUNTIFS('Control Library'!$A$5:$A$50,"AI-CTRL-038",'Control Library'!$R$5:$R$50,"Implemented")+COUNTIFS('Control Library'!$A$5:$A$50,"AI-CTRL-043",'Control Library'!$R$5:$R$50,"Implemented")</f>
        <v>0</v>
      </c>
      <c r="K88" s="43" t="str">
        <f aca="false">IF(I88=0,"No wiki control",IF(J88=I88,"Fully covered",IF(J88=0,"Not covered","Partly covered")))</f>
        <v>Not covered</v>
      </c>
      <c r="L88" s="9" t="s">
        <v>812</v>
      </c>
    </row>
    <row r="89" customFormat="false" ht="23.85" hidden="false" customHeight="false" outlineLevel="0" collapsed="false">
      <c r="A89" s="47" t="s">
        <v>572</v>
      </c>
      <c r="B89" s="47" t="s">
        <v>570</v>
      </c>
      <c r="C89" s="5" t="s">
        <v>931</v>
      </c>
      <c r="D89" s="6" t="s">
        <v>932</v>
      </c>
      <c r="E89" s="6" t="s">
        <v>282</v>
      </c>
      <c r="F89" s="6" t="s">
        <v>730</v>
      </c>
      <c r="G89" s="6" t="s">
        <v>933</v>
      </c>
      <c r="H89" s="6" t="s">
        <v>657</v>
      </c>
      <c r="I89" s="26" t="n">
        <v>1</v>
      </c>
      <c r="J89" s="26" t="n">
        <f aca="false">COUNTIFS('Control Library'!$A$5:$A$50,"AI-CTRL-014",'Control Library'!$R$5:$R$50,"Implemented")</f>
        <v>0</v>
      </c>
      <c r="K89" s="43" t="str">
        <f aca="false">IF(I89=0,"No wiki control",IF(J89=I89,"Fully covered",IF(J89=0,"Not covered","Partly covered")))</f>
        <v>Not covered</v>
      </c>
      <c r="L89" s="9" t="s">
        <v>812</v>
      </c>
    </row>
    <row r="90" customFormat="false" ht="35.05" hidden="false" customHeight="false" outlineLevel="0" collapsed="false">
      <c r="A90" s="47" t="s">
        <v>572</v>
      </c>
      <c r="B90" s="47" t="s">
        <v>570</v>
      </c>
      <c r="C90" s="5" t="s">
        <v>934</v>
      </c>
      <c r="D90" s="6" t="s">
        <v>935</v>
      </c>
      <c r="E90" s="6" t="s">
        <v>936</v>
      </c>
      <c r="F90" s="6" t="s">
        <v>640</v>
      </c>
      <c r="G90" s="6" t="s">
        <v>224</v>
      </c>
      <c r="H90" s="6" t="s">
        <v>642</v>
      </c>
      <c r="I90" s="26" t="n">
        <v>6</v>
      </c>
      <c r="J90" s="26" t="n">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f>
        <v>0</v>
      </c>
      <c r="K90" s="43" t="str">
        <f aca="false">IF(I90=0,"No wiki control",IF(J90=I90,"Fully covered",IF(J90=0,"Not covered","Partly covered")))</f>
        <v>Not covered</v>
      </c>
      <c r="L90" s="9" t="s">
        <v>812</v>
      </c>
    </row>
    <row r="91" customFormat="false" ht="46.25" hidden="false" customHeight="false" outlineLevel="0" collapsed="false">
      <c r="A91" s="47" t="s">
        <v>572</v>
      </c>
      <c r="B91" s="47" t="s">
        <v>570</v>
      </c>
      <c r="C91" s="5" t="s">
        <v>937</v>
      </c>
      <c r="D91" s="6" t="s">
        <v>938</v>
      </c>
      <c r="E91" s="6" t="s">
        <v>939</v>
      </c>
      <c r="F91" s="6" t="s">
        <v>640</v>
      </c>
      <c r="G91" s="6" t="s">
        <v>940</v>
      </c>
      <c r="H91" s="6" t="s">
        <v>642</v>
      </c>
      <c r="I91" s="26" t="n">
        <v>10</v>
      </c>
      <c r="J91" s="26"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Library'!$A$5:$A$50,"AI-CTRL-037",'Control Library'!$R$5:$R$50,"Implemented")+COUNTIFS('Control Library'!$A$5:$A$50,"AI-CTRL-042",'Control Library'!$R$5:$R$50,"Implemented")+COUNTIFS('Control Library'!$A$5:$A$50,"AI-CTRL-045",'Control Library'!$R$5:$R$50,"Implemented")+COUNTIFS('Control Library'!$A$5:$A$50,"AI-CTRL-046",'Control Library'!$R$5:$R$50,"Implemented")</f>
        <v>0</v>
      </c>
      <c r="K91" s="43" t="str">
        <f aca="false">IF(I91=0,"No wiki control",IF(J91=I91,"Fully covered",IF(J91=0,"Not covered","Partly covered")))</f>
        <v>Not covered</v>
      </c>
      <c r="L91" s="9" t="s">
        <v>812</v>
      </c>
    </row>
    <row r="92" customFormat="false" ht="35.05" hidden="false" customHeight="false" outlineLevel="0" collapsed="false">
      <c r="A92" s="47" t="s">
        <v>572</v>
      </c>
      <c r="B92" s="47" t="s">
        <v>570</v>
      </c>
      <c r="C92" s="5" t="s">
        <v>941</v>
      </c>
      <c r="D92" s="6" t="s">
        <v>942</v>
      </c>
      <c r="E92" s="6" t="s">
        <v>943</v>
      </c>
      <c r="F92" s="6" t="s">
        <v>640</v>
      </c>
      <c r="G92" s="6" t="s">
        <v>944</v>
      </c>
      <c r="H92" s="6" t="s">
        <v>642</v>
      </c>
      <c r="I92" s="26" t="n">
        <v>7</v>
      </c>
      <c r="J92" s="26" t="n">
        <f aca="false">COUNTIFS('Control Library'!$A$5:$A$50,"AI-CTRL-011",'Control Library'!$R$5:$R$50,"Implemented")+COUNTIFS('Control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92" s="43" t="str">
        <f aca="false">IF(I92=0,"No wiki control",IF(J92=I92,"Fully covered",IF(J92=0,"Not covered","Partly covered")))</f>
        <v>Not covered</v>
      </c>
      <c r="L92" s="9" t="s">
        <v>812</v>
      </c>
    </row>
    <row r="93" customFormat="false" ht="23.85" hidden="false" customHeight="false" outlineLevel="0" collapsed="false">
      <c r="A93" s="47" t="s">
        <v>572</v>
      </c>
      <c r="B93" s="47" t="s">
        <v>570</v>
      </c>
      <c r="C93" s="5" t="s">
        <v>945</v>
      </c>
      <c r="D93" s="6" t="s">
        <v>946</v>
      </c>
      <c r="E93" s="6" t="s">
        <v>947</v>
      </c>
      <c r="F93" s="6" t="s">
        <v>640</v>
      </c>
      <c r="G93" s="6" t="s">
        <v>948</v>
      </c>
      <c r="H93" s="6" t="s">
        <v>642</v>
      </c>
      <c r="I93" s="26" t="n">
        <v>5</v>
      </c>
      <c r="J93" s="26" t="n">
        <f aca="false">COUNTIFS('Control Library'!$A$5:$A$50,"AI-CTRL-011",'Control Library'!$R$5:$R$50,"Implemented")+COUNTIFS('Control Library'!$A$5:$A$50,"AI-CTRL-014",'Control Library'!$R$5:$R$50,"Implemented")+COUNTIFS('Control Library'!$A$5:$A$50,"AI-CTRL-031",'Control Library'!$R$5:$R$50,"Implemented")+COUNTIFS('Control Library'!$A$5:$A$50,"AI-CTRL-034",'Control Library'!$R$5:$R$50,"Implemented")+COUNTIFS('Control Library'!$A$5:$A$50,"AI-CTRL-040",'Control Library'!$R$5:$R$50,"Implemented")</f>
        <v>0</v>
      </c>
      <c r="K93" s="43" t="str">
        <f aca="false">IF(I93=0,"No wiki control",IF(J93=I93,"Fully covered",IF(J93=0,"Not covered","Partly covered")))</f>
        <v>Not covered</v>
      </c>
      <c r="L93" s="9" t="s">
        <v>812</v>
      </c>
    </row>
    <row r="94" customFormat="false" ht="23.85" hidden="false" customHeight="false" outlineLevel="0" collapsed="false">
      <c r="A94" s="47" t="s">
        <v>572</v>
      </c>
      <c r="B94" s="47" t="s">
        <v>570</v>
      </c>
      <c r="C94" s="5" t="s">
        <v>949</v>
      </c>
      <c r="D94" s="6" t="s">
        <v>950</v>
      </c>
      <c r="E94" s="6" t="s">
        <v>951</v>
      </c>
      <c r="F94" s="6" t="s">
        <v>640</v>
      </c>
      <c r="G94" s="6" t="s">
        <v>952</v>
      </c>
      <c r="H94" s="6" t="s">
        <v>642</v>
      </c>
      <c r="I94" s="26" t="n">
        <v>3</v>
      </c>
      <c r="J94" s="26" t="n">
        <f aca="false">COUNTIFS('Control Library'!$A$5:$A$50,"AI-CTRL-014",'Control Library'!$R$5:$R$50,"Implemented")+COUNTIFS('Control Library'!$A$5:$A$50,"AI-CTRL-031",'Control Library'!$R$5:$R$50,"Implemented")+COUNTIFS('Control Library'!$A$5:$A$50,"AI-CTRL-040",'Control Library'!$R$5:$R$50,"Implemented")</f>
        <v>0</v>
      </c>
      <c r="K94" s="43" t="str">
        <f aca="false">IF(I94=0,"No wiki control",IF(J94=I94,"Fully covered",IF(J94=0,"Not covered","Partly covered")))</f>
        <v>Not covered</v>
      </c>
      <c r="L94" s="9" t="s">
        <v>812</v>
      </c>
    </row>
    <row r="95" customFormat="false" ht="57.45" hidden="false" customHeight="false" outlineLevel="0" collapsed="false">
      <c r="A95" s="47" t="s">
        <v>572</v>
      </c>
      <c r="B95" s="47" t="s">
        <v>570</v>
      </c>
      <c r="C95" s="5" t="s">
        <v>953</v>
      </c>
      <c r="D95" s="6" t="s">
        <v>954</v>
      </c>
      <c r="E95" s="6" t="s">
        <v>955</v>
      </c>
      <c r="F95" s="6" t="s">
        <v>640</v>
      </c>
      <c r="G95" s="6" t="s">
        <v>956</v>
      </c>
      <c r="H95" s="6" t="s">
        <v>642</v>
      </c>
      <c r="I95" s="26" t="n">
        <v>11</v>
      </c>
      <c r="J95" s="26"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f>
        <v>0</v>
      </c>
      <c r="K95" s="43" t="str">
        <f aca="false">IF(I95=0,"No wiki control",IF(J95=I95,"Fully covered",IF(J95=0,"Not covered","Partly covered")))</f>
        <v>Not covered</v>
      </c>
      <c r="L95" s="9" t="s">
        <v>812</v>
      </c>
    </row>
    <row r="96" customFormat="false" ht="23.85" hidden="false" customHeight="false" outlineLevel="0" collapsed="false">
      <c r="A96" s="47" t="s">
        <v>572</v>
      </c>
      <c r="B96" s="47" t="s">
        <v>570</v>
      </c>
      <c r="C96" s="5" t="s">
        <v>957</v>
      </c>
      <c r="D96" s="6" t="s">
        <v>958</v>
      </c>
      <c r="E96" s="6" t="s">
        <v>282</v>
      </c>
      <c r="F96" s="6" t="s">
        <v>730</v>
      </c>
      <c r="G96" s="6" t="s">
        <v>959</v>
      </c>
      <c r="H96" s="6" t="s">
        <v>657</v>
      </c>
      <c r="I96" s="26" t="n">
        <v>1</v>
      </c>
      <c r="J96" s="26" t="n">
        <f aca="false">COUNTIFS('Control Library'!$A$5:$A$50,"AI-CTRL-014",'Control Library'!$R$5:$R$50,"Implemented")</f>
        <v>0</v>
      </c>
      <c r="K96" s="43" t="str">
        <f aca="false">IF(I96=0,"No wiki control",IF(J96=I96,"Fully covered",IF(J96=0,"Not covered","Partly covered")))</f>
        <v>Not covered</v>
      </c>
      <c r="L96" s="9" t="s">
        <v>812</v>
      </c>
    </row>
    <row r="97" customFormat="false" ht="35.05" hidden="false" customHeight="false" outlineLevel="0" collapsed="false">
      <c r="A97" s="47" t="s">
        <v>572</v>
      </c>
      <c r="B97" s="47" t="s">
        <v>570</v>
      </c>
      <c r="C97" s="5" t="s">
        <v>960</v>
      </c>
      <c r="D97" s="6" t="s">
        <v>961</v>
      </c>
      <c r="E97" s="6" t="s">
        <v>962</v>
      </c>
      <c r="F97" s="6" t="s">
        <v>640</v>
      </c>
      <c r="G97" s="6" t="s">
        <v>963</v>
      </c>
      <c r="H97" s="6" t="s">
        <v>642</v>
      </c>
      <c r="I97" s="26" t="n">
        <v>3</v>
      </c>
      <c r="J97" s="26" t="n">
        <f aca="false">COUNTIFS('Control Library'!$A$5:$A$50,"AI-CTRL-040",'Control Library'!$R$5:$R$50,"Implemented")+COUNTIFS('Control Library'!$A$5:$A$50,"AI-CTRL-044",'Control Library'!$R$5:$R$50,"Implemented")+COUNTIFS('Control Library'!$A$5:$A$50,"AI-CTRL-045",'Control Library'!$R$5:$R$50,"Implemented")</f>
        <v>0</v>
      </c>
      <c r="K97" s="43" t="str">
        <f aca="false">IF(I97=0,"No wiki control",IF(J97=I97,"Fully covered",IF(J97=0,"Not covered","Partly covered")))</f>
        <v>Not covered</v>
      </c>
      <c r="L97" s="9" t="s">
        <v>812</v>
      </c>
    </row>
    <row r="98" customFormat="false" ht="23.85" hidden="false" customHeight="false" outlineLevel="0" collapsed="false">
      <c r="A98" s="47" t="s">
        <v>572</v>
      </c>
      <c r="B98" s="47" t="s">
        <v>570</v>
      </c>
      <c r="C98" s="5" t="s">
        <v>964</v>
      </c>
      <c r="D98" s="6" t="s">
        <v>965</v>
      </c>
      <c r="E98" s="6" t="s">
        <v>966</v>
      </c>
      <c r="F98" s="6" t="s">
        <v>640</v>
      </c>
      <c r="G98" s="6" t="s">
        <v>967</v>
      </c>
      <c r="H98" s="6" t="s">
        <v>642</v>
      </c>
      <c r="I98" s="26" t="n">
        <v>4</v>
      </c>
      <c r="J98" s="26" t="n">
        <f aca="false">COUNTIFS('Control Library'!$A$5:$A$50,"AI-CTRL-012",'Control Library'!$R$5:$R$50,"Implemented")+COUNTIFS('Control Library'!$A$5:$A$50,"AI-CTRL-040",'Control Library'!$R$5:$R$50,"Implemented")+COUNTIFS('Control Library'!$A$5:$A$50,"AI-CTRL-044",'Control Library'!$R$5:$R$50,"Implemented")+COUNTIFS('Control Library'!$A$5:$A$50,"AI-CTRL-045",'Control Library'!$R$5:$R$50,"Implemented")</f>
        <v>0</v>
      </c>
      <c r="K98" s="43" t="str">
        <f aca="false">IF(I98=0,"No wiki control",IF(J98=I98,"Fully covered",IF(J98=0,"Not covered","Partly covered")))</f>
        <v>Not covered</v>
      </c>
      <c r="L98" s="9" t="s">
        <v>812</v>
      </c>
    </row>
    <row r="99" customFormat="false" ht="23.85" hidden="false" customHeight="false" outlineLevel="0" collapsed="false">
      <c r="A99" s="47" t="s">
        <v>572</v>
      </c>
      <c r="B99" s="47" t="s">
        <v>570</v>
      </c>
      <c r="C99" s="5" t="s">
        <v>968</v>
      </c>
      <c r="D99" s="6" t="s">
        <v>969</v>
      </c>
      <c r="E99" s="6" t="s">
        <v>513</v>
      </c>
      <c r="F99" s="6" t="s">
        <v>730</v>
      </c>
      <c r="G99" s="6" t="s">
        <v>970</v>
      </c>
      <c r="H99" s="6" t="s">
        <v>657</v>
      </c>
      <c r="I99" s="26" t="n">
        <v>1</v>
      </c>
      <c r="J99" s="26" t="n">
        <f aca="false">COUNTIFS('Control Library'!$A$5:$A$50,"AI-CTRL-042",'Control Library'!$R$5:$R$50,"Implemented")</f>
        <v>0</v>
      </c>
      <c r="K99" s="43" t="str">
        <f aca="false">IF(I99=0,"No wiki control",IF(J99=I99,"Fully covered",IF(J99=0,"Not covered","Partly covered")))</f>
        <v>Not covered</v>
      </c>
      <c r="L99" s="9" t="s">
        <v>812</v>
      </c>
    </row>
    <row r="100" customFormat="false" ht="23.85" hidden="false" customHeight="false" outlineLevel="0" collapsed="false">
      <c r="A100" s="47" t="s">
        <v>572</v>
      </c>
      <c r="B100" s="47" t="s">
        <v>570</v>
      </c>
      <c r="C100" s="5" t="s">
        <v>971</v>
      </c>
      <c r="D100" s="6" t="s">
        <v>972</v>
      </c>
      <c r="E100" s="6" t="s">
        <v>973</v>
      </c>
      <c r="F100" s="6" t="s">
        <v>640</v>
      </c>
      <c r="G100" s="6" t="s">
        <v>974</v>
      </c>
      <c r="H100" s="6" t="s">
        <v>642</v>
      </c>
      <c r="I100" s="26" t="n">
        <v>2</v>
      </c>
      <c r="J100" s="26" t="n">
        <f aca="false">COUNTIFS('Control Library'!$A$5:$A$50,"AI-CTRL-012",'Control Library'!$R$5:$R$50,"Implemented")+COUNTIFS('Control Library'!$A$5:$A$50,"AI-CTRL-044",'Control Library'!$R$5:$R$50,"Implemented")</f>
        <v>0</v>
      </c>
      <c r="K100" s="43" t="str">
        <f aca="false">IF(I100=0,"No wiki control",IF(J100=I100,"Fully covered",IF(J100=0,"Not covered","Partly covered")))</f>
        <v>Not covered</v>
      </c>
      <c r="L100" s="9" t="s">
        <v>812</v>
      </c>
    </row>
    <row r="101" customFormat="false" ht="23.85" hidden="false" customHeight="false" outlineLevel="0" collapsed="false">
      <c r="A101" s="47" t="s">
        <v>572</v>
      </c>
      <c r="B101" s="47" t="s">
        <v>570</v>
      </c>
      <c r="C101" s="5" t="s">
        <v>975</v>
      </c>
      <c r="D101" s="6" t="s">
        <v>976</v>
      </c>
      <c r="E101" s="6" t="s">
        <v>977</v>
      </c>
      <c r="F101" s="6" t="s">
        <v>640</v>
      </c>
      <c r="G101" s="6" t="s">
        <v>978</v>
      </c>
      <c r="H101" s="6" t="s">
        <v>642</v>
      </c>
      <c r="I101" s="26" t="n">
        <v>4</v>
      </c>
      <c r="J101" s="26" t="n">
        <f aca="false">COUNTIFS('Control Library'!$A$5:$A$50,"AI-CTRL-014",'Control Library'!$R$5:$R$50,"Implemented")+COUNTIFS('Control Library'!$A$5:$A$50,"AI-CTRL-025",'Control Library'!$R$5:$R$50,"Implemented")+COUNTIFS('Control Library'!$A$5:$A$50,"AI-CTRL-036",'Control Library'!$R$5:$R$50,"Implemented")+COUNTIFS('Control Library'!$A$5:$A$50,"AI-CTRL-037",'Control Library'!$R$5:$R$50,"Implemented")</f>
        <v>0</v>
      </c>
      <c r="K101" s="43" t="str">
        <f aca="false">IF(I101=0,"No wiki control",IF(J101=I101,"Fully covered",IF(J101=0,"Not covered","Partly covered")))</f>
        <v>Not covered</v>
      </c>
      <c r="L101" s="9" t="s">
        <v>812</v>
      </c>
    </row>
    <row r="102" customFormat="false" ht="23.85" hidden="false" customHeight="false" outlineLevel="0" collapsed="false">
      <c r="A102" s="47" t="s">
        <v>572</v>
      </c>
      <c r="B102" s="47" t="s">
        <v>570</v>
      </c>
      <c r="C102" s="5" t="s">
        <v>979</v>
      </c>
      <c r="D102" s="6" t="s">
        <v>980</v>
      </c>
      <c r="E102" s="6" t="s">
        <v>981</v>
      </c>
      <c r="F102" s="6" t="s">
        <v>640</v>
      </c>
      <c r="G102" s="6" t="s">
        <v>982</v>
      </c>
      <c r="H102" s="6" t="s">
        <v>642</v>
      </c>
      <c r="I102" s="26" t="n">
        <v>3</v>
      </c>
      <c r="J102" s="26" t="n">
        <f aca="false">COUNTIFS('Control Library'!$A$5:$A$50,"AI-CTRL-014",'Control Library'!$R$5:$R$50,"Implemented")+COUNTIFS('Control Library'!$A$5:$A$50,"AI-CTRL-036",'Control Library'!$R$5:$R$50,"Implemented")+COUNTIFS('Control Library'!$A$5:$A$50,"AI-CTRL-037",'Control Library'!$R$5:$R$50,"Implemented")</f>
        <v>0</v>
      </c>
      <c r="K102" s="43" t="str">
        <f aca="false">IF(I102=0,"No wiki control",IF(J102=I102,"Fully covered",IF(J102=0,"Not covered","Partly covered")))</f>
        <v>Not covered</v>
      </c>
      <c r="L102" s="9" t="s">
        <v>812</v>
      </c>
    </row>
    <row r="103" customFormat="false" ht="35.05" hidden="false" customHeight="false" outlineLevel="0" collapsed="false">
      <c r="A103" s="47" t="s">
        <v>572</v>
      </c>
      <c r="B103" s="47" t="s">
        <v>570</v>
      </c>
      <c r="C103" s="5" t="s">
        <v>983</v>
      </c>
      <c r="D103" s="6" t="s">
        <v>984</v>
      </c>
      <c r="E103" s="6" t="s">
        <v>951</v>
      </c>
      <c r="F103" s="6" t="s">
        <v>640</v>
      </c>
      <c r="G103" s="6" t="s">
        <v>985</v>
      </c>
      <c r="H103" s="6" t="s">
        <v>642</v>
      </c>
      <c r="I103" s="26" t="n">
        <v>3</v>
      </c>
      <c r="J103" s="26" t="n">
        <f aca="false">COUNTIFS('Control Library'!$A$5:$A$50,"AI-CTRL-014",'Control Library'!$R$5:$R$50,"Implemented")+COUNTIFS('Control Library'!$A$5:$A$50,"AI-CTRL-031",'Control Library'!$R$5:$R$50,"Implemented")+COUNTIFS('Control Library'!$A$5:$A$50,"AI-CTRL-040",'Control Library'!$R$5:$R$50,"Implemented")</f>
        <v>0</v>
      </c>
      <c r="K103" s="43" t="str">
        <f aca="false">IF(I103=0,"No wiki control",IF(J103=I103,"Fully covered",IF(J103=0,"Not covered","Partly covered")))</f>
        <v>Not covered</v>
      </c>
      <c r="L103" s="9" t="s">
        <v>812</v>
      </c>
    </row>
    <row r="104" customFormat="false" ht="79.85" hidden="false" customHeight="false" outlineLevel="0" collapsed="false">
      <c r="A104" s="47" t="s">
        <v>572</v>
      </c>
      <c r="B104" s="47" t="s">
        <v>570</v>
      </c>
      <c r="C104" s="5" t="s">
        <v>986</v>
      </c>
      <c r="D104" s="6" t="s">
        <v>987</v>
      </c>
      <c r="E104" s="6" t="s">
        <v>988</v>
      </c>
      <c r="F104" s="6" t="s">
        <v>640</v>
      </c>
      <c r="G104" s="6" t="s">
        <v>989</v>
      </c>
      <c r="H104" s="6" t="s">
        <v>642</v>
      </c>
      <c r="I104" s="26" t="n">
        <v>17</v>
      </c>
      <c r="J104" s="26" t="n">
        <f aca="false">COUNTIFS('Control Library'!$A$5:$A$50,"AI-CTRL-006",'Control Library'!$R$5:$R$50,"Implemented")+COUNTIFS('Control Library'!$A$5:$A$50,"AI-CTRL-008",'Control Library'!$R$5:$R$50,"Implemented")+COUNTIFS('Control Library'!$A$5:$A$50,"AI-CTRL-009",'Control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Library'!$A$5:$A$50,"AI-CTRL-043",'Control Library'!$R$5:$R$50,"Implemented")+COUNTIFS('Control Library'!$A$5:$A$50,"AI-CTRL-045",'Control Library'!$R$5:$R$50,"Implemented")</f>
        <v>0</v>
      </c>
      <c r="K104" s="43" t="str">
        <f aca="false">IF(I104=0,"No wiki control",IF(J104=I104,"Fully covered",IF(J104=0,"Not covered","Partly covered")))</f>
        <v>Not covered</v>
      </c>
      <c r="L104" s="9" t="s">
        <v>812</v>
      </c>
    </row>
    <row r="105" customFormat="false" ht="68.65" hidden="false" customHeight="false" outlineLevel="0" collapsed="false">
      <c r="A105" s="47" t="s">
        <v>572</v>
      </c>
      <c r="B105" s="47" t="s">
        <v>570</v>
      </c>
      <c r="C105" s="5" t="s">
        <v>990</v>
      </c>
      <c r="D105" s="6" t="s">
        <v>991</v>
      </c>
      <c r="E105" s="6" t="s">
        <v>992</v>
      </c>
      <c r="F105" s="6" t="s">
        <v>640</v>
      </c>
      <c r="G105" s="6" t="s">
        <v>359</v>
      </c>
      <c r="H105" s="6" t="s">
        <v>642</v>
      </c>
      <c r="I105" s="26" t="n">
        <v>14</v>
      </c>
      <c r="J105" s="26" t="n">
        <f aca="false">COUNTIFS('Control Library'!$A$5:$A$50,"AI-CTRL-006",'Control Library'!$R$5:$R$50,"Implemented")+COUNTIFS('Control Library'!$A$5:$A$50,"AI-CTRL-012",'Control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Library'!$A$5:$A$50,"AI-CTRL-044",'Control Library'!$R$5:$R$50,"Implemented")+COUNTIFS('Control Library'!$A$5:$A$50,"AI-CTRL-045",'Control Library'!$R$5:$R$50,"Implemented")</f>
        <v>0</v>
      </c>
      <c r="K105" s="43" t="str">
        <f aca="false">IF(I105=0,"No wiki control",IF(J105=I105,"Fully covered",IF(J105=0,"Not covered","Partly covered")))</f>
        <v>Not covered</v>
      </c>
      <c r="L105" s="9" t="s">
        <v>812</v>
      </c>
    </row>
    <row r="106" customFormat="false" ht="23.85" hidden="false" customHeight="false" outlineLevel="0" collapsed="false">
      <c r="A106" s="47" t="s">
        <v>572</v>
      </c>
      <c r="B106" s="47" t="s">
        <v>570</v>
      </c>
      <c r="C106" s="5" t="s">
        <v>993</v>
      </c>
      <c r="D106" s="6" t="s">
        <v>994</v>
      </c>
      <c r="E106" s="6" t="s">
        <v>717</v>
      </c>
      <c r="F106" s="6" t="s">
        <v>640</v>
      </c>
      <c r="G106" s="6" t="s">
        <v>718</v>
      </c>
      <c r="H106" s="6" t="s">
        <v>642</v>
      </c>
      <c r="I106" s="26" t="n">
        <v>3</v>
      </c>
      <c r="J106" s="26" t="n">
        <f aca="false">COUNTIFS('Control Library'!$A$5:$A$50,"AI-CTRL-025",'Control Library'!$R$5:$R$50,"Implemented")+COUNTIFS('Control Library'!$A$5:$A$50,"AI-CTRL-026",'Control Library'!$R$5:$R$50,"Implemented")+COUNTIFS('Control Library'!$A$5:$A$50,"AI-CTRL-027",'Control Library'!$R$5:$R$50,"Implemented")</f>
        <v>0</v>
      </c>
      <c r="K106" s="43" t="str">
        <f aca="false">IF(I106=0,"No wiki control",IF(J106=I106,"Fully covered",IF(J106=0,"Not covered","Partly covered")))</f>
        <v>Not covered</v>
      </c>
      <c r="L106" s="9" t="s">
        <v>812</v>
      </c>
    </row>
    <row r="107" customFormat="false" ht="23.85" hidden="false" customHeight="false" outlineLevel="0" collapsed="false">
      <c r="A107" s="47" t="s">
        <v>572</v>
      </c>
      <c r="B107" s="47" t="s">
        <v>570</v>
      </c>
      <c r="C107" s="5" t="s">
        <v>995</v>
      </c>
      <c r="D107" s="6" t="s">
        <v>996</v>
      </c>
      <c r="E107" s="6" t="s">
        <v>678</v>
      </c>
      <c r="F107" s="6" t="s">
        <v>640</v>
      </c>
      <c r="G107" s="6" t="s">
        <v>679</v>
      </c>
      <c r="H107" s="6" t="s">
        <v>642</v>
      </c>
      <c r="I107" s="26" t="n">
        <v>4</v>
      </c>
      <c r="J107" s="26"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07" s="43" t="str">
        <f aca="false">IF(I107=0,"No wiki control",IF(J107=I107,"Fully covered",IF(J107=0,"Not covered","Partly covered")))</f>
        <v>Not covered</v>
      </c>
      <c r="L107" s="9" t="s">
        <v>812</v>
      </c>
    </row>
    <row r="108" customFormat="false" ht="68.65" hidden="false" customHeight="false" outlineLevel="0" collapsed="false">
      <c r="A108" s="47" t="s">
        <v>572</v>
      </c>
      <c r="B108" s="47" t="s">
        <v>570</v>
      </c>
      <c r="C108" s="5" t="s">
        <v>997</v>
      </c>
      <c r="D108" s="6" t="s">
        <v>998</v>
      </c>
      <c r="E108" s="6" t="s">
        <v>999</v>
      </c>
      <c r="F108" s="6" t="s">
        <v>640</v>
      </c>
      <c r="G108" s="6" t="s">
        <v>1000</v>
      </c>
      <c r="H108" s="6" t="s">
        <v>642</v>
      </c>
      <c r="I108" s="26" t="n">
        <v>14</v>
      </c>
      <c r="J108" s="26" t="n">
        <f aca="false">COUNTIFS('Control Library'!$A$5:$A$50,"AI-CTRL-004",'Control Library'!$R$5:$R$50,"Implemented")+COUNTIFS('Control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Library'!$A$5:$A$50,"AI-CTRL-031",'Control Library'!$R$5:$R$50,"Implemented")+COUNTIFS('Control Library'!$A$5:$A$50,"AI-CTRL-033",'Control Library'!$R$5:$R$50,"Implemented")+COUNTIFS('Control Library'!$A$5:$A$50,"AI-CTRL-034",'Control Library'!$R$5:$R$50,"Implemented")+COUNTIFS('Control Library'!$A$5:$A$50,"AI-CTRL-045",'Control Library'!$R$5:$R$50,"Implemented")</f>
        <v>0</v>
      </c>
      <c r="K108" s="43" t="str">
        <f aca="false">IF(I108=0,"No wiki control",IF(J108=I108,"Fully covered",IF(J108=0,"Not covered","Partly covered")))</f>
        <v>Not covered</v>
      </c>
      <c r="L108" s="9" t="s">
        <v>812</v>
      </c>
    </row>
    <row r="109" customFormat="false" ht="23.85" hidden="false" customHeight="false" outlineLevel="0" collapsed="false">
      <c r="A109" s="47" t="s">
        <v>573</v>
      </c>
      <c r="B109" s="47" t="s">
        <v>570</v>
      </c>
      <c r="C109" s="5" t="s">
        <v>1001</v>
      </c>
      <c r="D109" s="6" t="s">
        <v>1002</v>
      </c>
      <c r="E109" s="6" t="s">
        <v>1003</v>
      </c>
      <c r="F109" s="6" t="s">
        <v>730</v>
      </c>
      <c r="G109" s="6" t="s">
        <v>1004</v>
      </c>
      <c r="H109" s="6"/>
      <c r="I109" s="26" t="n">
        <v>4</v>
      </c>
      <c r="J109"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f>
        <v>0</v>
      </c>
      <c r="K109" s="43" t="str">
        <f aca="false">IF(I109=0,"No wiki control",IF(J109=I109,"Fully covered",IF(J109=0,"Not covered","Partly covered")))</f>
        <v>Not covered</v>
      </c>
      <c r="L109" s="9" t="s">
        <v>1005</v>
      </c>
    </row>
    <row r="110" customFormat="false" ht="23.85" hidden="false" customHeight="false" outlineLevel="0" collapsed="false">
      <c r="A110" s="47" t="s">
        <v>573</v>
      </c>
      <c r="B110" s="47" t="s">
        <v>570</v>
      </c>
      <c r="C110" s="5" t="s">
        <v>1006</v>
      </c>
      <c r="D110" s="6" t="s">
        <v>263</v>
      </c>
      <c r="E110" s="6" t="s">
        <v>263</v>
      </c>
      <c r="F110" s="6" t="s">
        <v>730</v>
      </c>
      <c r="G110" s="6" t="s">
        <v>266</v>
      </c>
      <c r="H110" s="6"/>
      <c r="I110" s="26" t="n">
        <v>1</v>
      </c>
      <c r="J110" s="26" t="n">
        <f aca="false">COUNTIFS('Control Library'!$A$5:$A$50,"AI-CTRL-012",'Control Library'!$R$5:$R$50,"Implemented")</f>
        <v>0</v>
      </c>
      <c r="K110" s="43" t="str">
        <f aca="false">IF(I110=0,"No wiki control",IF(J110=I110,"Fully covered",IF(J110=0,"Not covered","Partly covered")))</f>
        <v>Not covered</v>
      </c>
      <c r="L110" s="9" t="s">
        <v>1005</v>
      </c>
    </row>
    <row r="111" customFormat="false" ht="23.85" hidden="false" customHeight="false" outlineLevel="0" collapsed="false">
      <c r="A111" s="47" t="s">
        <v>573</v>
      </c>
      <c r="B111" s="47" t="s">
        <v>570</v>
      </c>
      <c r="C111" s="5" t="s">
        <v>1007</v>
      </c>
      <c r="D111" s="6" t="s">
        <v>1008</v>
      </c>
      <c r="E111" s="6" t="s">
        <v>826</v>
      </c>
      <c r="F111" s="6" t="s">
        <v>730</v>
      </c>
      <c r="G111" s="6" t="s">
        <v>473</v>
      </c>
      <c r="H111" s="6"/>
      <c r="I111" s="26" t="n">
        <v>2</v>
      </c>
      <c r="J111" s="26" t="n">
        <f aca="false">COUNTIFS('Control Library'!$A$5:$A$50,"AI-CTRL-011",'Control Library'!$R$5:$R$50,"Implemented")+COUNTIFS('Control Library'!$A$5:$A$50,"AI-CTRL-037",'Control Library'!$R$5:$R$50,"Implemented")</f>
        <v>0</v>
      </c>
      <c r="K111" s="43" t="str">
        <f aca="false">IF(I111=0,"No wiki control",IF(J111=I111,"Fully covered",IF(J111=0,"Not covered","Partly covered")))</f>
        <v>Not covered</v>
      </c>
      <c r="L111" s="9" t="s">
        <v>1005</v>
      </c>
    </row>
    <row r="112" customFormat="false" ht="23.85" hidden="false" customHeight="false" outlineLevel="0" collapsed="false">
      <c r="A112" s="47" t="s">
        <v>573</v>
      </c>
      <c r="B112" s="47" t="s">
        <v>570</v>
      </c>
      <c r="C112" s="5" t="s">
        <v>1009</v>
      </c>
      <c r="D112" s="6" t="s">
        <v>1010</v>
      </c>
      <c r="E112" s="6" t="s">
        <v>1011</v>
      </c>
      <c r="F112" s="6" t="s">
        <v>730</v>
      </c>
      <c r="G112" s="6" t="s">
        <v>1012</v>
      </c>
      <c r="H112" s="6"/>
      <c r="I112" s="26" t="n">
        <v>2</v>
      </c>
      <c r="J112" s="26" t="n">
        <f aca="false">COUNTIFS('Control Library'!$A$5:$A$50,"AI-CTRL-010",'Control Library'!$R$5:$R$50,"Implemented")+COUNTIFS('Control Library'!$A$5:$A$50,"AI-CTRL-012",'Control Library'!$R$5:$R$50,"Implemented")</f>
        <v>0</v>
      </c>
      <c r="K112" s="43" t="str">
        <f aca="false">IF(I112=0,"No wiki control",IF(J112=I112,"Fully covered",IF(J112=0,"Not covered","Partly covered")))</f>
        <v>Not covered</v>
      </c>
      <c r="L112" s="9" t="s">
        <v>1005</v>
      </c>
    </row>
    <row r="113" customFormat="false" ht="23.85" hidden="false" customHeight="false" outlineLevel="0" collapsed="false">
      <c r="A113" s="47" t="s">
        <v>573</v>
      </c>
      <c r="B113" s="47" t="s">
        <v>570</v>
      </c>
      <c r="C113" s="5" t="s">
        <v>1013</v>
      </c>
      <c r="D113" s="6" t="s">
        <v>478</v>
      </c>
      <c r="E113" s="6" t="s">
        <v>478</v>
      </c>
      <c r="F113" s="6" t="s">
        <v>730</v>
      </c>
      <c r="G113" s="6" t="s">
        <v>481</v>
      </c>
      <c r="H113" s="6"/>
      <c r="I113" s="26" t="n">
        <v>1</v>
      </c>
      <c r="J113" s="26" t="n">
        <f aca="false">COUNTIFS('Control Library'!$A$5:$A$50,"AI-CTRL-038",'Control Library'!$R$5:$R$50,"Implemented")</f>
        <v>0</v>
      </c>
      <c r="K113" s="43" t="str">
        <f aca="false">IF(I113=0,"No wiki control",IF(J113=I113,"Fully covered",IF(J113=0,"Not covered","Partly covered")))</f>
        <v>Not covered</v>
      </c>
      <c r="L113" s="9" t="s">
        <v>1005</v>
      </c>
    </row>
    <row r="114" customFormat="false" ht="23.85" hidden="false" customHeight="false" outlineLevel="0" collapsed="false">
      <c r="A114" s="47" t="s">
        <v>573</v>
      </c>
      <c r="B114" s="47" t="s">
        <v>570</v>
      </c>
      <c r="C114" s="5" t="s">
        <v>1014</v>
      </c>
      <c r="D114" s="6" t="s">
        <v>1015</v>
      </c>
      <c r="E114" s="6" t="s">
        <v>1016</v>
      </c>
      <c r="F114" s="6" t="s">
        <v>730</v>
      </c>
      <c r="G114" s="6" t="s">
        <v>1017</v>
      </c>
      <c r="H114" s="6"/>
      <c r="I114" s="26" t="n">
        <v>3</v>
      </c>
      <c r="J114" s="26" t="n">
        <f aca="false">COUNTIFS('Control Library'!$A$5:$A$50,"AI-CTRL-001",'Control Library'!$R$5:$R$50,"Implemented")+COUNTIFS('Control Library'!$A$5:$A$50,"AI-CTRL-006",'Control Library'!$R$5:$R$50,"Implemented")+COUNTIFS('Control Library'!$A$5:$A$50,"AI-CTRL-011",'Control Library'!$R$5:$R$50,"Implemented")</f>
        <v>0</v>
      </c>
      <c r="K114" s="43" t="str">
        <f aca="false">IF(I114=0,"No wiki control",IF(J114=I114,"Fully covered",IF(J114=0,"Not covered","Partly covered")))</f>
        <v>Not covered</v>
      </c>
      <c r="L114" s="9" t="s">
        <v>1005</v>
      </c>
    </row>
    <row r="115" customFormat="false" ht="23.85" hidden="false" customHeight="false" outlineLevel="0" collapsed="false">
      <c r="A115" s="47" t="s">
        <v>573</v>
      </c>
      <c r="B115" s="47" t="s">
        <v>570</v>
      </c>
      <c r="C115" s="5" t="s">
        <v>1018</v>
      </c>
      <c r="D115" s="6" t="s">
        <v>255</v>
      </c>
      <c r="E115" s="6" t="s">
        <v>255</v>
      </c>
      <c r="F115" s="6" t="s">
        <v>730</v>
      </c>
      <c r="G115" s="6" t="s">
        <v>258</v>
      </c>
      <c r="H115" s="6"/>
      <c r="I115" s="26" t="n">
        <v>1</v>
      </c>
      <c r="J115" s="26" t="n">
        <f aca="false">COUNTIFS('Control Library'!$A$5:$A$50,"AI-CTRL-011",'Control Library'!$R$5:$R$50,"Implemented")</f>
        <v>0</v>
      </c>
      <c r="K115" s="43" t="str">
        <f aca="false">IF(I115=0,"No wiki control",IF(J115=I115,"Fully covered",IF(J115=0,"Not covered","Partly covered")))</f>
        <v>Not covered</v>
      </c>
      <c r="L115" s="9" t="s">
        <v>1005</v>
      </c>
    </row>
    <row r="116" customFormat="false" ht="23.85" hidden="false" customHeight="false" outlineLevel="0" collapsed="false">
      <c r="A116" s="47" t="s">
        <v>573</v>
      </c>
      <c r="B116" s="47" t="s">
        <v>570</v>
      </c>
      <c r="C116" s="5" t="s">
        <v>1019</v>
      </c>
      <c r="D116" s="6" t="s">
        <v>263</v>
      </c>
      <c r="E116" s="6" t="s">
        <v>263</v>
      </c>
      <c r="F116" s="6" t="s">
        <v>730</v>
      </c>
      <c r="G116" s="6" t="s">
        <v>266</v>
      </c>
      <c r="H116" s="6"/>
      <c r="I116" s="26" t="n">
        <v>1</v>
      </c>
      <c r="J116" s="26" t="n">
        <f aca="false">COUNTIFS('Control Library'!$A$5:$A$50,"AI-CTRL-012",'Control Library'!$R$5:$R$50,"Implemented")</f>
        <v>0</v>
      </c>
      <c r="K116" s="43" t="str">
        <f aca="false">IF(I116=0,"No wiki control",IF(J116=I116,"Fully covered",IF(J116=0,"Not covered","Partly covered")))</f>
        <v>Not covered</v>
      </c>
      <c r="L116" s="9" t="s">
        <v>1005</v>
      </c>
    </row>
    <row r="117" customFormat="false" ht="23.85" hidden="false" customHeight="false" outlineLevel="0" collapsed="false">
      <c r="A117" s="47" t="s">
        <v>573</v>
      </c>
      <c r="B117" s="47" t="s">
        <v>570</v>
      </c>
      <c r="C117" s="5" t="s">
        <v>1020</v>
      </c>
      <c r="D117" s="6" t="s">
        <v>1021</v>
      </c>
      <c r="E117" s="6" t="s">
        <v>973</v>
      </c>
      <c r="F117" s="6" t="s">
        <v>730</v>
      </c>
      <c r="G117" s="6" t="s">
        <v>266</v>
      </c>
      <c r="H117" s="6"/>
      <c r="I117" s="26" t="n">
        <v>2</v>
      </c>
      <c r="J117" s="26" t="n">
        <f aca="false">COUNTIFS('Control Library'!$A$5:$A$50,"AI-CTRL-012",'Control Library'!$R$5:$R$50,"Implemented")+COUNTIFS('Control Library'!$A$5:$A$50,"AI-CTRL-044",'Control Library'!$R$5:$R$50,"Implemented")</f>
        <v>0</v>
      </c>
      <c r="K117" s="43" t="str">
        <f aca="false">IF(I117=0,"No wiki control",IF(J117=I117,"Fully covered",IF(J117=0,"Not covered","Partly covered")))</f>
        <v>Not covered</v>
      </c>
      <c r="L117" s="9" t="s">
        <v>1005</v>
      </c>
    </row>
    <row r="118" customFormat="false" ht="23.85" hidden="false" customHeight="false" outlineLevel="0" collapsed="false">
      <c r="A118" s="47" t="s">
        <v>573</v>
      </c>
      <c r="B118" s="47" t="s">
        <v>570</v>
      </c>
      <c r="C118" s="5" t="s">
        <v>1022</v>
      </c>
      <c r="D118" s="6" t="s">
        <v>1023</v>
      </c>
      <c r="E118" s="6"/>
      <c r="F118" s="6" t="s">
        <v>640</v>
      </c>
      <c r="G118" s="6"/>
      <c r="H118" s="6"/>
      <c r="I118" s="26" t="n">
        <v>0</v>
      </c>
      <c r="J118" s="26" t="n">
        <f aca="false">0</f>
        <v>0</v>
      </c>
      <c r="K118" s="43" t="str">
        <f aca="false">IF(I118=0,"No wiki control",IF(J118=I118,"Fully covered",IF(J118=0,"Not covered","Partly covered")))</f>
        <v>No wiki control</v>
      </c>
      <c r="L118" s="9" t="s">
        <v>1005</v>
      </c>
    </row>
    <row r="119" customFormat="false" ht="23.85" hidden="false" customHeight="false" outlineLevel="0" collapsed="false">
      <c r="A119" s="47" t="s">
        <v>573</v>
      </c>
      <c r="B119" s="47" t="s">
        <v>570</v>
      </c>
      <c r="C119" s="5" t="s">
        <v>1024</v>
      </c>
      <c r="D119" s="6" t="s">
        <v>1023</v>
      </c>
      <c r="E119" s="6"/>
      <c r="F119" s="6" t="s">
        <v>640</v>
      </c>
      <c r="G119" s="6"/>
      <c r="H119" s="6"/>
      <c r="I119" s="26" t="n">
        <v>0</v>
      </c>
      <c r="J119" s="26" t="n">
        <f aca="false">0</f>
        <v>0</v>
      </c>
      <c r="K119" s="43" t="str">
        <f aca="false">IF(I119=0,"No wiki control",IF(J119=I119,"Fully covered",IF(J119=0,"Not covered","Partly covered")))</f>
        <v>No wiki control</v>
      </c>
      <c r="L119" s="9" t="s">
        <v>1005</v>
      </c>
    </row>
    <row r="120" customFormat="false" ht="23.85" hidden="false" customHeight="false" outlineLevel="0" collapsed="false">
      <c r="A120" s="47" t="s">
        <v>573</v>
      </c>
      <c r="B120" s="47" t="s">
        <v>570</v>
      </c>
      <c r="C120" s="5" t="s">
        <v>1025</v>
      </c>
      <c r="D120" s="6" t="s">
        <v>1026</v>
      </c>
      <c r="E120" s="6" t="s">
        <v>805</v>
      </c>
      <c r="F120" s="6" t="s">
        <v>730</v>
      </c>
      <c r="G120" s="6" t="s">
        <v>542</v>
      </c>
      <c r="H120" s="6"/>
      <c r="I120" s="26" t="n">
        <v>2</v>
      </c>
      <c r="J120" s="26" t="n">
        <f aca="false">COUNTIFS('Control Library'!$A$5:$A$50,"AI-CTRL-023",'Control Library'!$R$5:$R$50,"Implemented")+COUNTIFS('Control Library'!$A$5:$A$50,"AI-CTRL-045",'Control Library'!$R$5:$R$50,"Implemented")</f>
        <v>0</v>
      </c>
      <c r="K120" s="43" t="str">
        <f aca="false">IF(I120=0,"No wiki control",IF(J120=I120,"Fully covered",IF(J120=0,"Not covered","Partly covered")))</f>
        <v>Not covered</v>
      </c>
      <c r="L120" s="9" t="s">
        <v>1005</v>
      </c>
    </row>
    <row r="121" customFormat="false" ht="23.85" hidden="false" customHeight="false" outlineLevel="0" collapsed="false">
      <c r="A121" s="47" t="s">
        <v>573</v>
      </c>
      <c r="B121" s="47" t="s">
        <v>570</v>
      </c>
      <c r="C121" s="5" t="s">
        <v>1027</v>
      </c>
      <c r="D121" s="6" t="s">
        <v>1023</v>
      </c>
      <c r="E121" s="6"/>
      <c r="F121" s="6" t="s">
        <v>640</v>
      </c>
      <c r="G121" s="6"/>
      <c r="H121" s="6"/>
      <c r="I121" s="26" t="n">
        <v>0</v>
      </c>
      <c r="J121" s="26" t="n">
        <f aca="false">0</f>
        <v>0</v>
      </c>
      <c r="K121" s="43" t="str">
        <f aca="false">IF(I121=0,"No wiki control",IF(J121=I121,"Fully covered",IF(J121=0,"Not covered","Partly covered")))</f>
        <v>No wiki control</v>
      </c>
      <c r="L121" s="9" t="s">
        <v>1005</v>
      </c>
    </row>
    <row r="122" customFormat="false" ht="23.85" hidden="false" customHeight="false" outlineLevel="0" collapsed="false">
      <c r="A122" s="47" t="s">
        <v>573</v>
      </c>
      <c r="B122" s="47" t="s">
        <v>570</v>
      </c>
      <c r="C122" s="5" t="s">
        <v>1028</v>
      </c>
      <c r="D122" s="6" t="s">
        <v>435</v>
      </c>
      <c r="E122" s="6" t="s">
        <v>435</v>
      </c>
      <c r="F122" s="6" t="s">
        <v>730</v>
      </c>
      <c r="G122" s="6" t="s">
        <v>439</v>
      </c>
      <c r="H122" s="6"/>
      <c r="I122" s="26" t="n">
        <v>1</v>
      </c>
      <c r="J122" s="26" t="n">
        <f aca="false">COUNTIFS('Control Library'!$A$5:$A$50,"AI-CTRL-033",'Control Library'!$R$5:$R$50,"Implemented")</f>
        <v>0</v>
      </c>
      <c r="K122" s="43" t="str">
        <f aca="false">IF(I122=0,"No wiki control",IF(J122=I122,"Fully covered",IF(J122=0,"Not covered","Partly covered")))</f>
        <v>Not covered</v>
      </c>
      <c r="L122" s="9" t="s">
        <v>1005</v>
      </c>
    </row>
    <row r="123" customFormat="false" ht="23.85" hidden="false" customHeight="false" outlineLevel="0" collapsed="false">
      <c r="A123" s="47" t="s">
        <v>573</v>
      </c>
      <c r="B123" s="47" t="s">
        <v>570</v>
      </c>
      <c r="C123" s="5" t="s">
        <v>1029</v>
      </c>
      <c r="D123" s="6" t="s">
        <v>1030</v>
      </c>
      <c r="E123" s="6" t="s">
        <v>1031</v>
      </c>
      <c r="F123" s="6" t="s">
        <v>730</v>
      </c>
      <c r="G123" s="6" t="s">
        <v>1032</v>
      </c>
      <c r="H123" s="6"/>
      <c r="I123" s="26" t="n">
        <v>2</v>
      </c>
      <c r="J123" s="26" t="n">
        <f aca="false">COUNTIFS('Control Library'!$A$5:$A$50,"AI-CTRL-034",'Control Library'!$R$5:$R$50,"Implemented")+COUNTIFS('Control Library'!$A$5:$A$50,"AI-CTRL-035",'Control Library'!$R$5:$R$50,"Implemented")</f>
        <v>0</v>
      </c>
      <c r="K123" s="43" t="str">
        <f aca="false">IF(I123=0,"No wiki control",IF(J123=I123,"Fully covered",IF(J123=0,"Not covered","Partly covered")))</f>
        <v>Not covered</v>
      </c>
      <c r="L123" s="9" t="s">
        <v>1005</v>
      </c>
    </row>
    <row r="124" customFormat="false" ht="23.85" hidden="false" customHeight="false" outlineLevel="0" collapsed="false">
      <c r="A124" s="47" t="s">
        <v>573</v>
      </c>
      <c r="B124" s="47" t="s">
        <v>570</v>
      </c>
      <c r="C124" s="5" t="s">
        <v>1033</v>
      </c>
      <c r="D124" s="6" t="s">
        <v>522</v>
      </c>
      <c r="E124" s="6" t="s">
        <v>522</v>
      </c>
      <c r="F124" s="6" t="s">
        <v>730</v>
      </c>
      <c r="G124" s="6" t="s">
        <v>525</v>
      </c>
      <c r="H124" s="6"/>
      <c r="I124" s="26" t="n">
        <v>1</v>
      </c>
      <c r="J124" s="26" t="n">
        <f aca="false">COUNTIFS('Control Library'!$A$5:$A$50,"AI-CTRL-043",'Control Library'!$R$5:$R$50,"Implemented")</f>
        <v>0</v>
      </c>
      <c r="K124" s="43" t="str">
        <f aca="false">IF(I124=0,"No wiki control",IF(J124=I124,"Fully covered",IF(J124=0,"Not covered","Partly covered")))</f>
        <v>Not covered</v>
      </c>
      <c r="L124" s="9" t="s">
        <v>1005</v>
      </c>
    </row>
    <row r="125" customFormat="false" ht="23.85" hidden="false" customHeight="false" outlineLevel="0" collapsed="false">
      <c r="A125" s="47" t="s">
        <v>573</v>
      </c>
      <c r="B125" s="47" t="s">
        <v>570</v>
      </c>
      <c r="C125" s="5" t="s">
        <v>1034</v>
      </c>
      <c r="D125" s="6" t="s">
        <v>1023</v>
      </c>
      <c r="E125" s="6"/>
      <c r="F125" s="6" t="s">
        <v>640</v>
      </c>
      <c r="G125" s="6"/>
      <c r="H125" s="6"/>
      <c r="I125" s="26" t="n">
        <v>0</v>
      </c>
      <c r="J125" s="26" t="n">
        <f aca="false">0</f>
        <v>0</v>
      </c>
      <c r="K125" s="43" t="str">
        <f aca="false">IF(I125=0,"No wiki control",IF(J125=I125,"Fully covered",IF(J125=0,"Not covered","Partly covered")))</f>
        <v>No wiki control</v>
      </c>
      <c r="L125" s="9" t="s">
        <v>1005</v>
      </c>
    </row>
    <row r="126" customFormat="false" ht="35.05" hidden="false" customHeight="false" outlineLevel="0" collapsed="false">
      <c r="A126" s="47" t="s">
        <v>573</v>
      </c>
      <c r="B126" s="47" t="s">
        <v>570</v>
      </c>
      <c r="C126" s="5" t="s">
        <v>1035</v>
      </c>
      <c r="D126" s="6" t="s">
        <v>1036</v>
      </c>
      <c r="E126" s="6" t="s">
        <v>1037</v>
      </c>
      <c r="F126" s="6" t="s">
        <v>730</v>
      </c>
      <c r="G126" s="6" t="s">
        <v>1038</v>
      </c>
      <c r="H126" s="6"/>
      <c r="I126" s="26" t="n">
        <v>6</v>
      </c>
      <c r="J126" s="26" t="n">
        <f aca="false">COUNTIFS('Control Library'!$A$5:$A$50,"AI-CTRL-001",'Control Library'!$R$5:$R$50,"Implemented")+COUNTIFS('Control Library'!$A$5:$A$50,"AI-CTRL-004",'Control Library'!$R$5:$R$50,"Implemented")+COUNTIFS('Control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126" s="43" t="str">
        <f aca="false">IF(I126=0,"No wiki control",IF(J126=I126,"Fully covered",IF(J126=0,"Not covered","Partly covered")))</f>
        <v>Not covered</v>
      </c>
      <c r="L126" s="9" t="s">
        <v>1005</v>
      </c>
    </row>
    <row r="127" customFormat="false" ht="23.85" hidden="false" customHeight="false" outlineLevel="0" collapsed="false">
      <c r="A127" s="47" t="s">
        <v>573</v>
      </c>
      <c r="B127" s="47" t="s">
        <v>570</v>
      </c>
      <c r="C127" s="5" t="s">
        <v>1039</v>
      </c>
      <c r="D127" s="6" t="s">
        <v>1040</v>
      </c>
      <c r="E127" s="6" t="s">
        <v>1041</v>
      </c>
      <c r="F127" s="6" t="s">
        <v>730</v>
      </c>
      <c r="G127" s="6" t="s">
        <v>1042</v>
      </c>
      <c r="H127" s="6"/>
      <c r="I127" s="26" t="n">
        <v>3</v>
      </c>
      <c r="J127" s="26" t="n">
        <f aca="false">COUNTIFS('Control Library'!$A$5:$A$50,"AI-CTRL-014",'Control Library'!$R$5:$R$50,"Implemented")+COUNTIFS('Control Library'!$A$5:$A$50,"AI-CTRL-035",'Control Library'!$R$5:$R$50,"Implemented")+COUNTIFS('Control Library'!$A$5:$A$50,"AI-CTRL-040",'Control Library'!$R$5:$R$50,"Implemented")</f>
        <v>0</v>
      </c>
      <c r="K127" s="43" t="str">
        <f aca="false">IF(I127=0,"No wiki control",IF(J127=I127,"Fully covered",IF(J127=0,"Not covered","Partly covered")))</f>
        <v>Not covered</v>
      </c>
      <c r="L127" s="9" t="s">
        <v>1005</v>
      </c>
    </row>
    <row r="128" customFormat="false" ht="23.85" hidden="false" customHeight="false" outlineLevel="0" collapsed="false">
      <c r="A128" s="47" t="s">
        <v>573</v>
      </c>
      <c r="B128" s="47" t="s">
        <v>570</v>
      </c>
      <c r="C128" s="5" t="s">
        <v>1043</v>
      </c>
      <c r="D128" s="6" t="s">
        <v>435</v>
      </c>
      <c r="E128" s="6" t="s">
        <v>435</v>
      </c>
      <c r="F128" s="6" t="s">
        <v>730</v>
      </c>
      <c r="G128" s="6" t="s">
        <v>439</v>
      </c>
      <c r="H128" s="6"/>
      <c r="I128" s="26" t="n">
        <v>1</v>
      </c>
      <c r="J128" s="26" t="n">
        <f aca="false">COUNTIFS('Control Library'!$A$5:$A$50,"AI-CTRL-033",'Control Library'!$R$5:$R$50,"Implemented")</f>
        <v>0</v>
      </c>
      <c r="K128" s="43" t="str">
        <f aca="false">IF(I128=0,"No wiki control",IF(J128=I128,"Fully covered",IF(J128=0,"Not covered","Partly covered")))</f>
        <v>Not covered</v>
      </c>
      <c r="L128" s="9" t="s">
        <v>1005</v>
      </c>
    </row>
    <row r="129" customFormat="false" ht="23.85" hidden="false" customHeight="false" outlineLevel="0" collapsed="false">
      <c r="A129" s="47" t="s">
        <v>573</v>
      </c>
      <c r="B129" s="47" t="s">
        <v>570</v>
      </c>
      <c r="C129" s="5" t="s">
        <v>1044</v>
      </c>
      <c r="D129" s="6" t="s">
        <v>470</v>
      </c>
      <c r="E129" s="6" t="s">
        <v>470</v>
      </c>
      <c r="F129" s="6" t="s">
        <v>730</v>
      </c>
      <c r="G129" s="6" t="s">
        <v>473</v>
      </c>
      <c r="H129" s="6"/>
      <c r="I129" s="26" t="n">
        <v>1</v>
      </c>
      <c r="J129" s="26" t="n">
        <f aca="false">COUNTIFS('Control Library'!$A$5:$A$50,"AI-CTRL-037",'Control Library'!$R$5:$R$50,"Implemented")</f>
        <v>0</v>
      </c>
      <c r="K129" s="43" t="str">
        <f aca="false">IF(I129=0,"No wiki control",IF(J129=I129,"Fully covered",IF(J129=0,"Not covered","Partly covered")))</f>
        <v>Not covered</v>
      </c>
      <c r="L129" s="9" t="s">
        <v>1005</v>
      </c>
    </row>
    <row r="130" customFormat="false" ht="46.25" hidden="false" customHeight="false" outlineLevel="0" collapsed="false">
      <c r="A130" s="47" t="s">
        <v>573</v>
      </c>
      <c r="B130" s="47" t="s">
        <v>570</v>
      </c>
      <c r="C130" s="5" t="s">
        <v>1045</v>
      </c>
      <c r="D130" s="6" t="s">
        <v>1046</v>
      </c>
      <c r="E130" s="6" t="s">
        <v>1047</v>
      </c>
      <c r="F130" s="6" t="s">
        <v>730</v>
      </c>
      <c r="G130" s="6" t="s">
        <v>1048</v>
      </c>
      <c r="H130" s="6"/>
      <c r="I130" s="26" t="n">
        <v>5</v>
      </c>
      <c r="J130" s="26" t="n">
        <f aca="false">COUNTIFS('Control Library'!$A$5:$A$50,"AI-CTRL-005",'Control Library'!$R$5:$R$50,"Implemented")+COUNTIFS('Control Library'!$A$5:$A$50,"AI-CTRL-010",'Control Library'!$R$5:$R$50,"Implemented")+COUNTIFS('Control Library'!$A$5:$A$50,"AI-CTRL-016",'Control Library'!$R$5:$R$50,"Implemented")+COUNTIFS('Control Library'!$A$5:$A$50,"AI-CTRL-022",'Control Library'!$R$5:$R$50,"Implemented")+COUNTIFS('Control Library'!$A$5:$A$50,"AI-CTRL-027",'Control Library'!$R$5:$R$50,"Implemented")</f>
        <v>0</v>
      </c>
      <c r="K130" s="43" t="str">
        <f aca="false">IF(I130=0,"No wiki control",IF(J130=I130,"Fully covered",IF(J130=0,"Not covered","Partly covered")))</f>
        <v>Not covered</v>
      </c>
      <c r="L130" s="9" t="s">
        <v>1005</v>
      </c>
    </row>
    <row r="131" customFormat="false" ht="23.85" hidden="false" customHeight="false" outlineLevel="0" collapsed="false">
      <c r="A131" s="47" t="s">
        <v>573</v>
      </c>
      <c r="B131" s="47" t="s">
        <v>570</v>
      </c>
      <c r="C131" s="5" t="s">
        <v>1049</v>
      </c>
      <c r="D131" s="6" t="s">
        <v>470</v>
      </c>
      <c r="E131" s="6" t="s">
        <v>470</v>
      </c>
      <c r="F131" s="6" t="s">
        <v>730</v>
      </c>
      <c r="G131" s="6" t="s">
        <v>473</v>
      </c>
      <c r="H131" s="6"/>
      <c r="I131" s="26" t="n">
        <v>1</v>
      </c>
      <c r="J131" s="26" t="n">
        <f aca="false">COUNTIFS('Control Library'!$A$5:$A$50,"AI-CTRL-037",'Control Library'!$R$5:$R$50,"Implemented")</f>
        <v>0</v>
      </c>
      <c r="K131" s="43" t="str">
        <f aca="false">IF(I131=0,"No wiki control",IF(J131=I131,"Fully covered",IF(J131=0,"Not covered","Partly covered")))</f>
        <v>Not covered</v>
      </c>
      <c r="L131" s="9" t="s">
        <v>1005</v>
      </c>
    </row>
    <row r="132" customFormat="false" ht="23.85" hidden="false" customHeight="false" outlineLevel="0" collapsed="false">
      <c r="A132" s="47" t="s">
        <v>573</v>
      </c>
      <c r="B132" s="47" t="s">
        <v>570</v>
      </c>
      <c r="C132" s="5" t="s">
        <v>1050</v>
      </c>
      <c r="D132" s="6" t="s">
        <v>1023</v>
      </c>
      <c r="E132" s="6"/>
      <c r="F132" s="6" t="s">
        <v>640</v>
      </c>
      <c r="G132" s="6"/>
      <c r="H132" s="6"/>
      <c r="I132" s="26" t="n">
        <v>0</v>
      </c>
      <c r="J132" s="26" t="n">
        <f aca="false">0</f>
        <v>0</v>
      </c>
      <c r="K132" s="43" t="str">
        <f aca="false">IF(I132=0,"No wiki control",IF(J132=I132,"Fully covered",IF(J132=0,"Not covered","Partly covered")))</f>
        <v>No wiki control</v>
      </c>
      <c r="L132" s="9" t="s">
        <v>1005</v>
      </c>
    </row>
    <row r="133" customFormat="false" ht="23.85" hidden="false" customHeight="false" outlineLevel="0" collapsed="false">
      <c r="A133" s="47" t="s">
        <v>573</v>
      </c>
      <c r="B133" s="47" t="s">
        <v>570</v>
      </c>
      <c r="C133" s="5" t="s">
        <v>1051</v>
      </c>
      <c r="D133" s="6" t="s">
        <v>1023</v>
      </c>
      <c r="E133" s="6"/>
      <c r="F133" s="6" t="s">
        <v>640</v>
      </c>
      <c r="G133" s="6"/>
      <c r="H133" s="6"/>
      <c r="I133" s="26" t="n">
        <v>0</v>
      </c>
      <c r="J133" s="26" t="n">
        <f aca="false">0</f>
        <v>0</v>
      </c>
      <c r="K133" s="43" t="str">
        <f aca="false">IF(I133=0,"No wiki control",IF(J133=I133,"Fully covered",IF(J133=0,"Not covered","Partly covered")))</f>
        <v>No wiki control</v>
      </c>
      <c r="L133" s="9" t="s">
        <v>1005</v>
      </c>
    </row>
    <row r="134" customFormat="false" ht="35.05" hidden="false" customHeight="false" outlineLevel="0" collapsed="false">
      <c r="A134" s="47" t="s">
        <v>573</v>
      </c>
      <c r="B134" s="47" t="s">
        <v>570</v>
      </c>
      <c r="C134" s="5" t="s">
        <v>1052</v>
      </c>
      <c r="D134" s="6" t="s">
        <v>1053</v>
      </c>
      <c r="E134" s="6" t="s">
        <v>1054</v>
      </c>
      <c r="F134" s="6" t="s">
        <v>730</v>
      </c>
      <c r="G134" s="6" t="s">
        <v>1055</v>
      </c>
      <c r="H134" s="6"/>
      <c r="I134" s="26" t="n">
        <v>3</v>
      </c>
      <c r="J134" s="26" t="n">
        <f aca="false">COUNTIFS('Control Library'!$A$5:$A$50,"AI-CTRL-025",'Control Library'!$R$5:$R$50,"Implemented")+COUNTIFS('Control Library'!$A$5:$A$50,"AI-CTRL-035",'Control Library'!$R$5:$R$50,"Implemented")+COUNTIFS('Control Library'!$A$5:$A$50,"AI-CTRL-040",'Control Library'!$R$5:$R$50,"Implemented")</f>
        <v>0</v>
      </c>
      <c r="K134" s="43" t="str">
        <f aca="false">IF(I134=0,"No wiki control",IF(J134=I134,"Fully covered",IF(J134=0,"Not covered","Partly covered")))</f>
        <v>Not covered</v>
      </c>
      <c r="L134" s="9" t="s">
        <v>1005</v>
      </c>
    </row>
    <row r="135" customFormat="false" ht="23.85" hidden="false" customHeight="false" outlineLevel="0" collapsed="false">
      <c r="A135" s="47" t="s">
        <v>573</v>
      </c>
      <c r="B135" s="47" t="s">
        <v>570</v>
      </c>
      <c r="C135" s="5" t="s">
        <v>1056</v>
      </c>
      <c r="D135" s="6" t="s">
        <v>371</v>
      </c>
      <c r="E135" s="6" t="s">
        <v>371</v>
      </c>
      <c r="F135" s="6" t="s">
        <v>730</v>
      </c>
      <c r="G135" s="6" t="s">
        <v>375</v>
      </c>
      <c r="H135" s="6"/>
      <c r="I135" s="26" t="n">
        <v>1</v>
      </c>
      <c r="J135" s="26" t="n">
        <f aca="false">COUNTIFS('Control Library'!$A$5:$A$50,"AI-CTRL-025",'Control Library'!$R$5:$R$50,"Implemented")</f>
        <v>0</v>
      </c>
      <c r="K135" s="43" t="str">
        <f aca="false">IF(I135=0,"No wiki control",IF(J135=I135,"Fully covered",IF(J135=0,"Not covered","Partly covered")))</f>
        <v>Not covered</v>
      </c>
      <c r="L135" s="9" t="s">
        <v>1005</v>
      </c>
    </row>
    <row r="136" customFormat="false" ht="23.85" hidden="false" customHeight="false" outlineLevel="0" collapsed="false">
      <c r="A136" s="47" t="s">
        <v>573</v>
      </c>
      <c r="B136" s="47" t="s">
        <v>570</v>
      </c>
      <c r="C136" s="5" t="s">
        <v>1057</v>
      </c>
      <c r="D136" s="6" t="s">
        <v>1058</v>
      </c>
      <c r="E136" s="6" t="s">
        <v>1059</v>
      </c>
      <c r="F136" s="6" t="s">
        <v>730</v>
      </c>
      <c r="G136" s="6" t="s">
        <v>1060</v>
      </c>
      <c r="H136" s="6"/>
      <c r="I136" s="26" t="n">
        <v>3</v>
      </c>
      <c r="J136" s="26" t="n">
        <f aca="false">COUNTIFS('Control Library'!$A$5:$A$50,"AI-CTRL-014",'Control Library'!$R$5:$R$50,"Implemented")+COUNTIFS('Control Library'!$A$5:$A$50,"AI-CTRL-024",'Control Library'!$R$5:$R$50,"Implemented")+COUNTIFS('Control Library'!$A$5:$A$50,"AI-CTRL-031",'Control Library'!$R$5:$R$50,"Implemented")</f>
        <v>0</v>
      </c>
      <c r="K136" s="43" t="str">
        <f aca="false">IF(I136=0,"No wiki control",IF(J136=I136,"Fully covered",IF(J136=0,"Not covered","Partly covered")))</f>
        <v>Not covered</v>
      </c>
      <c r="L136" s="9" t="s">
        <v>1005</v>
      </c>
    </row>
    <row r="137" customFormat="false" ht="23.85" hidden="false" customHeight="false" outlineLevel="0" collapsed="false">
      <c r="A137" s="47" t="s">
        <v>573</v>
      </c>
      <c r="B137" s="47" t="s">
        <v>570</v>
      </c>
      <c r="C137" s="5" t="s">
        <v>1061</v>
      </c>
      <c r="D137" s="6" t="s">
        <v>420</v>
      </c>
      <c r="E137" s="6" t="s">
        <v>420</v>
      </c>
      <c r="F137" s="6" t="s">
        <v>730</v>
      </c>
      <c r="G137" s="6" t="s">
        <v>424</v>
      </c>
      <c r="H137" s="6"/>
      <c r="I137" s="26" t="n">
        <v>1</v>
      </c>
      <c r="J137" s="26" t="n">
        <f aca="false">COUNTIFS('Control Library'!$A$5:$A$50,"AI-CTRL-031",'Control Library'!$R$5:$R$50,"Implemented")</f>
        <v>0</v>
      </c>
      <c r="K137" s="43" t="str">
        <f aca="false">IF(I137=0,"No wiki control",IF(J137=I137,"Fully covered",IF(J137=0,"Not covered","Partly covered")))</f>
        <v>Not covered</v>
      </c>
      <c r="L137" s="9" t="s">
        <v>1005</v>
      </c>
    </row>
    <row r="138" customFormat="false" ht="35.05" hidden="false" customHeight="false" outlineLevel="0" collapsed="false">
      <c r="A138" s="47" t="s">
        <v>573</v>
      </c>
      <c r="B138" s="47" t="s">
        <v>570</v>
      </c>
      <c r="C138" s="5" t="s">
        <v>1062</v>
      </c>
      <c r="D138" s="6" t="s">
        <v>1063</v>
      </c>
      <c r="E138" s="6" t="s">
        <v>1064</v>
      </c>
      <c r="F138" s="6" t="s">
        <v>730</v>
      </c>
      <c r="G138" s="6" t="s">
        <v>1065</v>
      </c>
      <c r="H138" s="6"/>
      <c r="I138" s="26" t="n">
        <v>6</v>
      </c>
      <c r="J138" s="26" t="n">
        <f aca="false">COUNTIFS('Control Library'!$A$5:$A$50,"AI-CTRL-002",'Control Library'!$R$5:$R$50,"Implemented")+COUNTIFS('Control Library'!$A$5:$A$50,"AI-CTRL-003",'Control Library'!$R$5:$R$50,"Implemented")+COUNTIFS('Control Library'!$A$5:$A$50,"AI-CTRL-004",'Control Library'!$R$5:$R$50,"Implemented")+COUNTIFS('Control Library'!$A$5:$A$50,"AI-CTRL-008",'Control Library'!$R$5:$R$50,"Implemented")+COUNTIFS('Control Library'!$A$5:$A$50,"AI-CTRL-009",'Control Library'!$R$5:$R$50,"Implemented")+COUNTIFS('Control Library'!$A$5:$A$50,"AI-CTRL-036",'Control Library'!$R$5:$R$50,"Implemented")</f>
        <v>0</v>
      </c>
      <c r="K138" s="43" t="str">
        <f aca="false">IF(I138=0,"No wiki control",IF(J138=I138,"Fully covered",IF(J138=0,"Not covered","Partly covered")))</f>
        <v>Not covered</v>
      </c>
      <c r="L138" s="9" t="s">
        <v>1005</v>
      </c>
    </row>
    <row r="139" customFormat="false" ht="23.85" hidden="false" customHeight="false" outlineLevel="0" collapsed="false">
      <c r="A139" s="47" t="s">
        <v>573</v>
      </c>
      <c r="B139" s="47" t="s">
        <v>570</v>
      </c>
      <c r="C139" s="5" t="s">
        <v>1066</v>
      </c>
      <c r="D139" s="6" t="s">
        <v>478</v>
      </c>
      <c r="E139" s="6" t="s">
        <v>478</v>
      </c>
      <c r="F139" s="6" t="s">
        <v>730</v>
      </c>
      <c r="G139" s="6" t="s">
        <v>481</v>
      </c>
      <c r="H139" s="6"/>
      <c r="I139" s="26" t="n">
        <v>1</v>
      </c>
      <c r="J139" s="26" t="n">
        <f aca="false">COUNTIFS('Control Library'!$A$5:$A$50,"AI-CTRL-038",'Control Library'!$R$5:$R$50,"Implemented")</f>
        <v>0</v>
      </c>
      <c r="K139" s="43" t="str">
        <f aca="false">IF(I139=0,"No wiki control",IF(J139=I139,"Fully covered",IF(J139=0,"Not covered","Partly covered")))</f>
        <v>Not covered</v>
      </c>
      <c r="L139" s="9" t="s">
        <v>1005</v>
      </c>
    </row>
    <row r="140" customFormat="false" ht="23.85" hidden="false" customHeight="false" outlineLevel="0" collapsed="false">
      <c r="A140" s="47" t="s">
        <v>573</v>
      </c>
      <c r="B140" s="47" t="s">
        <v>570</v>
      </c>
      <c r="C140" s="5" t="s">
        <v>1067</v>
      </c>
      <c r="D140" s="6" t="s">
        <v>453</v>
      </c>
      <c r="E140" s="6" t="s">
        <v>453</v>
      </c>
      <c r="F140" s="6" t="s">
        <v>730</v>
      </c>
      <c r="G140" s="6" t="s">
        <v>456</v>
      </c>
      <c r="H140" s="6"/>
      <c r="I140" s="26" t="n">
        <v>1</v>
      </c>
      <c r="J140" s="26" t="n">
        <f aca="false">COUNTIFS('Control Library'!$A$5:$A$50,"AI-CTRL-035",'Control Library'!$R$5:$R$50,"Implemented")</f>
        <v>0</v>
      </c>
      <c r="K140" s="43" t="str">
        <f aca="false">IF(I140=0,"No wiki control",IF(J140=I140,"Fully covered",IF(J140=0,"Not covered","Partly covered")))</f>
        <v>Not covered</v>
      </c>
      <c r="L140" s="9" t="s">
        <v>1005</v>
      </c>
    </row>
    <row r="141" customFormat="false" ht="23.85" hidden="false" customHeight="false" outlineLevel="0" collapsed="false">
      <c r="A141" s="47" t="s">
        <v>573</v>
      </c>
      <c r="B141" s="47" t="s">
        <v>570</v>
      </c>
      <c r="C141" s="5" t="s">
        <v>1068</v>
      </c>
      <c r="D141" s="6" t="s">
        <v>1069</v>
      </c>
      <c r="E141" s="6" t="s">
        <v>1070</v>
      </c>
      <c r="F141" s="6" t="s">
        <v>730</v>
      </c>
      <c r="G141" s="6" t="s">
        <v>1071</v>
      </c>
      <c r="H141" s="6"/>
      <c r="I141" s="26" t="n">
        <v>2</v>
      </c>
      <c r="J141" s="26" t="n">
        <f aca="false">COUNTIFS('Control Library'!$A$5:$A$50,"AI-CTRL-011",'Control Library'!$R$5:$R$50,"Implemented")+COUNTIFS('Control Library'!$A$5:$A$50,"AI-CTRL-042",'Control Library'!$R$5:$R$50,"Implemented")</f>
        <v>0</v>
      </c>
      <c r="K141" s="43" t="str">
        <f aca="false">IF(I141=0,"No wiki control",IF(J141=I141,"Fully covered",IF(J141=0,"Not covered","Partly covered")))</f>
        <v>Not covered</v>
      </c>
      <c r="L141" s="9" t="s">
        <v>1005</v>
      </c>
    </row>
    <row r="142" customFormat="false" ht="23.85" hidden="false" customHeight="false" outlineLevel="0" collapsed="false">
      <c r="A142" s="47" t="s">
        <v>573</v>
      </c>
      <c r="B142" s="47" t="s">
        <v>570</v>
      </c>
      <c r="C142" s="5" t="s">
        <v>1072</v>
      </c>
      <c r="D142" s="6" t="s">
        <v>1023</v>
      </c>
      <c r="E142" s="6"/>
      <c r="F142" s="6" t="s">
        <v>640</v>
      </c>
      <c r="G142" s="6"/>
      <c r="H142" s="6"/>
      <c r="I142" s="26" t="n">
        <v>0</v>
      </c>
      <c r="J142" s="26" t="n">
        <f aca="false">0</f>
        <v>0</v>
      </c>
      <c r="K142" s="43" t="str">
        <f aca="false">IF(I142=0,"No wiki control",IF(J142=I142,"Fully covered",IF(J142=0,"Not covered","Partly covered")))</f>
        <v>No wiki control</v>
      </c>
      <c r="L142" s="9" t="s">
        <v>1005</v>
      </c>
    </row>
    <row r="143" customFormat="false" ht="23.85" hidden="false" customHeight="false" outlineLevel="0" collapsed="false">
      <c r="A143" s="47" t="s">
        <v>573</v>
      </c>
      <c r="B143" s="47" t="s">
        <v>570</v>
      </c>
      <c r="C143" s="5" t="s">
        <v>1073</v>
      </c>
      <c r="D143" s="6" t="s">
        <v>1023</v>
      </c>
      <c r="E143" s="6"/>
      <c r="F143" s="6" t="s">
        <v>640</v>
      </c>
      <c r="G143" s="6"/>
      <c r="H143" s="6"/>
      <c r="I143" s="26" t="n">
        <v>0</v>
      </c>
      <c r="J143" s="26" t="n">
        <f aca="false">0</f>
        <v>0</v>
      </c>
      <c r="K143" s="43" t="str">
        <f aca="false">IF(I143=0,"No wiki control",IF(J143=I143,"Fully covered",IF(J143=0,"Not covered","Partly covered")))</f>
        <v>No wiki control</v>
      </c>
      <c r="L143" s="9" t="s">
        <v>1005</v>
      </c>
    </row>
    <row r="144" customFormat="false" ht="23.85" hidden="false" customHeight="false" outlineLevel="0" collapsed="false">
      <c r="A144" s="47" t="s">
        <v>573</v>
      </c>
      <c r="B144" s="47" t="s">
        <v>570</v>
      </c>
      <c r="C144" s="5" t="s">
        <v>1074</v>
      </c>
      <c r="D144" s="6" t="s">
        <v>1023</v>
      </c>
      <c r="E144" s="6"/>
      <c r="F144" s="6" t="s">
        <v>640</v>
      </c>
      <c r="G144" s="6"/>
      <c r="H144" s="6"/>
      <c r="I144" s="26" t="n">
        <v>0</v>
      </c>
      <c r="J144" s="26" t="n">
        <f aca="false">0</f>
        <v>0</v>
      </c>
      <c r="K144" s="43" t="str">
        <f aca="false">IF(I144=0,"No wiki control",IF(J144=I144,"Fully covered",IF(J144=0,"Not covered","Partly covered")))</f>
        <v>No wiki control</v>
      </c>
      <c r="L144" s="9" t="s">
        <v>1005</v>
      </c>
    </row>
    <row r="145" customFormat="false" ht="23.85" hidden="false" customHeight="false" outlineLevel="0" collapsed="false">
      <c r="A145" s="47" t="s">
        <v>573</v>
      </c>
      <c r="B145" s="47" t="s">
        <v>570</v>
      </c>
      <c r="C145" s="5" t="s">
        <v>1075</v>
      </c>
      <c r="D145" s="6" t="s">
        <v>470</v>
      </c>
      <c r="E145" s="6" t="s">
        <v>470</v>
      </c>
      <c r="F145" s="6" t="s">
        <v>730</v>
      </c>
      <c r="G145" s="6" t="s">
        <v>473</v>
      </c>
      <c r="H145" s="6"/>
      <c r="I145" s="26" t="n">
        <v>1</v>
      </c>
      <c r="J145" s="26" t="n">
        <f aca="false">COUNTIFS('Control Library'!$A$5:$A$50,"AI-CTRL-037",'Control Library'!$R$5:$R$50,"Implemented")</f>
        <v>0</v>
      </c>
      <c r="K145" s="43" t="str">
        <f aca="false">IF(I145=0,"No wiki control",IF(J145=I145,"Fully covered",IF(J145=0,"Not covered","Partly covered")))</f>
        <v>Not covered</v>
      </c>
      <c r="L145" s="9" t="s">
        <v>1005</v>
      </c>
    </row>
    <row r="146" customFormat="false" ht="23.85" hidden="false" customHeight="false" outlineLevel="0" collapsed="false">
      <c r="A146" s="47" t="s">
        <v>573</v>
      </c>
      <c r="B146" s="47" t="s">
        <v>570</v>
      </c>
      <c r="C146" s="5" t="s">
        <v>1076</v>
      </c>
      <c r="D146" s="6" t="s">
        <v>1023</v>
      </c>
      <c r="E146" s="6"/>
      <c r="F146" s="6" t="s">
        <v>640</v>
      </c>
      <c r="G146" s="6"/>
      <c r="H146" s="6"/>
      <c r="I146" s="26" t="n">
        <v>0</v>
      </c>
      <c r="J146" s="26" t="n">
        <f aca="false">0</f>
        <v>0</v>
      </c>
      <c r="K146" s="43" t="str">
        <f aca="false">IF(I146=0,"No wiki control",IF(J146=I146,"Fully covered",IF(J146=0,"Not covered","Partly covered")))</f>
        <v>No wiki control</v>
      </c>
      <c r="L146" s="9" t="s">
        <v>1005</v>
      </c>
    </row>
    <row r="147" customFormat="false" ht="23.85" hidden="false" customHeight="false" outlineLevel="0" collapsed="false">
      <c r="A147" s="47" t="s">
        <v>573</v>
      </c>
      <c r="B147" s="47" t="s">
        <v>570</v>
      </c>
      <c r="C147" s="5" t="s">
        <v>1077</v>
      </c>
      <c r="D147" s="6" t="s">
        <v>1023</v>
      </c>
      <c r="E147" s="6"/>
      <c r="F147" s="6" t="s">
        <v>640</v>
      </c>
      <c r="G147" s="6"/>
      <c r="H147" s="6"/>
      <c r="I147" s="26" t="n">
        <v>0</v>
      </c>
      <c r="J147" s="26" t="n">
        <f aca="false">0</f>
        <v>0</v>
      </c>
      <c r="K147" s="43" t="str">
        <f aca="false">IF(I147=0,"No wiki control",IF(J147=I147,"Fully covered",IF(J147=0,"Not covered","Partly covered")))</f>
        <v>No wiki control</v>
      </c>
      <c r="L147" s="9" t="s">
        <v>1005</v>
      </c>
    </row>
    <row r="148" customFormat="false" ht="23.85" hidden="false" customHeight="false" outlineLevel="0" collapsed="false">
      <c r="A148" s="47" t="s">
        <v>573</v>
      </c>
      <c r="B148" s="47" t="s">
        <v>570</v>
      </c>
      <c r="C148" s="5" t="s">
        <v>1078</v>
      </c>
      <c r="D148" s="6" t="s">
        <v>486</v>
      </c>
      <c r="E148" s="6" t="s">
        <v>486</v>
      </c>
      <c r="F148" s="6" t="s">
        <v>730</v>
      </c>
      <c r="G148" s="6" t="s">
        <v>490</v>
      </c>
      <c r="H148" s="6"/>
      <c r="I148" s="26" t="n">
        <v>1</v>
      </c>
      <c r="J148" s="26" t="n">
        <f aca="false">COUNTIFS('Control Library'!$A$5:$A$50,"AI-CTRL-039",'Control Library'!$R$5:$R$50,"Implemented")</f>
        <v>0</v>
      </c>
      <c r="K148" s="43" t="str">
        <f aca="false">IF(I148=0,"No wiki control",IF(J148=I148,"Fully covered",IF(J148=0,"Not covered","Partly covered")))</f>
        <v>Not covered</v>
      </c>
      <c r="L148" s="9" t="s">
        <v>1005</v>
      </c>
    </row>
    <row r="149" customFormat="false" ht="23.85" hidden="false" customHeight="false" outlineLevel="0" collapsed="false">
      <c r="A149" s="47" t="s">
        <v>573</v>
      </c>
      <c r="B149" s="47" t="s">
        <v>570</v>
      </c>
      <c r="C149" s="5" t="s">
        <v>1079</v>
      </c>
      <c r="D149" s="6" t="s">
        <v>1080</v>
      </c>
      <c r="E149" s="6" t="s">
        <v>876</v>
      </c>
      <c r="F149" s="6" t="s">
        <v>730</v>
      </c>
      <c r="G149" s="6" t="s">
        <v>327</v>
      </c>
      <c r="H149" s="6"/>
      <c r="I149" s="26" t="n">
        <v>2</v>
      </c>
      <c r="J149" s="26" t="n">
        <f aca="false">COUNTIFS('Control Library'!$A$5:$A$50,"AI-CTRL-019",'Control Library'!$R$5:$R$50,"Implemented")+COUNTIFS('Control Library'!$A$5:$A$50,"AI-CTRL-029",'Control Library'!$R$5:$R$50,"Implemented")</f>
        <v>0</v>
      </c>
      <c r="K149" s="43" t="str">
        <f aca="false">IF(I149=0,"No wiki control",IF(J149=I149,"Fully covered",IF(J149=0,"Not covered","Partly covered")))</f>
        <v>Not covered</v>
      </c>
      <c r="L149" s="9" t="s">
        <v>1005</v>
      </c>
    </row>
    <row r="150" customFormat="false" ht="23.85" hidden="false" customHeight="false" outlineLevel="0" collapsed="false">
      <c r="A150" s="47" t="s">
        <v>573</v>
      </c>
      <c r="B150" s="47" t="s">
        <v>570</v>
      </c>
      <c r="C150" s="5" t="s">
        <v>1081</v>
      </c>
      <c r="D150" s="6" t="s">
        <v>1023</v>
      </c>
      <c r="E150" s="6"/>
      <c r="F150" s="6" t="s">
        <v>640</v>
      </c>
      <c r="G150" s="6"/>
      <c r="H150" s="6"/>
      <c r="I150" s="26" t="n">
        <v>0</v>
      </c>
      <c r="J150" s="26" t="n">
        <f aca="false">0</f>
        <v>0</v>
      </c>
      <c r="K150" s="43" t="str">
        <f aca="false">IF(I150=0,"No wiki control",IF(J150=I150,"Fully covered",IF(J150=0,"Not covered","Partly covered")))</f>
        <v>No wiki control</v>
      </c>
      <c r="L150" s="9" t="s">
        <v>1005</v>
      </c>
    </row>
    <row r="151" customFormat="false" ht="23.85" hidden="false" customHeight="false" outlineLevel="0" collapsed="false">
      <c r="A151" s="47" t="s">
        <v>573</v>
      </c>
      <c r="B151" s="47" t="s">
        <v>570</v>
      </c>
      <c r="C151" s="5" t="s">
        <v>1082</v>
      </c>
      <c r="D151" s="6" t="s">
        <v>1023</v>
      </c>
      <c r="E151" s="6"/>
      <c r="F151" s="6" t="s">
        <v>640</v>
      </c>
      <c r="G151" s="6"/>
      <c r="H151" s="6"/>
      <c r="I151" s="26" t="n">
        <v>0</v>
      </c>
      <c r="J151" s="26" t="n">
        <f aca="false">0</f>
        <v>0</v>
      </c>
      <c r="K151" s="43" t="str">
        <f aca="false">IF(I151=0,"No wiki control",IF(J151=I151,"Fully covered",IF(J151=0,"Not covered","Partly covered")))</f>
        <v>No wiki control</v>
      </c>
      <c r="L151" s="9" t="s">
        <v>1005</v>
      </c>
    </row>
    <row r="152" customFormat="false" ht="23.85" hidden="false" customHeight="false" outlineLevel="0" collapsed="false">
      <c r="A152" s="47" t="s">
        <v>573</v>
      </c>
      <c r="B152" s="47" t="s">
        <v>570</v>
      </c>
      <c r="C152" s="5" t="s">
        <v>1083</v>
      </c>
      <c r="D152" s="6" t="s">
        <v>1023</v>
      </c>
      <c r="E152" s="6"/>
      <c r="F152" s="6" t="s">
        <v>640</v>
      </c>
      <c r="G152" s="6"/>
      <c r="H152" s="6"/>
      <c r="I152" s="26" t="n">
        <v>0</v>
      </c>
      <c r="J152" s="26" t="n">
        <f aca="false">0</f>
        <v>0</v>
      </c>
      <c r="K152" s="43" t="str">
        <f aca="false">IF(I152=0,"No wiki control",IF(J152=I152,"Fully covered",IF(J152=0,"Not covered","Partly covered")))</f>
        <v>No wiki control</v>
      </c>
      <c r="L152" s="9" t="s">
        <v>1005</v>
      </c>
    </row>
    <row r="153" customFormat="false" ht="23.85" hidden="false" customHeight="false" outlineLevel="0" collapsed="false">
      <c r="A153" s="47" t="s">
        <v>573</v>
      </c>
      <c r="B153" s="47" t="s">
        <v>570</v>
      </c>
      <c r="C153" s="5" t="s">
        <v>1084</v>
      </c>
      <c r="D153" s="6" t="s">
        <v>530</v>
      </c>
      <c r="E153" s="6" t="s">
        <v>530</v>
      </c>
      <c r="F153" s="6" t="s">
        <v>730</v>
      </c>
      <c r="G153" s="6" t="s">
        <v>533</v>
      </c>
      <c r="H153" s="6"/>
      <c r="I153" s="26" t="n">
        <v>1</v>
      </c>
      <c r="J153" s="26" t="n">
        <f aca="false">COUNTIFS('Control Library'!$A$5:$A$50,"AI-CTRL-044",'Control Library'!$R$5:$R$50,"Implemented")</f>
        <v>0</v>
      </c>
      <c r="K153" s="43" t="str">
        <f aca="false">IF(I153=0,"No wiki control",IF(J153=I153,"Fully covered",IF(J153=0,"Not covered","Partly covered")))</f>
        <v>Not covered</v>
      </c>
      <c r="L153" s="9" t="s">
        <v>1005</v>
      </c>
    </row>
    <row r="154" customFormat="false" ht="23.85" hidden="false" customHeight="false" outlineLevel="0" collapsed="false">
      <c r="A154" s="47" t="s">
        <v>573</v>
      </c>
      <c r="B154" s="47" t="s">
        <v>570</v>
      </c>
      <c r="C154" s="5" t="s">
        <v>1085</v>
      </c>
      <c r="D154" s="6" t="s">
        <v>1026</v>
      </c>
      <c r="E154" s="6" t="s">
        <v>805</v>
      </c>
      <c r="F154" s="6" t="s">
        <v>730</v>
      </c>
      <c r="G154" s="6" t="s">
        <v>542</v>
      </c>
      <c r="H154" s="6"/>
      <c r="I154" s="26" t="n">
        <v>2</v>
      </c>
      <c r="J154" s="26" t="n">
        <f aca="false">COUNTIFS('Control Library'!$A$5:$A$50,"AI-CTRL-023",'Control Library'!$R$5:$R$50,"Implemented")+COUNTIFS('Control Library'!$A$5:$A$50,"AI-CTRL-045",'Control Library'!$R$5:$R$50,"Implemented")</f>
        <v>0</v>
      </c>
      <c r="K154" s="43" t="str">
        <f aca="false">IF(I154=0,"No wiki control",IF(J154=I154,"Fully covered",IF(J154=0,"Not covered","Partly covered")))</f>
        <v>Not covered</v>
      </c>
      <c r="L154" s="9" t="s">
        <v>1005</v>
      </c>
    </row>
    <row r="155" customFormat="false" ht="23.85" hidden="false" customHeight="false" outlineLevel="0" collapsed="false">
      <c r="A155" s="47" t="s">
        <v>573</v>
      </c>
      <c r="B155" s="47" t="s">
        <v>570</v>
      </c>
      <c r="C155" s="5" t="s">
        <v>1086</v>
      </c>
      <c r="D155" s="6" t="s">
        <v>1087</v>
      </c>
      <c r="E155" s="6" t="s">
        <v>1088</v>
      </c>
      <c r="F155" s="6" t="s">
        <v>730</v>
      </c>
      <c r="G155" s="6" t="s">
        <v>1089</v>
      </c>
      <c r="H155" s="6"/>
      <c r="I155" s="26" t="n">
        <v>5</v>
      </c>
      <c r="J155" s="26" t="n">
        <f aca="false">COUNTIFS('Control Library'!$A$5:$A$50,"AI-CTRL-007",'Control Library'!$R$5:$R$50,"Implemented")+COUNTIFS('Control Library'!$A$5:$A$50,"AI-CTRL-024",'Control Library'!$R$5:$R$50,"Implemented")+COUNTIFS('Control Library'!$A$5:$A$50,"AI-CTRL-029",'Control Library'!$R$5:$R$50,"Implemented")+COUNTIFS('Control Library'!$A$5:$A$50,"AI-CTRL-031",'Control Library'!$R$5:$R$50,"Implemented")+COUNTIFS('Control Library'!$A$5:$A$50,"AI-CTRL-046",'Control Library'!$R$5:$R$50,"Implemented")</f>
        <v>0</v>
      </c>
      <c r="K155" s="43" t="str">
        <f aca="false">IF(I155=0,"No wiki control",IF(J155=I155,"Fully covered",IF(J155=0,"Not covered","Partly covered")))</f>
        <v>Not covered</v>
      </c>
      <c r="L155" s="9" t="s">
        <v>1005</v>
      </c>
    </row>
    <row r="156" customFormat="false" ht="23.85" hidden="false" customHeight="false" outlineLevel="0" collapsed="false">
      <c r="A156" s="47" t="s">
        <v>573</v>
      </c>
      <c r="B156" s="47" t="s">
        <v>570</v>
      </c>
      <c r="C156" s="5" t="s">
        <v>1090</v>
      </c>
      <c r="D156" s="6" t="s">
        <v>1091</v>
      </c>
      <c r="E156" s="6" t="s">
        <v>1092</v>
      </c>
      <c r="F156" s="6" t="s">
        <v>730</v>
      </c>
      <c r="G156" s="6" t="s">
        <v>1093</v>
      </c>
      <c r="H156" s="6"/>
      <c r="I156" s="26" t="n">
        <v>3</v>
      </c>
      <c r="J156" s="26" t="n">
        <f aca="false">COUNTIFS('Control Library'!$A$5:$A$50,"AI-CTRL-024",'Control Library'!$R$5:$R$50,"Implemented")+COUNTIFS('Control Library'!$A$5:$A$50,"AI-CTRL-030",'Control Library'!$R$5:$R$50,"Implemented")+COUNTIFS('Control Library'!$A$5:$A$50,"AI-CTRL-032",'Control Library'!$R$5:$R$50,"Implemented")</f>
        <v>0</v>
      </c>
      <c r="K156" s="43" t="str">
        <f aca="false">IF(I156=0,"No wiki control",IF(J156=I156,"Fully covered",IF(J156=0,"Not covered","Partly covered")))</f>
        <v>Not covered</v>
      </c>
      <c r="L156" s="9" t="s">
        <v>1005</v>
      </c>
    </row>
    <row r="157" customFormat="false" ht="23.85" hidden="false" customHeight="false" outlineLevel="0" collapsed="false">
      <c r="A157" s="47" t="s">
        <v>573</v>
      </c>
      <c r="B157" s="47" t="s">
        <v>570</v>
      </c>
      <c r="C157" s="5" t="s">
        <v>1094</v>
      </c>
      <c r="D157" s="6" t="s">
        <v>1095</v>
      </c>
      <c r="E157" s="6" t="s">
        <v>1096</v>
      </c>
      <c r="F157" s="6" t="s">
        <v>730</v>
      </c>
      <c r="G157" s="6" t="s">
        <v>1097</v>
      </c>
      <c r="H157" s="6"/>
      <c r="I157" s="26" t="n">
        <v>3</v>
      </c>
      <c r="J157" s="26" t="n">
        <f aca="false">COUNTIFS('Control Library'!$A$5:$A$50,"AI-CTRL-013",'Control Library'!$R$5:$R$50,"Implemented")+COUNTIFS('Control Library'!$A$5:$A$50,"AI-CTRL-041",'Control Library'!$R$5:$R$50,"Implemented")+COUNTIFS('Control Library'!$A$5:$A$50,"AI-CTRL-042",'Control Library'!$R$5:$R$50,"Implemented")</f>
        <v>0</v>
      </c>
      <c r="K157" s="43" t="str">
        <f aca="false">IF(I157=0,"No wiki control",IF(J157=I157,"Fully covered",IF(J157=0,"Not covered","Partly covered")))</f>
        <v>Not covered</v>
      </c>
      <c r="L157" s="9" t="s">
        <v>1005</v>
      </c>
    </row>
    <row r="158" customFormat="false" ht="23.85" hidden="false" customHeight="false" outlineLevel="0" collapsed="false">
      <c r="A158" s="47" t="s">
        <v>573</v>
      </c>
      <c r="B158" s="47" t="s">
        <v>570</v>
      </c>
      <c r="C158" s="5" t="s">
        <v>1098</v>
      </c>
      <c r="D158" s="6" t="s">
        <v>1023</v>
      </c>
      <c r="E158" s="6"/>
      <c r="F158" s="6" t="s">
        <v>640</v>
      </c>
      <c r="G158" s="6"/>
      <c r="H158" s="6"/>
      <c r="I158" s="26" t="n">
        <v>0</v>
      </c>
      <c r="J158" s="26" t="n">
        <f aca="false">0</f>
        <v>0</v>
      </c>
      <c r="K158" s="43" t="str">
        <f aca="false">IF(I158=0,"No wiki control",IF(J158=I158,"Fully covered",IF(J158=0,"Not covered","Partly covered")))</f>
        <v>No wiki control</v>
      </c>
      <c r="L158" s="9" t="s">
        <v>1005</v>
      </c>
    </row>
    <row r="159" customFormat="false" ht="23.85" hidden="false" customHeight="false" outlineLevel="0" collapsed="false">
      <c r="A159" s="47" t="s">
        <v>573</v>
      </c>
      <c r="B159" s="47" t="s">
        <v>570</v>
      </c>
      <c r="C159" s="5" t="s">
        <v>1099</v>
      </c>
      <c r="D159" s="6" t="s">
        <v>1023</v>
      </c>
      <c r="E159" s="6"/>
      <c r="F159" s="6" t="s">
        <v>640</v>
      </c>
      <c r="G159" s="6"/>
      <c r="H159" s="6"/>
      <c r="I159" s="26" t="n">
        <v>0</v>
      </c>
      <c r="J159" s="26" t="n">
        <f aca="false">0</f>
        <v>0</v>
      </c>
      <c r="K159" s="43" t="str">
        <f aca="false">IF(I159=0,"No wiki control",IF(J159=I159,"Fully covered",IF(J159=0,"Not covered","Partly covered")))</f>
        <v>No wiki control</v>
      </c>
      <c r="L159" s="9" t="s">
        <v>1005</v>
      </c>
    </row>
    <row r="160" customFormat="false" ht="23.85" hidden="false" customHeight="false" outlineLevel="0" collapsed="false">
      <c r="A160" s="47" t="s">
        <v>573</v>
      </c>
      <c r="B160" s="47" t="s">
        <v>570</v>
      </c>
      <c r="C160" s="5" t="s">
        <v>1100</v>
      </c>
      <c r="D160" s="6" t="s">
        <v>478</v>
      </c>
      <c r="E160" s="6" t="s">
        <v>478</v>
      </c>
      <c r="F160" s="6" t="s">
        <v>730</v>
      </c>
      <c r="G160" s="6" t="s">
        <v>481</v>
      </c>
      <c r="H160" s="6"/>
      <c r="I160" s="26" t="n">
        <v>1</v>
      </c>
      <c r="J160" s="26" t="n">
        <f aca="false">COUNTIFS('Control Library'!$A$5:$A$50,"AI-CTRL-038",'Control Library'!$R$5:$R$50,"Implemented")</f>
        <v>0</v>
      </c>
      <c r="K160" s="43" t="str">
        <f aca="false">IF(I160=0,"No wiki control",IF(J160=I160,"Fully covered",IF(J160=0,"Not covered","Partly covered")))</f>
        <v>Not covered</v>
      </c>
      <c r="L160" s="9" t="s">
        <v>1005</v>
      </c>
    </row>
    <row r="161" customFormat="false" ht="23.85" hidden="false" customHeight="false" outlineLevel="0" collapsed="false">
      <c r="A161" s="47" t="s">
        <v>573</v>
      </c>
      <c r="B161" s="47" t="s">
        <v>570</v>
      </c>
      <c r="C161" s="5" t="s">
        <v>1101</v>
      </c>
      <c r="D161" s="6" t="s">
        <v>478</v>
      </c>
      <c r="E161" s="6" t="s">
        <v>478</v>
      </c>
      <c r="F161" s="6" t="s">
        <v>730</v>
      </c>
      <c r="G161" s="6" t="s">
        <v>481</v>
      </c>
      <c r="H161" s="6"/>
      <c r="I161" s="26" t="n">
        <v>1</v>
      </c>
      <c r="J161" s="26" t="n">
        <f aca="false">COUNTIFS('Control Library'!$A$5:$A$50,"AI-CTRL-038",'Control Library'!$R$5:$R$50,"Implemented")</f>
        <v>0</v>
      </c>
      <c r="K161" s="43" t="str">
        <f aca="false">IF(I161=0,"No wiki control",IF(J161=I161,"Fully covered",IF(J161=0,"Not covered","Partly covered")))</f>
        <v>Not covered</v>
      </c>
      <c r="L161" s="9" t="s">
        <v>1005</v>
      </c>
    </row>
    <row r="162" customFormat="false" ht="23.85" hidden="false" customHeight="false" outlineLevel="0" collapsed="false">
      <c r="A162" s="47" t="s">
        <v>573</v>
      </c>
      <c r="B162" s="47" t="s">
        <v>570</v>
      </c>
      <c r="C162" s="5" t="s">
        <v>1102</v>
      </c>
      <c r="D162" s="6" t="s">
        <v>444</v>
      </c>
      <c r="E162" s="6" t="s">
        <v>444</v>
      </c>
      <c r="F162" s="6" t="s">
        <v>730</v>
      </c>
      <c r="G162" s="6" t="s">
        <v>447</v>
      </c>
      <c r="H162" s="6"/>
      <c r="I162" s="26" t="n">
        <v>1</v>
      </c>
      <c r="J162" s="26" t="n">
        <f aca="false">COUNTIFS('Control Library'!$A$5:$A$50,"AI-CTRL-034",'Control Library'!$R$5:$R$50,"Implemented")</f>
        <v>0</v>
      </c>
      <c r="K162" s="43" t="str">
        <f aca="false">IF(I162=0,"No wiki control",IF(J162=I162,"Fully covered",IF(J162=0,"Not covered","Partly covered")))</f>
        <v>Not covered</v>
      </c>
      <c r="L162" s="9" t="s">
        <v>1005</v>
      </c>
    </row>
    <row r="163" customFormat="false" ht="23.85" hidden="false" customHeight="false" outlineLevel="0" collapsed="false">
      <c r="A163" s="47" t="s">
        <v>573</v>
      </c>
      <c r="B163" s="47" t="s">
        <v>570</v>
      </c>
      <c r="C163" s="5" t="s">
        <v>1103</v>
      </c>
      <c r="D163" s="6" t="s">
        <v>1023</v>
      </c>
      <c r="E163" s="6"/>
      <c r="F163" s="6" t="s">
        <v>640</v>
      </c>
      <c r="G163" s="6"/>
      <c r="H163" s="6"/>
      <c r="I163" s="26" t="n">
        <v>0</v>
      </c>
      <c r="J163" s="26" t="n">
        <f aca="false">0</f>
        <v>0</v>
      </c>
      <c r="K163" s="43" t="str">
        <f aca="false">IF(I163=0,"No wiki control",IF(J163=I163,"Fully covered",IF(J163=0,"Not covered","Partly covered")))</f>
        <v>No wiki control</v>
      </c>
      <c r="L163" s="9" t="s">
        <v>1005</v>
      </c>
    </row>
    <row r="164" customFormat="false" ht="23.85" hidden="false" customHeight="false" outlineLevel="0" collapsed="false">
      <c r="A164" s="47" t="s">
        <v>573</v>
      </c>
      <c r="B164" s="47" t="s">
        <v>570</v>
      </c>
      <c r="C164" s="5" t="s">
        <v>1104</v>
      </c>
      <c r="D164" s="6" t="s">
        <v>1023</v>
      </c>
      <c r="E164" s="6"/>
      <c r="F164" s="6" t="s">
        <v>640</v>
      </c>
      <c r="G164" s="6"/>
      <c r="H164" s="6"/>
      <c r="I164" s="26" t="n">
        <v>0</v>
      </c>
      <c r="J164" s="26" t="n">
        <f aca="false">0</f>
        <v>0</v>
      </c>
      <c r="K164" s="43" t="str">
        <f aca="false">IF(I164=0,"No wiki control",IF(J164=I164,"Fully covered",IF(J164=0,"Not covered","Partly covered")))</f>
        <v>No wiki control</v>
      </c>
      <c r="L164" s="9" t="s">
        <v>1005</v>
      </c>
    </row>
    <row r="165" customFormat="false" ht="23.85" hidden="false" customHeight="false" outlineLevel="0" collapsed="false">
      <c r="A165" s="47" t="s">
        <v>573</v>
      </c>
      <c r="B165" s="47" t="s">
        <v>570</v>
      </c>
      <c r="C165" s="5" t="s">
        <v>1105</v>
      </c>
      <c r="D165" s="6" t="s">
        <v>1106</v>
      </c>
      <c r="E165" s="6" t="s">
        <v>1107</v>
      </c>
      <c r="F165" s="6" t="s">
        <v>730</v>
      </c>
      <c r="G165" s="6" t="s">
        <v>1108</v>
      </c>
      <c r="H165" s="6"/>
      <c r="I165" s="26" t="n">
        <v>3</v>
      </c>
      <c r="J165" s="26" t="n">
        <f aca="false">COUNTIFS('Control Library'!$A$5:$A$50,"AI-CTRL-006",'Control Library'!$R$5:$R$50,"Implemented")+COUNTIFS('Control Library'!$A$5:$A$50,"AI-CTRL-008",'Control Library'!$R$5:$R$50,"Implemented")+COUNTIFS('Control Library'!$A$5:$A$50,"AI-CTRL-009",'Control Library'!$R$5:$R$50,"Implemented")</f>
        <v>0</v>
      </c>
      <c r="K165" s="43" t="str">
        <f aca="false">IF(I165=0,"No wiki control",IF(J165=I165,"Fully covered",IF(J165=0,"Not covered","Partly covered")))</f>
        <v>Not covered</v>
      </c>
      <c r="L165" s="9" t="s">
        <v>1005</v>
      </c>
    </row>
    <row r="166" customFormat="false" ht="23.85" hidden="false" customHeight="false" outlineLevel="0" collapsed="false">
      <c r="A166" s="47" t="s">
        <v>573</v>
      </c>
      <c r="B166" s="47" t="s">
        <v>570</v>
      </c>
      <c r="C166" s="5" t="s">
        <v>1109</v>
      </c>
      <c r="D166" s="6" t="s">
        <v>1110</v>
      </c>
      <c r="E166" s="6" t="s">
        <v>1111</v>
      </c>
      <c r="F166" s="6" t="s">
        <v>730</v>
      </c>
      <c r="G166" s="6" t="s">
        <v>1112</v>
      </c>
      <c r="H166" s="6"/>
      <c r="I166" s="26" t="n">
        <v>2</v>
      </c>
      <c r="J166" s="26" t="n">
        <f aca="false">COUNTIFS('Control Library'!$A$5:$A$50,"AI-CTRL-028",'Control Library'!$R$5:$R$50,"Implemented")+COUNTIFS('Control Library'!$A$5:$A$50,"AI-CTRL-039",'Control Library'!$R$5:$R$50,"Implemented")</f>
        <v>0</v>
      </c>
      <c r="K166" s="43" t="str">
        <f aca="false">IF(I166=0,"No wiki control",IF(J166=I166,"Fully covered",IF(J166=0,"Not covered","Partly covered")))</f>
        <v>Not covered</v>
      </c>
      <c r="L166" s="9" t="s">
        <v>1005</v>
      </c>
    </row>
    <row r="167" customFormat="false" ht="23.85" hidden="false" customHeight="false" outlineLevel="0" collapsed="false">
      <c r="A167" s="47" t="s">
        <v>573</v>
      </c>
      <c r="B167" s="47" t="s">
        <v>570</v>
      </c>
      <c r="C167" s="5" t="s">
        <v>1113</v>
      </c>
      <c r="D167" s="6" t="s">
        <v>1114</v>
      </c>
      <c r="E167" s="6" t="s">
        <v>745</v>
      </c>
      <c r="F167" s="6" t="s">
        <v>730</v>
      </c>
      <c r="G167" s="6" t="s">
        <v>746</v>
      </c>
      <c r="H167" s="6"/>
      <c r="I167" s="26" t="n">
        <v>2</v>
      </c>
      <c r="J167" s="26" t="n">
        <f aca="false">COUNTIFS('Control Library'!$A$5:$A$50,"AI-CTRL-034",'Control Library'!$R$5:$R$50,"Implemented")+COUNTIFS('Control Library'!$A$5:$A$50,"AI-CTRL-039",'Control Library'!$R$5:$R$50,"Implemented")</f>
        <v>0</v>
      </c>
      <c r="K167" s="43" t="str">
        <f aca="false">IF(I167=0,"No wiki control",IF(J167=I167,"Fully covered",IF(J167=0,"Not covered","Partly covered")))</f>
        <v>Not covered</v>
      </c>
      <c r="L167" s="9" t="s">
        <v>1005</v>
      </c>
    </row>
    <row r="168" customFormat="false" ht="91" hidden="false" customHeight="false" outlineLevel="0" collapsed="false">
      <c r="A168" s="47" t="s">
        <v>573</v>
      </c>
      <c r="B168" s="47" t="s">
        <v>570</v>
      </c>
      <c r="C168" s="5" t="s">
        <v>1115</v>
      </c>
      <c r="D168" s="6" t="s">
        <v>1116</v>
      </c>
      <c r="E168" s="6" t="s">
        <v>1117</v>
      </c>
      <c r="F168" s="6" t="s">
        <v>730</v>
      </c>
      <c r="G168" s="6" t="s">
        <v>1118</v>
      </c>
      <c r="H168" s="6"/>
      <c r="I168" s="26" t="n">
        <v>19</v>
      </c>
      <c r="J168" s="26" t="n">
        <f aca="false">COUNTIFS('Control Library'!$A$5:$A$50,"AI-CTRL-005",'Control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Library'!$A$5:$A$50,"AI-CTRL-019",'Control Library'!$R$5:$R$50,"Implemented")+COUNTIFS('Control Library'!$A$5:$A$50,"AI-CTRL-020",'Control Library'!$R$5:$R$50,"Implemented")+COUNTIFS('Control Library'!$A$5:$A$50,"AI-CTRL-021",'Control Library'!$R$5:$R$50,"Implemented")+COUNTIFS('Control Library'!$A$5:$A$50,"AI-CTRL-022",'Control Library'!$R$5:$R$50,"Implemented")+COUNTIFS('Control Library'!$A$5:$A$50,"AI-CTRL-026",'Control Library'!$R$5:$R$50,"Implemented")+COUNTIFS('Control Library'!$A$5:$A$50,"AI-CTRL-027",'Control Library'!$R$5:$R$50,"Implemented")+COUNTIFS('Control Library'!$A$5:$A$50,"AI-CTRL-028",'Control Library'!$R$5:$R$50,"Implemented")+COUNTIFS('Control Library'!$A$5:$A$50,"AI-CTRL-029",'Control Library'!$R$5:$R$50,"Implemented")+COUNTIFS('Control Library'!$A$5:$A$50,"AI-CTRL-030",'Control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Library'!$R$5:$R$50,"Implemented")+COUNTIFS('Control Library'!$A$5:$A$50,"AI-CTRL-040",'Control Library'!$R$5:$R$50,"Implemented")</f>
        <v>0</v>
      </c>
      <c r="K168" s="43" t="str">
        <f aca="false">IF(I168=0,"No wiki control",IF(J168=I168,"Fully covered",IF(J168=0,"Not covered","Partly covered")))</f>
        <v>Not covered</v>
      </c>
      <c r="L168" s="9" t="s">
        <v>1005</v>
      </c>
    </row>
    <row r="169" customFormat="false" ht="23.85" hidden="false" customHeight="false" outlineLevel="0" collapsed="false">
      <c r="A169" s="47" t="s">
        <v>573</v>
      </c>
      <c r="B169" s="47" t="s">
        <v>570</v>
      </c>
      <c r="C169" s="5" t="s">
        <v>1119</v>
      </c>
      <c r="D169" s="6" t="s">
        <v>1120</v>
      </c>
      <c r="E169" s="6" t="s">
        <v>1121</v>
      </c>
      <c r="F169" s="6" t="s">
        <v>730</v>
      </c>
      <c r="G169" s="6" t="s">
        <v>1122</v>
      </c>
      <c r="H169" s="6"/>
      <c r="I169" s="26" t="n">
        <v>2</v>
      </c>
      <c r="J169" s="26" t="n">
        <f aca="false">COUNTIFS('Control Library'!$A$5:$A$50,"AI-CTRL-008",'Control Library'!$R$5:$R$50,"Implemented")+COUNTIFS('Control Library'!$A$5:$A$50,"AI-CTRL-015",'Control Library'!$R$5:$R$50,"Implemented")</f>
        <v>0</v>
      </c>
      <c r="K169" s="43" t="str">
        <f aca="false">IF(I169=0,"No wiki control",IF(J169=I169,"Fully covered",IF(J169=0,"Not covered","Partly covered")))</f>
        <v>Not covered</v>
      </c>
      <c r="L169" s="9" t="s">
        <v>1005</v>
      </c>
    </row>
    <row r="170" customFormat="false" ht="23.85" hidden="false" customHeight="false" outlineLevel="0" collapsed="false">
      <c r="A170" s="47" t="s">
        <v>573</v>
      </c>
      <c r="B170" s="47" t="s">
        <v>570</v>
      </c>
      <c r="C170" s="5" t="s">
        <v>1123</v>
      </c>
      <c r="D170" s="6" t="s">
        <v>504</v>
      </c>
      <c r="E170" s="6" t="s">
        <v>504</v>
      </c>
      <c r="F170" s="6" t="s">
        <v>730</v>
      </c>
      <c r="G170" s="6" t="s">
        <v>507</v>
      </c>
      <c r="H170" s="6"/>
      <c r="I170" s="26" t="n">
        <v>1</v>
      </c>
      <c r="J170" s="26" t="n">
        <f aca="false">COUNTIFS('Control Library'!$A$5:$A$50,"AI-CTRL-041",'Control Library'!$R$5:$R$50,"Implemented")</f>
        <v>0</v>
      </c>
      <c r="K170" s="43" t="str">
        <f aca="false">IF(I170=0,"No wiki control",IF(J170=I170,"Fully covered",IF(J170=0,"Not covered","Partly covered")))</f>
        <v>Not covered</v>
      </c>
      <c r="L170" s="9" t="s">
        <v>1005</v>
      </c>
    </row>
    <row r="171" customFormat="false" ht="57.45" hidden="false" customHeight="false" outlineLevel="0" collapsed="false">
      <c r="A171" s="47" t="s">
        <v>573</v>
      </c>
      <c r="B171" s="47" t="s">
        <v>570</v>
      </c>
      <c r="C171" s="5" t="s">
        <v>1124</v>
      </c>
      <c r="D171" s="6" t="s">
        <v>1125</v>
      </c>
      <c r="E171" s="6" t="s">
        <v>1126</v>
      </c>
      <c r="F171" s="6" t="s">
        <v>730</v>
      </c>
      <c r="G171" s="6" t="s">
        <v>1127</v>
      </c>
      <c r="H171" s="6"/>
      <c r="I171" s="26" t="n">
        <v>10</v>
      </c>
      <c r="J171" s="26" t="n">
        <f aca="false">COUNTIFS('Control Library'!$A$5:$A$50,"AI-CTRL-002",'Control Library'!$R$5:$R$50,"Implemented")+COUNTIFS('Control Library'!$A$5:$A$50,"AI-CTRL-003",'Control Library'!$R$5:$R$50,"Implemented")+COUNTIFS('Control Library'!$A$5:$A$50,"AI-CTRL-004",'Control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Library'!$A$5:$A$50,"AI-CTRL-026",'Control Library'!$R$5:$R$50,"Implemented")+COUNTIFS('Control Library'!$A$5:$A$50,"AI-CTRL-029",'Control Library'!$R$5:$R$50,"Implemented")</f>
        <v>0</v>
      </c>
      <c r="K171" s="43" t="str">
        <f aca="false">IF(I171=0,"No wiki control",IF(J171=I171,"Fully covered",IF(J171=0,"Not covered","Partly covered")))</f>
        <v>Not covered</v>
      </c>
      <c r="L171" s="9" t="s">
        <v>1005</v>
      </c>
    </row>
    <row r="172" customFormat="false" ht="23.85" hidden="false" customHeight="false" outlineLevel="0" collapsed="false">
      <c r="A172" s="47" t="s">
        <v>573</v>
      </c>
      <c r="B172" s="47" t="s">
        <v>570</v>
      </c>
      <c r="C172" s="5" t="s">
        <v>1128</v>
      </c>
      <c r="D172" s="6" t="s">
        <v>504</v>
      </c>
      <c r="E172" s="6" t="s">
        <v>504</v>
      </c>
      <c r="F172" s="6" t="s">
        <v>730</v>
      </c>
      <c r="G172" s="6" t="s">
        <v>507</v>
      </c>
      <c r="H172" s="6"/>
      <c r="I172" s="26" t="n">
        <v>1</v>
      </c>
      <c r="J172" s="26" t="n">
        <f aca="false">COUNTIFS('Control Library'!$A$5:$A$50,"AI-CTRL-041",'Control Library'!$R$5:$R$50,"Implemented")</f>
        <v>0</v>
      </c>
      <c r="K172" s="43" t="str">
        <f aca="false">IF(I172=0,"No wiki control",IF(J172=I172,"Fully covered",IF(J172=0,"Not covered","Partly covered")))</f>
        <v>Not covered</v>
      </c>
      <c r="L172" s="9" t="s">
        <v>1005</v>
      </c>
    </row>
    <row r="173" customFormat="false" ht="23.85" hidden="false" customHeight="false" outlineLevel="0" collapsed="false">
      <c r="A173" s="47" t="s">
        <v>573</v>
      </c>
      <c r="B173" s="47" t="s">
        <v>570</v>
      </c>
      <c r="C173" s="5" t="s">
        <v>1129</v>
      </c>
      <c r="D173" s="6" t="s">
        <v>1023</v>
      </c>
      <c r="E173" s="6"/>
      <c r="F173" s="6" t="s">
        <v>640</v>
      </c>
      <c r="G173" s="6"/>
      <c r="H173" s="6"/>
      <c r="I173" s="26" t="n">
        <v>0</v>
      </c>
      <c r="J173" s="26" t="n">
        <f aca="false">0</f>
        <v>0</v>
      </c>
      <c r="K173" s="43" t="str">
        <f aca="false">IF(I173=0,"No wiki control",IF(J173=I173,"Fully covered",IF(J173=0,"Not covered","Partly covered")))</f>
        <v>No wiki control</v>
      </c>
      <c r="L173" s="9" t="s">
        <v>1005</v>
      </c>
    </row>
    <row r="174" customFormat="false" ht="23.85" hidden="false" customHeight="false" outlineLevel="0" collapsed="false">
      <c r="A174" s="47" t="s">
        <v>573</v>
      </c>
      <c r="B174" s="47" t="s">
        <v>570</v>
      </c>
      <c r="C174" s="5" t="s">
        <v>1130</v>
      </c>
      <c r="D174" s="6" t="s">
        <v>1023</v>
      </c>
      <c r="E174" s="6"/>
      <c r="F174" s="6" t="s">
        <v>640</v>
      </c>
      <c r="G174" s="6"/>
      <c r="H174" s="6"/>
      <c r="I174" s="26" t="n">
        <v>0</v>
      </c>
      <c r="J174" s="26" t="n">
        <f aca="false">0</f>
        <v>0</v>
      </c>
      <c r="K174" s="43" t="str">
        <f aca="false">IF(I174=0,"No wiki control",IF(J174=I174,"Fully covered",IF(J174=0,"Not covered","Partly covered")))</f>
        <v>No wiki control</v>
      </c>
      <c r="L174" s="9" t="s">
        <v>1005</v>
      </c>
    </row>
    <row r="175" customFormat="false" ht="23.85" hidden="false" customHeight="false" outlineLevel="0" collapsed="false">
      <c r="A175" s="47" t="s">
        <v>573</v>
      </c>
      <c r="B175" s="47" t="s">
        <v>570</v>
      </c>
      <c r="C175" s="5" t="s">
        <v>1131</v>
      </c>
      <c r="D175" s="6" t="s">
        <v>239</v>
      </c>
      <c r="E175" s="6" t="s">
        <v>239</v>
      </c>
      <c r="F175" s="6" t="s">
        <v>730</v>
      </c>
      <c r="G175" s="6" t="s">
        <v>243</v>
      </c>
      <c r="H175" s="6"/>
      <c r="I175" s="26" t="n">
        <v>1</v>
      </c>
      <c r="J175" s="26" t="n">
        <f aca="false">COUNTIFS('Control Library'!$A$5:$A$50,"AI-CTRL-009",'Control Library'!$R$5:$R$50,"Implemented")</f>
        <v>0</v>
      </c>
      <c r="K175" s="43" t="str">
        <f aca="false">IF(I175=0,"No wiki control",IF(J175=I175,"Fully covered",IF(J175=0,"Not covered","Partly covered")))</f>
        <v>Not covered</v>
      </c>
      <c r="L175" s="9" t="s">
        <v>1005</v>
      </c>
    </row>
    <row r="176" customFormat="false" ht="23.85" hidden="false" customHeight="false" outlineLevel="0" collapsed="false">
      <c r="A176" s="47" t="s">
        <v>573</v>
      </c>
      <c r="B176" s="47" t="s">
        <v>570</v>
      </c>
      <c r="C176" s="5" t="s">
        <v>1132</v>
      </c>
      <c r="D176" s="6" t="s">
        <v>1023</v>
      </c>
      <c r="E176" s="6"/>
      <c r="F176" s="6" t="s">
        <v>640</v>
      </c>
      <c r="G176" s="6"/>
      <c r="H176" s="6"/>
      <c r="I176" s="26" t="n">
        <v>0</v>
      </c>
      <c r="J176" s="26" t="n">
        <f aca="false">0</f>
        <v>0</v>
      </c>
      <c r="K176" s="43" t="str">
        <f aca="false">IF(I176=0,"No wiki control",IF(J176=I176,"Fully covered",IF(J176=0,"Not covered","Partly covered")))</f>
        <v>No wiki control</v>
      </c>
      <c r="L176" s="9" t="s">
        <v>1005</v>
      </c>
    </row>
    <row r="177" customFormat="false" ht="23.85" hidden="false" customHeight="false" outlineLevel="0" collapsed="false">
      <c r="A177" s="47" t="s">
        <v>573</v>
      </c>
      <c r="B177" s="47" t="s">
        <v>570</v>
      </c>
      <c r="C177" s="5" t="s">
        <v>1133</v>
      </c>
      <c r="D177" s="6" t="s">
        <v>1023</v>
      </c>
      <c r="E177" s="6"/>
      <c r="F177" s="6" t="s">
        <v>640</v>
      </c>
      <c r="G177" s="6"/>
      <c r="H177" s="6"/>
      <c r="I177" s="26" t="n">
        <v>0</v>
      </c>
      <c r="J177" s="26" t="n">
        <f aca="false">0</f>
        <v>0</v>
      </c>
      <c r="K177" s="43" t="str">
        <f aca="false">IF(I177=0,"No wiki control",IF(J177=I177,"Fully covered",IF(J177=0,"Not covered","Partly covered")))</f>
        <v>No wiki control</v>
      </c>
      <c r="L177" s="9" t="s">
        <v>1005</v>
      </c>
    </row>
    <row r="178" customFormat="false" ht="23.85" hidden="false" customHeight="false" outlineLevel="0" collapsed="false">
      <c r="A178" s="47" t="s">
        <v>573</v>
      </c>
      <c r="B178" s="47" t="s">
        <v>570</v>
      </c>
      <c r="C178" s="5" t="s">
        <v>1134</v>
      </c>
      <c r="D178" s="6" t="s">
        <v>1023</v>
      </c>
      <c r="E178" s="6"/>
      <c r="F178" s="6" t="s">
        <v>640</v>
      </c>
      <c r="G178" s="6"/>
      <c r="H178" s="6"/>
      <c r="I178" s="26" t="n">
        <v>0</v>
      </c>
      <c r="J178" s="26" t="n">
        <f aca="false">0</f>
        <v>0</v>
      </c>
      <c r="K178" s="43" t="str">
        <f aca="false">IF(I178=0,"No wiki control",IF(J178=I178,"Fully covered",IF(J178=0,"Not covered","Partly covered")))</f>
        <v>No wiki control</v>
      </c>
      <c r="L178" s="9" t="s">
        <v>1005</v>
      </c>
    </row>
    <row r="179" customFormat="false" ht="23.85" hidden="false" customHeight="false" outlineLevel="0" collapsed="false">
      <c r="A179" s="47" t="s">
        <v>573</v>
      </c>
      <c r="B179" s="47" t="s">
        <v>570</v>
      </c>
      <c r="C179" s="5" t="s">
        <v>1135</v>
      </c>
      <c r="D179" s="6" t="s">
        <v>1023</v>
      </c>
      <c r="E179" s="6"/>
      <c r="F179" s="6" t="s">
        <v>640</v>
      </c>
      <c r="G179" s="6"/>
      <c r="H179" s="6"/>
      <c r="I179" s="26" t="n">
        <v>0</v>
      </c>
      <c r="J179" s="26" t="n">
        <f aca="false">0</f>
        <v>0</v>
      </c>
      <c r="K179" s="43" t="str">
        <f aca="false">IF(I179=0,"No wiki control",IF(J179=I179,"Fully covered",IF(J179=0,"Not covered","Partly covered")))</f>
        <v>No wiki control</v>
      </c>
      <c r="L179" s="9" t="s">
        <v>1005</v>
      </c>
    </row>
    <row r="180" customFormat="false" ht="23.85" hidden="false" customHeight="false" outlineLevel="0" collapsed="false">
      <c r="A180" s="47" t="s">
        <v>573</v>
      </c>
      <c r="B180" s="47" t="s">
        <v>570</v>
      </c>
      <c r="C180" s="5" t="s">
        <v>1136</v>
      </c>
      <c r="D180" s="6" t="s">
        <v>1023</v>
      </c>
      <c r="E180" s="6"/>
      <c r="F180" s="6" t="s">
        <v>640</v>
      </c>
      <c r="G180" s="6"/>
      <c r="H180" s="6"/>
      <c r="I180" s="26" t="n">
        <v>0</v>
      </c>
      <c r="J180" s="26" t="n">
        <f aca="false">0</f>
        <v>0</v>
      </c>
      <c r="K180" s="43" t="str">
        <f aca="false">IF(I180=0,"No wiki control",IF(J180=I180,"Fully covered",IF(J180=0,"Not covered","Partly covered")))</f>
        <v>No wiki control</v>
      </c>
      <c r="L180" s="9" t="s">
        <v>1005</v>
      </c>
    </row>
    <row r="181" customFormat="false" ht="23.85" hidden="false" customHeight="false" outlineLevel="0" collapsed="false">
      <c r="A181" s="47" t="s">
        <v>574</v>
      </c>
      <c r="B181" s="47" t="s">
        <v>570</v>
      </c>
      <c r="C181" s="5" t="s">
        <v>1137</v>
      </c>
      <c r="D181" s="6" t="s">
        <v>1137</v>
      </c>
      <c r="E181" s="6" t="s">
        <v>486</v>
      </c>
      <c r="F181" s="6" t="s">
        <v>730</v>
      </c>
      <c r="G181" s="6" t="s">
        <v>641</v>
      </c>
      <c r="H181" s="6" t="s">
        <v>657</v>
      </c>
      <c r="I181" s="26" t="n">
        <v>1</v>
      </c>
      <c r="J181" s="26" t="n">
        <f aca="false">COUNTIFS('Control Library'!$A$5:$A$50,"AI-CTRL-039",'Control Library'!$R$5:$R$50,"Implemented")</f>
        <v>0</v>
      </c>
      <c r="K181" s="43" t="str">
        <f aca="false">IF(I181=0,"No wiki control",IF(J181=I181,"Fully covered",IF(J181=0,"Not covered","Partly covered")))</f>
        <v>Not covered</v>
      </c>
      <c r="L181" s="9" t="s">
        <v>1138</v>
      </c>
    </row>
    <row r="182" customFormat="false" ht="23.85" hidden="false" customHeight="false" outlineLevel="0" collapsed="false">
      <c r="A182" s="47" t="s">
        <v>574</v>
      </c>
      <c r="B182" s="47" t="s">
        <v>570</v>
      </c>
      <c r="C182" s="5" t="s">
        <v>1139</v>
      </c>
      <c r="D182" s="6" t="s">
        <v>1139</v>
      </c>
      <c r="E182" s="6" t="s">
        <v>1140</v>
      </c>
      <c r="F182" s="6" t="s">
        <v>730</v>
      </c>
      <c r="G182" s="6" t="s">
        <v>641</v>
      </c>
      <c r="H182" s="6" t="s">
        <v>642</v>
      </c>
      <c r="I182" s="26" t="n">
        <v>2</v>
      </c>
      <c r="J182" s="26" t="n">
        <f aca="false">COUNTIFS('Control Library'!$A$5:$A$50,"AI-CTRL-039",'Control Library'!$R$5:$R$50,"Implemented")+COUNTIFS('Control Library'!$A$5:$A$50,"AI-CTRL-045",'Control Library'!$R$5:$R$50,"Implemented")</f>
        <v>0</v>
      </c>
      <c r="K182" s="43" t="str">
        <f aca="false">IF(I182=0,"No wiki control",IF(J182=I182,"Fully covered",IF(J182=0,"Not covered","Partly covered")))</f>
        <v>Not covered</v>
      </c>
      <c r="L182" s="9" t="s">
        <v>1138</v>
      </c>
    </row>
    <row r="183" customFormat="false" ht="23.85" hidden="false" customHeight="false" outlineLevel="0" collapsed="false">
      <c r="A183" s="47" t="s">
        <v>574</v>
      </c>
      <c r="B183" s="47" t="s">
        <v>570</v>
      </c>
      <c r="C183" s="5" t="s">
        <v>1141</v>
      </c>
      <c r="D183" s="6" t="s">
        <v>1141</v>
      </c>
      <c r="E183" s="6" t="s">
        <v>745</v>
      </c>
      <c r="F183" s="6" t="s">
        <v>730</v>
      </c>
      <c r="G183" s="6" t="s">
        <v>901</v>
      </c>
      <c r="H183" s="6" t="s">
        <v>657</v>
      </c>
      <c r="I183" s="26" t="n">
        <v>2</v>
      </c>
      <c r="J183" s="26" t="n">
        <f aca="false">COUNTIFS('Control Library'!$A$5:$A$50,"AI-CTRL-034",'Control Library'!$R$5:$R$50,"Implemented")+COUNTIFS('Control Library'!$A$5:$A$50,"AI-CTRL-039",'Control Library'!$R$5:$R$50,"Implemented")</f>
        <v>0</v>
      </c>
      <c r="K183" s="43" t="str">
        <f aca="false">IF(I183=0,"No wiki control",IF(J183=I183,"Fully covered",IF(J183=0,"Not covered","Partly covered")))</f>
        <v>Not covered</v>
      </c>
      <c r="L183" s="9" t="s">
        <v>1138</v>
      </c>
    </row>
    <row r="184" customFormat="false" ht="23.85" hidden="false" customHeight="false" outlineLevel="0" collapsed="false">
      <c r="A184" s="47" t="s">
        <v>574</v>
      </c>
      <c r="B184" s="47" t="s">
        <v>570</v>
      </c>
      <c r="C184" s="5" t="s">
        <v>1142</v>
      </c>
      <c r="D184" s="6" t="s">
        <v>1142</v>
      </c>
      <c r="E184" s="6" t="s">
        <v>1143</v>
      </c>
      <c r="F184" s="6" t="s">
        <v>730</v>
      </c>
      <c r="G184" s="6" t="s">
        <v>1144</v>
      </c>
      <c r="H184" s="6" t="s">
        <v>642</v>
      </c>
      <c r="I184" s="26" t="n">
        <v>4</v>
      </c>
      <c r="J184" s="26" t="n">
        <f aca="false">COUNTIFS('Control Library'!$A$5:$A$50,"AI-CTRL-002",'Control Library'!$R$5:$R$50,"Implemented")+COUNTIFS('Control Library'!$A$5:$A$50,"AI-CTRL-013",'Control Library'!$R$5:$R$50,"Implemented")+COUNTIFS('Control Library'!$A$5:$A$50,"AI-CTRL-017",'Control Library'!$R$5:$R$50,"Implemented")+COUNTIFS('Control Library'!$A$5:$A$50,"AI-CTRL-042",'Control Library'!$R$5:$R$50,"Implemented")</f>
        <v>0</v>
      </c>
      <c r="K184" s="43" t="str">
        <f aca="false">IF(I184=0,"No wiki control",IF(J184=I184,"Fully covered",IF(J184=0,"Not covered","Partly covered")))</f>
        <v>Not covered</v>
      </c>
      <c r="L184" s="9" t="s">
        <v>1138</v>
      </c>
    </row>
    <row r="185" customFormat="false" ht="23.85" hidden="false" customHeight="false" outlineLevel="0" collapsed="false">
      <c r="A185" s="47" t="s">
        <v>574</v>
      </c>
      <c r="B185" s="47" t="s">
        <v>570</v>
      </c>
      <c r="C185" s="5" t="s">
        <v>1145</v>
      </c>
      <c r="D185" s="6" t="s">
        <v>1145</v>
      </c>
      <c r="E185" s="6" t="s">
        <v>462</v>
      </c>
      <c r="F185" s="6" t="s">
        <v>730</v>
      </c>
      <c r="G185" s="6" t="s">
        <v>1146</v>
      </c>
      <c r="H185" s="6" t="s">
        <v>657</v>
      </c>
      <c r="I185" s="26" t="n">
        <v>1</v>
      </c>
      <c r="J185" s="26" t="n">
        <f aca="false">COUNTIFS('Control Library'!$A$5:$A$50,"AI-CTRL-036",'Control Library'!$R$5:$R$50,"Implemented")</f>
        <v>0</v>
      </c>
      <c r="K185" s="43" t="str">
        <f aca="false">IF(I185=0,"No wiki control",IF(J185=I185,"Fully covered",IF(J185=0,"Not covered","Partly covered")))</f>
        <v>Not covered</v>
      </c>
      <c r="L185" s="9" t="s">
        <v>1138</v>
      </c>
    </row>
    <row r="186" customFormat="false" ht="23.85" hidden="false" customHeight="false" outlineLevel="0" collapsed="false">
      <c r="A186" s="47" t="s">
        <v>574</v>
      </c>
      <c r="B186" s="47" t="s">
        <v>570</v>
      </c>
      <c r="C186" s="5" t="s">
        <v>1147</v>
      </c>
      <c r="D186" s="6" t="s">
        <v>1147</v>
      </c>
      <c r="E186" s="6" t="s">
        <v>1148</v>
      </c>
      <c r="F186" s="6" t="s">
        <v>730</v>
      </c>
      <c r="G186" s="6" t="s">
        <v>897</v>
      </c>
      <c r="H186" s="6" t="s">
        <v>657</v>
      </c>
      <c r="I186" s="26" t="n">
        <v>2</v>
      </c>
      <c r="J186" s="26" t="n">
        <f aca="false">COUNTIFS('Control Library'!$A$5:$A$50,"AI-CTRL-034",'Control Library'!$R$5:$R$50,"Implemented")+COUNTIFS('Control Library'!$A$5:$A$50,"AI-CTRL-041",'Control Library'!$R$5:$R$50,"Implemented")</f>
        <v>0</v>
      </c>
      <c r="K186" s="43" t="str">
        <f aca="false">IF(I186=0,"No wiki control",IF(J186=I186,"Fully covered",IF(J186=0,"Not covered","Partly covered")))</f>
        <v>Not covered</v>
      </c>
      <c r="L186" s="9" t="s">
        <v>1138</v>
      </c>
    </row>
    <row r="187" customFormat="false" ht="23.85" hidden="false" customHeight="false" outlineLevel="0" collapsed="false">
      <c r="A187" s="47" t="s">
        <v>574</v>
      </c>
      <c r="B187" s="47" t="s">
        <v>570</v>
      </c>
      <c r="C187" s="5" t="s">
        <v>1149</v>
      </c>
      <c r="D187" s="6" t="s">
        <v>1149</v>
      </c>
      <c r="E187" s="6" t="s">
        <v>1150</v>
      </c>
      <c r="F187" s="6" t="s">
        <v>730</v>
      </c>
      <c r="G187" s="6" t="s">
        <v>905</v>
      </c>
      <c r="H187" s="6" t="s">
        <v>657</v>
      </c>
      <c r="I187" s="26" t="n">
        <v>3</v>
      </c>
      <c r="J187" s="26" t="n">
        <f aca="false">COUNTIFS('Control Library'!$A$5:$A$50,"AI-CTRL-023",'Control Library'!$R$5:$R$50,"Implemented")+COUNTIFS('Control Library'!$A$5:$A$50,"AI-CTRL-044",'Control Library'!$R$5:$R$50,"Implemented")+COUNTIFS('Control Library'!$A$5:$A$50,"AI-CTRL-045",'Control Library'!$R$5:$R$50,"Implemented")</f>
        <v>0</v>
      </c>
      <c r="K187" s="43" t="str">
        <f aca="false">IF(I187=0,"No wiki control",IF(J187=I187,"Fully covered",IF(J187=0,"Not covered","Partly covered")))</f>
        <v>Not covered</v>
      </c>
      <c r="L187" s="9" t="s">
        <v>1138</v>
      </c>
    </row>
    <row r="188" customFormat="false" ht="23.85" hidden="false" customHeight="false" outlineLevel="0" collapsed="false">
      <c r="A188" s="47" t="s">
        <v>574</v>
      </c>
      <c r="B188" s="47" t="s">
        <v>570</v>
      </c>
      <c r="C188" s="5" t="s">
        <v>1151</v>
      </c>
      <c r="D188" s="6" t="s">
        <v>1151</v>
      </c>
      <c r="E188" s="6" t="s">
        <v>486</v>
      </c>
      <c r="F188" s="6" t="s">
        <v>730</v>
      </c>
      <c r="G188" s="6" t="s">
        <v>901</v>
      </c>
      <c r="H188" s="6" t="s">
        <v>657</v>
      </c>
      <c r="I188" s="26" t="n">
        <v>1</v>
      </c>
      <c r="J188" s="26" t="n">
        <f aca="false">COUNTIFS('Control Library'!$A$5:$A$50,"AI-CTRL-039",'Control Library'!$R$5:$R$50,"Implemented")</f>
        <v>0</v>
      </c>
      <c r="K188" s="43" t="str">
        <f aca="false">IF(I188=0,"No wiki control",IF(J188=I188,"Fully covered",IF(J188=0,"Not covered","Partly covered")))</f>
        <v>Not covered</v>
      </c>
      <c r="L188" s="9" t="s">
        <v>1138</v>
      </c>
    </row>
    <row r="189" customFormat="false" ht="23.85" hidden="false" customHeight="false" outlineLevel="0" collapsed="false">
      <c r="A189" s="47" t="s">
        <v>574</v>
      </c>
      <c r="B189" s="47" t="s">
        <v>570</v>
      </c>
      <c r="C189" s="5" t="s">
        <v>1152</v>
      </c>
      <c r="D189" s="6" t="s">
        <v>1152</v>
      </c>
      <c r="E189" s="6" t="s">
        <v>1153</v>
      </c>
      <c r="F189" s="6" t="s">
        <v>730</v>
      </c>
      <c r="G189" s="6" t="s">
        <v>1154</v>
      </c>
      <c r="H189" s="6" t="s">
        <v>657</v>
      </c>
      <c r="I189" s="26" t="n">
        <v>4</v>
      </c>
      <c r="J189" s="26" t="n">
        <f aca="false">COUNTIFS('Control Library'!$A$5:$A$50,"AI-CTRL-005",'Control Library'!$R$5:$R$50,"Implemented")+COUNTIFS('Control Library'!$A$5:$A$50,"AI-CTRL-028",'Control Library'!$R$5:$R$50,"Implemented")+COUNTIFS('Control Library'!$A$5:$A$50,"AI-CTRL-032",'Control Library'!$R$5:$R$50,"Implemented")+COUNTIFS('Control Library'!$A$5:$A$50,"AI-CTRL-034",'Control Library'!$R$5:$R$50,"Implemented")</f>
        <v>0</v>
      </c>
      <c r="K189" s="43" t="str">
        <f aca="false">IF(I189=0,"No wiki control",IF(J189=I189,"Fully covered",IF(J189=0,"Not covered","Partly covered")))</f>
        <v>Not covered</v>
      </c>
      <c r="L189" s="9" t="s">
        <v>1138</v>
      </c>
    </row>
    <row r="190" customFormat="false" ht="23.85" hidden="false" customHeight="false" outlineLevel="0" collapsed="false">
      <c r="A190" s="47" t="s">
        <v>574</v>
      </c>
      <c r="B190" s="47" t="s">
        <v>570</v>
      </c>
      <c r="C190" s="5" t="s">
        <v>1155</v>
      </c>
      <c r="D190" s="6" t="s">
        <v>1155</v>
      </c>
      <c r="E190" s="6" t="s">
        <v>1156</v>
      </c>
      <c r="F190" s="6" t="s">
        <v>730</v>
      </c>
      <c r="G190" s="6" t="s">
        <v>553</v>
      </c>
      <c r="H190" s="6" t="s">
        <v>642</v>
      </c>
      <c r="I190" s="26" t="n">
        <v>2</v>
      </c>
      <c r="J190" s="26" t="n">
        <f aca="false">COUNTIFS('Control Library'!$A$5:$A$50,"AI-CTRL-012",'Control Library'!$R$5:$R$50,"Implemented")+COUNTIFS('Control Library'!$A$5:$A$50,"AI-CTRL-046",'Control Library'!$R$5:$R$50,"Implemented")</f>
        <v>0</v>
      </c>
      <c r="K190" s="43" t="str">
        <f aca="false">IF(I190=0,"No wiki control",IF(J190=I190,"Fully covered",IF(J190=0,"Not covered","Partly covered")))</f>
        <v>Not covered</v>
      </c>
      <c r="L190" s="9" t="s">
        <v>1138</v>
      </c>
    </row>
    <row r="191" customFormat="false" ht="35.05" hidden="false" customHeight="false" outlineLevel="0" collapsed="false">
      <c r="A191" s="47" t="s">
        <v>574</v>
      </c>
      <c r="B191" s="47" t="s">
        <v>570</v>
      </c>
      <c r="C191" s="5" t="s">
        <v>1157</v>
      </c>
      <c r="D191" s="6" t="s">
        <v>1157</v>
      </c>
      <c r="E191" s="6" t="s">
        <v>486</v>
      </c>
      <c r="F191" s="6" t="s">
        <v>730</v>
      </c>
      <c r="G191" s="6" t="s">
        <v>641</v>
      </c>
      <c r="H191" s="6" t="s">
        <v>657</v>
      </c>
      <c r="I191" s="26" t="n">
        <v>1</v>
      </c>
      <c r="J191" s="26" t="n">
        <f aca="false">COUNTIFS('Control Library'!$A$5:$A$50,"AI-CTRL-039",'Control Library'!$R$5:$R$50,"Implemented")</f>
        <v>0</v>
      </c>
      <c r="K191" s="43" t="str">
        <f aca="false">IF(I191=0,"No wiki control",IF(J191=I191,"Fully covered",IF(J191=0,"Not covered","Partly covered")))</f>
        <v>Not covered</v>
      </c>
      <c r="L191" s="9" t="s">
        <v>1138</v>
      </c>
    </row>
    <row r="192" customFormat="false" ht="35.05" hidden="false" customHeight="false" outlineLevel="0" collapsed="false">
      <c r="A192" s="47" t="s">
        <v>574</v>
      </c>
      <c r="B192" s="47" t="s">
        <v>570</v>
      </c>
      <c r="C192" s="5" t="s">
        <v>1158</v>
      </c>
      <c r="D192" s="6" t="s">
        <v>1158</v>
      </c>
      <c r="E192" s="6" t="s">
        <v>1059</v>
      </c>
      <c r="F192" s="6" t="s">
        <v>730</v>
      </c>
      <c r="G192" s="6" t="s">
        <v>714</v>
      </c>
      <c r="H192" s="6" t="s">
        <v>642</v>
      </c>
      <c r="I192" s="26" t="n">
        <v>3</v>
      </c>
      <c r="J192" s="26" t="n">
        <f aca="false">COUNTIFS('Control Library'!$A$5:$A$50,"AI-CTRL-014",'Control Library'!$R$5:$R$50,"Implemented")+COUNTIFS('Control Library'!$A$5:$A$50,"AI-CTRL-024",'Control Library'!$R$5:$R$50,"Implemented")+COUNTIFS('Control Library'!$A$5:$A$50,"AI-CTRL-031",'Control Library'!$R$5:$R$50,"Implemented")</f>
        <v>0</v>
      </c>
      <c r="K192" s="43" t="str">
        <f aca="false">IF(I192=0,"No wiki control",IF(J192=I192,"Fully covered",IF(J192=0,"Not covered","Partly covered")))</f>
        <v>Not covered</v>
      </c>
      <c r="L192" s="9" t="s">
        <v>1138</v>
      </c>
    </row>
    <row r="193" customFormat="false" ht="23.85" hidden="false" customHeight="false" outlineLevel="0" collapsed="false">
      <c r="A193" s="47" t="s">
        <v>575</v>
      </c>
      <c r="B193" s="47" t="s">
        <v>570</v>
      </c>
      <c r="C193" s="5" t="s">
        <v>1159</v>
      </c>
      <c r="D193" s="6" t="s">
        <v>1160</v>
      </c>
      <c r="E193" s="6" t="s">
        <v>779</v>
      </c>
      <c r="F193" s="6" t="s">
        <v>730</v>
      </c>
      <c r="G193" s="6" t="s">
        <v>303</v>
      </c>
      <c r="H193" s="6" t="s">
        <v>642</v>
      </c>
      <c r="I193" s="26" t="n">
        <v>2</v>
      </c>
      <c r="J193" s="26" t="n">
        <f aca="false">COUNTIFS('Control Library'!$A$5:$A$50,"AI-CTRL-016",'Control Library'!$R$5:$R$50,"Implemented")+COUNTIFS('Control Library'!$A$5:$A$50,"AI-CTRL-018",'Control Library'!$R$5:$R$50,"Implemented")</f>
        <v>0</v>
      </c>
      <c r="K193" s="43" t="str">
        <f aca="false">IF(I193=0,"No wiki control",IF(J193=I193,"Fully covered",IF(J193=0,"Not covered","Partly covered")))</f>
        <v>Not covered</v>
      </c>
      <c r="L193" s="9" t="s">
        <v>1161</v>
      </c>
    </row>
    <row r="194" customFormat="false" ht="23.85" hidden="false" customHeight="false" outlineLevel="0" collapsed="false">
      <c r="A194" s="47" t="s">
        <v>575</v>
      </c>
      <c r="B194" s="47" t="s">
        <v>570</v>
      </c>
      <c r="C194" s="5" t="s">
        <v>1162</v>
      </c>
      <c r="D194" s="6" t="s">
        <v>1160</v>
      </c>
      <c r="E194" s="6" t="s">
        <v>801</v>
      </c>
      <c r="F194" s="6" t="s">
        <v>730</v>
      </c>
      <c r="G194" s="6" t="s">
        <v>802</v>
      </c>
      <c r="H194" s="6" t="s">
        <v>642</v>
      </c>
      <c r="I194" s="26" t="n">
        <v>2</v>
      </c>
      <c r="J194" s="26" t="n">
        <f aca="false">COUNTIFS('Control Library'!$A$5:$A$50,"AI-CTRL-015",'Control Library'!$R$5:$R$50,"Implemented")+COUNTIFS('Control Library'!$A$5:$A$50,"AI-CTRL-016",'Control Library'!$R$5:$R$50,"Implemented")</f>
        <v>0</v>
      </c>
      <c r="K194" s="43" t="str">
        <f aca="false">IF(I194=0,"No wiki control",IF(J194=I194,"Fully covered",IF(J194=0,"Not covered","Partly covered")))</f>
        <v>Not covered</v>
      </c>
      <c r="L194" s="9" t="s">
        <v>1161</v>
      </c>
    </row>
    <row r="195" customFormat="false" ht="23.85" hidden="false" customHeight="false" outlineLevel="0" collapsed="false">
      <c r="A195" s="47" t="s">
        <v>575</v>
      </c>
      <c r="B195" s="47" t="s">
        <v>570</v>
      </c>
      <c r="C195" s="5" t="s">
        <v>1163</v>
      </c>
      <c r="D195" s="6" t="s">
        <v>1160</v>
      </c>
      <c r="E195" s="6" t="s">
        <v>209</v>
      </c>
      <c r="F195" s="6" t="s">
        <v>730</v>
      </c>
      <c r="G195" s="6" t="s">
        <v>214</v>
      </c>
      <c r="H195" s="6" t="s">
        <v>642</v>
      </c>
      <c r="I195" s="26" t="n">
        <v>1</v>
      </c>
      <c r="J195" s="26" t="n">
        <f aca="false">COUNTIFS('Control Library'!$A$5:$A$50,"AI-CTRL-006",'Control Library'!$R$5:$R$50,"Implemented")</f>
        <v>0</v>
      </c>
      <c r="K195" s="43" t="str">
        <f aca="false">IF(I195=0,"No wiki control",IF(J195=I195,"Fully covered",IF(J195=0,"Not covered","Partly covered")))</f>
        <v>Not covered</v>
      </c>
      <c r="L195" s="9" t="s">
        <v>1161</v>
      </c>
    </row>
    <row r="196" customFormat="false" ht="23.85" hidden="false" customHeight="false" outlineLevel="0" collapsed="false">
      <c r="A196" s="47" t="s">
        <v>575</v>
      </c>
      <c r="B196" s="47" t="s">
        <v>570</v>
      </c>
      <c r="C196" s="5" t="s">
        <v>1164</v>
      </c>
      <c r="D196" s="6" t="s">
        <v>1160</v>
      </c>
      <c r="E196" s="6" t="s">
        <v>801</v>
      </c>
      <c r="F196" s="6" t="s">
        <v>730</v>
      </c>
      <c r="G196" s="6" t="s">
        <v>802</v>
      </c>
      <c r="H196" s="6" t="s">
        <v>657</v>
      </c>
      <c r="I196" s="26" t="n">
        <v>2</v>
      </c>
      <c r="J196" s="26" t="n">
        <f aca="false">COUNTIFS('Control Library'!$A$5:$A$50,"AI-CTRL-015",'Control Library'!$R$5:$R$50,"Implemented")+COUNTIFS('Control Library'!$A$5:$A$50,"AI-CTRL-016",'Control Library'!$R$5:$R$50,"Implemented")</f>
        <v>0</v>
      </c>
      <c r="K196" s="43" t="str">
        <f aca="false">IF(I196=0,"No wiki control",IF(J196=I196,"Fully covered",IF(J196=0,"Not covered","Partly covered")))</f>
        <v>Not covered</v>
      </c>
      <c r="L196" s="9" t="s">
        <v>1161</v>
      </c>
    </row>
    <row r="197" customFormat="false" ht="23.85" hidden="false" customHeight="false" outlineLevel="0" collapsed="false">
      <c r="A197" s="47" t="s">
        <v>575</v>
      </c>
      <c r="B197" s="47" t="s">
        <v>570</v>
      </c>
      <c r="C197" s="5" t="s">
        <v>1165</v>
      </c>
      <c r="D197" s="6" t="s">
        <v>1166</v>
      </c>
      <c r="E197" s="6" t="s">
        <v>1167</v>
      </c>
      <c r="F197" s="6" t="s">
        <v>730</v>
      </c>
      <c r="G197" s="6" t="s">
        <v>1168</v>
      </c>
      <c r="H197" s="6" t="s">
        <v>642</v>
      </c>
      <c r="I197" s="26" t="n">
        <v>2</v>
      </c>
      <c r="J197" s="26" t="n">
        <f aca="false">COUNTIFS('Control Library'!$A$5:$A$50,"AI-CTRL-013",'Control Library'!$R$5:$R$50,"Implemented")+COUNTIFS('Control Library'!$A$5:$A$50,"AI-CTRL-043",'Control Library'!$R$5:$R$50,"Implemented")</f>
        <v>0</v>
      </c>
      <c r="K197" s="43" t="str">
        <f aca="false">IF(I197=0,"No wiki control",IF(J197=I197,"Fully covered",IF(J197=0,"Not covered","Partly covered")))</f>
        <v>Not covered</v>
      </c>
      <c r="L197" s="9" t="s">
        <v>1161</v>
      </c>
    </row>
    <row r="198" customFormat="false" ht="23.85" hidden="false" customHeight="false" outlineLevel="0" collapsed="false">
      <c r="A198" s="47" t="s">
        <v>575</v>
      </c>
      <c r="B198" s="47" t="s">
        <v>570</v>
      </c>
      <c r="C198" s="5" t="s">
        <v>1169</v>
      </c>
      <c r="D198" s="6" t="s">
        <v>1166</v>
      </c>
      <c r="E198" s="6"/>
      <c r="F198" s="6" t="s">
        <v>640</v>
      </c>
      <c r="G198" s="6"/>
      <c r="H198" s="6" t="s">
        <v>1170</v>
      </c>
      <c r="I198" s="26" t="n">
        <v>0</v>
      </c>
      <c r="J198" s="26" t="n">
        <f aca="false">0</f>
        <v>0</v>
      </c>
      <c r="K198" s="43" t="str">
        <f aca="false">IF(I198=0,"No wiki control",IF(J198=I198,"Fully covered",IF(J198=0,"Not covered","Partly covered")))</f>
        <v>No wiki control</v>
      </c>
      <c r="L198" s="9" t="s">
        <v>1161</v>
      </c>
    </row>
    <row r="199" customFormat="false" ht="35.05" hidden="false" customHeight="false" outlineLevel="0" collapsed="false">
      <c r="A199" s="47" t="s">
        <v>575</v>
      </c>
      <c r="B199" s="47" t="s">
        <v>570</v>
      </c>
      <c r="C199" s="5" t="s">
        <v>1171</v>
      </c>
      <c r="D199" s="6" t="s">
        <v>1166</v>
      </c>
      <c r="E199" s="6" t="s">
        <v>1172</v>
      </c>
      <c r="F199" s="6" t="s">
        <v>730</v>
      </c>
      <c r="G199" s="6" t="s">
        <v>1173</v>
      </c>
      <c r="H199" s="6" t="s">
        <v>657</v>
      </c>
      <c r="I199" s="26" t="n">
        <v>3</v>
      </c>
      <c r="J199" s="26" t="n">
        <f aca="false">COUNTIFS('Control Library'!$A$5:$A$50,"AI-CTRL-008",'Control Library'!$R$5:$R$50,"Implemented")+COUNTIFS('Control Library'!$A$5:$A$50,"AI-CTRL-041",'Control Library'!$R$5:$R$50,"Implemented")+COUNTIFS('Control Library'!$A$5:$A$50,"AI-CTRL-045",'Control Library'!$R$5:$R$50,"Implemented")</f>
        <v>0</v>
      </c>
      <c r="K199" s="43" t="str">
        <f aca="false">IF(I199=0,"No wiki control",IF(J199=I199,"Fully covered",IF(J199=0,"Not covered","Partly covered")))</f>
        <v>Not covered</v>
      </c>
      <c r="L199" s="9" t="s">
        <v>1161</v>
      </c>
    </row>
    <row r="200" customFormat="false" ht="23.85" hidden="false" customHeight="false" outlineLevel="0" collapsed="false">
      <c r="A200" s="47" t="s">
        <v>575</v>
      </c>
      <c r="B200" s="47" t="s">
        <v>570</v>
      </c>
      <c r="C200" s="5" t="s">
        <v>1174</v>
      </c>
      <c r="D200" s="6" t="s">
        <v>1166</v>
      </c>
      <c r="E200" s="6" t="s">
        <v>513</v>
      </c>
      <c r="F200" s="6" t="s">
        <v>730</v>
      </c>
      <c r="G200" s="6" t="s">
        <v>516</v>
      </c>
      <c r="H200" s="6" t="s">
        <v>642</v>
      </c>
      <c r="I200" s="26" t="n">
        <v>1</v>
      </c>
      <c r="J200" s="26" t="n">
        <f aca="false">COUNTIFS('Control Library'!$A$5:$A$50,"AI-CTRL-042",'Control Library'!$R$5:$R$50,"Implemented")</f>
        <v>0</v>
      </c>
      <c r="K200" s="43" t="str">
        <f aca="false">IF(I200=0,"No wiki control",IF(J200=I200,"Fully covered",IF(J200=0,"Not covered","Partly covered")))</f>
        <v>Not covered</v>
      </c>
      <c r="L200" s="9" t="s">
        <v>1161</v>
      </c>
    </row>
    <row r="201" customFormat="false" ht="23.85" hidden="false" customHeight="false" outlineLevel="0" collapsed="false">
      <c r="A201" s="47" t="s">
        <v>575</v>
      </c>
      <c r="B201" s="47" t="s">
        <v>570</v>
      </c>
      <c r="C201" s="5" t="s">
        <v>1175</v>
      </c>
      <c r="D201" s="6" t="s">
        <v>1176</v>
      </c>
      <c r="E201" s="6" t="s">
        <v>263</v>
      </c>
      <c r="F201" s="6" t="s">
        <v>730</v>
      </c>
      <c r="G201" s="6" t="s">
        <v>266</v>
      </c>
      <c r="H201" s="6" t="s">
        <v>642</v>
      </c>
      <c r="I201" s="26" t="n">
        <v>1</v>
      </c>
      <c r="J201" s="26" t="n">
        <f aca="false">COUNTIFS('Control Library'!$A$5:$A$50,"AI-CTRL-012",'Control Library'!$R$5:$R$50,"Implemented")</f>
        <v>0</v>
      </c>
      <c r="K201" s="43" t="str">
        <f aca="false">IF(I201=0,"No wiki control",IF(J201=I201,"Fully covered",IF(J201=0,"Not covered","Partly covered")))</f>
        <v>Not covered</v>
      </c>
      <c r="L201" s="9" t="s">
        <v>1161</v>
      </c>
    </row>
    <row r="202" customFormat="false" ht="23.85" hidden="false" customHeight="false" outlineLevel="0" collapsed="false">
      <c r="A202" s="47" t="s">
        <v>575</v>
      </c>
      <c r="B202" s="47" t="s">
        <v>570</v>
      </c>
      <c r="C202" s="5" t="s">
        <v>1177</v>
      </c>
      <c r="D202" s="6" t="s">
        <v>1176</v>
      </c>
      <c r="E202" s="6" t="s">
        <v>263</v>
      </c>
      <c r="F202" s="6" t="s">
        <v>730</v>
      </c>
      <c r="G202" s="6" t="s">
        <v>266</v>
      </c>
      <c r="H202" s="6" t="s">
        <v>642</v>
      </c>
      <c r="I202" s="26" t="n">
        <v>1</v>
      </c>
      <c r="J202" s="26" t="n">
        <f aca="false">COUNTIFS('Control Library'!$A$5:$A$50,"AI-CTRL-012",'Control Library'!$R$5:$R$50,"Implemented")</f>
        <v>0</v>
      </c>
      <c r="K202" s="43" t="str">
        <f aca="false">IF(I202=0,"No wiki control",IF(J202=I202,"Fully covered",IF(J202=0,"Not covered","Partly covered")))</f>
        <v>Not covered</v>
      </c>
      <c r="L202" s="9" t="s">
        <v>1161</v>
      </c>
    </row>
    <row r="203" customFormat="false" ht="23.85" hidden="false" customHeight="false" outlineLevel="0" collapsed="false">
      <c r="A203" s="47" t="s">
        <v>575</v>
      </c>
      <c r="B203" s="47" t="s">
        <v>570</v>
      </c>
      <c r="C203" s="5" t="s">
        <v>1178</v>
      </c>
      <c r="D203" s="6" t="s">
        <v>1176</v>
      </c>
      <c r="E203" s="6" t="s">
        <v>530</v>
      </c>
      <c r="F203" s="6" t="s">
        <v>730</v>
      </c>
      <c r="G203" s="6" t="s">
        <v>533</v>
      </c>
      <c r="H203" s="6" t="s">
        <v>642</v>
      </c>
      <c r="I203" s="26" t="n">
        <v>1</v>
      </c>
      <c r="J203" s="26" t="n">
        <f aca="false">COUNTIFS('Control Library'!$A$5:$A$50,"AI-CTRL-044",'Control Library'!$R$5:$R$50,"Implemented")</f>
        <v>0</v>
      </c>
      <c r="K203" s="43" t="str">
        <f aca="false">IF(I203=0,"No wiki control",IF(J203=I203,"Fully covered",IF(J203=0,"Not covered","Partly covered")))</f>
        <v>Not covered</v>
      </c>
      <c r="L203" s="9" t="s">
        <v>1161</v>
      </c>
    </row>
    <row r="204" customFormat="false" ht="23.85" hidden="false" customHeight="false" outlineLevel="0" collapsed="false">
      <c r="A204" s="47" t="s">
        <v>575</v>
      </c>
      <c r="B204" s="47" t="s">
        <v>570</v>
      </c>
      <c r="C204" s="5" t="s">
        <v>1179</v>
      </c>
      <c r="D204" s="6" t="s">
        <v>1176</v>
      </c>
      <c r="E204" s="6" t="s">
        <v>826</v>
      </c>
      <c r="F204" s="6" t="s">
        <v>730</v>
      </c>
      <c r="G204" s="6" t="s">
        <v>473</v>
      </c>
      <c r="H204" s="6" t="s">
        <v>642</v>
      </c>
      <c r="I204" s="26" t="n">
        <v>2</v>
      </c>
      <c r="J204" s="26" t="n">
        <f aca="false">COUNTIFS('Control Library'!$A$5:$A$50,"AI-CTRL-011",'Control Library'!$R$5:$R$50,"Implemented")+COUNTIFS('Control Library'!$A$5:$A$50,"AI-CTRL-037",'Control Library'!$R$5:$R$50,"Implemented")</f>
        <v>0</v>
      </c>
      <c r="K204" s="43" t="str">
        <f aca="false">IF(I204=0,"No wiki control",IF(J204=I204,"Fully covered",IF(J204=0,"Not covered","Partly covered")))</f>
        <v>Not covered</v>
      </c>
      <c r="L204" s="9" t="s">
        <v>1161</v>
      </c>
    </row>
    <row r="205" customFormat="false" ht="23.85" hidden="false" customHeight="false" outlineLevel="0" collapsed="false">
      <c r="A205" s="47" t="s">
        <v>575</v>
      </c>
      <c r="B205" s="47" t="s">
        <v>570</v>
      </c>
      <c r="C205" s="5" t="s">
        <v>1180</v>
      </c>
      <c r="D205" s="6" t="s">
        <v>1181</v>
      </c>
      <c r="E205" s="6" t="s">
        <v>1182</v>
      </c>
      <c r="F205" s="6" t="s">
        <v>730</v>
      </c>
      <c r="G205" s="6" t="s">
        <v>1183</v>
      </c>
      <c r="H205" s="6" t="s">
        <v>642</v>
      </c>
      <c r="I205" s="26" t="n">
        <v>4</v>
      </c>
      <c r="J205" s="26" t="n">
        <f aca="false">COUNTIFS('Control Library'!$A$5:$A$50,"AI-CTRL-001",'Control Library'!$R$5:$R$50,"Implemented")+COUNTIFS('Control Library'!$A$5:$A$50,"AI-CTRL-011",'Control Library'!$R$5:$R$50,"Implemented")+COUNTIFS('Control Library'!$A$5:$A$50,"AI-CTRL-014",'Control Library'!$R$5:$R$50,"Implemented")+COUNTIFS('Control Library'!$A$5:$A$50,"AI-CTRL-031",'Control Library'!$R$5:$R$50,"Implemented")</f>
        <v>0</v>
      </c>
      <c r="K205" s="43" t="str">
        <f aca="false">IF(I205=0,"No wiki control",IF(J205=I205,"Fully covered",IF(J205=0,"Not covered","Partly covered")))</f>
        <v>Not covered</v>
      </c>
      <c r="L205" s="9" t="s">
        <v>1161</v>
      </c>
    </row>
    <row r="206" customFormat="false" ht="23.85" hidden="false" customHeight="false" outlineLevel="0" collapsed="false">
      <c r="A206" s="47" t="s">
        <v>575</v>
      </c>
      <c r="B206" s="47" t="s">
        <v>570</v>
      </c>
      <c r="C206" s="5" t="s">
        <v>1184</v>
      </c>
      <c r="D206" s="6" t="s">
        <v>1181</v>
      </c>
      <c r="E206" s="6" t="s">
        <v>1185</v>
      </c>
      <c r="F206" s="6" t="s">
        <v>730</v>
      </c>
      <c r="G206" s="6" t="s">
        <v>1017</v>
      </c>
      <c r="H206" s="6" t="s">
        <v>642</v>
      </c>
      <c r="I206" s="26" t="n">
        <v>2</v>
      </c>
      <c r="J206" s="26" t="n">
        <f aca="false">COUNTIFS('Control Library'!$A$5:$A$50,"AI-CTRL-006",'Control Library'!$R$5:$R$50,"Implemented")+COUNTIFS('Control Library'!$A$5:$A$50,"AI-CTRL-011",'Control Library'!$R$5:$R$50,"Implemented")</f>
        <v>0</v>
      </c>
      <c r="K206" s="43" t="str">
        <f aca="false">IF(I206=0,"No wiki control",IF(J206=I206,"Fully covered",IF(J206=0,"Not covered","Partly covered")))</f>
        <v>Not covered</v>
      </c>
      <c r="L206" s="9" t="s">
        <v>1161</v>
      </c>
    </row>
    <row r="207" customFormat="false" ht="23.85" hidden="false" customHeight="false" outlineLevel="0" collapsed="false">
      <c r="A207" s="47" t="s">
        <v>575</v>
      </c>
      <c r="B207" s="47" t="s">
        <v>570</v>
      </c>
      <c r="C207" s="5" t="s">
        <v>1186</v>
      </c>
      <c r="D207" s="6" t="s">
        <v>1181</v>
      </c>
      <c r="E207" s="6"/>
      <c r="F207" s="6" t="s">
        <v>640</v>
      </c>
      <c r="G207" s="6"/>
      <c r="H207" s="6" t="s">
        <v>1170</v>
      </c>
      <c r="I207" s="26" t="n">
        <v>0</v>
      </c>
      <c r="J207" s="26" t="n">
        <f aca="false">0</f>
        <v>0</v>
      </c>
      <c r="K207" s="43" t="str">
        <f aca="false">IF(I207=0,"No wiki control",IF(J207=I207,"Fully covered",IF(J207=0,"Not covered","Partly covered")))</f>
        <v>No wiki control</v>
      </c>
      <c r="L207" s="9" t="s">
        <v>1161</v>
      </c>
    </row>
    <row r="208" customFormat="false" ht="23.85" hidden="false" customHeight="false" outlineLevel="0" collapsed="false">
      <c r="A208" s="47" t="s">
        <v>575</v>
      </c>
      <c r="B208" s="47" t="s">
        <v>570</v>
      </c>
      <c r="C208" s="5" t="s">
        <v>1187</v>
      </c>
      <c r="D208" s="6" t="s">
        <v>1181</v>
      </c>
      <c r="E208" s="6" t="s">
        <v>371</v>
      </c>
      <c r="F208" s="6" t="s">
        <v>730</v>
      </c>
      <c r="G208" s="6" t="s">
        <v>375</v>
      </c>
      <c r="H208" s="6" t="s">
        <v>1170</v>
      </c>
      <c r="I208" s="26" t="n">
        <v>1</v>
      </c>
      <c r="J208" s="26" t="n">
        <f aca="false">COUNTIFS('Control Library'!$A$5:$A$50,"AI-CTRL-025",'Control Library'!$R$5:$R$50,"Implemented")</f>
        <v>0</v>
      </c>
      <c r="K208" s="43" t="str">
        <f aca="false">IF(I208=0,"No wiki control",IF(J208=I208,"Fully covered",IF(J208=0,"Not covered","Partly covered")))</f>
        <v>Not covered</v>
      </c>
      <c r="L208" s="9" t="s">
        <v>1161</v>
      </c>
    </row>
    <row r="209" customFormat="false" ht="23.85" hidden="false" customHeight="false" outlineLevel="0" collapsed="false">
      <c r="A209" s="47" t="s">
        <v>575</v>
      </c>
      <c r="B209" s="47" t="s">
        <v>570</v>
      </c>
      <c r="C209" s="5" t="s">
        <v>1188</v>
      </c>
      <c r="D209" s="6" t="s">
        <v>1181</v>
      </c>
      <c r="E209" s="6" t="s">
        <v>1189</v>
      </c>
      <c r="F209" s="6" t="s">
        <v>730</v>
      </c>
      <c r="G209" s="6" t="s">
        <v>768</v>
      </c>
      <c r="H209" s="6" t="s">
        <v>642</v>
      </c>
      <c r="I209" s="26" t="n">
        <v>3</v>
      </c>
      <c r="J209" s="26" t="n">
        <f aca="false">COUNTIFS('Control Library'!$A$5:$A$50,"AI-CTRL-007",'Control Library'!$R$5:$R$50,"Implemented")+COUNTIFS('Control Library'!$A$5:$A$50,"AI-CTRL-013",'Control Library'!$R$5:$R$50,"Implemented")+COUNTIFS('Control Library'!$A$5:$A$50,"AI-CTRL-014",'Control Library'!$R$5:$R$50,"Implemented")</f>
        <v>0</v>
      </c>
      <c r="K209" s="43" t="str">
        <f aca="false">IF(I209=0,"No wiki control",IF(J209=I209,"Fully covered",IF(J209=0,"Not covered","Partly covered")))</f>
        <v>Not covered</v>
      </c>
      <c r="L209" s="9" t="s">
        <v>1161</v>
      </c>
    </row>
    <row r="210" customFormat="false" ht="35.05" hidden="false" customHeight="false" outlineLevel="0" collapsed="false">
      <c r="A210" s="47" t="s">
        <v>575</v>
      </c>
      <c r="B210" s="47" t="s">
        <v>570</v>
      </c>
      <c r="C210" s="5" t="s">
        <v>1190</v>
      </c>
      <c r="D210" s="6" t="s">
        <v>1191</v>
      </c>
      <c r="E210" s="6" t="s">
        <v>1192</v>
      </c>
      <c r="F210" s="6" t="s">
        <v>730</v>
      </c>
      <c r="G210" s="6" t="s">
        <v>1193</v>
      </c>
      <c r="H210" s="6" t="s">
        <v>657</v>
      </c>
      <c r="I210" s="26" t="n">
        <v>2</v>
      </c>
      <c r="J210" s="26" t="n">
        <f aca="false">COUNTIFS('Control Library'!$A$5:$A$50,"AI-CTRL-034",'Control Library'!$R$5:$R$50,"Implemented")+COUNTIFS('Control Library'!$A$5:$A$50,"AI-CTRL-038",'Control Library'!$R$5:$R$50,"Implemented")</f>
        <v>0</v>
      </c>
      <c r="K210" s="43" t="str">
        <f aca="false">IF(I210=0,"No wiki control",IF(J210=I210,"Fully covered",IF(J210=0,"Not covered","Partly covered")))</f>
        <v>Not covered</v>
      </c>
      <c r="L210" s="9" t="s">
        <v>1161</v>
      </c>
    </row>
    <row r="211" customFormat="false" ht="23.85" hidden="false" customHeight="false" outlineLevel="0" collapsed="false">
      <c r="A211" s="47" t="s">
        <v>575</v>
      </c>
      <c r="B211" s="47" t="s">
        <v>570</v>
      </c>
      <c r="C211" s="5" t="s">
        <v>1194</v>
      </c>
      <c r="D211" s="6" t="s">
        <v>1191</v>
      </c>
      <c r="E211" s="6" t="s">
        <v>539</v>
      </c>
      <c r="F211" s="6" t="s">
        <v>730</v>
      </c>
      <c r="G211" s="6" t="s">
        <v>542</v>
      </c>
      <c r="H211" s="6" t="s">
        <v>1170</v>
      </c>
      <c r="I211" s="26" t="n">
        <v>1</v>
      </c>
      <c r="J211" s="26" t="n">
        <f aca="false">COUNTIFS('Control Library'!$A$5:$A$50,"AI-CTRL-045",'Control Library'!$R$5:$R$50,"Implemented")</f>
        <v>0</v>
      </c>
      <c r="K211" s="43" t="str">
        <f aca="false">IF(I211=0,"No wiki control",IF(J211=I211,"Fully covered",IF(J211=0,"Not covered","Partly covered")))</f>
        <v>Not covered</v>
      </c>
      <c r="L211" s="9" t="s">
        <v>1161</v>
      </c>
    </row>
    <row r="212" customFormat="false" ht="23.85" hidden="false" customHeight="false" outlineLevel="0" collapsed="false">
      <c r="A212" s="47" t="s">
        <v>575</v>
      </c>
      <c r="B212" s="47" t="s">
        <v>570</v>
      </c>
      <c r="C212" s="5" t="s">
        <v>1195</v>
      </c>
      <c r="D212" s="6" t="s">
        <v>1191</v>
      </c>
      <c r="E212" s="6" t="s">
        <v>1196</v>
      </c>
      <c r="F212" s="6" t="s">
        <v>730</v>
      </c>
      <c r="G212" s="6" t="s">
        <v>1197</v>
      </c>
      <c r="H212" s="6" t="s">
        <v>657</v>
      </c>
      <c r="I212" s="26" t="n">
        <v>3</v>
      </c>
      <c r="J212" s="26" t="n">
        <f aca="false">COUNTIFS('Control Library'!$A$5:$A$50,"AI-CTRL-008",'Control Library'!$R$5:$R$50,"Implemented")+COUNTIFS('Control Library'!$A$5:$A$50,"AI-CTRL-035",'Control Library'!$R$5:$R$50,"Implemented")+COUNTIFS('Control Library'!$A$5:$A$50,"AI-CTRL-039",'Control Library'!$R$5:$R$50,"Implemented")</f>
        <v>0</v>
      </c>
      <c r="K212" s="43" t="str">
        <f aca="false">IF(I212=0,"No wiki control",IF(J212=I212,"Fully covered",IF(J212=0,"Not covered","Partly covered")))</f>
        <v>Not covered</v>
      </c>
      <c r="L212" s="9" t="s">
        <v>1161</v>
      </c>
    </row>
    <row r="213" customFormat="false" ht="35.05" hidden="false" customHeight="false" outlineLevel="0" collapsed="false">
      <c r="A213" s="49" t="s">
        <v>576</v>
      </c>
      <c r="B213" s="49" t="s">
        <v>577</v>
      </c>
      <c r="C213" s="5" t="s">
        <v>1198</v>
      </c>
      <c r="D213" s="6" t="s">
        <v>701</v>
      </c>
      <c r="E213" s="6" t="s">
        <v>1199</v>
      </c>
      <c r="F213" s="6" t="s">
        <v>730</v>
      </c>
      <c r="G213" s="6" t="s">
        <v>1200</v>
      </c>
      <c r="H213" s="6"/>
      <c r="I213" s="26" t="n">
        <v>4</v>
      </c>
      <c r="J213" s="26" t="n">
        <f aca="false">COUNTIFS('Control Library'!$A$5:$A$50,"AI-CTRL-005",'Control Library'!$R$5:$R$50,"Implemented")+COUNTIFS('Control Library'!$A$5:$A$50,"AI-CTRL-021",'Control Library'!$R$5:$R$50,"Implemented")+COUNTIFS('Control Library'!$A$5:$A$50,"AI-CTRL-026",'Control Library'!$R$5:$R$50,"Implemented")+COUNTIFS('Control Library'!$A$5:$A$50,"AI-CTRL-034",'Control Library'!$R$5:$R$50,"Implemented")</f>
        <v>0</v>
      </c>
      <c r="K213" s="43" t="str">
        <f aca="false">IF(I213=0,"No wiki control",IF(J213=I213,"Fully covered",IF(J213=0,"Not covered","Partly covered")))</f>
        <v>Not covered</v>
      </c>
      <c r="L213" s="9" t="s">
        <v>1201</v>
      </c>
    </row>
    <row r="214" customFormat="false" ht="57.45" hidden="false" customHeight="false" outlineLevel="0" collapsed="false">
      <c r="A214" s="49" t="s">
        <v>576</v>
      </c>
      <c r="B214" s="49" t="s">
        <v>577</v>
      </c>
      <c r="C214" s="5" t="s">
        <v>1202</v>
      </c>
      <c r="D214" s="6" t="s">
        <v>1203</v>
      </c>
      <c r="E214" s="6" t="s">
        <v>1204</v>
      </c>
      <c r="F214" s="6" t="s">
        <v>730</v>
      </c>
      <c r="G214" s="6" t="s">
        <v>1205</v>
      </c>
      <c r="H214" s="6"/>
      <c r="I214" s="26" t="n">
        <v>11</v>
      </c>
      <c r="J214"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Library'!$A$5:$A$50,"AI-CTRL-028",'Control Library'!$R$5:$R$50,"Implemented")+COUNTIFS('Control Library'!$A$5:$A$50,"AI-CTRL-034",'Control Library'!$R$5:$R$50,"Implemented")</f>
        <v>0</v>
      </c>
      <c r="K214" s="43" t="str">
        <f aca="false">IF(I214=0,"No wiki control",IF(J214=I214,"Fully covered",IF(J214=0,"Not covered","Partly covered")))</f>
        <v>Not covered</v>
      </c>
      <c r="L214" s="9" t="s">
        <v>1201</v>
      </c>
    </row>
    <row r="215" customFormat="false" ht="46.25" hidden="false" customHeight="false" outlineLevel="0" collapsed="false">
      <c r="A215" s="49" t="s">
        <v>576</v>
      </c>
      <c r="B215" s="49" t="s">
        <v>577</v>
      </c>
      <c r="C215" s="5" t="s">
        <v>1206</v>
      </c>
      <c r="D215" s="6" t="s">
        <v>1207</v>
      </c>
      <c r="E215" s="6" t="s">
        <v>1208</v>
      </c>
      <c r="F215" s="6" t="s">
        <v>730</v>
      </c>
      <c r="G215" s="6" t="s">
        <v>1209</v>
      </c>
      <c r="H215" s="6"/>
      <c r="I215" s="26" t="n">
        <v>8</v>
      </c>
      <c r="J215" s="26" t="n">
        <f aca="false">COUNTIFS('Control Library'!$A$5:$A$50,"AI-CTRL-001",'Control Library'!$R$5:$R$50,"Implemented")+COUNTIFS('Control Library'!$A$5:$A$50,"AI-CTRL-004",'Control Library'!$R$5:$R$50,"Implemented")+COUNTIFS('Control Library'!$A$5:$A$50,"AI-CTRL-014",'Control Library'!$R$5:$R$50,"Implemented")+COUNTIFS('Control Library'!$A$5:$A$50,"AI-CTRL-024",'Control Library'!$R$5:$R$50,"Implemented")+COUNTIFS('Control Library'!$A$5:$A$50,"AI-CTRL-030",'Control Library'!$R$5:$R$50,"Implemented")+COUNTIFS('Control Library'!$A$5:$A$50,"AI-CTRL-031",'Control Library'!$R$5:$R$50,"Implemented")+COUNTIFS('Control Library'!$A$5:$A$50,"AI-CTRL-032",'Control Library'!$R$5:$R$50,"Implemented")+COUNTIFS('Control Library'!$A$5:$A$50,"AI-CTRL-034",'Control Library'!$R$5:$R$50,"Implemented")</f>
        <v>0</v>
      </c>
      <c r="K215" s="43" t="str">
        <f aca="false">IF(I215=0,"No wiki control",IF(J215=I215,"Fully covered",IF(J215=0,"Not covered","Partly covered")))</f>
        <v>Not covered</v>
      </c>
      <c r="L215" s="9" t="s">
        <v>1201</v>
      </c>
    </row>
    <row r="216" customFormat="false" ht="23.85" hidden="false" customHeight="false" outlineLevel="0" collapsed="false">
      <c r="A216" s="49" t="s">
        <v>576</v>
      </c>
      <c r="B216" s="49" t="s">
        <v>577</v>
      </c>
      <c r="C216" s="5" t="s">
        <v>1210</v>
      </c>
      <c r="D216" s="6" t="s">
        <v>1211</v>
      </c>
      <c r="E216" s="6" t="s">
        <v>1212</v>
      </c>
      <c r="F216" s="6" t="s">
        <v>730</v>
      </c>
      <c r="G216" s="6" t="s">
        <v>1213</v>
      </c>
      <c r="H216" s="6"/>
      <c r="I216" s="26" t="n">
        <v>5</v>
      </c>
      <c r="J216" s="26" t="n">
        <f aca="false">COUNTIFS('Control Library'!$A$5:$A$50,"AI-CTRL-019",'Control Library'!$R$5:$R$50,"Implemented")+COUNTIFS('Control Library'!$A$5:$A$50,"AI-CTRL-026",'Control Library'!$R$5:$R$50,"Implemented")+COUNTIFS('Control Library'!$A$5:$A$50,"AI-CTRL-029",'Control Library'!$R$5:$R$50,"Implemented")+COUNTIFS('Control Library'!$A$5:$A$50,"AI-CTRL-030",'Control Library'!$R$5:$R$50,"Implemented")+COUNTIFS('Control Library'!$A$5:$A$50,"AI-CTRL-034",'Control Library'!$R$5:$R$50,"Implemented")</f>
        <v>0</v>
      </c>
      <c r="K216" s="43" t="str">
        <f aca="false">IF(I216=0,"No wiki control",IF(J216=I216,"Fully covered",IF(J216=0,"Not covered","Partly covered")))</f>
        <v>Not covered</v>
      </c>
      <c r="L216" s="9" t="s">
        <v>1201</v>
      </c>
    </row>
    <row r="217" customFormat="false" ht="35.05" hidden="false" customHeight="false" outlineLevel="0" collapsed="false">
      <c r="A217" s="49" t="s">
        <v>576</v>
      </c>
      <c r="B217" s="49" t="s">
        <v>577</v>
      </c>
      <c r="C217" s="5" t="s">
        <v>1214</v>
      </c>
      <c r="D217" s="6" t="s">
        <v>1215</v>
      </c>
      <c r="E217" s="6" t="s">
        <v>1216</v>
      </c>
      <c r="F217" s="6" t="s">
        <v>730</v>
      </c>
      <c r="G217" s="6" t="s">
        <v>1217</v>
      </c>
      <c r="H217" s="6"/>
      <c r="I217" s="26" t="n">
        <v>2</v>
      </c>
      <c r="J217" s="26" t="n">
        <f aca="false">COUNTIFS('Control Library'!$A$5:$A$50,"AI-CTRL-020",'Control Library'!$R$5:$R$50,"Implemented")+COUNTIFS('Control Library'!$A$5:$A$50,"AI-CTRL-034",'Control Library'!$R$5:$R$50,"Implemented")</f>
        <v>0</v>
      </c>
      <c r="K217" s="43" t="str">
        <f aca="false">IF(I217=0,"No wiki control",IF(J217=I217,"Fully covered",IF(J217=0,"Not covered","Partly covered")))</f>
        <v>Not covered</v>
      </c>
      <c r="L217" s="9" t="s">
        <v>1201</v>
      </c>
    </row>
    <row r="218" customFormat="false" ht="68.65" hidden="false" customHeight="false" outlineLevel="0" collapsed="false">
      <c r="A218" s="49" t="s">
        <v>576</v>
      </c>
      <c r="B218" s="49" t="s">
        <v>577</v>
      </c>
      <c r="C218" s="5" t="s">
        <v>1218</v>
      </c>
      <c r="D218" s="6" t="s">
        <v>1219</v>
      </c>
      <c r="E218" s="6" t="s">
        <v>1220</v>
      </c>
      <c r="F218" s="6" t="s">
        <v>730</v>
      </c>
      <c r="G218" s="6" t="s">
        <v>1221</v>
      </c>
      <c r="H218" s="6"/>
      <c r="I218" s="26" t="n">
        <v>9</v>
      </c>
      <c r="J218" s="26"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Library'!$A$5:$A$50,"AI-CTRL-025",'Control Library'!$R$5:$R$50,"Implemented")+COUNTIFS('Control Library'!$A$5:$A$50,"AI-CTRL-027",'Control Library'!$R$5:$R$50,"Implemented")+COUNTIFS('Control Library'!$A$5:$A$50,"AI-CTRL-034",'Control Library'!$R$5:$R$50,"Implemented")+COUNTIFS('Control Library'!$A$5:$A$50,"AI-CTRL-045",'Control Library'!$R$5:$R$50,"Implemented")</f>
        <v>0</v>
      </c>
      <c r="K218" s="43" t="str">
        <f aca="false">IF(I218=0,"No wiki control",IF(J218=I218,"Fully covered",IF(J218=0,"Not covered","Partly covered")))</f>
        <v>Not covered</v>
      </c>
      <c r="L218" s="9" t="s">
        <v>1201</v>
      </c>
    </row>
    <row r="219" customFormat="false" ht="23.85" hidden="false" customHeight="false" outlineLevel="0" collapsed="false">
      <c r="A219" s="49" t="s">
        <v>576</v>
      </c>
      <c r="B219" s="49" t="s">
        <v>577</v>
      </c>
      <c r="C219" s="5" t="s">
        <v>1222</v>
      </c>
      <c r="D219" s="6" t="s">
        <v>1223</v>
      </c>
      <c r="E219" s="6" t="s">
        <v>1224</v>
      </c>
      <c r="F219" s="6" t="s">
        <v>730</v>
      </c>
      <c r="G219" s="6" t="s">
        <v>1225</v>
      </c>
      <c r="H219" s="6"/>
      <c r="I219" s="26" t="n">
        <v>2</v>
      </c>
      <c r="J219" s="26" t="n">
        <f aca="false">COUNTIFS('Control Library'!$A$5:$A$50,"AI-CTRL-005",'Control Library'!$R$5:$R$50,"Implemented")+COUNTIFS('Control Library'!$A$5:$A$50,"AI-CTRL-034",'Control Library'!$R$5:$R$50,"Implemented")</f>
        <v>0</v>
      </c>
      <c r="K219" s="43" t="str">
        <f aca="false">IF(I219=0,"No wiki control",IF(J219=I219,"Fully covered",IF(J219=0,"Not covered","Partly covered")))</f>
        <v>Not covered</v>
      </c>
      <c r="L219" s="9" t="s">
        <v>1201</v>
      </c>
    </row>
    <row r="220" customFormat="false" ht="23.85" hidden="false" customHeight="false" outlineLevel="0" collapsed="false">
      <c r="A220" s="49" t="s">
        <v>576</v>
      </c>
      <c r="B220" s="49" t="s">
        <v>577</v>
      </c>
      <c r="C220" s="5" t="s">
        <v>1226</v>
      </c>
      <c r="D220" s="6" t="s">
        <v>1227</v>
      </c>
      <c r="E220" s="6" t="s">
        <v>1228</v>
      </c>
      <c r="F220" s="6" t="s">
        <v>730</v>
      </c>
      <c r="G220" s="6" t="s">
        <v>1229</v>
      </c>
      <c r="H220" s="6"/>
      <c r="I220" s="26" t="n">
        <v>3</v>
      </c>
      <c r="J220" s="26" t="n">
        <f aca="false">COUNTIFS('Control Library'!$A$5:$A$50,"AI-CTRL-018",'Control Library'!$R$5:$R$50,"Implemented")+COUNTIFS('Control Library'!$A$5:$A$50,"AI-CTRL-019",'Control Library'!$R$5:$R$50,"Implemented")+COUNTIFS('Control Library'!$A$5:$A$50,"AI-CTRL-034",'Control Library'!$R$5:$R$50,"Implemented")</f>
        <v>0</v>
      </c>
      <c r="K220" s="43" t="str">
        <f aca="false">IF(I220=0,"No wiki control",IF(J220=I220,"Fully covered",IF(J220=0,"Not covered","Partly covered")))</f>
        <v>Not covered</v>
      </c>
      <c r="L220" s="9" t="s">
        <v>1201</v>
      </c>
    </row>
    <row r="221" customFormat="false" ht="23.85" hidden="false" customHeight="false" outlineLevel="0" collapsed="false">
      <c r="A221" s="49" t="s">
        <v>576</v>
      </c>
      <c r="B221" s="49" t="s">
        <v>577</v>
      </c>
      <c r="C221" s="5" t="s">
        <v>1230</v>
      </c>
      <c r="D221" s="6" t="s">
        <v>1231</v>
      </c>
      <c r="E221" s="6" t="s">
        <v>745</v>
      </c>
      <c r="F221" s="6" t="s">
        <v>730</v>
      </c>
      <c r="G221" s="6" t="s">
        <v>746</v>
      </c>
      <c r="H221" s="6"/>
      <c r="I221" s="26" t="n">
        <v>2</v>
      </c>
      <c r="J221" s="26" t="n">
        <f aca="false">COUNTIFS('Control Library'!$A$5:$A$50,"AI-CTRL-034",'Control Library'!$R$5:$R$50,"Implemented")+COUNTIFS('Control Library'!$A$5:$A$50,"AI-CTRL-039",'Control Library'!$R$5:$R$50,"Implemented")</f>
        <v>0</v>
      </c>
      <c r="K221" s="43" t="str">
        <f aca="false">IF(I221=0,"No wiki control",IF(J221=I221,"Fully covered",IF(J221=0,"Not covered","Partly covered")))</f>
        <v>Not covered</v>
      </c>
      <c r="L221" s="9" t="s">
        <v>1201</v>
      </c>
    </row>
    <row r="222" customFormat="false" ht="23.85" hidden="false" customHeight="false" outlineLevel="0" collapsed="false">
      <c r="A222" s="49" t="s">
        <v>576</v>
      </c>
      <c r="B222" s="49" t="s">
        <v>577</v>
      </c>
      <c r="C222" s="5" t="s">
        <v>1232</v>
      </c>
      <c r="D222" s="6" t="s">
        <v>1233</v>
      </c>
      <c r="E222" s="6" t="s">
        <v>1234</v>
      </c>
      <c r="F222" s="6" t="s">
        <v>730</v>
      </c>
      <c r="G222" s="6" t="s">
        <v>1235</v>
      </c>
      <c r="H222" s="6"/>
      <c r="I222" s="26" t="n">
        <v>3</v>
      </c>
      <c r="J222" s="26" t="n">
        <f aca="false">COUNTIFS('Control Library'!$A$5:$A$50,"AI-CTRL-028",'Control Library'!$R$5:$R$50,"Implemented")+COUNTIFS('Control Library'!$A$5:$A$50,"AI-CTRL-034",'Control Library'!$R$5:$R$50,"Implemented")+COUNTIFS('Control Library'!$A$5:$A$50,"AI-CTRL-036",'Control Library'!$R$5:$R$50,"Implemented")</f>
        <v>0</v>
      </c>
      <c r="K222" s="43" t="str">
        <f aca="false">IF(I222=0,"No wiki control",IF(J222=I222,"Fully covered",IF(J222=0,"Not covered","Partly covered")))</f>
        <v>Not covered</v>
      </c>
      <c r="L222" s="9" t="s">
        <v>1201</v>
      </c>
    </row>
    <row r="223" customFormat="false" ht="23.85" hidden="false" customHeight="false" outlineLevel="0" collapsed="false">
      <c r="A223" s="49" t="s">
        <v>578</v>
      </c>
      <c r="B223" s="49" t="s">
        <v>577</v>
      </c>
      <c r="C223" s="5" t="s">
        <v>1236</v>
      </c>
      <c r="D223" s="6" t="s">
        <v>1237</v>
      </c>
      <c r="E223" s="6" t="s">
        <v>199</v>
      </c>
      <c r="F223" s="6" t="s">
        <v>730</v>
      </c>
      <c r="G223" s="6" t="s">
        <v>203</v>
      </c>
      <c r="H223" s="6"/>
      <c r="I223" s="26" t="n">
        <v>1</v>
      </c>
      <c r="J223" s="26" t="n">
        <f aca="false">COUNTIFS('Control Library'!$A$5:$A$50,"AI-CTRL-005",'Control Library'!$R$5:$R$50,"Implemented")</f>
        <v>0</v>
      </c>
      <c r="K223" s="43" t="str">
        <f aca="false">IF(I223=0,"No wiki control",IF(J223=I223,"Fully covered",IF(J223=0,"Not covered","Partly covered")))</f>
        <v>Not covered</v>
      </c>
      <c r="L223" s="9" t="s">
        <v>1201</v>
      </c>
    </row>
    <row r="224" customFormat="false" ht="23.85" hidden="false" customHeight="false" outlineLevel="0" collapsed="false">
      <c r="A224" s="49" t="s">
        <v>578</v>
      </c>
      <c r="B224" s="49" t="s">
        <v>577</v>
      </c>
      <c r="C224" s="5" t="s">
        <v>1238</v>
      </c>
      <c r="D224" s="6" t="s">
        <v>1239</v>
      </c>
      <c r="E224" s="6" t="s">
        <v>1240</v>
      </c>
      <c r="F224" s="6" t="s">
        <v>730</v>
      </c>
      <c r="G224" s="6" t="s">
        <v>367</v>
      </c>
      <c r="H224" s="6"/>
      <c r="I224" s="26" t="n">
        <v>2</v>
      </c>
      <c r="J224" s="26" t="n">
        <f aca="false">COUNTIFS('Control Library'!$A$5:$A$50,"AI-CTRL-022",'Control Library'!$R$5:$R$50,"Implemented")+COUNTIFS('Control Library'!$A$5:$A$50,"AI-CTRL-024",'Control Library'!$R$5:$R$50,"Implemented")</f>
        <v>0</v>
      </c>
      <c r="K224" s="43" t="str">
        <f aca="false">IF(I224=0,"No wiki control",IF(J224=I224,"Fully covered",IF(J224=0,"Not covered","Partly covered")))</f>
        <v>Not covered</v>
      </c>
      <c r="L224" s="9" t="s">
        <v>1201</v>
      </c>
    </row>
    <row r="225" customFormat="false" ht="23.85" hidden="false" customHeight="false" outlineLevel="0" collapsed="false">
      <c r="A225" s="49" t="s">
        <v>578</v>
      </c>
      <c r="B225" s="49" t="s">
        <v>577</v>
      </c>
      <c r="C225" s="5" t="s">
        <v>1241</v>
      </c>
      <c r="D225" s="6" t="s">
        <v>1242</v>
      </c>
      <c r="E225" s="6" t="s">
        <v>801</v>
      </c>
      <c r="F225" s="6" t="s">
        <v>730</v>
      </c>
      <c r="G225" s="6" t="s">
        <v>802</v>
      </c>
      <c r="H225" s="6"/>
      <c r="I225" s="26" t="n">
        <v>2</v>
      </c>
      <c r="J225" s="26" t="n">
        <f aca="false">COUNTIFS('Control Library'!$A$5:$A$50,"AI-CTRL-015",'Control Library'!$R$5:$R$50,"Implemented")+COUNTIFS('Control Library'!$A$5:$A$50,"AI-CTRL-016",'Control Library'!$R$5:$R$50,"Implemented")</f>
        <v>0</v>
      </c>
      <c r="K225" s="43" t="str">
        <f aca="false">IF(I225=0,"No wiki control",IF(J225=I225,"Fully covered",IF(J225=0,"Not covered","Partly covered")))</f>
        <v>Not covered</v>
      </c>
      <c r="L225" s="9" t="s">
        <v>1201</v>
      </c>
    </row>
    <row r="226" customFormat="false" ht="23.85" hidden="false" customHeight="false" outlineLevel="0" collapsed="false">
      <c r="A226" s="49" t="s">
        <v>578</v>
      </c>
      <c r="B226" s="49" t="s">
        <v>577</v>
      </c>
      <c r="C226" s="5" t="s">
        <v>1243</v>
      </c>
      <c r="D226" s="6" t="s">
        <v>1244</v>
      </c>
      <c r="E226" s="6" t="s">
        <v>363</v>
      </c>
      <c r="F226" s="6" t="s">
        <v>730</v>
      </c>
      <c r="G226" s="6" t="s">
        <v>367</v>
      </c>
      <c r="H226" s="6"/>
      <c r="I226" s="26" t="n">
        <v>1</v>
      </c>
      <c r="J226" s="26" t="n">
        <f aca="false">COUNTIFS('Control Library'!$A$5:$A$50,"AI-CTRL-024",'Control Library'!$R$5:$R$50,"Implemented")</f>
        <v>0</v>
      </c>
      <c r="K226" s="43" t="str">
        <f aca="false">IF(I226=0,"No wiki control",IF(J226=I226,"Fully covered",IF(J226=0,"Not covered","Partly covered")))</f>
        <v>Not covered</v>
      </c>
      <c r="L226" s="9" t="s">
        <v>1201</v>
      </c>
    </row>
    <row r="227" customFormat="false" ht="23.85" hidden="false" customHeight="false" outlineLevel="0" collapsed="false">
      <c r="A227" s="49" t="s">
        <v>578</v>
      </c>
      <c r="B227" s="49" t="s">
        <v>577</v>
      </c>
      <c r="C227" s="5" t="s">
        <v>1245</v>
      </c>
      <c r="D227" s="6" t="s">
        <v>1246</v>
      </c>
      <c r="E227" s="6" t="s">
        <v>387</v>
      </c>
      <c r="F227" s="6" t="s">
        <v>730</v>
      </c>
      <c r="G227" s="6" t="s">
        <v>390</v>
      </c>
      <c r="H227" s="6"/>
      <c r="I227" s="26" t="n">
        <v>1</v>
      </c>
      <c r="J227" s="26" t="n">
        <f aca="false">COUNTIFS('Control Library'!$A$5:$A$50,"AI-CTRL-027",'Control Library'!$R$5:$R$50,"Implemented")</f>
        <v>0</v>
      </c>
      <c r="K227" s="43" t="str">
        <f aca="false">IF(I227=0,"No wiki control",IF(J227=I227,"Fully covered",IF(J227=0,"Not covered","Partly covered")))</f>
        <v>Not covered</v>
      </c>
      <c r="L227" s="9" t="s">
        <v>1201</v>
      </c>
    </row>
    <row r="228" customFormat="false" ht="23.85" hidden="false" customHeight="false" outlineLevel="0" collapsed="false">
      <c r="A228" s="49" t="s">
        <v>578</v>
      </c>
      <c r="B228" s="49" t="s">
        <v>577</v>
      </c>
      <c r="C228" s="5" t="s">
        <v>1247</v>
      </c>
      <c r="D228" s="6" t="s">
        <v>1248</v>
      </c>
      <c r="E228" s="6" t="s">
        <v>380</v>
      </c>
      <c r="F228" s="6" t="s">
        <v>730</v>
      </c>
      <c r="G228" s="6" t="s">
        <v>383</v>
      </c>
      <c r="H228" s="6"/>
      <c r="I228" s="26" t="n">
        <v>1</v>
      </c>
      <c r="J228" s="26" t="n">
        <f aca="false">COUNTIFS('Control Library'!$A$5:$A$50,"AI-CTRL-026",'Control Library'!$R$5:$R$50,"Implemented")</f>
        <v>0</v>
      </c>
      <c r="K228" s="43" t="str">
        <f aca="false">IF(I228=0,"No wiki control",IF(J228=I228,"Fully covered",IF(J228=0,"Not covered","Partly covered")))</f>
        <v>Not covered</v>
      </c>
      <c r="L228" s="9" t="s">
        <v>1201</v>
      </c>
    </row>
    <row r="229" customFormat="false" ht="23.85" hidden="false" customHeight="false" outlineLevel="0" collapsed="false">
      <c r="A229" s="49" t="s">
        <v>578</v>
      </c>
      <c r="B229" s="49" t="s">
        <v>577</v>
      </c>
      <c r="C229" s="5" t="s">
        <v>1249</v>
      </c>
      <c r="D229" s="6" t="s">
        <v>1250</v>
      </c>
      <c r="E229" s="6" t="s">
        <v>1251</v>
      </c>
      <c r="F229" s="6" t="s">
        <v>730</v>
      </c>
      <c r="G229" s="6" t="s">
        <v>295</v>
      </c>
      <c r="H229" s="6"/>
      <c r="I229" s="26" t="n">
        <v>2</v>
      </c>
      <c r="J229" s="26" t="n">
        <f aca="false">COUNTIFS('Control Library'!$A$5:$A$50,"AI-CTRL-006",'Control Library'!$R$5:$R$50,"Implemented")+COUNTIFS('Control Library'!$A$5:$A$50,"AI-CTRL-015",'Control Library'!$R$5:$R$50,"Implemented")</f>
        <v>0</v>
      </c>
      <c r="K229" s="43" t="str">
        <f aca="false">IF(I229=0,"No wiki control",IF(J229=I229,"Fully covered",IF(J229=0,"Not covered","Partly covered")))</f>
        <v>Not covered</v>
      </c>
      <c r="L229" s="9" t="s">
        <v>1201</v>
      </c>
    </row>
    <row r="230" customFormat="false" ht="23.85" hidden="false" customHeight="false" outlineLevel="0" collapsed="false">
      <c r="A230" s="49" t="s">
        <v>578</v>
      </c>
      <c r="B230" s="49" t="s">
        <v>577</v>
      </c>
      <c r="C230" s="5" t="s">
        <v>1252</v>
      </c>
      <c r="D230" s="6" t="s">
        <v>1253</v>
      </c>
      <c r="E230" s="6" t="s">
        <v>371</v>
      </c>
      <c r="F230" s="6" t="s">
        <v>730</v>
      </c>
      <c r="G230" s="6" t="s">
        <v>375</v>
      </c>
      <c r="H230" s="6"/>
      <c r="I230" s="26" t="n">
        <v>1</v>
      </c>
      <c r="J230" s="26" t="n">
        <f aca="false">COUNTIFS('Control Library'!$A$5:$A$50,"AI-CTRL-025",'Control Library'!$R$5:$R$50,"Implemented")</f>
        <v>0</v>
      </c>
      <c r="K230" s="43" t="str">
        <f aca="false">IF(I230=0,"No wiki control",IF(J230=I230,"Fully covered",IF(J230=0,"Not covered","Partly covered")))</f>
        <v>Not covered</v>
      </c>
      <c r="L230" s="9" t="s">
        <v>1201</v>
      </c>
    </row>
    <row r="231" customFormat="false" ht="23.85" hidden="false" customHeight="false" outlineLevel="0" collapsed="false">
      <c r="A231" s="49" t="s">
        <v>578</v>
      </c>
      <c r="B231" s="49" t="s">
        <v>577</v>
      </c>
      <c r="C231" s="5" t="s">
        <v>1254</v>
      </c>
      <c r="D231" s="6" t="s">
        <v>1255</v>
      </c>
      <c r="E231" s="6" t="s">
        <v>805</v>
      </c>
      <c r="F231" s="6" t="s">
        <v>730</v>
      </c>
      <c r="G231" s="6" t="s">
        <v>542</v>
      </c>
      <c r="H231" s="6"/>
      <c r="I231" s="26" t="n">
        <v>2</v>
      </c>
      <c r="J231" s="26" t="n">
        <f aca="false">COUNTIFS('Control Library'!$A$5:$A$50,"AI-CTRL-023",'Control Library'!$R$5:$R$50,"Implemented")+COUNTIFS('Control Library'!$A$5:$A$50,"AI-CTRL-045",'Control Library'!$R$5:$R$50,"Implemented")</f>
        <v>0</v>
      </c>
      <c r="K231" s="43" t="str">
        <f aca="false">IF(I231=0,"No wiki control",IF(J231=I231,"Fully covered",IF(J231=0,"Not covered","Partly covered")))</f>
        <v>Not covered</v>
      </c>
      <c r="L231" s="9" t="s">
        <v>1201</v>
      </c>
    </row>
    <row r="232" customFormat="false" ht="23.85" hidden="false" customHeight="false" outlineLevel="0" collapsed="false">
      <c r="A232" s="49" t="s">
        <v>578</v>
      </c>
      <c r="B232" s="49" t="s">
        <v>577</v>
      </c>
      <c r="C232" s="5" t="s">
        <v>1256</v>
      </c>
      <c r="D232" s="6" t="s">
        <v>1257</v>
      </c>
      <c r="E232" s="6" t="s">
        <v>1258</v>
      </c>
      <c r="F232" s="6" t="s">
        <v>730</v>
      </c>
      <c r="G232" s="6" t="s">
        <v>375</v>
      </c>
      <c r="H232" s="6"/>
      <c r="I232" s="26" t="n">
        <v>2</v>
      </c>
      <c r="J232" s="26" t="n">
        <f aca="false">COUNTIFS('Control Library'!$A$5:$A$50,"AI-CTRL-006",'Control Library'!$R$5:$R$50,"Implemented")+COUNTIFS('Control Library'!$A$5:$A$50,"AI-CTRL-025",'Control Library'!$R$5:$R$50,"Implemented")</f>
        <v>0</v>
      </c>
      <c r="K232" s="43" t="str">
        <f aca="false">IF(I232=0,"No wiki control",IF(J232=I232,"Fully covered",IF(J232=0,"Not covered","Partly covered")))</f>
        <v>Not covered</v>
      </c>
      <c r="L232" s="9" t="s">
        <v>1201</v>
      </c>
    </row>
    <row r="233" customFormat="false" ht="23.85" hidden="false" customHeight="false" outlineLevel="0" collapsed="false">
      <c r="A233" s="49" t="s">
        <v>579</v>
      </c>
      <c r="B233" s="49" t="s">
        <v>577</v>
      </c>
      <c r="C233" s="5" t="s">
        <v>1259</v>
      </c>
      <c r="D233" s="6" t="s">
        <v>1260</v>
      </c>
      <c r="E233" s="6" t="s">
        <v>801</v>
      </c>
      <c r="F233" s="6" t="s">
        <v>730</v>
      </c>
      <c r="G233" s="6" t="s">
        <v>722</v>
      </c>
      <c r="H233" s="6" t="s">
        <v>642</v>
      </c>
      <c r="I233" s="26" t="n">
        <v>2</v>
      </c>
      <c r="J233" s="26" t="n">
        <f aca="false">COUNTIFS('Control Library'!$A$5:$A$50,"AI-CTRL-015",'Control Library'!$R$5:$R$50,"Implemented")+COUNTIFS('Control Library'!$A$5:$A$50,"AI-CTRL-016",'Control Library'!$R$5:$R$50,"Implemented")</f>
        <v>0</v>
      </c>
      <c r="K233" s="43" t="str">
        <f aca="false">IF(I233=0,"No wiki control",IF(J233=I233,"Fully covered",IF(J233=0,"Not covered","Partly covered")))</f>
        <v>Not covered</v>
      </c>
      <c r="L233" s="9" t="s">
        <v>1261</v>
      </c>
    </row>
    <row r="234" customFormat="false" ht="23.85" hidden="false" customHeight="false" outlineLevel="0" collapsed="false">
      <c r="A234" s="49" t="s">
        <v>579</v>
      </c>
      <c r="B234" s="49" t="s">
        <v>577</v>
      </c>
      <c r="C234" s="5" t="s">
        <v>1262</v>
      </c>
      <c r="D234" s="6" t="s">
        <v>1263</v>
      </c>
      <c r="E234" s="6" t="s">
        <v>1264</v>
      </c>
      <c r="F234" s="6" t="s">
        <v>730</v>
      </c>
      <c r="G234" s="6" t="s">
        <v>1265</v>
      </c>
      <c r="H234" s="6" t="s">
        <v>642</v>
      </c>
      <c r="I234" s="26" t="n">
        <v>2</v>
      </c>
      <c r="J234" s="26" t="n">
        <f aca="false">COUNTIFS('Control Library'!$A$5:$A$50,"AI-CTRL-016",'Control Library'!$R$5:$R$50,"Implemented")+COUNTIFS('Control Library'!$A$5:$A$50,"AI-CTRL-024",'Control Library'!$R$5:$R$50,"Implemented")</f>
        <v>0</v>
      </c>
      <c r="K234" s="43" t="str">
        <f aca="false">IF(I234=0,"No wiki control",IF(J234=I234,"Fully covered",IF(J234=0,"Not covered","Partly covered")))</f>
        <v>Not covered</v>
      </c>
      <c r="L234" s="9" t="s">
        <v>1261</v>
      </c>
    </row>
    <row r="235" customFormat="false" ht="23.85" hidden="false" customHeight="false" outlineLevel="0" collapsed="false">
      <c r="A235" s="49" t="s">
        <v>579</v>
      </c>
      <c r="B235" s="49" t="s">
        <v>577</v>
      </c>
      <c r="C235" s="5" t="s">
        <v>1266</v>
      </c>
      <c r="D235" s="6" t="s">
        <v>1267</v>
      </c>
      <c r="E235" s="6" t="s">
        <v>1268</v>
      </c>
      <c r="F235" s="6" t="s">
        <v>730</v>
      </c>
      <c r="G235" s="6" t="s">
        <v>1269</v>
      </c>
      <c r="H235" s="6" t="s">
        <v>642</v>
      </c>
      <c r="I235" s="26" t="n">
        <v>2</v>
      </c>
      <c r="J235" s="26" t="n">
        <f aca="false">COUNTIFS('Control Library'!$A$5:$A$50,"AI-CTRL-024",'Control Library'!$R$5:$R$50,"Implemented")+COUNTIFS('Control Library'!$A$5:$A$50,"AI-CTRL-026",'Control Library'!$R$5:$R$50,"Implemented")</f>
        <v>0</v>
      </c>
      <c r="K235" s="43" t="str">
        <f aca="false">IF(I235=0,"No wiki control",IF(J235=I235,"Fully covered",IF(J235=0,"Not covered","Partly covered")))</f>
        <v>Not covered</v>
      </c>
      <c r="L235" s="9" t="s">
        <v>1261</v>
      </c>
    </row>
    <row r="236" customFormat="false" ht="23.85" hidden="false" customHeight="false" outlineLevel="0" collapsed="false">
      <c r="A236" s="49" t="s">
        <v>579</v>
      </c>
      <c r="B236" s="49" t="s">
        <v>577</v>
      </c>
      <c r="C236" s="5" t="s">
        <v>1270</v>
      </c>
      <c r="D236" s="6" t="s">
        <v>1271</v>
      </c>
      <c r="E236" s="6" t="s">
        <v>725</v>
      </c>
      <c r="F236" s="6" t="s">
        <v>730</v>
      </c>
      <c r="G236" s="6" t="s">
        <v>714</v>
      </c>
      <c r="H236" s="6" t="s">
        <v>642</v>
      </c>
      <c r="I236" s="26" t="n">
        <v>2</v>
      </c>
      <c r="J236" s="26" t="n">
        <f aca="false">COUNTIFS('Control Library'!$A$5:$A$50,"AI-CTRL-024",'Control Library'!$R$5:$R$50,"Implemented")+COUNTIFS('Control Library'!$A$5:$A$50,"AI-CTRL-031",'Control Library'!$R$5:$R$50,"Implemented")</f>
        <v>0</v>
      </c>
      <c r="K236" s="43" t="str">
        <f aca="false">IF(I236=0,"No wiki control",IF(J236=I236,"Fully covered",IF(J236=0,"Not covered","Partly covered")))</f>
        <v>Not covered</v>
      </c>
      <c r="L236" s="9" t="s">
        <v>1261</v>
      </c>
    </row>
    <row r="237" customFormat="false" ht="23.85" hidden="false" customHeight="false" outlineLevel="0" collapsed="false">
      <c r="A237" s="49" t="s">
        <v>579</v>
      </c>
      <c r="B237" s="49" t="s">
        <v>577</v>
      </c>
      <c r="C237" s="5" t="s">
        <v>1272</v>
      </c>
      <c r="D237" s="6" t="s">
        <v>1273</v>
      </c>
      <c r="E237" s="6" t="s">
        <v>1274</v>
      </c>
      <c r="F237" s="6" t="s">
        <v>730</v>
      </c>
      <c r="G237" s="6" t="s">
        <v>1269</v>
      </c>
      <c r="H237" s="6" t="s">
        <v>642</v>
      </c>
      <c r="I237" s="26" t="n">
        <v>2</v>
      </c>
      <c r="J237" s="26" t="n">
        <f aca="false">COUNTIFS('Control Library'!$A$5:$A$50,"AI-CTRL-020",'Control Library'!$R$5:$R$50,"Implemented")+COUNTIFS('Control Library'!$A$5:$A$50,"AI-CTRL-027",'Control Library'!$R$5:$R$50,"Implemented")</f>
        <v>0</v>
      </c>
      <c r="K237" s="43" t="str">
        <f aca="false">IF(I237=0,"No wiki control",IF(J237=I237,"Fully covered",IF(J237=0,"Not covered","Partly covered")))</f>
        <v>Not covered</v>
      </c>
      <c r="L237" s="9" t="s">
        <v>1261</v>
      </c>
    </row>
    <row r="238" customFormat="false" ht="23.85" hidden="false" customHeight="false" outlineLevel="0" collapsed="false">
      <c r="A238" s="49" t="s">
        <v>579</v>
      </c>
      <c r="B238" s="49" t="s">
        <v>577</v>
      </c>
      <c r="C238" s="5" t="s">
        <v>1275</v>
      </c>
      <c r="D238" s="6" t="s">
        <v>1276</v>
      </c>
      <c r="E238" s="6" t="s">
        <v>1277</v>
      </c>
      <c r="F238" s="6" t="s">
        <v>730</v>
      </c>
      <c r="G238" s="6" t="s">
        <v>1278</v>
      </c>
      <c r="H238" s="6" t="s">
        <v>642</v>
      </c>
      <c r="I238" s="26" t="n">
        <v>2</v>
      </c>
      <c r="J238" s="26" t="n">
        <f aca="false">COUNTIFS('Control Library'!$A$5:$A$50,"AI-CTRL-005",'Control Library'!$R$5:$R$50,"Implemented")+COUNTIFS('Control Library'!$A$5:$A$50,"AI-CTRL-022",'Control Library'!$R$5:$R$50,"Implemented")</f>
        <v>0</v>
      </c>
      <c r="K238" s="43" t="str">
        <f aca="false">IF(I238=0,"No wiki control",IF(J238=I238,"Fully covered",IF(J238=0,"Not covered","Partly covered")))</f>
        <v>Not covered</v>
      </c>
      <c r="L238" s="9" t="s">
        <v>1261</v>
      </c>
    </row>
    <row r="239" customFormat="false" ht="23.85" hidden="false" customHeight="false" outlineLevel="0" collapsed="false">
      <c r="A239" s="49" t="s">
        <v>579</v>
      </c>
      <c r="B239" s="49" t="s">
        <v>577</v>
      </c>
      <c r="C239" s="5" t="s">
        <v>1279</v>
      </c>
      <c r="D239" s="6" t="s">
        <v>1280</v>
      </c>
      <c r="E239" s="6" t="s">
        <v>801</v>
      </c>
      <c r="F239" s="6" t="s">
        <v>730</v>
      </c>
      <c r="G239" s="6" t="s">
        <v>1281</v>
      </c>
      <c r="H239" s="6" t="s">
        <v>642</v>
      </c>
      <c r="I239" s="26" t="n">
        <v>2</v>
      </c>
      <c r="J239" s="26" t="n">
        <f aca="false">COUNTIFS('Control Library'!$A$5:$A$50,"AI-CTRL-015",'Control Library'!$R$5:$R$50,"Implemented")+COUNTIFS('Control Library'!$A$5:$A$50,"AI-CTRL-016",'Control Library'!$R$5:$R$50,"Implemented")</f>
        <v>0</v>
      </c>
      <c r="K239" s="43" t="str">
        <f aca="false">IF(I239=0,"No wiki control",IF(J239=I239,"Fully covered",IF(J239=0,"Not covered","Partly covered")))</f>
        <v>Not covered</v>
      </c>
      <c r="L239" s="9" t="s">
        <v>1261</v>
      </c>
    </row>
    <row r="240" customFormat="false" ht="23.85" hidden="false" customHeight="false" outlineLevel="0" collapsed="false">
      <c r="A240" s="49" t="s">
        <v>579</v>
      </c>
      <c r="B240" s="49" t="s">
        <v>577</v>
      </c>
      <c r="C240" s="5" t="s">
        <v>1282</v>
      </c>
      <c r="D240" s="6" t="s">
        <v>1283</v>
      </c>
      <c r="E240" s="6" t="s">
        <v>734</v>
      </c>
      <c r="F240" s="6" t="s">
        <v>730</v>
      </c>
      <c r="G240" s="6" t="s">
        <v>930</v>
      </c>
      <c r="H240" s="6" t="s">
        <v>642</v>
      </c>
      <c r="I240" s="26" t="n">
        <v>2</v>
      </c>
      <c r="J240" s="26" t="n">
        <f aca="false">COUNTIFS('Control Library'!$A$5:$A$50,"AI-CTRL-008",'Control Library'!$R$5:$R$50,"Implemented")+COUNTIFS('Control Library'!$A$5:$A$50,"AI-CTRL-009",'Control Library'!$R$5:$R$50,"Implemented")</f>
        <v>0</v>
      </c>
      <c r="K240" s="43" t="str">
        <f aca="false">IF(I240=0,"No wiki control",IF(J240=I240,"Fully covered",IF(J240=0,"Not covered","Partly covered")))</f>
        <v>Not covered</v>
      </c>
      <c r="L240" s="9" t="s">
        <v>1261</v>
      </c>
    </row>
    <row r="241" customFormat="false" ht="23.85" hidden="false" customHeight="false" outlineLevel="0" collapsed="false">
      <c r="A241" s="49" t="s">
        <v>579</v>
      </c>
      <c r="B241" s="49" t="s">
        <v>577</v>
      </c>
      <c r="C241" s="5" t="s">
        <v>1284</v>
      </c>
      <c r="D241" s="6" t="s">
        <v>1285</v>
      </c>
      <c r="E241" s="6" t="s">
        <v>1286</v>
      </c>
      <c r="F241" s="6" t="s">
        <v>730</v>
      </c>
      <c r="G241" s="6" t="s">
        <v>1287</v>
      </c>
      <c r="H241" s="6" t="s">
        <v>657</v>
      </c>
      <c r="I241" s="26" t="n">
        <v>2</v>
      </c>
      <c r="J241" s="26" t="n">
        <f aca="false">COUNTIFS('Control Library'!$A$5:$A$50,"AI-CTRL-001",'Control Library'!$R$5:$R$50,"Implemented")+COUNTIFS('Control Library'!$A$5:$A$50,"AI-CTRL-024",'Control Library'!$R$5:$R$50,"Implemented")</f>
        <v>0</v>
      </c>
      <c r="K241" s="43" t="str">
        <f aca="false">IF(I241=0,"No wiki control",IF(J241=I241,"Fully covered",IF(J241=0,"Not covered","Partly covered")))</f>
        <v>Not covered</v>
      </c>
      <c r="L241" s="9" t="s">
        <v>1261</v>
      </c>
    </row>
    <row r="242" customFormat="false" ht="23.85" hidden="false" customHeight="false" outlineLevel="0" collapsed="false">
      <c r="A242" s="49" t="s">
        <v>579</v>
      </c>
      <c r="B242" s="49" t="s">
        <v>577</v>
      </c>
      <c r="C242" s="5" t="s">
        <v>1288</v>
      </c>
      <c r="D242" s="6" t="s">
        <v>1289</v>
      </c>
      <c r="E242" s="6" t="s">
        <v>1290</v>
      </c>
      <c r="F242" s="6" t="s">
        <v>730</v>
      </c>
      <c r="G242" s="6" t="s">
        <v>1291</v>
      </c>
      <c r="H242" s="6" t="s">
        <v>657</v>
      </c>
      <c r="I242" s="26" t="n">
        <v>2</v>
      </c>
      <c r="J242" s="26" t="n">
        <f aca="false">COUNTIFS('Control Library'!$A$5:$A$50,"AI-CTRL-018",'Control Library'!$R$5:$R$50,"Implemented")+COUNTIFS('Control Library'!$A$5:$A$50,"AI-CTRL-026",'Control Library'!$R$5:$R$50,"Implemented")</f>
        <v>0</v>
      </c>
      <c r="K242" s="43" t="str">
        <f aca="false">IF(I242=0,"No wiki control",IF(J242=I242,"Fully covered",IF(J242=0,"Not covered","Partly covered")))</f>
        <v>Not covered</v>
      </c>
      <c r="L242" s="9" t="s">
        <v>1261</v>
      </c>
    </row>
    <row r="243" customFormat="false" ht="23.85" hidden="false" customHeight="false" outlineLevel="0" collapsed="false">
      <c r="A243" s="49" t="s">
        <v>580</v>
      </c>
      <c r="B243" s="49" t="s">
        <v>577</v>
      </c>
      <c r="C243" s="5" t="s">
        <v>1292</v>
      </c>
      <c r="D243" s="6" t="s">
        <v>1293</v>
      </c>
      <c r="E243" s="6" t="s">
        <v>1294</v>
      </c>
      <c r="F243" s="6" t="s">
        <v>730</v>
      </c>
      <c r="G243" s="6" t="s">
        <v>1060</v>
      </c>
      <c r="H243" s="6"/>
      <c r="I243" s="26" t="n">
        <v>4</v>
      </c>
      <c r="J243" s="26" t="n">
        <f aca="false">COUNTIFS('Control Library'!$A$5:$A$50,"AI-CTRL-014",'Control Library'!$R$5:$R$50,"Implemented")+COUNTIFS('Control Library'!$A$5:$A$50,"AI-CTRL-024",'Control Library'!$R$5:$R$50,"Implemented")+COUNTIFS('Control Library'!$A$5:$A$50,"AI-CTRL-030",'Control Library'!$R$5:$R$50,"Implemented")+COUNTIFS('Control Library'!$A$5:$A$50,"AI-CTRL-031",'Control Library'!$R$5:$R$50,"Implemented")</f>
        <v>0</v>
      </c>
      <c r="K243" s="43" t="str">
        <f aca="false">IF(I243=0,"No wiki control",IF(J243=I243,"Fully covered",IF(J243=0,"Not covered","Partly covered")))</f>
        <v>Not covered</v>
      </c>
      <c r="L243" s="9" t="s">
        <v>1295</v>
      </c>
    </row>
    <row r="244" customFormat="false" ht="23.85" hidden="false" customHeight="false" outlineLevel="0" collapsed="false">
      <c r="A244" s="49" t="s">
        <v>580</v>
      </c>
      <c r="B244" s="49" t="s">
        <v>577</v>
      </c>
      <c r="C244" s="5" t="s">
        <v>1296</v>
      </c>
      <c r="D244" s="6" t="s">
        <v>1297</v>
      </c>
      <c r="E244" s="6" t="s">
        <v>801</v>
      </c>
      <c r="F244" s="6" t="s">
        <v>730</v>
      </c>
      <c r="G244" s="6" t="s">
        <v>802</v>
      </c>
      <c r="H244" s="6"/>
      <c r="I244" s="26" t="n">
        <v>2</v>
      </c>
      <c r="J244" s="26" t="n">
        <f aca="false">COUNTIFS('Control Library'!$A$5:$A$50,"AI-CTRL-015",'Control Library'!$R$5:$R$50,"Implemented")+COUNTIFS('Control Library'!$A$5:$A$50,"AI-CTRL-016",'Control Library'!$R$5:$R$50,"Implemented")</f>
        <v>0</v>
      </c>
      <c r="K244" s="43" t="str">
        <f aca="false">IF(I244=0,"No wiki control",IF(J244=I244,"Fully covered",IF(J244=0,"Not covered","Partly covered")))</f>
        <v>Not covered</v>
      </c>
      <c r="L244" s="9" t="s">
        <v>1295</v>
      </c>
    </row>
    <row r="245" customFormat="false" ht="23.85" hidden="false" customHeight="false" outlineLevel="0" collapsed="false">
      <c r="A245" s="49" t="s">
        <v>580</v>
      </c>
      <c r="B245" s="49" t="s">
        <v>577</v>
      </c>
      <c r="C245" s="5" t="s">
        <v>1298</v>
      </c>
      <c r="D245" s="6" t="s">
        <v>1299</v>
      </c>
      <c r="E245" s="6" t="s">
        <v>395</v>
      </c>
      <c r="F245" s="6" t="s">
        <v>730</v>
      </c>
      <c r="G245" s="6" t="s">
        <v>399</v>
      </c>
      <c r="H245" s="6"/>
      <c r="I245" s="26" t="n">
        <v>1</v>
      </c>
      <c r="J245" s="26" t="n">
        <f aca="false">COUNTIFS('Control Library'!$A$5:$A$50,"AI-CTRL-028",'Control Library'!$R$5:$R$50,"Implemented")</f>
        <v>0</v>
      </c>
      <c r="K245" s="43" t="str">
        <f aca="false">IF(I245=0,"No wiki control",IF(J245=I245,"Fully covered",IF(J245=0,"Not covered","Partly covered")))</f>
        <v>Not covered</v>
      </c>
      <c r="L245" s="9" t="s">
        <v>1295</v>
      </c>
    </row>
    <row r="246" customFormat="false" ht="23.85" hidden="false" customHeight="false" outlineLevel="0" collapsed="false">
      <c r="A246" s="49" t="s">
        <v>580</v>
      </c>
      <c r="B246" s="49" t="s">
        <v>577</v>
      </c>
      <c r="C246" s="5" t="s">
        <v>1300</v>
      </c>
      <c r="D246" s="6" t="s">
        <v>1301</v>
      </c>
      <c r="E246" s="6" t="s">
        <v>1302</v>
      </c>
      <c r="F246" s="6" t="s">
        <v>730</v>
      </c>
      <c r="G246" s="6" t="s">
        <v>399</v>
      </c>
      <c r="H246" s="6"/>
      <c r="I246" s="26" t="n">
        <v>2</v>
      </c>
      <c r="J246" s="26" t="n">
        <f aca="false">COUNTIFS('Control Library'!$A$5:$A$50,"AI-CTRL-028",'Control Library'!$R$5:$R$50,"Implemented")+COUNTIFS('Control Library'!$A$5:$A$50,"AI-CTRL-030",'Control Library'!$R$5:$R$50,"Implemented")</f>
        <v>0</v>
      </c>
      <c r="K246" s="43" t="str">
        <f aca="false">IF(I246=0,"No wiki control",IF(J246=I246,"Fully covered",IF(J246=0,"Not covered","Partly covered")))</f>
        <v>Not covered</v>
      </c>
      <c r="L246" s="9" t="s">
        <v>1295</v>
      </c>
    </row>
    <row r="247" customFormat="false" ht="23.85" hidden="false" customHeight="false" outlineLevel="0" collapsed="false">
      <c r="A247" s="49" t="s">
        <v>580</v>
      </c>
      <c r="B247" s="49" t="s">
        <v>577</v>
      </c>
      <c r="C247" s="5" t="s">
        <v>1303</v>
      </c>
      <c r="D247" s="6" t="s">
        <v>1304</v>
      </c>
      <c r="E247" s="6" t="s">
        <v>404</v>
      </c>
      <c r="F247" s="6" t="s">
        <v>730</v>
      </c>
      <c r="G247" s="6" t="s">
        <v>399</v>
      </c>
      <c r="H247" s="6"/>
      <c r="I247" s="26" t="n">
        <v>1</v>
      </c>
      <c r="J247" s="26" t="n">
        <f aca="false">COUNTIFS('Control Library'!$A$5:$A$50,"AI-CTRL-029",'Control Library'!$R$5:$R$50,"Implemented")</f>
        <v>0</v>
      </c>
      <c r="K247" s="43" t="str">
        <f aca="false">IF(I247=0,"No wiki control",IF(J247=I247,"Fully covered",IF(J247=0,"Not covered","Partly covered")))</f>
        <v>Not covered</v>
      </c>
      <c r="L247" s="9" t="s">
        <v>1295</v>
      </c>
    </row>
    <row r="248" customFormat="false" ht="23.85" hidden="false" customHeight="false" outlineLevel="0" collapsed="false">
      <c r="A248" s="49" t="s">
        <v>580</v>
      </c>
      <c r="B248" s="49" t="s">
        <v>577</v>
      </c>
      <c r="C248" s="5" t="s">
        <v>1305</v>
      </c>
      <c r="D248" s="6" t="s">
        <v>1306</v>
      </c>
      <c r="E248" s="6" t="s">
        <v>395</v>
      </c>
      <c r="F248" s="6" t="s">
        <v>730</v>
      </c>
      <c r="G248" s="6" t="s">
        <v>399</v>
      </c>
      <c r="H248" s="6"/>
      <c r="I248" s="26" t="n">
        <v>1</v>
      </c>
      <c r="J248" s="26" t="n">
        <f aca="false">COUNTIFS('Control Library'!$A$5:$A$50,"AI-CTRL-028",'Control Library'!$R$5:$R$50,"Implemented")</f>
        <v>0</v>
      </c>
      <c r="K248" s="43" t="str">
        <f aca="false">IF(I248=0,"No wiki control",IF(J248=I248,"Fully covered",IF(J248=0,"Not covered","Partly covered")))</f>
        <v>Not covered</v>
      </c>
      <c r="L248" s="9" t="s">
        <v>1295</v>
      </c>
    </row>
    <row r="249" customFormat="false" ht="23.85" hidden="false" customHeight="false" outlineLevel="0" collapsed="false">
      <c r="A249" s="49" t="s">
        <v>580</v>
      </c>
      <c r="B249" s="49" t="s">
        <v>577</v>
      </c>
      <c r="C249" s="5" t="s">
        <v>1307</v>
      </c>
      <c r="D249" s="6" t="s">
        <v>1308</v>
      </c>
      <c r="E249" s="6" t="s">
        <v>782</v>
      </c>
      <c r="F249" s="6" t="s">
        <v>730</v>
      </c>
      <c r="G249" s="6" t="s">
        <v>783</v>
      </c>
      <c r="H249" s="6"/>
      <c r="I249" s="26" t="n">
        <v>2</v>
      </c>
      <c r="J249" s="26" t="n">
        <f aca="false">COUNTIFS('Control Library'!$A$5:$A$50,"AI-CTRL-017",'Control Library'!$R$5:$R$50,"Implemented")+COUNTIFS('Control Library'!$A$5:$A$50,"AI-CTRL-032",'Control Library'!$R$5:$R$50,"Implemented")</f>
        <v>0</v>
      </c>
      <c r="K249" s="43" t="str">
        <f aca="false">IF(I249=0,"No wiki control",IF(J249=I249,"Fully covered",IF(J249=0,"Not covered","Partly covered")))</f>
        <v>Not covered</v>
      </c>
      <c r="L249" s="9" t="s">
        <v>1295</v>
      </c>
    </row>
    <row r="250" customFormat="false" ht="23.85" hidden="false" customHeight="false" outlineLevel="0" collapsed="false">
      <c r="A250" s="49" t="s">
        <v>580</v>
      </c>
      <c r="B250" s="49" t="s">
        <v>577</v>
      </c>
      <c r="C250" s="5" t="s">
        <v>1309</v>
      </c>
      <c r="D250" s="6" t="s">
        <v>1310</v>
      </c>
      <c r="E250" s="6" t="s">
        <v>771</v>
      </c>
      <c r="F250" s="6" t="s">
        <v>730</v>
      </c>
      <c r="G250" s="6" t="s">
        <v>772</v>
      </c>
      <c r="H250" s="6"/>
      <c r="I250" s="26" t="n">
        <v>2</v>
      </c>
      <c r="J250" s="26" t="n">
        <f aca="false">COUNTIFS('Control Library'!$A$5:$A$50,"AI-CTRL-036",'Control Library'!$R$5:$R$50,"Implemented")+COUNTIFS('Control Library'!$A$5:$A$50,"AI-CTRL-040",'Control Library'!$R$5:$R$50,"Implemented")</f>
        <v>0</v>
      </c>
      <c r="K250" s="43" t="str">
        <f aca="false">IF(I250=0,"No wiki control",IF(J250=I250,"Fully covered",IF(J250=0,"Not covered","Partly covered")))</f>
        <v>Not covered</v>
      </c>
      <c r="L250" s="9" t="s">
        <v>1295</v>
      </c>
    </row>
    <row r="251" customFormat="false" ht="23.85" hidden="false" customHeight="false" outlineLevel="0" collapsed="false">
      <c r="A251" s="49" t="s">
        <v>580</v>
      </c>
      <c r="B251" s="49" t="s">
        <v>577</v>
      </c>
      <c r="C251" s="5" t="s">
        <v>1311</v>
      </c>
      <c r="D251" s="6" t="s">
        <v>1312</v>
      </c>
      <c r="E251" s="6" t="s">
        <v>1313</v>
      </c>
      <c r="F251" s="6" t="s">
        <v>730</v>
      </c>
      <c r="G251" s="6" t="s">
        <v>375</v>
      </c>
      <c r="H251" s="6"/>
      <c r="I251" s="26" t="n">
        <v>2</v>
      </c>
      <c r="J251" s="26" t="n">
        <f aca="false">COUNTIFS('Control Library'!$A$5:$A$50,"AI-CTRL-025",'Control Library'!$R$5:$R$50,"Implemented")+COUNTIFS('Control Library'!$A$5:$A$50,"AI-CTRL-036",'Control Library'!$R$5:$R$50,"Implemented")</f>
        <v>0</v>
      </c>
      <c r="K251" s="43" t="str">
        <f aca="false">IF(I251=0,"No wiki control",IF(J251=I251,"Fully covered",IF(J251=0,"Not covered","Partly covered")))</f>
        <v>Not covered</v>
      </c>
      <c r="L251" s="9" t="s">
        <v>1295</v>
      </c>
    </row>
    <row r="252" customFormat="false" ht="23.85" hidden="false" customHeight="false" outlineLevel="0" collapsed="false">
      <c r="A252" s="49" t="s">
        <v>580</v>
      </c>
      <c r="B252" s="49" t="s">
        <v>577</v>
      </c>
      <c r="C252" s="5" t="s">
        <v>1314</v>
      </c>
      <c r="D252" s="6" t="s">
        <v>1315</v>
      </c>
      <c r="E252" s="6" t="s">
        <v>395</v>
      </c>
      <c r="F252" s="6" t="s">
        <v>730</v>
      </c>
      <c r="G252" s="6" t="s">
        <v>399</v>
      </c>
      <c r="H252" s="6"/>
      <c r="I252" s="26" t="n">
        <v>1</v>
      </c>
      <c r="J252" s="26" t="n">
        <f aca="false">COUNTIFS('Control Library'!$A$5:$A$50,"AI-CTRL-028",'Control Library'!$R$5:$R$50,"Implemented")</f>
        <v>0</v>
      </c>
      <c r="K252" s="43" t="str">
        <f aca="false">IF(I252=0,"No wiki control",IF(J252=I252,"Fully covered",IF(J252=0,"Not covered","Partly covered")))</f>
        <v>Not covered</v>
      </c>
      <c r="L252" s="9" t="s">
        <v>1295</v>
      </c>
    </row>
    <row r="253" customFormat="false" ht="23.85" hidden="false" customHeight="false" outlineLevel="0" collapsed="false">
      <c r="A253" s="49" t="s">
        <v>580</v>
      </c>
      <c r="B253" s="49" t="s">
        <v>577</v>
      </c>
      <c r="C253" s="5" t="s">
        <v>1316</v>
      </c>
      <c r="D253" s="6" t="s">
        <v>1317</v>
      </c>
      <c r="E253" s="6" t="s">
        <v>395</v>
      </c>
      <c r="F253" s="6" t="s">
        <v>730</v>
      </c>
      <c r="G253" s="6" t="s">
        <v>399</v>
      </c>
      <c r="H253" s="6"/>
      <c r="I253" s="26" t="n">
        <v>1</v>
      </c>
      <c r="J253" s="26" t="n">
        <f aca="false">COUNTIFS('Control Library'!$A$5:$A$50,"AI-CTRL-028",'Control Library'!$R$5:$R$50,"Implemented")</f>
        <v>0</v>
      </c>
      <c r="K253" s="43" t="str">
        <f aca="false">IF(I253=0,"No wiki control",IF(J253=I253,"Fully covered",IF(J253=0,"Not covered","Partly covered")))</f>
        <v>Not covered</v>
      </c>
      <c r="L253" s="9" t="s">
        <v>1295</v>
      </c>
    </row>
    <row r="254" customFormat="false" ht="23.85" hidden="false" customHeight="false" outlineLevel="0" collapsed="false">
      <c r="A254" s="49" t="s">
        <v>580</v>
      </c>
      <c r="B254" s="49" t="s">
        <v>577</v>
      </c>
      <c r="C254" s="5" t="s">
        <v>1318</v>
      </c>
      <c r="D254" s="6" t="s">
        <v>1319</v>
      </c>
      <c r="E254" s="6" t="s">
        <v>462</v>
      </c>
      <c r="F254" s="6" t="s">
        <v>730</v>
      </c>
      <c r="G254" s="6" t="s">
        <v>465</v>
      </c>
      <c r="H254" s="6"/>
      <c r="I254" s="26" t="n">
        <v>1</v>
      </c>
      <c r="J254" s="26" t="n">
        <f aca="false">COUNTIFS('Control Library'!$A$5:$A$50,"AI-CTRL-036",'Control Library'!$R$5:$R$50,"Implemented")</f>
        <v>0</v>
      </c>
      <c r="K254" s="43" t="str">
        <f aca="false">IF(I254=0,"No wiki control",IF(J254=I254,"Fully covered",IF(J254=0,"Not covered","Partly covered")))</f>
        <v>Not covered</v>
      </c>
      <c r="L254" s="9" t="s">
        <v>1295</v>
      </c>
    </row>
    <row r="255" customFormat="false" ht="23.85" hidden="false" customHeight="false" outlineLevel="0" collapsed="false">
      <c r="A255" s="49" t="s">
        <v>580</v>
      </c>
      <c r="B255" s="49" t="s">
        <v>577</v>
      </c>
      <c r="C255" s="5" t="s">
        <v>1320</v>
      </c>
      <c r="D255" s="6" t="s">
        <v>1321</v>
      </c>
      <c r="E255" s="6" t="s">
        <v>486</v>
      </c>
      <c r="F255" s="6" t="s">
        <v>730</v>
      </c>
      <c r="G255" s="6" t="s">
        <v>490</v>
      </c>
      <c r="H255" s="6"/>
      <c r="I255" s="26" t="n">
        <v>1</v>
      </c>
      <c r="J255" s="26" t="n">
        <f aca="false">COUNTIFS('Control Library'!$A$5:$A$50,"AI-CTRL-039",'Control Library'!$R$5:$R$50,"Implemented")</f>
        <v>0</v>
      </c>
      <c r="K255" s="43" t="str">
        <f aca="false">IF(I255=0,"No wiki control",IF(J255=I255,"Fully covered",IF(J255=0,"Not covered","Partly covered")))</f>
        <v>Not covered</v>
      </c>
      <c r="L255" s="9" t="s">
        <v>1295</v>
      </c>
    </row>
    <row r="256" customFormat="false" ht="23.85" hidden="false" customHeight="false" outlineLevel="0" collapsed="false">
      <c r="A256" s="49" t="s">
        <v>580</v>
      </c>
      <c r="B256" s="49" t="s">
        <v>577</v>
      </c>
      <c r="C256" s="5" t="s">
        <v>1322</v>
      </c>
      <c r="D256" s="6" t="s">
        <v>1323</v>
      </c>
      <c r="E256" s="6" t="s">
        <v>428</v>
      </c>
      <c r="F256" s="6" t="s">
        <v>730</v>
      </c>
      <c r="G256" s="6" t="s">
        <v>431</v>
      </c>
      <c r="H256" s="6"/>
      <c r="I256" s="26" t="n">
        <v>1</v>
      </c>
      <c r="J256" s="26" t="n">
        <f aca="false">COUNTIFS('Control Library'!$A$5:$A$50,"AI-CTRL-032",'Control Library'!$R$5:$R$50,"Implemented")</f>
        <v>0</v>
      </c>
      <c r="K256" s="43" t="str">
        <f aca="false">IF(I256=0,"No wiki control",IF(J256=I256,"Fully covered",IF(J256=0,"Not covered","Partly covered")))</f>
        <v>Not covered</v>
      </c>
      <c r="L256" s="9" t="s">
        <v>1295</v>
      </c>
    </row>
    <row r="257" customFormat="false" ht="23.85" hidden="false" customHeight="false" outlineLevel="0" collapsed="false">
      <c r="A257" s="49" t="s">
        <v>580</v>
      </c>
      <c r="B257" s="49" t="s">
        <v>577</v>
      </c>
      <c r="C257" s="5" t="s">
        <v>1324</v>
      </c>
      <c r="D257" s="6" t="s">
        <v>1325</v>
      </c>
      <c r="E257" s="6" t="s">
        <v>387</v>
      </c>
      <c r="F257" s="6" t="s">
        <v>730</v>
      </c>
      <c r="G257" s="6" t="s">
        <v>390</v>
      </c>
      <c r="H257" s="6"/>
      <c r="I257" s="26" t="n">
        <v>1</v>
      </c>
      <c r="J257" s="26" t="n">
        <f aca="false">COUNTIFS('Control Library'!$A$5:$A$50,"AI-CTRL-027",'Control Library'!$R$5:$R$50,"Implemented")</f>
        <v>0</v>
      </c>
      <c r="K257" s="43" t="str">
        <f aca="false">IF(I257=0,"No wiki control",IF(J257=I257,"Fully covered",IF(J257=0,"Not covered","Partly covered")))</f>
        <v>Not covered</v>
      </c>
      <c r="L257" s="9" t="s">
        <v>1295</v>
      </c>
    </row>
    <row r="258" customFormat="false" ht="23.85" hidden="false" customHeight="false" outlineLevel="0" collapsed="false">
      <c r="A258" s="49" t="s">
        <v>580</v>
      </c>
      <c r="B258" s="49" t="s">
        <v>577</v>
      </c>
      <c r="C258" s="5" t="s">
        <v>1326</v>
      </c>
      <c r="D258" s="6" t="s">
        <v>1327</v>
      </c>
      <c r="E258" s="6" t="s">
        <v>1328</v>
      </c>
      <c r="F258" s="6" t="s">
        <v>730</v>
      </c>
      <c r="G258" s="6" t="s">
        <v>1329</v>
      </c>
      <c r="H258" s="6"/>
      <c r="I258" s="26" t="n">
        <v>2</v>
      </c>
      <c r="J258" s="26" t="n">
        <f aca="false">COUNTIFS('Control Library'!$A$5:$A$50,"AI-CTRL-005",'Control Library'!$R$5:$R$50,"Implemented")+COUNTIFS('Control Library'!$A$5:$A$50,"AI-CTRL-021",'Control Library'!$R$5:$R$50,"Implemented")</f>
        <v>0</v>
      </c>
      <c r="K258" s="43" t="str">
        <f aca="false">IF(I258=0,"No wiki control",IF(J258=I258,"Fully covered",IF(J258=0,"Not covered","Partly covered")))</f>
        <v>Not covered</v>
      </c>
      <c r="L258" s="9" t="s">
        <v>1295</v>
      </c>
    </row>
    <row r="259" customFormat="false" ht="23.85" hidden="false" customHeight="false" outlineLevel="0" collapsed="false">
      <c r="A259" s="49" t="s">
        <v>580</v>
      </c>
      <c r="B259" s="49" t="s">
        <v>577</v>
      </c>
      <c r="C259" s="5" t="s">
        <v>1330</v>
      </c>
      <c r="D259" s="6" t="s">
        <v>1331</v>
      </c>
      <c r="E259" s="6" t="s">
        <v>1332</v>
      </c>
      <c r="F259" s="6" t="s">
        <v>730</v>
      </c>
      <c r="G259" s="6" t="s">
        <v>1333</v>
      </c>
      <c r="H259" s="6"/>
      <c r="I259" s="26" t="n">
        <v>3</v>
      </c>
      <c r="J259" s="26" t="n">
        <f aca="false">COUNTIFS('Control Library'!$A$5:$A$50,"AI-CTRL-022",'Control Library'!$R$5:$R$50,"Implemented")+COUNTIFS('Control Library'!$A$5:$A$50,"AI-CTRL-023",'Control Library'!$R$5:$R$50,"Implemented")+COUNTIFS('Control Library'!$A$5:$A$50,"AI-CTRL-025",'Control Library'!$R$5:$R$50,"Implemented")</f>
        <v>0</v>
      </c>
      <c r="K259" s="43" t="str">
        <f aca="false">IF(I259=0,"No wiki control",IF(J259=I259,"Fully covered",IF(J259=0,"Not covered","Partly covered")))</f>
        <v>Not covered</v>
      </c>
      <c r="L259" s="9" t="s">
        <v>1295</v>
      </c>
    </row>
    <row r="260" customFormat="false" ht="23.85" hidden="false" customHeight="false" outlineLevel="0" collapsed="false">
      <c r="A260" s="49" t="s">
        <v>580</v>
      </c>
      <c r="B260" s="49" t="s">
        <v>577</v>
      </c>
      <c r="C260" s="5" t="s">
        <v>1334</v>
      </c>
      <c r="D260" s="6" t="s">
        <v>1335</v>
      </c>
      <c r="E260" s="6" t="s">
        <v>199</v>
      </c>
      <c r="F260" s="6" t="s">
        <v>730</v>
      </c>
      <c r="G260" s="6" t="s">
        <v>203</v>
      </c>
      <c r="H260" s="6"/>
      <c r="I260" s="26" t="n">
        <v>1</v>
      </c>
      <c r="J260" s="26" t="n">
        <f aca="false">COUNTIFS('Control Library'!$A$5:$A$50,"AI-CTRL-005",'Control Library'!$R$5:$R$50,"Implemented")</f>
        <v>0</v>
      </c>
      <c r="K260" s="43" t="str">
        <f aca="false">IF(I260=0,"No wiki control",IF(J260=I260,"Fully covered",IF(J260=0,"Not covered","Partly covered")))</f>
        <v>Not covered</v>
      </c>
      <c r="L260" s="9" t="s">
        <v>1295</v>
      </c>
    </row>
    <row r="261" customFormat="false" ht="23.85" hidden="false" customHeight="false" outlineLevel="0" collapsed="false">
      <c r="A261" s="49" t="s">
        <v>580</v>
      </c>
      <c r="B261" s="49" t="s">
        <v>577</v>
      </c>
      <c r="C261" s="5" t="s">
        <v>1336</v>
      </c>
      <c r="D261" s="6" t="s">
        <v>1337</v>
      </c>
      <c r="E261" s="6" t="s">
        <v>1338</v>
      </c>
      <c r="F261" s="6" t="s">
        <v>730</v>
      </c>
      <c r="G261" s="6" t="s">
        <v>1339</v>
      </c>
      <c r="H261" s="6"/>
      <c r="I261" s="26" t="n">
        <v>3</v>
      </c>
      <c r="J261" s="26" t="n">
        <f aca="false">COUNTIFS('Control Library'!$A$5:$A$50,"AI-CTRL-004",'Control Library'!$R$5:$R$50,"Implemented")+COUNTIFS('Control Library'!$A$5:$A$50,"AI-CTRL-016",'Control Library'!$R$5:$R$50,"Implemented")+COUNTIFS('Control Library'!$A$5:$A$50,"AI-CTRL-032",'Control Library'!$R$5:$R$50,"Implemented")</f>
        <v>0</v>
      </c>
      <c r="K261" s="43" t="str">
        <f aca="false">IF(I261=0,"No wiki control",IF(J261=I261,"Fully covered",IF(J261=0,"Not covered","Partly covered")))</f>
        <v>Not covered</v>
      </c>
      <c r="L261" s="9" t="s">
        <v>1295</v>
      </c>
    </row>
    <row r="262" customFormat="false" ht="23.85" hidden="false" customHeight="false" outlineLevel="0" collapsed="false">
      <c r="A262" s="49" t="s">
        <v>580</v>
      </c>
      <c r="B262" s="49" t="s">
        <v>577</v>
      </c>
      <c r="C262" s="5" t="s">
        <v>1340</v>
      </c>
      <c r="D262" s="6" t="s">
        <v>1341</v>
      </c>
      <c r="E262" s="6" t="s">
        <v>199</v>
      </c>
      <c r="F262" s="6" t="s">
        <v>730</v>
      </c>
      <c r="G262" s="6" t="s">
        <v>203</v>
      </c>
      <c r="H262" s="6"/>
      <c r="I262" s="26" t="n">
        <v>1</v>
      </c>
      <c r="J262" s="26" t="n">
        <f aca="false">COUNTIFS('Control Library'!$A$5:$A$50,"AI-CTRL-005",'Control Library'!$R$5:$R$50,"Implemented")</f>
        <v>0</v>
      </c>
      <c r="K262" s="43" t="str">
        <f aca="false">IF(I262=0,"No wiki control",IF(J262=I262,"Fully covered",IF(J262=0,"Not covered","Partly covered")))</f>
        <v>Not covered</v>
      </c>
      <c r="L262" s="9" t="s">
        <v>1295</v>
      </c>
    </row>
    <row r="263" customFormat="false" ht="46.25" hidden="false" customHeight="false" outlineLevel="0" collapsed="false">
      <c r="A263" s="49" t="s">
        <v>580</v>
      </c>
      <c r="B263" s="49" t="s">
        <v>577</v>
      </c>
      <c r="C263" s="5" t="s">
        <v>1342</v>
      </c>
      <c r="D263" s="6" t="s">
        <v>1343</v>
      </c>
      <c r="E263" s="6" t="s">
        <v>1344</v>
      </c>
      <c r="F263" s="6" t="s">
        <v>730</v>
      </c>
      <c r="G263" s="6" t="s">
        <v>1345</v>
      </c>
      <c r="H263" s="6"/>
      <c r="I263" s="26" t="n">
        <v>8</v>
      </c>
      <c r="J263"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f>
        <v>0</v>
      </c>
      <c r="K263" s="43" t="str">
        <f aca="false">IF(I263=0,"No wiki control",IF(J263=I263,"Fully covered",IF(J263=0,"Not covered","Partly covered")))</f>
        <v>Not covered</v>
      </c>
      <c r="L263" s="9" t="s">
        <v>1295</v>
      </c>
    </row>
    <row r="264" customFormat="false" ht="23.85" hidden="false" customHeight="false" outlineLevel="0" collapsed="false">
      <c r="A264" s="49" t="s">
        <v>580</v>
      </c>
      <c r="B264" s="49" t="s">
        <v>577</v>
      </c>
      <c r="C264" s="5" t="s">
        <v>1346</v>
      </c>
      <c r="D264" s="6" t="s">
        <v>1347</v>
      </c>
      <c r="E264" s="6" t="s">
        <v>404</v>
      </c>
      <c r="F264" s="6" t="s">
        <v>730</v>
      </c>
      <c r="G264" s="6" t="s">
        <v>399</v>
      </c>
      <c r="H264" s="6"/>
      <c r="I264" s="26" t="n">
        <v>1</v>
      </c>
      <c r="J264" s="26" t="n">
        <f aca="false">COUNTIFS('Control Library'!$A$5:$A$50,"AI-CTRL-029",'Control Library'!$R$5:$R$50,"Implemented")</f>
        <v>0</v>
      </c>
      <c r="K264" s="43" t="str">
        <f aca="false">IF(I264=0,"No wiki control",IF(J264=I264,"Fully covered",IF(J264=0,"Not covered","Partly covered")))</f>
        <v>Not covered</v>
      </c>
      <c r="L264" s="9" t="s">
        <v>1295</v>
      </c>
    </row>
    <row r="265" customFormat="false" ht="23.85" hidden="false" customHeight="false" outlineLevel="0" collapsed="false">
      <c r="A265" s="49" t="s">
        <v>580</v>
      </c>
      <c r="B265" s="49" t="s">
        <v>577</v>
      </c>
      <c r="C265" s="5" t="s">
        <v>1348</v>
      </c>
      <c r="D265" s="6" t="s">
        <v>1349</v>
      </c>
      <c r="E265" s="6" t="s">
        <v>486</v>
      </c>
      <c r="F265" s="6" t="s">
        <v>730</v>
      </c>
      <c r="G265" s="6" t="s">
        <v>490</v>
      </c>
      <c r="H265" s="6"/>
      <c r="I265" s="26" t="n">
        <v>1</v>
      </c>
      <c r="J265" s="26" t="n">
        <f aca="false">COUNTIFS('Control Library'!$A$5:$A$50,"AI-CTRL-039",'Control Library'!$R$5:$R$50,"Implemented")</f>
        <v>0</v>
      </c>
      <c r="K265" s="43" t="str">
        <f aca="false">IF(I265=0,"No wiki control",IF(J265=I265,"Fully covered",IF(J265=0,"Not covered","Partly covered")))</f>
        <v>Not covered</v>
      </c>
      <c r="L265" s="9" t="s">
        <v>1295</v>
      </c>
    </row>
    <row r="266" customFormat="false" ht="23.85" hidden="false" customHeight="false" outlineLevel="0" collapsed="false">
      <c r="A266" s="49" t="s">
        <v>580</v>
      </c>
      <c r="B266" s="49" t="s">
        <v>577</v>
      </c>
      <c r="C266" s="5" t="s">
        <v>1350</v>
      </c>
      <c r="D266" s="6" t="s">
        <v>1351</v>
      </c>
      <c r="E266" s="6" t="s">
        <v>486</v>
      </c>
      <c r="F266" s="6" t="s">
        <v>730</v>
      </c>
      <c r="G266" s="6" t="s">
        <v>490</v>
      </c>
      <c r="H266" s="6"/>
      <c r="I266" s="26" t="n">
        <v>1</v>
      </c>
      <c r="J266" s="26" t="n">
        <f aca="false">COUNTIFS('Control Library'!$A$5:$A$50,"AI-CTRL-039",'Control Library'!$R$5:$R$50,"Implemented")</f>
        <v>0</v>
      </c>
      <c r="K266" s="43" t="str">
        <f aca="false">IF(I266=0,"No wiki control",IF(J266=I266,"Fully covered",IF(J266=0,"Not covered","Partly covered")))</f>
        <v>Not covered</v>
      </c>
      <c r="L266" s="9" t="s">
        <v>1295</v>
      </c>
    </row>
    <row r="267" customFormat="false" ht="23.85" hidden="false" customHeight="false" outlineLevel="0" collapsed="false">
      <c r="A267" s="49" t="s">
        <v>580</v>
      </c>
      <c r="B267" s="49" t="s">
        <v>577</v>
      </c>
      <c r="C267" s="5" t="s">
        <v>1352</v>
      </c>
      <c r="D267" s="6" t="s">
        <v>1353</v>
      </c>
      <c r="E267" s="6" t="s">
        <v>315</v>
      </c>
      <c r="F267" s="6" t="s">
        <v>730</v>
      </c>
      <c r="G267" s="6" t="s">
        <v>319</v>
      </c>
      <c r="H267" s="6"/>
      <c r="I267" s="26" t="n">
        <v>1</v>
      </c>
      <c r="J267" s="26" t="n">
        <f aca="false">COUNTIFS('Control Library'!$A$5:$A$50,"AI-CTRL-018",'Control Library'!$R$5:$R$50,"Implemented")</f>
        <v>0</v>
      </c>
      <c r="K267" s="43" t="str">
        <f aca="false">IF(I267=0,"No wiki control",IF(J267=I267,"Fully covered",IF(J267=0,"Not covered","Partly covered")))</f>
        <v>Not covered</v>
      </c>
      <c r="L267" s="9" t="s">
        <v>1295</v>
      </c>
    </row>
    <row r="268" customFormat="false" ht="23.85" hidden="false" customHeight="false" outlineLevel="0" collapsed="false">
      <c r="A268" s="49" t="s">
        <v>580</v>
      </c>
      <c r="B268" s="49" t="s">
        <v>577</v>
      </c>
      <c r="C268" s="5" t="s">
        <v>1354</v>
      </c>
      <c r="D268" s="6" t="s">
        <v>1355</v>
      </c>
      <c r="E268" s="6" t="s">
        <v>324</v>
      </c>
      <c r="F268" s="6" t="s">
        <v>730</v>
      </c>
      <c r="G268" s="6" t="s">
        <v>327</v>
      </c>
      <c r="H268" s="6"/>
      <c r="I268" s="26" t="n">
        <v>1</v>
      </c>
      <c r="J268" s="26" t="n">
        <f aca="false">COUNTIFS('Control Library'!$A$5:$A$50,"AI-CTRL-019",'Control Library'!$R$5:$R$50,"Implemented")</f>
        <v>0</v>
      </c>
      <c r="K268" s="43" t="str">
        <f aca="false">IF(I268=0,"No wiki control",IF(J268=I268,"Fully covered",IF(J268=0,"Not covered","Partly covered")))</f>
        <v>Not covered</v>
      </c>
      <c r="L268" s="9" t="s">
        <v>1295</v>
      </c>
    </row>
    <row r="269" customFormat="false" ht="23.85" hidden="false" customHeight="false" outlineLevel="0" collapsed="false">
      <c r="A269" s="49" t="s">
        <v>580</v>
      </c>
      <c r="B269" s="49" t="s">
        <v>577</v>
      </c>
      <c r="C269" s="5" t="s">
        <v>1356</v>
      </c>
      <c r="D269" s="6" t="s">
        <v>1357</v>
      </c>
      <c r="E269" s="6" t="s">
        <v>331</v>
      </c>
      <c r="F269" s="6" t="s">
        <v>730</v>
      </c>
      <c r="G269" s="6" t="s">
        <v>335</v>
      </c>
      <c r="H269" s="6"/>
      <c r="I269" s="26" t="n">
        <v>1</v>
      </c>
      <c r="J269" s="26" t="n">
        <f aca="false">COUNTIFS('Control Library'!$A$5:$A$50,"AI-CTRL-020",'Control Library'!$R$5:$R$50,"Implemented")</f>
        <v>0</v>
      </c>
      <c r="K269" s="43" t="str">
        <f aca="false">IF(I269=0,"No wiki control",IF(J269=I269,"Fully covered",IF(J269=0,"Not covered","Partly covered")))</f>
        <v>Not covered</v>
      </c>
      <c r="L269" s="9" t="s">
        <v>1295</v>
      </c>
    </row>
    <row r="270" customFormat="false" ht="23.85" hidden="false" customHeight="false" outlineLevel="0" collapsed="false">
      <c r="A270" s="49" t="s">
        <v>580</v>
      </c>
      <c r="B270" s="49" t="s">
        <v>577</v>
      </c>
      <c r="C270" s="5" t="s">
        <v>1358</v>
      </c>
      <c r="D270" s="6" t="s">
        <v>1359</v>
      </c>
      <c r="E270" s="6" t="s">
        <v>199</v>
      </c>
      <c r="F270" s="6" t="s">
        <v>730</v>
      </c>
      <c r="G270" s="6" t="s">
        <v>203</v>
      </c>
      <c r="H270" s="6"/>
      <c r="I270" s="26" t="n">
        <v>1</v>
      </c>
      <c r="J270" s="26" t="n">
        <f aca="false">COUNTIFS('Control Library'!$A$5:$A$50,"AI-CTRL-005",'Control Library'!$R$5:$R$50,"Implemented")</f>
        <v>0</v>
      </c>
      <c r="K270" s="43" t="str">
        <f aca="false">IF(I270=0,"No wiki control",IF(J270=I270,"Fully covered",IF(J270=0,"Not covered","Partly covered")))</f>
        <v>Not covered</v>
      </c>
      <c r="L270" s="9" t="s">
        <v>1295</v>
      </c>
    </row>
    <row r="271" customFormat="false" ht="23.85" hidden="false" customHeight="false" outlineLevel="0" collapsed="false">
      <c r="A271" s="49" t="s">
        <v>580</v>
      </c>
      <c r="B271" s="49" t="s">
        <v>577</v>
      </c>
      <c r="C271" s="5" t="s">
        <v>1360</v>
      </c>
      <c r="D271" s="6" t="s">
        <v>1361</v>
      </c>
      <c r="E271" s="6" t="s">
        <v>324</v>
      </c>
      <c r="F271" s="6" t="s">
        <v>730</v>
      </c>
      <c r="G271" s="6" t="s">
        <v>327</v>
      </c>
      <c r="H271" s="6"/>
      <c r="I271" s="26" t="n">
        <v>1</v>
      </c>
      <c r="J271" s="26" t="n">
        <f aca="false">COUNTIFS('Control Library'!$A$5:$A$50,"AI-CTRL-019",'Control Library'!$R$5:$R$50,"Implemented")</f>
        <v>0</v>
      </c>
      <c r="K271" s="43" t="str">
        <f aca="false">IF(I271=0,"No wiki control",IF(J271=I271,"Fully covered",IF(J271=0,"Not covered","Partly covered")))</f>
        <v>Not covered</v>
      </c>
      <c r="L271" s="9" t="s">
        <v>1295</v>
      </c>
    </row>
    <row r="272" customFormat="false" ht="23.85" hidden="false" customHeight="false" outlineLevel="0" collapsed="false">
      <c r="A272" s="49" t="s">
        <v>580</v>
      </c>
      <c r="B272" s="49" t="s">
        <v>577</v>
      </c>
      <c r="C272" s="5" t="s">
        <v>1362</v>
      </c>
      <c r="D272" s="6" t="s">
        <v>1363</v>
      </c>
      <c r="E272" s="6" t="s">
        <v>324</v>
      </c>
      <c r="F272" s="6" t="s">
        <v>730</v>
      </c>
      <c r="G272" s="6" t="s">
        <v>327</v>
      </c>
      <c r="H272" s="6"/>
      <c r="I272" s="26" t="n">
        <v>1</v>
      </c>
      <c r="J272" s="26" t="n">
        <f aca="false">COUNTIFS('Control Library'!$A$5:$A$50,"AI-CTRL-019",'Control Library'!$R$5:$R$50,"Implemented")</f>
        <v>0</v>
      </c>
      <c r="K272" s="43" t="str">
        <f aca="false">IF(I272=0,"No wiki control",IF(J272=I272,"Fully covered",IF(J272=0,"Not covered","Partly covered")))</f>
        <v>Not covered</v>
      </c>
      <c r="L272" s="9" t="s">
        <v>1295</v>
      </c>
    </row>
    <row r="273" customFormat="false" ht="23.85" hidden="false" customHeight="false" outlineLevel="0" collapsed="false">
      <c r="A273" s="49" t="s">
        <v>580</v>
      </c>
      <c r="B273" s="49" t="s">
        <v>577</v>
      </c>
      <c r="C273" s="5" t="s">
        <v>1364</v>
      </c>
      <c r="D273" s="6" t="s">
        <v>1365</v>
      </c>
      <c r="E273" s="6" t="s">
        <v>291</v>
      </c>
      <c r="F273" s="6" t="s">
        <v>730</v>
      </c>
      <c r="G273" s="6" t="s">
        <v>295</v>
      </c>
      <c r="H273" s="6"/>
      <c r="I273" s="26" t="n">
        <v>1</v>
      </c>
      <c r="J273" s="26" t="n">
        <f aca="false">COUNTIFS('Control Library'!$A$5:$A$50,"AI-CTRL-015",'Control Library'!$R$5:$R$50,"Implemented")</f>
        <v>0</v>
      </c>
      <c r="K273" s="43" t="str">
        <f aca="false">IF(I273=0,"No wiki control",IF(J273=I273,"Fully covered",IF(J273=0,"Not covered","Partly covered")))</f>
        <v>Not covered</v>
      </c>
      <c r="L273" s="9" t="s">
        <v>1295</v>
      </c>
    </row>
    <row r="274" customFormat="false" ht="23.85" hidden="false" customHeight="false" outlineLevel="0" collapsed="false">
      <c r="A274" s="49" t="s">
        <v>580</v>
      </c>
      <c r="B274" s="49" t="s">
        <v>577</v>
      </c>
      <c r="C274" s="5" t="s">
        <v>1366</v>
      </c>
      <c r="D274" s="6" t="s">
        <v>1367</v>
      </c>
      <c r="E274" s="6" t="s">
        <v>331</v>
      </c>
      <c r="F274" s="6" t="s">
        <v>730</v>
      </c>
      <c r="G274" s="6" t="s">
        <v>335</v>
      </c>
      <c r="H274" s="6"/>
      <c r="I274" s="26" t="n">
        <v>1</v>
      </c>
      <c r="J274" s="26" t="n">
        <f aca="false">COUNTIFS('Control Library'!$A$5:$A$50,"AI-CTRL-020",'Control Library'!$R$5:$R$50,"Implemented")</f>
        <v>0</v>
      </c>
      <c r="K274" s="43" t="str">
        <f aca="false">IF(I274=0,"No wiki control",IF(J274=I274,"Fully covered",IF(J274=0,"Not covered","Partly covered")))</f>
        <v>Not covered</v>
      </c>
      <c r="L274" s="9" t="s">
        <v>1295</v>
      </c>
    </row>
    <row r="275" customFormat="false" ht="23.85" hidden="false" customHeight="false" outlineLevel="0" collapsed="false">
      <c r="A275" s="49" t="s">
        <v>580</v>
      </c>
      <c r="B275" s="49" t="s">
        <v>577</v>
      </c>
      <c r="C275" s="5" t="s">
        <v>1368</v>
      </c>
      <c r="D275" s="6" t="s">
        <v>1369</v>
      </c>
      <c r="E275" s="6" t="s">
        <v>380</v>
      </c>
      <c r="F275" s="6" t="s">
        <v>730</v>
      </c>
      <c r="G275" s="6" t="s">
        <v>383</v>
      </c>
      <c r="H275" s="6"/>
      <c r="I275" s="26" t="n">
        <v>1</v>
      </c>
      <c r="J275" s="26" t="n">
        <f aca="false">COUNTIFS('Control Library'!$A$5:$A$50,"AI-CTRL-026",'Control Library'!$R$5:$R$50,"Implemented")</f>
        <v>0</v>
      </c>
      <c r="K275" s="43" t="str">
        <f aca="false">IF(I275=0,"No wiki control",IF(J275=I275,"Fully covered",IF(J275=0,"Not covered","Partly covered")))</f>
        <v>Not covered</v>
      </c>
      <c r="L275" s="9" t="s">
        <v>1295</v>
      </c>
    </row>
    <row r="276" customFormat="false" ht="23.85" hidden="false" customHeight="false" outlineLevel="0" collapsed="false">
      <c r="A276" s="49" t="s">
        <v>580</v>
      </c>
      <c r="B276" s="49" t="s">
        <v>577</v>
      </c>
      <c r="C276" s="5" t="s">
        <v>1370</v>
      </c>
      <c r="D276" s="6" t="s">
        <v>1371</v>
      </c>
      <c r="E276" s="6" t="s">
        <v>209</v>
      </c>
      <c r="F276" s="6" t="s">
        <v>730</v>
      </c>
      <c r="G276" s="6" t="s">
        <v>214</v>
      </c>
      <c r="H276" s="6"/>
      <c r="I276" s="26" t="n">
        <v>1</v>
      </c>
      <c r="J276" s="26" t="n">
        <f aca="false">COUNTIFS('Control Library'!$A$5:$A$50,"AI-CTRL-006",'Control Library'!$R$5:$R$50,"Implemented")</f>
        <v>0</v>
      </c>
      <c r="K276" s="43" t="str">
        <f aca="false">IF(I276=0,"No wiki control",IF(J276=I276,"Fully covered",IF(J276=0,"Not covered","Partly covered")))</f>
        <v>Not covered</v>
      </c>
      <c r="L276" s="9" t="s">
        <v>1295</v>
      </c>
    </row>
    <row r="277" customFormat="false" ht="23.85" hidden="false" customHeight="false" outlineLevel="0" collapsed="false">
      <c r="A277" s="49" t="s">
        <v>580</v>
      </c>
      <c r="B277" s="49" t="s">
        <v>577</v>
      </c>
      <c r="C277" s="5" t="s">
        <v>1372</v>
      </c>
      <c r="D277" s="6" t="s">
        <v>1373</v>
      </c>
      <c r="E277" s="6" t="s">
        <v>315</v>
      </c>
      <c r="F277" s="6" t="s">
        <v>730</v>
      </c>
      <c r="G277" s="6" t="s">
        <v>319</v>
      </c>
      <c r="H277" s="6"/>
      <c r="I277" s="26" t="n">
        <v>1</v>
      </c>
      <c r="J277" s="26" t="n">
        <f aca="false">COUNTIFS('Control Library'!$A$5:$A$50,"AI-CTRL-018",'Control Library'!$R$5:$R$50,"Implemented")</f>
        <v>0</v>
      </c>
      <c r="K277" s="43" t="str">
        <f aca="false">IF(I277=0,"No wiki control",IF(J277=I277,"Fully covered",IF(J277=0,"Not covered","Partly covered")))</f>
        <v>Not covered</v>
      </c>
      <c r="L277" s="9" t="s">
        <v>1295</v>
      </c>
    </row>
    <row r="278" customFormat="false" ht="23.85" hidden="false" customHeight="false" outlineLevel="0" collapsed="false">
      <c r="A278" s="49" t="s">
        <v>580</v>
      </c>
      <c r="B278" s="49" t="s">
        <v>577</v>
      </c>
      <c r="C278" s="5" t="s">
        <v>1374</v>
      </c>
      <c r="D278" s="6" t="s">
        <v>1375</v>
      </c>
      <c r="E278" s="6" t="s">
        <v>300</v>
      </c>
      <c r="F278" s="6" t="s">
        <v>730</v>
      </c>
      <c r="G278" s="6" t="s">
        <v>303</v>
      </c>
      <c r="H278" s="6"/>
      <c r="I278" s="26" t="n">
        <v>1</v>
      </c>
      <c r="J278" s="26" t="n">
        <f aca="false">COUNTIFS('Control Library'!$A$5:$A$50,"AI-CTRL-016",'Control Library'!$R$5:$R$50,"Implemented")</f>
        <v>0</v>
      </c>
      <c r="K278" s="43" t="str">
        <f aca="false">IF(I278=0,"No wiki control",IF(J278=I278,"Fully covered",IF(J278=0,"Not covered","Partly covered")))</f>
        <v>Not covered</v>
      </c>
      <c r="L278" s="9" t="s">
        <v>1295</v>
      </c>
    </row>
    <row r="279" customFormat="false" ht="23.85" hidden="false" customHeight="false" outlineLevel="0" collapsed="false">
      <c r="A279" s="49" t="s">
        <v>580</v>
      </c>
      <c r="B279" s="49" t="s">
        <v>577</v>
      </c>
      <c r="C279" s="5" t="s">
        <v>1376</v>
      </c>
      <c r="D279" s="6" t="s">
        <v>1377</v>
      </c>
      <c r="E279" s="6" t="s">
        <v>1378</v>
      </c>
      <c r="F279" s="6" t="s">
        <v>730</v>
      </c>
      <c r="G279" s="6" t="s">
        <v>310</v>
      </c>
      <c r="H279" s="6"/>
      <c r="I279" s="26" t="n">
        <v>2</v>
      </c>
      <c r="J279" s="26" t="n">
        <f aca="false">COUNTIFS('Control Library'!$A$5:$A$50,"AI-CTRL-017",'Control Library'!$R$5:$R$50,"Implemented")+COUNTIFS('Control Library'!$A$5:$A$50,"AI-CTRL-018",'Control Library'!$R$5:$R$50,"Implemented")</f>
        <v>0</v>
      </c>
      <c r="K279" s="43" t="str">
        <f aca="false">IF(I279=0,"No wiki control",IF(J279=I279,"Fully covered",IF(J279=0,"Not covered","Partly covered")))</f>
        <v>Not covered</v>
      </c>
      <c r="L279" s="9" t="s">
        <v>1295</v>
      </c>
    </row>
    <row r="280" customFormat="false" ht="23.85" hidden="false" customHeight="false" outlineLevel="0" collapsed="false">
      <c r="A280" s="49" t="s">
        <v>580</v>
      </c>
      <c r="B280" s="49" t="s">
        <v>577</v>
      </c>
      <c r="C280" s="5" t="s">
        <v>1379</v>
      </c>
      <c r="D280" s="6" t="s">
        <v>1380</v>
      </c>
      <c r="E280" s="6" t="s">
        <v>347</v>
      </c>
      <c r="F280" s="6" t="s">
        <v>730</v>
      </c>
      <c r="G280" s="6" t="s">
        <v>351</v>
      </c>
      <c r="H280" s="6"/>
      <c r="I280" s="26" t="n">
        <v>1</v>
      </c>
      <c r="J280" s="26" t="n">
        <f aca="false">COUNTIFS('Control Library'!$A$5:$A$50,"AI-CTRL-022",'Control Library'!$R$5:$R$50,"Implemented")</f>
        <v>0</v>
      </c>
      <c r="K280" s="43" t="str">
        <f aca="false">IF(I280=0,"No wiki control",IF(J280=I280,"Fully covered",IF(J280=0,"Not covered","Partly covered")))</f>
        <v>Not covered</v>
      </c>
      <c r="L280" s="9" t="s">
        <v>1295</v>
      </c>
    </row>
    <row r="281" customFormat="false" ht="23.85" hidden="false" customHeight="false" outlineLevel="0" collapsed="false">
      <c r="A281" s="49" t="s">
        <v>580</v>
      </c>
      <c r="B281" s="49" t="s">
        <v>577</v>
      </c>
      <c r="C281" s="5" t="s">
        <v>1381</v>
      </c>
      <c r="D281" s="6" t="s">
        <v>1382</v>
      </c>
      <c r="E281" s="6" t="s">
        <v>339</v>
      </c>
      <c r="F281" s="6" t="s">
        <v>730</v>
      </c>
      <c r="G281" s="6" t="s">
        <v>343</v>
      </c>
      <c r="H281" s="6"/>
      <c r="I281" s="26" t="n">
        <v>1</v>
      </c>
      <c r="J281" s="26" t="n">
        <f aca="false">COUNTIFS('Control Library'!$A$5:$A$50,"AI-CTRL-021",'Control Library'!$R$5:$R$50,"Implemented")</f>
        <v>0</v>
      </c>
      <c r="K281" s="43" t="str">
        <f aca="false">IF(I281=0,"No wiki control",IF(J281=I281,"Fully covered",IF(J281=0,"Not covered","Partly covered")))</f>
        <v>Not covered</v>
      </c>
      <c r="L281" s="9" t="s">
        <v>1295</v>
      </c>
    </row>
    <row r="282" customFormat="false" ht="23.85" hidden="false" customHeight="false" outlineLevel="0" collapsed="false">
      <c r="A282" s="49" t="s">
        <v>580</v>
      </c>
      <c r="B282" s="49" t="s">
        <v>577</v>
      </c>
      <c r="C282" s="5" t="s">
        <v>1383</v>
      </c>
      <c r="D282" s="6" t="s">
        <v>1384</v>
      </c>
      <c r="E282" s="6" t="s">
        <v>291</v>
      </c>
      <c r="F282" s="6" t="s">
        <v>730</v>
      </c>
      <c r="G282" s="6" t="s">
        <v>295</v>
      </c>
      <c r="H282" s="6"/>
      <c r="I282" s="26" t="n">
        <v>1</v>
      </c>
      <c r="J282" s="26" t="n">
        <f aca="false">COUNTIFS('Control Library'!$A$5:$A$50,"AI-CTRL-015",'Control Library'!$R$5:$R$50,"Implemented")</f>
        <v>0</v>
      </c>
      <c r="K282" s="43" t="str">
        <f aca="false">IF(I282=0,"No wiki control",IF(J282=I282,"Fully covered",IF(J282=0,"Not covered","Partly covered")))</f>
        <v>Not covered</v>
      </c>
      <c r="L282" s="9" t="s">
        <v>1295</v>
      </c>
    </row>
    <row r="283" customFormat="false" ht="23.85" hidden="false" customHeight="false" outlineLevel="0" collapsed="false">
      <c r="A283" s="49" t="s">
        <v>580</v>
      </c>
      <c r="B283" s="49" t="s">
        <v>577</v>
      </c>
      <c r="C283" s="5" t="s">
        <v>1385</v>
      </c>
      <c r="D283" s="6" t="s">
        <v>1386</v>
      </c>
      <c r="E283" s="6" t="s">
        <v>380</v>
      </c>
      <c r="F283" s="6" t="s">
        <v>730</v>
      </c>
      <c r="G283" s="6" t="s">
        <v>383</v>
      </c>
      <c r="H283" s="6"/>
      <c r="I283" s="26" t="n">
        <v>1</v>
      </c>
      <c r="J283" s="26" t="n">
        <f aca="false">COUNTIFS('Control Library'!$A$5:$A$50,"AI-CTRL-026",'Control Library'!$R$5:$R$50,"Implemented")</f>
        <v>0</v>
      </c>
      <c r="K283" s="43" t="str">
        <f aca="false">IF(I283=0,"No wiki control",IF(J283=I283,"Fully covered",IF(J283=0,"Not covered","Partly covered")))</f>
        <v>Not covered</v>
      </c>
      <c r="L283" s="9" t="s">
        <v>1295</v>
      </c>
    </row>
    <row r="284" customFormat="false" ht="23.85" hidden="false" customHeight="false" outlineLevel="0" collapsed="false">
      <c r="A284" s="49" t="s">
        <v>580</v>
      </c>
      <c r="B284" s="49" t="s">
        <v>577</v>
      </c>
      <c r="C284" s="5" t="s">
        <v>1387</v>
      </c>
      <c r="D284" s="6" t="s">
        <v>1388</v>
      </c>
      <c r="E284" s="6" t="s">
        <v>199</v>
      </c>
      <c r="F284" s="6" t="s">
        <v>730</v>
      </c>
      <c r="G284" s="6" t="s">
        <v>203</v>
      </c>
      <c r="H284" s="6"/>
      <c r="I284" s="26" t="n">
        <v>1</v>
      </c>
      <c r="J284" s="26" t="n">
        <f aca="false">COUNTIFS('Control Library'!$A$5:$A$50,"AI-CTRL-005",'Control Library'!$R$5:$R$50,"Implemented")</f>
        <v>0</v>
      </c>
      <c r="K284" s="43" t="str">
        <f aca="false">IF(I284=0,"No wiki control",IF(J284=I284,"Fully covered",IF(J284=0,"Not covered","Partly covered")))</f>
        <v>Not covered</v>
      </c>
      <c r="L284" s="9" t="s">
        <v>1295</v>
      </c>
    </row>
    <row r="285" customFormat="false" ht="23.85" hidden="false" customHeight="false" outlineLevel="0" collapsed="false">
      <c r="A285" s="49" t="s">
        <v>580</v>
      </c>
      <c r="B285" s="49" t="s">
        <v>577</v>
      </c>
      <c r="C285" s="5" t="s">
        <v>1389</v>
      </c>
      <c r="D285" s="6" t="s">
        <v>1390</v>
      </c>
      <c r="E285" s="6" t="s">
        <v>380</v>
      </c>
      <c r="F285" s="6" t="s">
        <v>730</v>
      </c>
      <c r="G285" s="6" t="s">
        <v>383</v>
      </c>
      <c r="H285" s="6"/>
      <c r="I285" s="26" t="n">
        <v>1</v>
      </c>
      <c r="J285" s="26" t="n">
        <f aca="false">COUNTIFS('Control Library'!$A$5:$A$50,"AI-CTRL-026",'Control Library'!$R$5:$R$50,"Implemented")</f>
        <v>0</v>
      </c>
      <c r="K285" s="43" t="str">
        <f aca="false">IF(I285=0,"No wiki control",IF(J285=I285,"Fully covered",IF(J285=0,"Not covered","Partly covered")))</f>
        <v>Not covered</v>
      </c>
      <c r="L285" s="9" t="s">
        <v>1295</v>
      </c>
    </row>
    <row r="286" customFormat="false" ht="23.85" hidden="false" customHeight="false" outlineLevel="0" collapsed="false">
      <c r="A286" s="49" t="s">
        <v>580</v>
      </c>
      <c r="B286" s="49" t="s">
        <v>577</v>
      </c>
      <c r="C286" s="5" t="s">
        <v>1391</v>
      </c>
      <c r="D286" s="6" t="s">
        <v>1392</v>
      </c>
      <c r="E286" s="6" t="s">
        <v>300</v>
      </c>
      <c r="F286" s="6" t="s">
        <v>730</v>
      </c>
      <c r="G286" s="6" t="s">
        <v>303</v>
      </c>
      <c r="H286" s="6"/>
      <c r="I286" s="26" t="n">
        <v>1</v>
      </c>
      <c r="J286" s="26" t="n">
        <f aca="false">COUNTIFS('Control Library'!$A$5:$A$50,"AI-CTRL-016",'Control Library'!$R$5:$R$50,"Implemented")</f>
        <v>0</v>
      </c>
      <c r="K286" s="43" t="str">
        <f aca="false">IF(I286=0,"No wiki control",IF(J286=I286,"Fully covered",IF(J286=0,"Not covered","Partly covered")))</f>
        <v>Not covered</v>
      </c>
      <c r="L286" s="9" t="s">
        <v>1295</v>
      </c>
    </row>
    <row r="287" customFormat="false" ht="23.85" hidden="false" customHeight="false" outlineLevel="0" collapsed="false">
      <c r="A287" s="49" t="s">
        <v>580</v>
      </c>
      <c r="B287" s="49" t="s">
        <v>577</v>
      </c>
      <c r="C287" s="5" t="s">
        <v>1393</v>
      </c>
      <c r="D287" s="6" t="s">
        <v>1394</v>
      </c>
      <c r="E287" s="6" t="s">
        <v>363</v>
      </c>
      <c r="F287" s="6" t="s">
        <v>730</v>
      </c>
      <c r="G287" s="6" t="s">
        <v>367</v>
      </c>
      <c r="H287" s="6"/>
      <c r="I287" s="26" t="n">
        <v>1</v>
      </c>
      <c r="J287" s="26" t="n">
        <f aca="false">COUNTIFS('Control Library'!$A$5:$A$50,"AI-CTRL-024",'Control Library'!$R$5:$R$50,"Implemented")</f>
        <v>0</v>
      </c>
      <c r="K287" s="43" t="str">
        <f aca="false">IF(I287=0,"No wiki control",IF(J287=I287,"Fully covered",IF(J287=0,"Not covered","Partly covered")))</f>
        <v>Not covered</v>
      </c>
      <c r="L287" s="9" t="s">
        <v>1295</v>
      </c>
    </row>
    <row r="288" customFormat="false" ht="23.85" hidden="false" customHeight="false" outlineLevel="0" collapsed="false">
      <c r="A288" s="49" t="s">
        <v>580</v>
      </c>
      <c r="B288" s="49" t="s">
        <v>577</v>
      </c>
      <c r="C288" s="5" t="s">
        <v>1395</v>
      </c>
      <c r="D288" s="6" t="s">
        <v>1396</v>
      </c>
      <c r="E288" s="6" t="s">
        <v>1397</v>
      </c>
      <c r="F288" s="6" t="s">
        <v>730</v>
      </c>
      <c r="G288" s="6" t="s">
        <v>1398</v>
      </c>
      <c r="H288" s="6"/>
      <c r="I288" s="26" t="n">
        <v>2</v>
      </c>
      <c r="J288" s="26" t="n">
        <f aca="false">COUNTIFS('Control Library'!$A$5:$A$50,"AI-CTRL-022",'Control Library'!$R$5:$R$50,"Implemented")+COUNTIFS('Control Library'!$A$5:$A$50,"AI-CTRL-023",'Control Library'!$R$5:$R$50,"Implemented")</f>
        <v>0</v>
      </c>
      <c r="K288" s="43" t="str">
        <f aca="false">IF(I288=0,"No wiki control",IF(J288=I288,"Fully covered",IF(J288=0,"Not covered","Partly covered")))</f>
        <v>Not covered</v>
      </c>
      <c r="L288" s="9" t="s">
        <v>1295</v>
      </c>
    </row>
    <row r="289" customFormat="false" ht="23.85" hidden="false" customHeight="false" outlineLevel="0" collapsed="false">
      <c r="A289" s="49" t="s">
        <v>580</v>
      </c>
      <c r="B289" s="49" t="s">
        <v>577</v>
      </c>
      <c r="C289" s="5" t="s">
        <v>1399</v>
      </c>
      <c r="D289" s="6" t="s">
        <v>1400</v>
      </c>
      <c r="E289" s="6" t="s">
        <v>387</v>
      </c>
      <c r="F289" s="6" t="s">
        <v>730</v>
      </c>
      <c r="G289" s="6" t="s">
        <v>390</v>
      </c>
      <c r="H289" s="6"/>
      <c r="I289" s="26" t="n">
        <v>1</v>
      </c>
      <c r="J289" s="26" t="n">
        <f aca="false">COUNTIFS('Control Library'!$A$5:$A$50,"AI-CTRL-027",'Control Library'!$R$5:$R$50,"Implemented")</f>
        <v>0</v>
      </c>
      <c r="K289" s="43" t="str">
        <f aca="false">IF(I289=0,"No wiki control",IF(J289=I289,"Fully covered",IF(J289=0,"Not covered","Partly covered")))</f>
        <v>Not covered</v>
      </c>
      <c r="L289" s="9" t="s">
        <v>1295</v>
      </c>
    </row>
    <row r="290" customFormat="false" ht="23.85" hidden="false" customHeight="false" outlineLevel="0" collapsed="false">
      <c r="A290" s="49" t="s">
        <v>580</v>
      </c>
      <c r="B290" s="49" t="s">
        <v>577</v>
      </c>
      <c r="C290" s="5" t="s">
        <v>1401</v>
      </c>
      <c r="D290" s="6" t="s">
        <v>1402</v>
      </c>
      <c r="E290" s="6" t="s">
        <v>387</v>
      </c>
      <c r="F290" s="6" t="s">
        <v>730</v>
      </c>
      <c r="G290" s="6" t="s">
        <v>390</v>
      </c>
      <c r="H290" s="6"/>
      <c r="I290" s="26" t="n">
        <v>1</v>
      </c>
      <c r="J290" s="26" t="n">
        <f aca="false">COUNTIFS('Control Library'!$A$5:$A$50,"AI-CTRL-027",'Control Library'!$R$5:$R$50,"Implemented")</f>
        <v>0</v>
      </c>
      <c r="K290" s="43" t="str">
        <f aca="false">IF(I290=0,"No wiki control",IF(J290=I290,"Fully covered",IF(J290=0,"Not covered","Partly covered")))</f>
        <v>Not covered</v>
      </c>
      <c r="L290" s="9" t="s">
        <v>1295</v>
      </c>
    </row>
    <row r="291" customFormat="false" ht="23.85" hidden="false" customHeight="false" outlineLevel="0" collapsed="false">
      <c r="A291" s="49" t="s">
        <v>580</v>
      </c>
      <c r="B291" s="49" t="s">
        <v>577</v>
      </c>
      <c r="C291" s="5" t="s">
        <v>1403</v>
      </c>
      <c r="D291" s="6" t="s">
        <v>1404</v>
      </c>
      <c r="E291" s="6" t="s">
        <v>1059</v>
      </c>
      <c r="F291" s="6" t="s">
        <v>730</v>
      </c>
      <c r="G291" s="6" t="s">
        <v>1060</v>
      </c>
      <c r="H291" s="6"/>
      <c r="I291" s="26" t="n">
        <v>3</v>
      </c>
      <c r="J291" s="26" t="n">
        <f aca="false">COUNTIFS('Control Library'!$A$5:$A$50,"AI-CTRL-014",'Control Library'!$R$5:$R$50,"Implemented")+COUNTIFS('Control Library'!$A$5:$A$50,"AI-CTRL-024",'Control Library'!$R$5:$R$50,"Implemented")+COUNTIFS('Control Library'!$A$5:$A$50,"AI-CTRL-031",'Control Library'!$R$5:$R$50,"Implemented")</f>
        <v>0</v>
      </c>
      <c r="K291" s="43" t="str">
        <f aca="false">IF(I291=0,"No wiki control",IF(J291=I291,"Fully covered",IF(J291=0,"Not covered","Partly covered")))</f>
        <v>Not covered</v>
      </c>
      <c r="L291" s="9" t="s">
        <v>1295</v>
      </c>
    </row>
    <row r="292" customFormat="false" ht="23.85" hidden="false" customHeight="false" outlineLevel="0" collapsed="false">
      <c r="A292" s="49" t="s">
        <v>580</v>
      </c>
      <c r="B292" s="49" t="s">
        <v>577</v>
      </c>
      <c r="C292" s="5" t="s">
        <v>1405</v>
      </c>
      <c r="D292" s="6" t="s">
        <v>1406</v>
      </c>
      <c r="E292" s="6" t="s">
        <v>363</v>
      </c>
      <c r="F292" s="6" t="s">
        <v>730</v>
      </c>
      <c r="G292" s="6" t="s">
        <v>367</v>
      </c>
      <c r="H292" s="6"/>
      <c r="I292" s="26" t="n">
        <v>1</v>
      </c>
      <c r="J292" s="26" t="n">
        <f aca="false">COUNTIFS('Control Library'!$A$5:$A$50,"AI-CTRL-024",'Control Library'!$R$5:$R$50,"Implemented")</f>
        <v>0</v>
      </c>
      <c r="K292" s="43" t="str">
        <f aca="false">IF(I292=0,"No wiki control",IF(J292=I292,"Fully covered",IF(J292=0,"Not covered","Partly covered")))</f>
        <v>Not covered</v>
      </c>
      <c r="L292" s="9" t="s">
        <v>1295</v>
      </c>
    </row>
    <row r="293" customFormat="false" ht="23.85" hidden="false" customHeight="false" outlineLevel="0" collapsed="false">
      <c r="A293" s="49" t="s">
        <v>580</v>
      </c>
      <c r="B293" s="49" t="s">
        <v>577</v>
      </c>
      <c r="C293" s="5" t="s">
        <v>1407</v>
      </c>
      <c r="D293" s="6" t="s">
        <v>1408</v>
      </c>
      <c r="E293" s="6" t="s">
        <v>420</v>
      </c>
      <c r="F293" s="6" t="s">
        <v>730</v>
      </c>
      <c r="G293" s="6" t="s">
        <v>424</v>
      </c>
      <c r="H293" s="6"/>
      <c r="I293" s="26" t="n">
        <v>1</v>
      </c>
      <c r="J293" s="26" t="n">
        <f aca="false">COUNTIFS('Control Library'!$A$5:$A$50,"AI-CTRL-031",'Control Library'!$R$5:$R$50,"Implemented")</f>
        <v>0</v>
      </c>
      <c r="K293" s="43" t="str">
        <f aca="false">IF(I293=0,"No wiki control",IF(J293=I293,"Fully covered",IF(J293=0,"Not covered","Partly covered")))</f>
        <v>Not covered</v>
      </c>
      <c r="L293" s="9" t="s">
        <v>1295</v>
      </c>
    </row>
    <row r="294" customFormat="false" ht="23.85" hidden="false" customHeight="false" outlineLevel="0" collapsed="false">
      <c r="A294" s="49" t="s">
        <v>580</v>
      </c>
      <c r="B294" s="49" t="s">
        <v>577</v>
      </c>
      <c r="C294" s="5" t="s">
        <v>1409</v>
      </c>
      <c r="D294" s="6" t="s">
        <v>1410</v>
      </c>
      <c r="E294" s="6" t="s">
        <v>420</v>
      </c>
      <c r="F294" s="6" t="s">
        <v>730</v>
      </c>
      <c r="G294" s="6" t="s">
        <v>424</v>
      </c>
      <c r="H294" s="6"/>
      <c r="I294" s="26" t="n">
        <v>1</v>
      </c>
      <c r="J294" s="26" t="n">
        <f aca="false">COUNTIFS('Control Library'!$A$5:$A$50,"AI-CTRL-031",'Control Library'!$R$5:$R$50,"Implemented")</f>
        <v>0</v>
      </c>
      <c r="K294" s="43" t="str">
        <f aca="false">IF(I294=0,"No wiki control",IF(J294=I294,"Fully covered",IF(J294=0,"Not covered","Partly covered")))</f>
        <v>Not covered</v>
      </c>
      <c r="L294" s="9" t="s">
        <v>1295</v>
      </c>
    </row>
    <row r="295" customFormat="false" ht="23.85" hidden="false" customHeight="false" outlineLevel="0" collapsed="false">
      <c r="A295" s="49" t="s">
        <v>580</v>
      </c>
      <c r="B295" s="49" t="s">
        <v>577</v>
      </c>
      <c r="C295" s="5" t="s">
        <v>1411</v>
      </c>
      <c r="D295" s="6" t="s">
        <v>1412</v>
      </c>
      <c r="E295" s="6" t="s">
        <v>413</v>
      </c>
      <c r="F295" s="6" t="s">
        <v>730</v>
      </c>
      <c r="G295" s="6" t="s">
        <v>399</v>
      </c>
      <c r="H295" s="6"/>
      <c r="I295" s="26" t="n">
        <v>1</v>
      </c>
      <c r="J295" s="26" t="n">
        <f aca="false">COUNTIFS('Control Library'!$A$5:$A$50,"AI-CTRL-030",'Control Library'!$R$5:$R$50,"Implemented")</f>
        <v>0</v>
      </c>
      <c r="K295" s="43" t="str">
        <f aca="false">IF(I295=0,"No wiki control",IF(J295=I295,"Fully covered",IF(J295=0,"Not covered","Partly covered")))</f>
        <v>Not covered</v>
      </c>
      <c r="L295" s="9" t="s">
        <v>1295</v>
      </c>
    </row>
    <row r="296" customFormat="false" ht="23.85" hidden="false" customHeight="false" outlineLevel="0" collapsed="false">
      <c r="A296" s="49" t="s">
        <v>580</v>
      </c>
      <c r="B296" s="49" t="s">
        <v>577</v>
      </c>
      <c r="C296" s="5" t="s">
        <v>1413</v>
      </c>
      <c r="D296" s="6" t="s">
        <v>1414</v>
      </c>
      <c r="E296" s="6" t="s">
        <v>339</v>
      </c>
      <c r="F296" s="6" t="s">
        <v>730</v>
      </c>
      <c r="G296" s="6" t="s">
        <v>343</v>
      </c>
      <c r="H296" s="6"/>
      <c r="I296" s="26" t="n">
        <v>1</v>
      </c>
      <c r="J296" s="26" t="n">
        <f aca="false">COUNTIFS('Control Library'!$A$5:$A$50,"AI-CTRL-021",'Control Library'!$R$5:$R$50,"Implemented")</f>
        <v>0</v>
      </c>
      <c r="K296" s="43" t="str">
        <f aca="false">IF(I296=0,"No wiki control",IF(J296=I296,"Fully covered",IF(J296=0,"Not covered","Partly covered")))</f>
        <v>Not covered</v>
      </c>
      <c r="L296" s="9" t="s">
        <v>1295</v>
      </c>
    </row>
    <row r="297" customFormat="false" ht="23.85" hidden="false" customHeight="false" outlineLevel="0" collapsed="false">
      <c r="A297" s="49" t="s">
        <v>580</v>
      </c>
      <c r="B297" s="49" t="s">
        <v>577</v>
      </c>
      <c r="C297" s="5" t="s">
        <v>1415</v>
      </c>
      <c r="D297" s="6" t="s">
        <v>1416</v>
      </c>
      <c r="E297" s="6" t="s">
        <v>428</v>
      </c>
      <c r="F297" s="6" t="s">
        <v>730</v>
      </c>
      <c r="G297" s="6" t="s">
        <v>431</v>
      </c>
      <c r="H297" s="6"/>
      <c r="I297" s="26" t="n">
        <v>1</v>
      </c>
      <c r="J297" s="26" t="n">
        <f aca="false">COUNTIFS('Control Library'!$A$5:$A$50,"AI-CTRL-032",'Control Library'!$R$5:$R$50,"Implemented")</f>
        <v>0</v>
      </c>
      <c r="K297" s="43" t="str">
        <f aca="false">IF(I297=0,"No wiki control",IF(J297=I297,"Fully covered",IF(J297=0,"Not covered","Partly covered")))</f>
        <v>Not covered</v>
      </c>
      <c r="L297" s="9" t="s">
        <v>1295</v>
      </c>
    </row>
    <row r="298" customFormat="false" ht="23.85" hidden="false" customHeight="false" outlineLevel="0" collapsed="false">
      <c r="A298" s="49" t="s">
        <v>581</v>
      </c>
      <c r="B298" s="49" t="s">
        <v>577</v>
      </c>
      <c r="C298" s="5" t="s">
        <v>1417</v>
      </c>
      <c r="D298" s="6" t="s">
        <v>1418</v>
      </c>
      <c r="E298" s="6" t="s">
        <v>395</v>
      </c>
      <c r="F298" s="6" t="s">
        <v>730</v>
      </c>
      <c r="G298" s="6" t="s">
        <v>399</v>
      </c>
      <c r="H298" s="6"/>
      <c r="I298" s="26" t="n">
        <v>1</v>
      </c>
      <c r="J298" s="26" t="n">
        <f aca="false">COUNTIFS('Control Library'!$A$5:$A$50,"AI-CTRL-028",'Control Library'!$R$5:$R$50,"Implemented")</f>
        <v>0</v>
      </c>
      <c r="K298" s="43" t="str">
        <f aca="false">IF(I298=0,"No wiki control",IF(J298=I298,"Fully covered",IF(J298=0,"Not covered","Partly covered")))</f>
        <v>Not covered</v>
      </c>
      <c r="L298" s="9" t="s">
        <v>1295</v>
      </c>
    </row>
    <row r="299" customFormat="false" ht="23.85" hidden="false" customHeight="false" outlineLevel="0" collapsed="false">
      <c r="A299" s="49" t="s">
        <v>581</v>
      </c>
      <c r="B299" s="49" t="s">
        <v>577</v>
      </c>
      <c r="C299" s="5" t="s">
        <v>1419</v>
      </c>
      <c r="D299" s="6" t="s">
        <v>1420</v>
      </c>
      <c r="E299" s="6" t="s">
        <v>1421</v>
      </c>
      <c r="F299" s="6" t="s">
        <v>730</v>
      </c>
      <c r="G299" s="6" t="s">
        <v>1422</v>
      </c>
      <c r="H299" s="6"/>
      <c r="I299" s="26" t="n">
        <v>2</v>
      </c>
      <c r="J299" s="26" t="n">
        <f aca="false">COUNTIFS('Control Library'!$A$5:$A$50,"AI-CTRL-028",'Control Library'!$R$5:$R$50,"Implemented")+COUNTIFS('Control Library'!$A$5:$A$50,"AI-CTRL-036",'Control Library'!$R$5:$R$50,"Implemented")</f>
        <v>0</v>
      </c>
      <c r="K299" s="43" t="str">
        <f aca="false">IF(I299=0,"No wiki control",IF(J299=I299,"Fully covered",IF(J299=0,"Not covered","Partly covered")))</f>
        <v>Not covered</v>
      </c>
      <c r="L299" s="9" t="s">
        <v>1295</v>
      </c>
    </row>
    <row r="300" customFormat="false" ht="23.85" hidden="false" customHeight="false" outlineLevel="0" collapsed="false">
      <c r="A300" s="49" t="s">
        <v>581</v>
      </c>
      <c r="B300" s="49" t="s">
        <v>577</v>
      </c>
      <c r="C300" s="5" t="s">
        <v>1423</v>
      </c>
      <c r="D300" s="6" t="s">
        <v>1424</v>
      </c>
      <c r="E300" s="6" t="s">
        <v>1425</v>
      </c>
      <c r="F300" s="6" t="s">
        <v>730</v>
      </c>
      <c r="G300" s="6" t="s">
        <v>783</v>
      </c>
      <c r="H300" s="6"/>
      <c r="I300" s="26" t="n">
        <v>3</v>
      </c>
      <c r="J300" s="26" t="n">
        <f aca="false">COUNTIFS('Control Library'!$A$5:$A$50,"AI-CTRL-017",'Control Library'!$R$5:$R$50,"Implemented")+COUNTIFS('Control Library'!$A$5:$A$50,"AI-CTRL-028",'Control Library'!$R$5:$R$50,"Implemented")+COUNTIFS('Control Library'!$A$5:$A$50,"AI-CTRL-032",'Control Library'!$R$5:$R$50,"Implemented")</f>
        <v>0</v>
      </c>
      <c r="K300" s="43" t="str">
        <f aca="false">IF(I300=0,"No wiki control",IF(J300=I300,"Fully covered",IF(J300=0,"Not covered","Partly covered")))</f>
        <v>Not covered</v>
      </c>
      <c r="L300" s="9" t="s">
        <v>1295</v>
      </c>
    </row>
    <row r="301" customFormat="false" ht="23.85" hidden="false" customHeight="false" outlineLevel="0" collapsed="false">
      <c r="A301" s="49" t="s">
        <v>581</v>
      </c>
      <c r="B301" s="49" t="s">
        <v>577</v>
      </c>
      <c r="C301" s="5" t="s">
        <v>1426</v>
      </c>
      <c r="D301" s="6" t="s">
        <v>1427</v>
      </c>
      <c r="E301" s="6" t="s">
        <v>404</v>
      </c>
      <c r="F301" s="6" t="s">
        <v>730</v>
      </c>
      <c r="G301" s="6" t="s">
        <v>399</v>
      </c>
      <c r="H301" s="6"/>
      <c r="I301" s="26" t="n">
        <v>1</v>
      </c>
      <c r="J301" s="26" t="n">
        <f aca="false">COUNTIFS('Control Library'!$A$5:$A$50,"AI-CTRL-029",'Control Library'!$R$5:$R$50,"Implemented")</f>
        <v>0</v>
      </c>
      <c r="K301" s="43" t="str">
        <f aca="false">IF(I301=0,"No wiki control",IF(J301=I301,"Fully covered",IF(J301=0,"Not covered","Partly covered")))</f>
        <v>Not covered</v>
      </c>
      <c r="L301" s="9" t="s">
        <v>1295</v>
      </c>
    </row>
    <row r="302" customFormat="false" ht="23.85" hidden="false" customHeight="false" outlineLevel="0" collapsed="false">
      <c r="A302" s="49" t="s">
        <v>581</v>
      </c>
      <c r="B302" s="49" t="s">
        <v>577</v>
      </c>
      <c r="C302" s="5" t="s">
        <v>1428</v>
      </c>
      <c r="D302" s="6" t="s">
        <v>1429</v>
      </c>
      <c r="E302" s="6" t="s">
        <v>395</v>
      </c>
      <c r="F302" s="6" t="s">
        <v>730</v>
      </c>
      <c r="G302" s="6" t="s">
        <v>399</v>
      </c>
      <c r="H302" s="6"/>
      <c r="I302" s="26" t="n">
        <v>1</v>
      </c>
      <c r="J302" s="26" t="n">
        <f aca="false">COUNTIFS('Control Library'!$A$5:$A$50,"AI-CTRL-028",'Control Library'!$R$5:$R$50,"Implemented")</f>
        <v>0</v>
      </c>
      <c r="K302" s="43" t="str">
        <f aca="false">IF(I302=0,"No wiki control",IF(J302=I302,"Fully covered",IF(J302=0,"Not covered","Partly covered")))</f>
        <v>Not covered</v>
      </c>
      <c r="L302" s="9" t="s">
        <v>1295</v>
      </c>
    </row>
    <row r="303" customFormat="false" ht="23.85" hidden="false" customHeight="false" outlineLevel="0" collapsed="false">
      <c r="A303" s="49" t="s">
        <v>581</v>
      </c>
      <c r="B303" s="49" t="s">
        <v>577</v>
      </c>
      <c r="C303" s="5" t="s">
        <v>1430</v>
      </c>
      <c r="D303" s="6" t="s">
        <v>1431</v>
      </c>
      <c r="E303" s="6" t="s">
        <v>387</v>
      </c>
      <c r="F303" s="6" t="s">
        <v>730</v>
      </c>
      <c r="G303" s="6" t="s">
        <v>390</v>
      </c>
      <c r="H303" s="6"/>
      <c r="I303" s="26" t="n">
        <v>1</v>
      </c>
      <c r="J303" s="26" t="n">
        <f aca="false">COUNTIFS('Control Library'!$A$5:$A$50,"AI-CTRL-027",'Control Library'!$R$5:$R$50,"Implemented")</f>
        <v>0</v>
      </c>
      <c r="K303" s="43" t="str">
        <f aca="false">IF(I303=0,"No wiki control",IF(J303=I303,"Fully covered",IF(J303=0,"Not covered","Partly covered")))</f>
        <v>Not covered</v>
      </c>
      <c r="L303" s="9" t="s">
        <v>1295</v>
      </c>
    </row>
    <row r="304" customFormat="false" ht="23.85" hidden="false" customHeight="false" outlineLevel="0" collapsed="false">
      <c r="A304" s="49" t="s">
        <v>581</v>
      </c>
      <c r="B304" s="49" t="s">
        <v>577</v>
      </c>
      <c r="C304" s="5" t="s">
        <v>1432</v>
      </c>
      <c r="D304" s="6" t="s">
        <v>1433</v>
      </c>
      <c r="E304" s="6" t="s">
        <v>782</v>
      </c>
      <c r="F304" s="6" t="s">
        <v>730</v>
      </c>
      <c r="G304" s="6" t="s">
        <v>783</v>
      </c>
      <c r="H304" s="6"/>
      <c r="I304" s="26" t="n">
        <v>2</v>
      </c>
      <c r="J304" s="26" t="n">
        <f aca="false">COUNTIFS('Control Library'!$A$5:$A$50,"AI-CTRL-017",'Control Library'!$R$5:$R$50,"Implemented")+COUNTIFS('Control Library'!$A$5:$A$50,"AI-CTRL-032",'Control Library'!$R$5:$R$50,"Implemented")</f>
        <v>0</v>
      </c>
      <c r="K304" s="43" t="str">
        <f aca="false">IF(I304=0,"No wiki control",IF(J304=I304,"Fully covered",IF(J304=0,"Not covered","Partly covered")))</f>
        <v>Not covered</v>
      </c>
      <c r="L304" s="9" t="s">
        <v>1295</v>
      </c>
    </row>
    <row r="305" customFormat="false" ht="23.85" hidden="false" customHeight="false" outlineLevel="0" collapsed="false">
      <c r="A305" s="49" t="s">
        <v>581</v>
      </c>
      <c r="B305" s="49" t="s">
        <v>577</v>
      </c>
      <c r="C305" s="5" t="s">
        <v>1434</v>
      </c>
      <c r="D305" s="6" t="s">
        <v>1435</v>
      </c>
      <c r="E305" s="6" t="s">
        <v>413</v>
      </c>
      <c r="F305" s="6" t="s">
        <v>730</v>
      </c>
      <c r="G305" s="6" t="s">
        <v>399</v>
      </c>
      <c r="H305" s="6"/>
      <c r="I305" s="26" t="n">
        <v>1</v>
      </c>
      <c r="J305" s="26" t="n">
        <f aca="false">COUNTIFS('Control Library'!$A$5:$A$50,"AI-CTRL-030",'Control Library'!$R$5:$R$50,"Implemented")</f>
        <v>0</v>
      </c>
      <c r="K305" s="43" t="str">
        <f aca="false">IF(I305=0,"No wiki control",IF(J305=I305,"Fully covered",IF(J305=0,"Not covered","Partly covered")))</f>
        <v>Not covered</v>
      </c>
      <c r="L305" s="9" t="s">
        <v>1295</v>
      </c>
    </row>
    <row r="306" customFormat="false" ht="23.85" hidden="false" customHeight="false" outlineLevel="0" collapsed="false">
      <c r="A306" s="49" t="s">
        <v>581</v>
      </c>
      <c r="B306" s="49" t="s">
        <v>577</v>
      </c>
      <c r="C306" s="5" t="s">
        <v>1436</v>
      </c>
      <c r="D306" s="6" t="s">
        <v>1437</v>
      </c>
      <c r="E306" s="6" t="s">
        <v>1438</v>
      </c>
      <c r="F306" s="6" t="s">
        <v>730</v>
      </c>
      <c r="G306" s="6" t="s">
        <v>808</v>
      </c>
      <c r="H306" s="6"/>
      <c r="I306" s="26" t="n">
        <v>3</v>
      </c>
      <c r="J306" s="26" t="n">
        <f aca="false">COUNTIFS('Control Library'!$A$5:$A$50,"AI-CTRL-024",'Control Library'!$R$5:$R$50,"Implemented")+COUNTIFS('Control Library'!$A$5:$A$50,"AI-CTRL-030",'Control Library'!$R$5:$R$50,"Implemented")+COUNTIFS('Control Library'!$A$5:$A$50,"AI-CTRL-031",'Control Library'!$R$5:$R$50,"Implemented")</f>
        <v>0</v>
      </c>
      <c r="K306" s="43" t="str">
        <f aca="false">IF(I306=0,"No wiki control",IF(J306=I306,"Fully covered",IF(J306=0,"Not covered","Partly covered")))</f>
        <v>Not covered</v>
      </c>
      <c r="L306" s="9" t="s">
        <v>1295</v>
      </c>
    </row>
    <row r="307" customFormat="false" ht="23.85" hidden="false" customHeight="false" outlineLevel="0" collapsed="false">
      <c r="A307" s="49" t="s">
        <v>581</v>
      </c>
      <c r="B307" s="49" t="s">
        <v>577</v>
      </c>
      <c r="C307" s="5" t="s">
        <v>1439</v>
      </c>
      <c r="D307" s="6" t="s">
        <v>1440</v>
      </c>
      <c r="E307" s="6" t="s">
        <v>395</v>
      </c>
      <c r="F307" s="6" t="s">
        <v>730</v>
      </c>
      <c r="G307" s="6" t="s">
        <v>399</v>
      </c>
      <c r="H307" s="6"/>
      <c r="I307" s="26" t="n">
        <v>1</v>
      </c>
      <c r="J307" s="26" t="n">
        <f aca="false">COUNTIFS('Control Library'!$A$5:$A$50,"AI-CTRL-028",'Control Library'!$R$5:$R$50,"Implemented")</f>
        <v>0</v>
      </c>
      <c r="K307" s="43" t="str">
        <f aca="false">IF(I307=0,"No wiki control",IF(J307=I307,"Fully covered",IF(J307=0,"Not covered","Partly covered")))</f>
        <v>Not covered</v>
      </c>
      <c r="L307" s="9" t="s">
        <v>1295</v>
      </c>
    </row>
    <row r="308" customFormat="false" ht="23.85" hidden="false" customHeight="false" outlineLevel="0" collapsed="false">
      <c r="A308" s="49" t="s">
        <v>581</v>
      </c>
      <c r="B308" s="49" t="s">
        <v>577</v>
      </c>
      <c r="C308" s="5" t="s">
        <v>1441</v>
      </c>
      <c r="D308" s="6" t="s">
        <v>1442</v>
      </c>
      <c r="E308" s="6" t="s">
        <v>1443</v>
      </c>
      <c r="F308" s="6" t="s">
        <v>730</v>
      </c>
      <c r="G308" s="6" t="s">
        <v>1444</v>
      </c>
      <c r="H308" s="6"/>
      <c r="I308" s="26" t="n">
        <v>2</v>
      </c>
      <c r="J308" s="26" t="n">
        <f aca="false">COUNTIFS('Control Library'!$A$5:$A$50,"AI-CTRL-031",'Control Library'!$R$5:$R$50,"Implemented")+COUNTIFS('Control Library'!$A$5:$A$50,"AI-CTRL-032",'Control Library'!$R$5:$R$50,"Implemented")</f>
        <v>0</v>
      </c>
      <c r="K308" s="43" t="str">
        <f aca="false">IF(I308=0,"No wiki control",IF(J308=I308,"Fully covered",IF(J308=0,"Not covered","Partly covered")))</f>
        <v>Not covered</v>
      </c>
      <c r="L308" s="9" t="s">
        <v>1295</v>
      </c>
    </row>
    <row r="309" customFormat="false" ht="23.85" hidden="false" customHeight="false" outlineLevel="0" collapsed="false">
      <c r="A309" s="49" t="s">
        <v>581</v>
      </c>
      <c r="B309" s="49" t="s">
        <v>577</v>
      </c>
      <c r="C309" s="5" t="s">
        <v>1445</v>
      </c>
      <c r="D309" s="6" t="s">
        <v>1446</v>
      </c>
      <c r="E309" s="6" t="s">
        <v>263</v>
      </c>
      <c r="F309" s="6" t="s">
        <v>730</v>
      </c>
      <c r="G309" s="6" t="s">
        <v>266</v>
      </c>
      <c r="H309" s="6"/>
      <c r="I309" s="26" t="n">
        <v>1</v>
      </c>
      <c r="J309" s="26" t="n">
        <f aca="false">COUNTIFS('Control Library'!$A$5:$A$50,"AI-CTRL-012",'Control Library'!$R$5:$R$50,"Implemented")</f>
        <v>0</v>
      </c>
      <c r="K309" s="43" t="str">
        <f aca="false">IF(I309=0,"No wiki control",IF(J309=I309,"Fully covered",IF(J309=0,"Not covered","Partly covered")))</f>
        <v>Not covered</v>
      </c>
      <c r="L309" s="9" t="s">
        <v>1295</v>
      </c>
    </row>
    <row r="310" customFormat="false" ht="23.85" hidden="false" customHeight="false" outlineLevel="0" collapsed="false">
      <c r="A310" s="49" t="s">
        <v>581</v>
      </c>
      <c r="B310" s="49" t="s">
        <v>577</v>
      </c>
      <c r="C310" s="5" t="s">
        <v>1447</v>
      </c>
      <c r="D310" s="6" t="s">
        <v>1448</v>
      </c>
      <c r="E310" s="6" t="s">
        <v>1449</v>
      </c>
      <c r="F310" s="6" t="s">
        <v>730</v>
      </c>
      <c r="G310" s="6" t="s">
        <v>1450</v>
      </c>
      <c r="H310" s="6"/>
      <c r="I310" s="26" t="n">
        <v>3</v>
      </c>
      <c r="J310" s="26" t="n">
        <f aca="false">COUNTIFS('Control Library'!$A$5:$A$50,"AI-CTRL-015",'Control Library'!$R$5:$R$50,"Implemented")+COUNTIFS('Control Library'!$A$5:$A$50,"AI-CTRL-018",'Control Library'!$R$5:$R$50,"Implemented")+COUNTIFS('Control Library'!$A$5:$A$50,"AI-CTRL-032",'Control Library'!$R$5:$R$50,"Implemented")</f>
        <v>0</v>
      </c>
      <c r="K310" s="43" t="str">
        <f aca="false">IF(I310=0,"No wiki control",IF(J310=I310,"Fully covered",IF(J310=0,"Not covered","Partly covered")))</f>
        <v>Not covered</v>
      </c>
      <c r="L310" s="9" t="s">
        <v>1295</v>
      </c>
    </row>
    <row r="311" customFormat="false" ht="46.25" hidden="false" customHeight="false" outlineLevel="0" collapsed="false">
      <c r="A311" s="49" t="s">
        <v>581</v>
      </c>
      <c r="B311" s="49" t="s">
        <v>577</v>
      </c>
      <c r="C311" s="5" t="s">
        <v>1451</v>
      </c>
      <c r="D311" s="6" t="s">
        <v>1452</v>
      </c>
      <c r="E311" s="6" t="s">
        <v>1453</v>
      </c>
      <c r="F311" s="6" t="s">
        <v>730</v>
      </c>
      <c r="G311" s="6" t="s">
        <v>1454</v>
      </c>
      <c r="H311" s="6"/>
      <c r="I311" s="26" t="n">
        <v>7</v>
      </c>
      <c r="J311" s="26" t="n">
        <f aca="false">COUNTIFS('Control Library'!$A$5:$A$50,"AI-CTRL-002",'Control Library'!$R$5:$R$50,"Implemented")+COUNTIFS('Control Library'!$A$5:$A$50,"AI-CTRL-003",'Control Library'!$R$5:$R$50,"Implemented")+COUNTIFS('Control Library'!$A$5:$A$50,"AI-CTRL-005",'Control Library'!$R$5:$R$50,"Implemented")+COUNTIFS('Control Library'!$A$5:$A$50,"AI-CTRL-010",'Control Library'!$R$5:$R$50,"Implemented")+COUNTIFS('Control Library'!$A$5:$A$50,"AI-CTRL-020",'Control Library'!$R$5:$R$50,"Implemented")+COUNTIFS('Control Library'!$A$5:$A$50,"AI-CTRL-021",'Control Library'!$R$5:$R$50,"Implemented")+COUNTIFS('Control Library'!$A$5:$A$50,"AI-CTRL-039",'Control Library'!$R$5:$R$50,"Implemented")</f>
        <v>0</v>
      </c>
      <c r="K311" s="43" t="str">
        <f aca="false">IF(I311=0,"No wiki control",IF(J311=I311,"Fully covered",IF(J311=0,"Not covered","Partly covered")))</f>
        <v>Not covered</v>
      </c>
      <c r="L311" s="9" t="s">
        <v>1295</v>
      </c>
    </row>
    <row r="312" customFormat="false" ht="23.85" hidden="false" customHeight="false" outlineLevel="0" collapsed="false">
      <c r="A312" s="49" t="s">
        <v>581</v>
      </c>
      <c r="B312" s="49" t="s">
        <v>577</v>
      </c>
      <c r="C312" s="5" t="s">
        <v>1455</v>
      </c>
      <c r="D312" s="6" t="s">
        <v>1456</v>
      </c>
      <c r="E312" s="6" t="s">
        <v>199</v>
      </c>
      <c r="F312" s="6" t="s">
        <v>730</v>
      </c>
      <c r="G312" s="6" t="s">
        <v>203</v>
      </c>
      <c r="H312" s="6"/>
      <c r="I312" s="26" t="n">
        <v>1</v>
      </c>
      <c r="J312" s="26" t="n">
        <f aca="false">COUNTIFS('Control Library'!$A$5:$A$50,"AI-CTRL-005",'Control Library'!$R$5:$R$50,"Implemented")</f>
        <v>0</v>
      </c>
      <c r="K312" s="43" t="str">
        <f aca="false">IF(I312=0,"No wiki control",IF(J312=I312,"Fully covered",IF(J312=0,"Not covered","Partly covered")))</f>
        <v>Not covered</v>
      </c>
      <c r="L312" s="9" t="s">
        <v>1295</v>
      </c>
    </row>
    <row r="313" customFormat="false" ht="23.85" hidden="false" customHeight="false" outlineLevel="0" collapsed="false">
      <c r="A313" s="49" t="s">
        <v>581</v>
      </c>
      <c r="B313" s="49" t="s">
        <v>577</v>
      </c>
      <c r="C313" s="5" t="s">
        <v>1457</v>
      </c>
      <c r="D313" s="6" t="s">
        <v>1458</v>
      </c>
      <c r="E313" s="6" t="s">
        <v>486</v>
      </c>
      <c r="F313" s="6" t="s">
        <v>730</v>
      </c>
      <c r="G313" s="6" t="s">
        <v>490</v>
      </c>
      <c r="H313" s="6"/>
      <c r="I313" s="26" t="n">
        <v>1</v>
      </c>
      <c r="J313" s="26" t="n">
        <f aca="false">COUNTIFS('Control Library'!$A$5:$A$50,"AI-CTRL-039",'Control Library'!$R$5:$R$50,"Implemented")</f>
        <v>0</v>
      </c>
      <c r="K313" s="43" t="str">
        <f aca="false">IF(I313=0,"No wiki control",IF(J313=I313,"Fully covered",IF(J313=0,"Not covered","Partly covered")))</f>
        <v>Not covered</v>
      </c>
      <c r="L313" s="9" t="s">
        <v>1295</v>
      </c>
    </row>
    <row r="314" customFormat="false" ht="23.85" hidden="false" customHeight="false" outlineLevel="0" collapsed="false">
      <c r="A314" s="49" t="s">
        <v>581</v>
      </c>
      <c r="B314" s="49" t="s">
        <v>577</v>
      </c>
      <c r="C314" s="5" t="s">
        <v>1459</v>
      </c>
      <c r="D314" s="6" t="s">
        <v>1460</v>
      </c>
      <c r="E314" s="6" t="s">
        <v>420</v>
      </c>
      <c r="F314" s="6" t="s">
        <v>730</v>
      </c>
      <c r="G314" s="6" t="s">
        <v>424</v>
      </c>
      <c r="H314" s="6"/>
      <c r="I314" s="26" t="n">
        <v>1</v>
      </c>
      <c r="J314" s="26" t="n">
        <f aca="false">COUNTIFS('Control Library'!$A$5:$A$50,"AI-CTRL-031",'Control Library'!$R$5:$R$50,"Implemented")</f>
        <v>0</v>
      </c>
      <c r="K314" s="43" t="str">
        <f aca="false">IF(I314=0,"No wiki control",IF(J314=I314,"Fully covered",IF(J314=0,"Not covered","Partly covered")))</f>
        <v>Not covered</v>
      </c>
      <c r="L314" s="9" t="s">
        <v>1295</v>
      </c>
    </row>
    <row r="315" customFormat="false" ht="23.85" hidden="false" customHeight="false" outlineLevel="0" collapsed="false">
      <c r="A315" s="49" t="s">
        <v>581</v>
      </c>
      <c r="B315" s="49" t="s">
        <v>577</v>
      </c>
      <c r="C315" s="5" t="s">
        <v>1461</v>
      </c>
      <c r="D315" s="6" t="s">
        <v>1462</v>
      </c>
      <c r="E315" s="6" t="s">
        <v>1463</v>
      </c>
      <c r="F315" s="6" t="s">
        <v>730</v>
      </c>
      <c r="G315" s="6" t="s">
        <v>1464</v>
      </c>
      <c r="H315" s="6"/>
      <c r="I315" s="26" t="n">
        <v>4</v>
      </c>
      <c r="J315" s="26" t="n">
        <f aca="false">COUNTIFS('Control Library'!$A$5:$A$50,"AI-CTRL-006",'Control Library'!$R$5:$R$50,"Implemented")+COUNTIFS('Control Library'!$A$5:$A$50,"AI-CTRL-008",'Control Library'!$R$5:$R$50,"Implemented")+COUNTIFS('Control Library'!$A$5:$A$50,"AI-CTRL-009",'Control Library'!$R$5:$R$50,"Implemented")+COUNTIFS('Control Library'!$A$5:$A$50,"AI-CTRL-035",'Control Library'!$R$5:$R$50,"Implemented")</f>
        <v>0</v>
      </c>
      <c r="K315" s="43" t="str">
        <f aca="false">IF(I315=0,"No wiki control",IF(J315=I315,"Fully covered",IF(J315=0,"Not covered","Partly covered")))</f>
        <v>Not covered</v>
      </c>
      <c r="L315" s="9" t="s">
        <v>1295</v>
      </c>
    </row>
    <row r="316" customFormat="false" ht="23.85" hidden="false" customHeight="false" outlineLevel="0" collapsed="false">
      <c r="A316" s="49" t="s">
        <v>581</v>
      </c>
      <c r="B316" s="49" t="s">
        <v>577</v>
      </c>
      <c r="C316" s="5" t="s">
        <v>1465</v>
      </c>
      <c r="D316" s="6" t="s">
        <v>1466</v>
      </c>
      <c r="E316" s="6" t="s">
        <v>876</v>
      </c>
      <c r="F316" s="6" t="s">
        <v>730</v>
      </c>
      <c r="G316" s="6" t="s">
        <v>327</v>
      </c>
      <c r="H316" s="6"/>
      <c r="I316" s="26" t="n">
        <v>2</v>
      </c>
      <c r="J316" s="26" t="n">
        <f aca="false">COUNTIFS('Control Library'!$A$5:$A$50,"AI-CTRL-019",'Control Library'!$R$5:$R$50,"Implemented")+COUNTIFS('Control Library'!$A$5:$A$50,"AI-CTRL-029",'Control Library'!$R$5:$R$50,"Implemented")</f>
        <v>0</v>
      </c>
      <c r="K316" s="43" t="str">
        <f aca="false">IF(I316=0,"No wiki control",IF(J316=I316,"Fully covered",IF(J316=0,"Not covered","Partly covered")))</f>
        <v>Not covered</v>
      </c>
      <c r="L316" s="9" t="s">
        <v>1295</v>
      </c>
    </row>
    <row r="317" customFormat="false" ht="23.85" hidden="false" customHeight="false" outlineLevel="0" collapsed="false">
      <c r="A317" s="49" t="s">
        <v>581</v>
      </c>
      <c r="B317" s="49" t="s">
        <v>577</v>
      </c>
      <c r="C317" s="5" t="s">
        <v>1467</v>
      </c>
      <c r="D317" s="6" t="s">
        <v>1468</v>
      </c>
      <c r="E317" s="6" t="s">
        <v>300</v>
      </c>
      <c r="F317" s="6" t="s">
        <v>730</v>
      </c>
      <c r="G317" s="6" t="s">
        <v>303</v>
      </c>
      <c r="H317" s="6"/>
      <c r="I317" s="26" t="n">
        <v>1</v>
      </c>
      <c r="J317" s="26" t="n">
        <f aca="false">COUNTIFS('Control Library'!$A$5:$A$50,"AI-CTRL-016",'Control Library'!$R$5:$R$50,"Implemented")</f>
        <v>0</v>
      </c>
      <c r="K317" s="43" t="str">
        <f aca="false">IF(I317=0,"No wiki control",IF(J317=I317,"Fully covered",IF(J317=0,"Not covered","Partly covered")))</f>
        <v>Not covered</v>
      </c>
      <c r="L317" s="9" t="s">
        <v>1295</v>
      </c>
    </row>
    <row r="318" customFormat="false" ht="23.85" hidden="false" customHeight="false" outlineLevel="0" collapsed="false">
      <c r="A318" s="49" t="s">
        <v>581</v>
      </c>
      <c r="B318" s="49" t="s">
        <v>577</v>
      </c>
      <c r="C318" s="5" t="s">
        <v>1469</v>
      </c>
      <c r="D318" s="6" t="s">
        <v>1470</v>
      </c>
      <c r="E318" s="6" t="s">
        <v>779</v>
      </c>
      <c r="F318" s="6" t="s">
        <v>730</v>
      </c>
      <c r="G318" s="6" t="s">
        <v>303</v>
      </c>
      <c r="H318" s="6"/>
      <c r="I318" s="26" t="n">
        <v>2</v>
      </c>
      <c r="J318" s="26" t="n">
        <f aca="false">COUNTIFS('Control Library'!$A$5:$A$50,"AI-CTRL-016",'Control Library'!$R$5:$R$50,"Implemented")+COUNTIFS('Control Library'!$A$5:$A$50,"AI-CTRL-018",'Control Library'!$R$5:$R$50,"Implemented")</f>
        <v>0</v>
      </c>
      <c r="K318" s="43" t="str">
        <f aca="false">IF(I318=0,"No wiki control",IF(J318=I318,"Fully covered",IF(J318=0,"Not covered","Partly covered")))</f>
        <v>Not covered</v>
      </c>
      <c r="L318" s="9" t="s">
        <v>1295</v>
      </c>
    </row>
    <row r="319" customFormat="false" ht="23.85" hidden="false" customHeight="false" outlineLevel="0" collapsed="false">
      <c r="A319" s="49" t="s">
        <v>581</v>
      </c>
      <c r="B319" s="49" t="s">
        <v>577</v>
      </c>
      <c r="C319" s="5" t="s">
        <v>1471</v>
      </c>
      <c r="D319" s="6" t="s">
        <v>1472</v>
      </c>
      <c r="E319" s="6" t="s">
        <v>1473</v>
      </c>
      <c r="F319" s="6" t="s">
        <v>730</v>
      </c>
      <c r="G319" s="6" t="s">
        <v>1474</v>
      </c>
      <c r="H319" s="6"/>
      <c r="I319" s="26" t="n">
        <v>3</v>
      </c>
      <c r="J319" s="26" t="n">
        <f aca="false">COUNTIFS('Control Library'!$A$5:$A$50,"AI-CTRL-016",'Control Library'!$R$5:$R$50,"Implemented")+COUNTIFS('Control Library'!$A$5:$A$50,"AI-CTRL-022",'Control Library'!$R$5:$R$50,"Implemented")+COUNTIFS('Control Library'!$A$5:$A$50,"AI-CTRL-024",'Control Library'!$R$5:$R$50,"Implemented")</f>
        <v>0</v>
      </c>
      <c r="K319" s="43" t="str">
        <f aca="false">IF(I319=0,"No wiki control",IF(J319=I319,"Fully covered",IF(J319=0,"Not covered","Partly covered")))</f>
        <v>Not covered</v>
      </c>
      <c r="L319" s="9" t="s">
        <v>1295</v>
      </c>
    </row>
    <row r="320" customFormat="false" ht="23.85" hidden="false" customHeight="false" outlineLevel="0" collapsed="false">
      <c r="A320" s="49" t="s">
        <v>581</v>
      </c>
      <c r="B320" s="49" t="s">
        <v>577</v>
      </c>
      <c r="C320" s="5" t="s">
        <v>1475</v>
      </c>
      <c r="D320" s="6" t="s">
        <v>1476</v>
      </c>
      <c r="E320" s="6" t="s">
        <v>805</v>
      </c>
      <c r="F320" s="6" t="s">
        <v>730</v>
      </c>
      <c r="G320" s="6" t="s">
        <v>542</v>
      </c>
      <c r="H320" s="6"/>
      <c r="I320" s="26" t="n">
        <v>2</v>
      </c>
      <c r="J320" s="26" t="n">
        <f aca="false">COUNTIFS('Control Library'!$A$5:$A$50,"AI-CTRL-023",'Control Library'!$R$5:$R$50,"Implemented")+COUNTIFS('Control Library'!$A$5:$A$50,"AI-CTRL-045",'Control Library'!$R$5:$R$50,"Implemented")</f>
        <v>0</v>
      </c>
      <c r="K320" s="43" t="str">
        <f aca="false">IF(I320=0,"No wiki control",IF(J320=I320,"Fully covered",IF(J320=0,"Not covered","Partly covered")))</f>
        <v>Not covered</v>
      </c>
      <c r="L320" s="9" t="s">
        <v>1295</v>
      </c>
    </row>
    <row r="321" customFormat="false" ht="23.85" hidden="false" customHeight="false" outlineLevel="0" collapsed="false">
      <c r="A321" s="49" t="s">
        <v>581</v>
      </c>
      <c r="B321" s="49" t="s">
        <v>577</v>
      </c>
      <c r="C321" s="5" t="s">
        <v>1477</v>
      </c>
      <c r="D321" s="6" t="s">
        <v>1478</v>
      </c>
      <c r="E321" s="6" t="s">
        <v>347</v>
      </c>
      <c r="F321" s="6" t="s">
        <v>730</v>
      </c>
      <c r="G321" s="6" t="s">
        <v>351</v>
      </c>
      <c r="H321" s="6"/>
      <c r="I321" s="26" t="n">
        <v>1</v>
      </c>
      <c r="J321" s="26" t="n">
        <f aca="false">COUNTIFS('Control Library'!$A$5:$A$50,"AI-CTRL-022",'Control Library'!$R$5:$R$50,"Implemented")</f>
        <v>0</v>
      </c>
      <c r="K321" s="43" t="str">
        <f aca="false">IF(I321=0,"No wiki control",IF(J321=I321,"Fully covered",IF(J321=0,"Not covered","Partly covered")))</f>
        <v>Not covered</v>
      </c>
      <c r="L321" s="9" t="s">
        <v>1295</v>
      </c>
    </row>
    <row r="322" customFormat="false" ht="23.85" hidden="false" customHeight="false" outlineLevel="0" collapsed="false">
      <c r="A322" s="49" t="s">
        <v>581</v>
      </c>
      <c r="B322" s="49" t="s">
        <v>577</v>
      </c>
      <c r="C322" s="5" t="s">
        <v>1479</v>
      </c>
      <c r="D322" s="6" t="s">
        <v>1480</v>
      </c>
      <c r="E322" s="6" t="s">
        <v>380</v>
      </c>
      <c r="F322" s="6" t="s">
        <v>730</v>
      </c>
      <c r="G322" s="6" t="s">
        <v>383</v>
      </c>
      <c r="H322" s="6"/>
      <c r="I322" s="26" t="n">
        <v>1</v>
      </c>
      <c r="J322" s="26" t="n">
        <f aca="false">COUNTIFS('Control Library'!$A$5:$A$50,"AI-CTRL-026",'Control Library'!$R$5:$R$50,"Implemented")</f>
        <v>0</v>
      </c>
      <c r="K322" s="43" t="str">
        <f aca="false">IF(I322=0,"No wiki control",IF(J322=I322,"Fully covered",IF(J322=0,"Not covered","Partly covered")))</f>
        <v>Not covered</v>
      </c>
      <c r="L322" s="9" t="s">
        <v>1295</v>
      </c>
    </row>
    <row r="323" customFormat="false" ht="23.85" hidden="false" customHeight="false" outlineLevel="0" collapsed="false">
      <c r="A323" s="49" t="s">
        <v>581</v>
      </c>
      <c r="B323" s="49" t="s">
        <v>577</v>
      </c>
      <c r="C323" s="5" t="s">
        <v>1481</v>
      </c>
      <c r="D323" s="6" t="s">
        <v>1482</v>
      </c>
      <c r="E323" s="6" t="s">
        <v>387</v>
      </c>
      <c r="F323" s="6" t="s">
        <v>730</v>
      </c>
      <c r="G323" s="6" t="s">
        <v>390</v>
      </c>
      <c r="H323" s="6"/>
      <c r="I323" s="26" t="n">
        <v>1</v>
      </c>
      <c r="J323" s="26" t="n">
        <f aca="false">COUNTIFS('Control Library'!$A$5:$A$50,"AI-CTRL-027",'Control Library'!$R$5:$R$50,"Implemented")</f>
        <v>0</v>
      </c>
      <c r="K323" s="43" t="str">
        <f aca="false">IF(I323=0,"No wiki control",IF(J323=I323,"Fully covered",IF(J323=0,"Not covered","Partly covered")))</f>
        <v>Not covered</v>
      </c>
      <c r="L323" s="9" t="s">
        <v>1295</v>
      </c>
    </row>
    <row r="324" customFormat="false" ht="23.85" hidden="false" customHeight="false" outlineLevel="0" collapsed="false">
      <c r="A324" s="49" t="s">
        <v>581</v>
      </c>
      <c r="B324" s="49" t="s">
        <v>577</v>
      </c>
      <c r="C324" s="5" t="s">
        <v>1483</v>
      </c>
      <c r="D324" s="6" t="s">
        <v>1484</v>
      </c>
      <c r="E324" s="6" t="s">
        <v>1485</v>
      </c>
      <c r="F324" s="6" t="s">
        <v>730</v>
      </c>
      <c r="G324" s="6" t="s">
        <v>1486</v>
      </c>
      <c r="H324" s="6"/>
      <c r="I324" s="26" t="n">
        <v>3</v>
      </c>
      <c r="J324" s="26" t="n">
        <f aca="false">COUNTIFS('Control Library'!$A$5:$A$50,"AI-CTRL-005",'Control Library'!$R$5:$R$50,"Implemented")+COUNTIFS('Control Library'!$A$5:$A$50,"AI-CTRL-020",'Control Library'!$R$5:$R$50,"Implemented")+COUNTIFS('Control Library'!$A$5:$A$50,"AI-CTRL-022",'Control Library'!$R$5:$R$50,"Implemented")</f>
        <v>0</v>
      </c>
      <c r="K324" s="43" t="str">
        <f aca="false">IF(I324=0,"No wiki control",IF(J324=I324,"Fully covered",IF(J324=0,"Not covered","Partly covered")))</f>
        <v>Not covered</v>
      </c>
      <c r="L324" s="9" t="s">
        <v>1295</v>
      </c>
    </row>
    <row r="325" customFormat="false" ht="23.85" hidden="false" customHeight="false" outlineLevel="0" collapsed="false">
      <c r="A325" s="49" t="s">
        <v>581</v>
      </c>
      <c r="B325" s="49" t="s">
        <v>577</v>
      </c>
      <c r="C325" s="5" t="s">
        <v>1487</v>
      </c>
      <c r="D325" s="6" t="s">
        <v>1488</v>
      </c>
      <c r="E325" s="6" t="s">
        <v>339</v>
      </c>
      <c r="F325" s="6" t="s">
        <v>730</v>
      </c>
      <c r="G325" s="6" t="s">
        <v>343</v>
      </c>
      <c r="H325" s="6"/>
      <c r="I325" s="26" t="n">
        <v>1</v>
      </c>
      <c r="J325" s="26" t="n">
        <f aca="false">COUNTIFS('Control Library'!$A$5:$A$50,"AI-CTRL-021",'Control Library'!$R$5:$R$50,"Implemented")</f>
        <v>0</v>
      </c>
      <c r="K325" s="43" t="str">
        <f aca="false">IF(I325=0,"No wiki control",IF(J325=I325,"Fully covered",IF(J325=0,"Not covered","Partly covered")))</f>
        <v>Not covered</v>
      </c>
      <c r="L325" s="9" t="s">
        <v>1295</v>
      </c>
    </row>
    <row r="326" customFormat="false" ht="23.85" hidden="false" customHeight="false" outlineLevel="0" collapsed="false">
      <c r="A326" s="49" t="s">
        <v>581</v>
      </c>
      <c r="B326" s="49" t="s">
        <v>577</v>
      </c>
      <c r="C326" s="5" t="s">
        <v>1489</v>
      </c>
      <c r="D326" s="6" t="s">
        <v>1490</v>
      </c>
      <c r="E326" s="6" t="s">
        <v>444</v>
      </c>
      <c r="F326" s="6" t="s">
        <v>730</v>
      </c>
      <c r="G326" s="6" t="s">
        <v>447</v>
      </c>
      <c r="H326" s="6"/>
      <c r="I326" s="26" t="n">
        <v>1</v>
      </c>
      <c r="J326" s="26" t="n">
        <f aca="false">COUNTIFS('Control Library'!$A$5:$A$50,"AI-CTRL-034",'Control Library'!$R$5:$R$50,"Implemented")</f>
        <v>0</v>
      </c>
      <c r="K326" s="43" t="str">
        <f aca="false">IF(I326=0,"No wiki control",IF(J326=I326,"Fully covered",IF(J326=0,"Not covered","Partly covered")))</f>
        <v>Not covered</v>
      </c>
      <c r="L326" s="9" t="s">
        <v>1295</v>
      </c>
    </row>
    <row r="327" customFormat="false" ht="23.85" hidden="false" customHeight="false" outlineLevel="0" collapsed="false">
      <c r="A327" s="49" t="s">
        <v>581</v>
      </c>
      <c r="B327" s="49" t="s">
        <v>577</v>
      </c>
      <c r="C327" s="5" t="s">
        <v>1491</v>
      </c>
      <c r="D327" s="6" t="s">
        <v>1492</v>
      </c>
      <c r="E327" s="6" t="s">
        <v>914</v>
      </c>
      <c r="F327" s="6" t="s">
        <v>730</v>
      </c>
      <c r="G327" s="6" t="s">
        <v>1493</v>
      </c>
      <c r="H327" s="6"/>
      <c r="I327" s="26" t="n">
        <v>3</v>
      </c>
      <c r="J327" s="26" t="n">
        <f aca="false">COUNTIFS('Control Library'!$A$5:$A$50,"AI-CTRL-025",'Control Library'!$R$5:$R$50,"Implemented")+COUNTIFS('Control Library'!$A$5:$A$50,"AI-CTRL-036",'Control Library'!$R$5:$R$50,"Implemented")+COUNTIFS('Control Library'!$A$5:$A$50,"AI-CTRL-040",'Control Library'!$R$5:$R$50,"Implemented")</f>
        <v>0</v>
      </c>
      <c r="K327" s="43" t="str">
        <f aca="false">IF(I327=0,"No wiki control",IF(J327=I327,"Fully covered",IF(J327=0,"Not covered","Partly covered")))</f>
        <v>Not covered</v>
      </c>
      <c r="L327" s="9" t="s">
        <v>1295</v>
      </c>
    </row>
    <row r="328" customFormat="false" ht="23.85" hidden="false" customHeight="false" outlineLevel="0" collapsed="false">
      <c r="A328" s="49" t="s">
        <v>581</v>
      </c>
      <c r="B328" s="49" t="s">
        <v>577</v>
      </c>
      <c r="C328" s="5" t="s">
        <v>1494</v>
      </c>
      <c r="D328" s="6" t="s">
        <v>1495</v>
      </c>
      <c r="E328" s="6" t="s">
        <v>371</v>
      </c>
      <c r="F328" s="6" t="s">
        <v>730</v>
      </c>
      <c r="G328" s="6" t="s">
        <v>375</v>
      </c>
      <c r="H328" s="6"/>
      <c r="I328" s="26" t="n">
        <v>1</v>
      </c>
      <c r="J328" s="26" t="n">
        <f aca="false">COUNTIFS('Control Library'!$A$5:$A$50,"AI-CTRL-025",'Control Library'!$R$5:$R$50,"Implemented")</f>
        <v>0</v>
      </c>
      <c r="K328" s="43" t="str">
        <f aca="false">IF(I328=0,"No wiki control",IF(J328=I328,"Fully covered",IF(J328=0,"Not covered","Partly covered")))</f>
        <v>Not covered</v>
      </c>
      <c r="L328" s="9" t="s">
        <v>1295</v>
      </c>
    </row>
    <row r="329" customFormat="false" ht="23.85" hidden="false" customHeight="false" outlineLevel="0" collapsed="false">
      <c r="A329" s="49" t="s">
        <v>581</v>
      </c>
      <c r="B329" s="49" t="s">
        <v>577</v>
      </c>
      <c r="C329" s="5" t="s">
        <v>1496</v>
      </c>
      <c r="D329" s="6" t="s">
        <v>1497</v>
      </c>
      <c r="E329" s="6" t="s">
        <v>209</v>
      </c>
      <c r="F329" s="6" t="s">
        <v>730</v>
      </c>
      <c r="G329" s="6" t="s">
        <v>214</v>
      </c>
      <c r="H329" s="6"/>
      <c r="I329" s="26" t="n">
        <v>1</v>
      </c>
      <c r="J329" s="26" t="n">
        <f aca="false">COUNTIFS('Control Library'!$A$5:$A$50,"AI-CTRL-006",'Control Library'!$R$5:$R$50,"Implemented")</f>
        <v>0</v>
      </c>
      <c r="K329" s="43" t="str">
        <f aca="false">IF(I329=0,"No wiki control",IF(J329=I329,"Fully covered",IF(J329=0,"Not covered","Partly covered")))</f>
        <v>Not covered</v>
      </c>
      <c r="L329" s="9" t="s">
        <v>1295</v>
      </c>
    </row>
    <row r="330" customFormat="false" ht="46.25" hidden="false" customHeight="false" outlineLevel="0" collapsed="false">
      <c r="A330" s="49" t="s">
        <v>582</v>
      </c>
      <c r="B330" s="49" t="s">
        <v>577</v>
      </c>
      <c r="C330" s="5" t="s">
        <v>1498</v>
      </c>
      <c r="D330" s="6" t="s">
        <v>1499</v>
      </c>
      <c r="E330" s="6" t="s">
        <v>1500</v>
      </c>
      <c r="F330" s="6" t="s">
        <v>730</v>
      </c>
      <c r="G330" s="6" t="s">
        <v>1501</v>
      </c>
      <c r="H330" s="6"/>
      <c r="I330" s="26" t="n">
        <v>7</v>
      </c>
      <c r="J330" s="26" t="n">
        <f aca="false">COUNTIFS('Control Library'!$A$5:$A$50,"AI-CTRL-006",'Control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f>
        <v>0</v>
      </c>
      <c r="K330" s="43" t="str">
        <f aca="false">IF(I330=0,"No wiki control",IF(J330=I330,"Fully covered",IF(J330=0,"Not covered","Partly covered")))</f>
        <v>Not covered</v>
      </c>
      <c r="L330" s="9" t="s">
        <v>1502</v>
      </c>
    </row>
    <row r="331" customFormat="false" ht="23.85" hidden="false" customHeight="false" outlineLevel="0" collapsed="false">
      <c r="A331" s="49" t="s">
        <v>582</v>
      </c>
      <c r="B331" s="49" t="s">
        <v>577</v>
      </c>
      <c r="C331" s="5" t="s">
        <v>1503</v>
      </c>
      <c r="D331" s="6" t="s">
        <v>1504</v>
      </c>
      <c r="E331" s="6" t="s">
        <v>444</v>
      </c>
      <c r="F331" s="6" t="s">
        <v>730</v>
      </c>
      <c r="G331" s="6" t="s">
        <v>447</v>
      </c>
      <c r="H331" s="6"/>
      <c r="I331" s="26" t="n">
        <v>1</v>
      </c>
      <c r="J331" s="26" t="n">
        <f aca="false">COUNTIFS('Control Library'!$A$5:$A$50,"AI-CTRL-034",'Control Library'!$R$5:$R$50,"Implemented")</f>
        <v>0</v>
      </c>
      <c r="K331" s="43" t="str">
        <f aca="false">IF(I331=0,"No wiki control",IF(J331=I331,"Fully covered",IF(J331=0,"Not covered","Partly covered")))</f>
        <v>Not covered</v>
      </c>
      <c r="L331" s="9" t="s">
        <v>1502</v>
      </c>
    </row>
    <row r="332" customFormat="false" ht="23.85" hidden="false" customHeight="false" outlineLevel="0" collapsed="false">
      <c r="A332" s="49" t="s">
        <v>582</v>
      </c>
      <c r="B332" s="49" t="s">
        <v>577</v>
      </c>
      <c r="C332" s="5" t="s">
        <v>1505</v>
      </c>
      <c r="D332" s="6" t="s">
        <v>1506</v>
      </c>
      <c r="E332" s="6"/>
      <c r="F332" s="6" t="s">
        <v>640</v>
      </c>
      <c r="G332" s="6"/>
      <c r="H332" s="6"/>
      <c r="I332" s="26" t="n">
        <v>0</v>
      </c>
      <c r="J332" s="26" t="n">
        <f aca="false">0</f>
        <v>0</v>
      </c>
      <c r="K332" s="43" t="str">
        <f aca="false">IF(I332=0,"No wiki control",IF(J332=I332,"Fully covered",IF(J332=0,"Not covered","Partly covered")))</f>
        <v>No wiki control</v>
      </c>
      <c r="L332" s="9" t="s">
        <v>1502</v>
      </c>
    </row>
    <row r="333" customFormat="false" ht="23.85" hidden="false" customHeight="false" outlineLevel="0" collapsed="false">
      <c r="A333" s="49" t="s">
        <v>582</v>
      </c>
      <c r="B333" s="49" t="s">
        <v>577</v>
      </c>
      <c r="C333" s="5" t="s">
        <v>1507</v>
      </c>
      <c r="D333" s="6" t="s">
        <v>1508</v>
      </c>
      <c r="E333" s="6" t="s">
        <v>1509</v>
      </c>
      <c r="F333" s="6" t="s">
        <v>730</v>
      </c>
      <c r="G333" s="6" t="s">
        <v>424</v>
      </c>
      <c r="H333" s="6"/>
      <c r="I333" s="26" t="n">
        <v>3</v>
      </c>
      <c r="J333" s="26" t="n">
        <f aca="false">COUNTIFS('Control Library'!$A$5:$A$50,"AI-CTRL-028",'Control Library'!$R$5:$R$50,"Implemented")+COUNTIFS('Control Library'!$A$5:$A$50,"AI-CTRL-030",'Control Library'!$R$5:$R$50,"Implemented")+COUNTIFS('Control Library'!$A$5:$A$50,"AI-CTRL-031",'Control Library'!$R$5:$R$50,"Implemented")</f>
        <v>0</v>
      </c>
      <c r="K333" s="43" t="str">
        <f aca="false">IF(I333=0,"No wiki control",IF(J333=I333,"Fully covered",IF(J333=0,"Not covered","Partly covered")))</f>
        <v>Not covered</v>
      </c>
      <c r="L333" s="9" t="s">
        <v>1502</v>
      </c>
    </row>
    <row r="334" customFormat="false" ht="23.85" hidden="false" customHeight="false" outlineLevel="0" collapsed="false">
      <c r="A334" s="49" t="s">
        <v>582</v>
      </c>
      <c r="B334" s="49" t="s">
        <v>577</v>
      </c>
      <c r="C334" s="5" t="s">
        <v>1510</v>
      </c>
      <c r="D334" s="6" t="s">
        <v>1511</v>
      </c>
      <c r="E334" s="6" t="s">
        <v>1512</v>
      </c>
      <c r="F334" s="6" t="s">
        <v>730</v>
      </c>
      <c r="G334" s="6" t="s">
        <v>1513</v>
      </c>
      <c r="H334" s="6"/>
      <c r="I334" s="26" t="n">
        <v>2</v>
      </c>
      <c r="J334" s="26" t="n">
        <f aca="false">COUNTIFS('Control Library'!$A$5:$A$50,"AI-CTRL-029",'Control Library'!$R$5:$R$50,"Implemented")+COUNTIFS('Control Library'!$A$5:$A$50,"AI-CTRL-034",'Control Library'!$R$5:$R$50,"Implemented")</f>
        <v>0</v>
      </c>
      <c r="K334" s="43" t="str">
        <f aca="false">IF(I334=0,"No wiki control",IF(J334=I334,"Fully covered",IF(J334=0,"Not covered","Partly covered")))</f>
        <v>Not covered</v>
      </c>
      <c r="L334" s="9" t="s">
        <v>1502</v>
      </c>
    </row>
    <row r="335" customFormat="false" ht="23.85" hidden="false" customHeight="false" outlineLevel="0" collapsed="false">
      <c r="A335" s="49" t="s">
        <v>582</v>
      </c>
      <c r="B335" s="49" t="s">
        <v>577</v>
      </c>
      <c r="C335" s="5" t="s">
        <v>1514</v>
      </c>
      <c r="D335" s="6" t="s">
        <v>1515</v>
      </c>
      <c r="E335" s="6" t="s">
        <v>1516</v>
      </c>
      <c r="F335" s="6" t="s">
        <v>730</v>
      </c>
      <c r="G335" s="6" t="s">
        <v>1513</v>
      </c>
      <c r="H335" s="6"/>
      <c r="I335" s="26" t="n">
        <v>3</v>
      </c>
      <c r="J335" s="26" t="n">
        <f aca="false">COUNTIFS('Control Library'!$A$5:$A$50,"AI-CTRL-019",'Control Library'!$R$5:$R$50,"Implemented")+COUNTIFS('Control Library'!$A$5:$A$50,"AI-CTRL-029",'Control Library'!$R$5:$R$50,"Implemented")+COUNTIFS('Control Library'!$A$5:$A$50,"AI-CTRL-034",'Control Library'!$R$5:$R$50,"Implemented")</f>
        <v>0</v>
      </c>
      <c r="K335" s="43" t="str">
        <f aca="false">IF(I335=0,"No wiki control",IF(J335=I335,"Fully covered",IF(J335=0,"Not covered","Partly covered")))</f>
        <v>Not covered</v>
      </c>
      <c r="L335" s="9" t="s">
        <v>1502</v>
      </c>
    </row>
    <row r="336" customFormat="false" ht="23.85" hidden="false" customHeight="false" outlineLevel="0" collapsed="false">
      <c r="A336" s="49" t="s">
        <v>582</v>
      </c>
      <c r="B336" s="49" t="s">
        <v>577</v>
      </c>
      <c r="C336" s="5" t="s">
        <v>1517</v>
      </c>
      <c r="D336" s="6" t="s">
        <v>1518</v>
      </c>
      <c r="E336" s="6" t="s">
        <v>771</v>
      </c>
      <c r="F336" s="6" t="s">
        <v>730</v>
      </c>
      <c r="G336" s="6" t="s">
        <v>772</v>
      </c>
      <c r="H336" s="6"/>
      <c r="I336" s="26" t="n">
        <v>2</v>
      </c>
      <c r="J336" s="26" t="n">
        <f aca="false">COUNTIFS('Control Library'!$A$5:$A$50,"AI-CTRL-036",'Control Library'!$R$5:$R$50,"Implemented")+COUNTIFS('Control Library'!$A$5:$A$50,"AI-CTRL-040",'Control Library'!$R$5:$R$50,"Implemented")</f>
        <v>0</v>
      </c>
      <c r="K336" s="43" t="str">
        <f aca="false">IF(I336=0,"No wiki control",IF(J336=I336,"Fully covered",IF(J336=0,"Not covered","Partly covered")))</f>
        <v>Not covered</v>
      </c>
      <c r="L336" s="9" t="s">
        <v>1502</v>
      </c>
    </row>
    <row r="337" customFormat="false" ht="23.85" hidden="false" customHeight="false" outlineLevel="0" collapsed="false">
      <c r="A337" s="49" t="s">
        <v>582</v>
      </c>
      <c r="B337" s="49" t="s">
        <v>577</v>
      </c>
      <c r="C337" s="5" t="s">
        <v>1519</v>
      </c>
      <c r="D337" s="6" t="s">
        <v>1520</v>
      </c>
      <c r="E337" s="6" t="s">
        <v>1521</v>
      </c>
      <c r="F337" s="6" t="s">
        <v>730</v>
      </c>
      <c r="G337" s="6" t="s">
        <v>1522</v>
      </c>
      <c r="H337" s="6"/>
      <c r="I337" s="26" t="n">
        <v>4</v>
      </c>
      <c r="J337" s="26" t="n">
        <f aca="false">COUNTIFS('Control Library'!$A$5:$A$50,"AI-CTRL-005",'Control Library'!$R$5:$R$50,"Implemented")+COUNTIFS('Control Library'!$A$5:$A$50,"AI-CTRL-019",'Control Library'!$R$5:$R$50,"Implemented")+COUNTIFS('Control Library'!$A$5:$A$50,"AI-CTRL-022",'Control Library'!$R$5:$R$50,"Implemented")+COUNTIFS('Control Library'!$A$5:$A$50,"AI-CTRL-026",'Control Library'!$R$5:$R$50,"Implemented")</f>
        <v>0</v>
      </c>
      <c r="K337" s="43" t="str">
        <f aca="false">IF(I337=0,"No wiki control",IF(J337=I337,"Fully covered",IF(J337=0,"Not covered","Partly covered")))</f>
        <v>Not covered</v>
      </c>
      <c r="L337" s="9" t="s">
        <v>1502</v>
      </c>
    </row>
    <row r="338" customFormat="false" ht="35.05" hidden="false" customHeight="false" outlineLevel="0" collapsed="false">
      <c r="A338" s="49" t="s">
        <v>582</v>
      </c>
      <c r="B338" s="49" t="s">
        <v>577</v>
      </c>
      <c r="C338" s="5" t="s">
        <v>1523</v>
      </c>
      <c r="D338" s="6" t="s">
        <v>1524</v>
      </c>
      <c r="E338" s="6" t="s">
        <v>1525</v>
      </c>
      <c r="F338" s="6" t="s">
        <v>730</v>
      </c>
      <c r="G338" s="6" t="s">
        <v>1526</v>
      </c>
      <c r="H338" s="6"/>
      <c r="I338" s="26" t="n">
        <v>3</v>
      </c>
      <c r="J338" s="26" t="n">
        <f aca="false">COUNTIFS('Control Library'!$A$5:$A$50,"AI-CTRL-002",'Control Library'!$R$5:$R$50,"Implemented")+COUNTIFS('Control Library'!$A$5:$A$50,"AI-CTRL-005",'Control Library'!$R$5:$R$50,"Implemented")+COUNTIFS('Control Library'!$A$5:$A$50,"AI-CTRL-034",'Control Library'!$R$5:$R$50,"Implemented")</f>
        <v>0</v>
      </c>
      <c r="K338" s="43" t="str">
        <f aca="false">IF(I338=0,"No wiki control",IF(J338=I338,"Fully covered",IF(J338=0,"Not covered","Partly covered")))</f>
        <v>Not covered</v>
      </c>
      <c r="L338" s="9" t="s">
        <v>1502</v>
      </c>
    </row>
    <row r="339" customFormat="false" ht="23.85" hidden="false" customHeight="false" outlineLevel="0" collapsed="false">
      <c r="A339" s="49" t="s">
        <v>582</v>
      </c>
      <c r="B339" s="49" t="s">
        <v>577</v>
      </c>
      <c r="C339" s="5" t="s">
        <v>1527</v>
      </c>
      <c r="D339" s="6" t="s">
        <v>1528</v>
      </c>
      <c r="E339" s="6" t="s">
        <v>1529</v>
      </c>
      <c r="F339" s="6" t="s">
        <v>730</v>
      </c>
      <c r="G339" s="6" t="s">
        <v>776</v>
      </c>
      <c r="H339" s="6"/>
      <c r="I339" s="26" t="n">
        <v>3</v>
      </c>
      <c r="J339" s="26" t="n">
        <f aca="false">COUNTIFS('Control Library'!$A$5:$A$50,"AI-CTRL-029",'Control Library'!$R$5:$R$50,"Implemented")+COUNTIFS('Control Library'!$A$5:$A$50,"AI-CTRL-031",'Control Library'!$R$5:$R$50,"Implemented")+COUNTIFS('Control Library'!$A$5:$A$50,"AI-CTRL-034",'Control Library'!$R$5:$R$50,"Implemented")</f>
        <v>0</v>
      </c>
      <c r="K339" s="43" t="str">
        <f aca="false">IF(I339=0,"No wiki control",IF(J339=I339,"Fully covered",IF(J339=0,"Not covered","Partly covered")))</f>
        <v>Not covered</v>
      </c>
      <c r="L339" s="9" t="s">
        <v>1502</v>
      </c>
    </row>
    <row r="340" customFormat="false" ht="35.05" hidden="false" customHeight="false" outlineLevel="0" collapsed="false">
      <c r="A340" s="49" t="s">
        <v>582</v>
      </c>
      <c r="B340" s="49" t="s">
        <v>577</v>
      </c>
      <c r="C340" s="5" t="s">
        <v>1530</v>
      </c>
      <c r="D340" s="6" t="s">
        <v>1531</v>
      </c>
      <c r="E340" s="6" t="s">
        <v>1532</v>
      </c>
      <c r="F340" s="6" t="s">
        <v>730</v>
      </c>
      <c r="G340" s="6" t="s">
        <v>1533</v>
      </c>
      <c r="H340" s="6"/>
      <c r="I340" s="26" t="n">
        <v>3</v>
      </c>
      <c r="J340" s="26" t="n">
        <f aca="false">COUNTIFS('Control Library'!$A$5:$A$50,"AI-CTRL-005",'Control Library'!$R$5:$R$50,"Implemented")+COUNTIFS('Control Library'!$A$5:$A$50,"AI-CTRL-021",'Control Library'!$R$5:$R$50,"Implemented")+COUNTIFS('Control Library'!$A$5:$A$50,"AI-CTRL-034",'Control Library'!$R$5:$R$50,"Implemented")</f>
        <v>0</v>
      </c>
      <c r="K340" s="43" t="str">
        <f aca="false">IF(I340=0,"No wiki control",IF(J340=I340,"Fully covered",IF(J340=0,"Not covered","Partly covered")))</f>
        <v>Not covered</v>
      </c>
      <c r="L340" s="9" t="s">
        <v>1502</v>
      </c>
    </row>
    <row r="341" customFormat="false" ht="23.85" hidden="false" customHeight="false" outlineLevel="0" collapsed="false">
      <c r="A341" s="49" t="s">
        <v>582</v>
      </c>
      <c r="B341" s="49" t="s">
        <v>577</v>
      </c>
      <c r="C341" s="5" t="s">
        <v>1534</v>
      </c>
      <c r="D341" s="6" t="s">
        <v>1535</v>
      </c>
      <c r="E341" s="6" t="s">
        <v>1529</v>
      </c>
      <c r="F341" s="6" t="s">
        <v>730</v>
      </c>
      <c r="G341" s="6" t="s">
        <v>776</v>
      </c>
      <c r="H341" s="6"/>
      <c r="I341" s="26" t="n">
        <v>3</v>
      </c>
      <c r="J341" s="26" t="n">
        <f aca="false">COUNTIFS('Control Library'!$A$5:$A$50,"AI-CTRL-029",'Control Library'!$R$5:$R$50,"Implemented")+COUNTIFS('Control Library'!$A$5:$A$50,"AI-CTRL-031",'Control Library'!$R$5:$R$50,"Implemented")+COUNTIFS('Control Library'!$A$5:$A$50,"AI-CTRL-034",'Control Library'!$R$5:$R$50,"Implemented")</f>
        <v>0</v>
      </c>
      <c r="K341" s="43" t="str">
        <f aca="false">IF(I341=0,"No wiki control",IF(J341=I341,"Fully covered",IF(J341=0,"Not covered","Partly covered")))</f>
        <v>Not covered</v>
      </c>
      <c r="L341" s="9" t="s">
        <v>1502</v>
      </c>
    </row>
    <row r="342" customFormat="false" ht="23.85" hidden="false" customHeight="false" outlineLevel="0" collapsed="false">
      <c r="A342" s="49" t="s">
        <v>582</v>
      </c>
      <c r="B342" s="49" t="s">
        <v>577</v>
      </c>
      <c r="C342" s="5" t="s">
        <v>1536</v>
      </c>
      <c r="D342" s="6" t="s">
        <v>1537</v>
      </c>
      <c r="E342" s="6" t="s">
        <v>1516</v>
      </c>
      <c r="F342" s="6" t="s">
        <v>730</v>
      </c>
      <c r="G342" s="6" t="s">
        <v>1513</v>
      </c>
      <c r="H342" s="6"/>
      <c r="I342" s="26" t="n">
        <v>3</v>
      </c>
      <c r="J342" s="26" t="n">
        <f aca="false">COUNTIFS('Control Library'!$A$5:$A$50,"AI-CTRL-019",'Control Library'!$R$5:$R$50,"Implemented")+COUNTIFS('Control Library'!$A$5:$A$50,"AI-CTRL-029",'Control Library'!$R$5:$R$50,"Implemented")+COUNTIFS('Control Library'!$A$5:$A$50,"AI-CTRL-034",'Control Library'!$R$5:$R$50,"Implemented")</f>
        <v>0</v>
      </c>
      <c r="K342" s="43" t="str">
        <f aca="false">IF(I342=0,"No wiki control",IF(J342=I342,"Fully covered",IF(J342=0,"Not covered","Partly covered")))</f>
        <v>Not covered</v>
      </c>
      <c r="L342" s="9" t="s">
        <v>1502</v>
      </c>
    </row>
    <row r="343" customFormat="false" ht="35.05" hidden="false" customHeight="false" outlineLevel="0" collapsed="false">
      <c r="A343" s="49" t="s">
        <v>582</v>
      </c>
      <c r="B343" s="49" t="s">
        <v>577</v>
      </c>
      <c r="C343" s="5" t="s">
        <v>1538</v>
      </c>
      <c r="D343" s="6" t="s">
        <v>1539</v>
      </c>
      <c r="E343" s="6" t="s">
        <v>1540</v>
      </c>
      <c r="F343" s="6" t="s">
        <v>730</v>
      </c>
      <c r="G343" s="6" t="s">
        <v>1541</v>
      </c>
      <c r="H343" s="6"/>
      <c r="I343" s="26" t="n">
        <v>3</v>
      </c>
      <c r="J343" s="26" t="n">
        <f aca="false">COUNTIFS('Control Library'!$A$5:$A$50,"AI-CTRL-005",'Control Library'!$R$5:$R$50,"Implemented")+COUNTIFS('Control Library'!$A$5:$A$50,"AI-CTRL-034",'Control Library'!$R$5:$R$50,"Implemented")+COUNTIFS('Control Library'!$A$5:$A$50,"AI-CTRL-036",'Control Library'!$R$5:$R$50,"Implemented")</f>
        <v>0</v>
      </c>
      <c r="K343" s="43" t="str">
        <f aca="false">IF(I343=0,"No wiki control",IF(J343=I343,"Fully covered",IF(J343=0,"Not covered","Partly covered")))</f>
        <v>Not covered</v>
      </c>
      <c r="L343" s="9" t="s">
        <v>1502</v>
      </c>
    </row>
    <row r="344" customFormat="false" ht="23.85" hidden="false" customHeight="false" outlineLevel="0" collapsed="false">
      <c r="A344" s="49" t="s">
        <v>582</v>
      </c>
      <c r="B344" s="49" t="s">
        <v>577</v>
      </c>
      <c r="C344" s="5" t="s">
        <v>1542</v>
      </c>
      <c r="D344" s="6" t="s">
        <v>1508</v>
      </c>
      <c r="E344" s="6" t="s">
        <v>1509</v>
      </c>
      <c r="F344" s="6" t="s">
        <v>730</v>
      </c>
      <c r="G344" s="6" t="s">
        <v>424</v>
      </c>
      <c r="H344" s="6"/>
      <c r="I344" s="26" t="n">
        <v>3</v>
      </c>
      <c r="J344" s="26" t="n">
        <f aca="false">COUNTIFS('Control Library'!$A$5:$A$50,"AI-CTRL-028",'Control Library'!$R$5:$R$50,"Implemented")+COUNTIFS('Control Library'!$A$5:$A$50,"AI-CTRL-030",'Control Library'!$R$5:$R$50,"Implemented")+COUNTIFS('Control Library'!$A$5:$A$50,"AI-CTRL-031",'Control Library'!$R$5:$R$50,"Implemented")</f>
        <v>0</v>
      </c>
      <c r="K344" s="43" t="str">
        <f aca="false">IF(I344=0,"No wiki control",IF(J344=I344,"Fully covered",IF(J344=0,"Not covered","Partly covered")))</f>
        <v>Not covered</v>
      </c>
      <c r="L344" s="9" t="s">
        <v>1502</v>
      </c>
    </row>
    <row r="345" customFormat="false" ht="35.05" hidden="false" customHeight="false" outlineLevel="0" collapsed="false">
      <c r="A345" s="49" t="s">
        <v>582</v>
      </c>
      <c r="B345" s="49" t="s">
        <v>577</v>
      </c>
      <c r="C345" s="5" t="s">
        <v>1543</v>
      </c>
      <c r="D345" s="6" t="s">
        <v>1544</v>
      </c>
      <c r="E345" s="6" t="s">
        <v>1545</v>
      </c>
      <c r="F345" s="6" t="s">
        <v>730</v>
      </c>
      <c r="G345" s="6" t="s">
        <v>740</v>
      </c>
      <c r="H345" s="6"/>
      <c r="I345" s="26" t="n">
        <v>3</v>
      </c>
      <c r="J345" s="26" t="n">
        <f aca="false">COUNTIFS('Control Library'!$A$5:$A$50,"AI-CTRL-034",'Control Library'!$R$5:$R$50,"Implemented")+COUNTIFS('Control Library'!$A$5:$A$50,"AI-CTRL-039",'Control Library'!$R$5:$R$50,"Implemented")+COUNTIFS('Control Library'!$A$5:$A$50,"AI-CTRL-045",'Control Library'!$R$5:$R$50,"Implemented")</f>
        <v>0</v>
      </c>
      <c r="K345" s="43" t="str">
        <f aca="false">IF(I345=0,"No wiki control",IF(J345=I345,"Fully covered",IF(J345=0,"Not covered","Partly covered")))</f>
        <v>Not covered</v>
      </c>
      <c r="L345" s="9" t="s">
        <v>1502</v>
      </c>
    </row>
    <row r="346" customFormat="false" ht="23.85" hidden="false" customHeight="false" outlineLevel="0" collapsed="false">
      <c r="A346" s="49" t="s">
        <v>582</v>
      </c>
      <c r="B346" s="49" t="s">
        <v>577</v>
      </c>
      <c r="C346" s="5" t="s">
        <v>1546</v>
      </c>
      <c r="D346" s="6" t="s">
        <v>1547</v>
      </c>
      <c r="E346" s="6" t="s">
        <v>1421</v>
      </c>
      <c r="F346" s="6" t="s">
        <v>730</v>
      </c>
      <c r="G346" s="6" t="s">
        <v>1422</v>
      </c>
      <c r="H346" s="6"/>
      <c r="I346" s="26" t="n">
        <v>2</v>
      </c>
      <c r="J346" s="26" t="n">
        <f aca="false">COUNTIFS('Control Library'!$A$5:$A$50,"AI-CTRL-028",'Control Library'!$R$5:$R$50,"Implemented")+COUNTIFS('Control Library'!$A$5:$A$50,"AI-CTRL-036",'Control Library'!$R$5:$R$50,"Implemented")</f>
        <v>0</v>
      </c>
      <c r="K346" s="43" t="str">
        <f aca="false">IF(I346=0,"No wiki control",IF(J346=I346,"Fully covered",IF(J346=0,"Not covered","Partly covered")))</f>
        <v>Not covered</v>
      </c>
      <c r="L346" s="9" t="s">
        <v>1502</v>
      </c>
    </row>
    <row r="347" customFormat="false" ht="35.05" hidden="false" customHeight="false" outlineLevel="0" collapsed="false">
      <c r="A347" s="49" t="s">
        <v>582</v>
      </c>
      <c r="B347" s="49" t="s">
        <v>577</v>
      </c>
      <c r="C347" s="5" t="s">
        <v>1548</v>
      </c>
      <c r="D347" s="6" t="s">
        <v>1549</v>
      </c>
      <c r="E347" s="6" t="s">
        <v>1550</v>
      </c>
      <c r="F347" s="6" t="s">
        <v>730</v>
      </c>
      <c r="G347" s="6" t="s">
        <v>1551</v>
      </c>
      <c r="H347" s="6"/>
      <c r="I347" s="26" t="n">
        <v>3</v>
      </c>
      <c r="J347" s="26" t="n">
        <f aca="false">COUNTIFS('Control Library'!$A$5:$A$50,"AI-CTRL-017",'Control Library'!$R$5:$R$50,"Implemented")+COUNTIFS('Control Library'!$A$5:$A$50,"AI-CTRL-028",'Control Library'!$R$5:$R$50,"Implemented")+COUNTIFS('Control Library'!$A$5:$A$50,"AI-CTRL-034",'Control Library'!$R$5:$R$50,"Implemented")</f>
        <v>0</v>
      </c>
      <c r="K347" s="43" t="str">
        <f aca="false">IF(I347=0,"No wiki control",IF(J347=I347,"Fully covered",IF(J347=0,"Not covered","Partly covered")))</f>
        <v>Not covered</v>
      </c>
      <c r="L347" s="9" t="s">
        <v>1502</v>
      </c>
    </row>
    <row r="348" customFormat="false" ht="35.05" hidden="false" customHeight="false" outlineLevel="0" collapsed="false">
      <c r="A348" s="49" t="s">
        <v>582</v>
      </c>
      <c r="B348" s="49" t="s">
        <v>577</v>
      </c>
      <c r="C348" s="5" t="s">
        <v>1552</v>
      </c>
      <c r="D348" s="6" t="s">
        <v>1553</v>
      </c>
      <c r="E348" s="6" t="s">
        <v>1550</v>
      </c>
      <c r="F348" s="6" t="s">
        <v>730</v>
      </c>
      <c r="G348" s="6" t="s">
        <v>1551</v>
      </c>
      <c r="H348" s="6"/>
      <c r="I348" s="26" t="n">
        <v>3</v>
      </c>
      <c r="J348" s="26" t="n">
        <f aca="false">COUNTIFS('Control Library'!$A$5:$A$50,"AI-CTRL-017",'Control Library'!$R$5:$R$50,"Implemented")+COUNTIFS('Control Library'!$A$5:$A$50,"AI-CTRL-028",'Control Library'!$R$5:$R$50,"Implemented")+COUNTIFS('Control Library'!$A$5:$A$50,"AI-CTRL-034",'Control Library'!$R$5:$R$50,"Implemented")</f>
        <v>0</v>
      </c>
      <c r="K348" s="43" t="str">
        <f aca="false">IF(I348=0,"No wiki control",IF(J348=I348,"Fully covered",IF(J348=0,"Not covered","Partly covered")))</f>
        <v>Not covered</v>
      </c>
      <c r="L348" s="9" t="s">
        <v>1502</v>
      </c>
    </row>
    <row r="349" customFormat="false" ht="23.85" hidden="false" customHeight="false" outlineLevel="0" collapsed="false">
      <c r="A349" s="49" t="s">
        <v>582</v>
      </c>
      <c r="B349" s="49" t="s">
        <v>577</v>
      </c>
      <c r="C349" s="5" t="s">
        <v>1554</v>
      </c>
      <c r="D349" s="6" t="s">
        <v>1555</v>
      </c>
      <c r="E349" s="6" t="s">
        <v>1556</v>
      </c>
      <c r="F349" s="6" t="s">
        <v>730</v>
      </c>
      <c r="G349" s="6" t="s">
        <v>1557</v>
      </c>
      <c r="H349" s="6"/>
      <c r="I349" s="26" t="n">
        <v>2</v>
      </c>
      <c r="J349" s="26" t="n">
        <f aca="false">COUNTIFS('Control Library'!$A$5:$A$50,"AI-CTRL-017",'Control Library'!$R$5:$R$50,"Implemented")+COUNTIFS('Control Library'!$A$5:$A$50,"AI-CTRL-028",'Control Library'!$R$5:$R$50,"Implemented")</f>
        <v>0</v>
      </c>
      <c r="K349" s="43" t="str">
        <f aca="false">IF(I349=0,"No wiki control",IF(J349=I349,"Fully covered",IF(J349=0,"Not covered","Partly covered")))</f>
        <v>Not covered</v>
      </c>
      <c r="L349" s="9" t="s">
        <v>1502</v>
      </c>
    </row>
    <row r="350" customFormat="false" ht="23.85" hidden="false" customHeight="false" outlineLevel="0" collapsed="false">
      <c r="A350" s="49" t="s">
        <v>582</v>
      </c>
      <c r="B350" s="49" t="s">
        <v>577</v>
      </c>
      <c r="C350" s="5" t="s">
        <v>1558</v>
      </c>
      <c r="D350" s="6" t="s">
        <v>1559</v>
      </c>
      <c r="E350" s="6" t="s">
        <v>756</v>
      </c>
      <c r="F350" s="6" t="s">
        <v>730</v>
      </c>
      <c r="G350" s="6" t="s">
        <v>335</v>
      </c>
      <c r="H350" s="6"/>
      <c r="I350" s="26" t="n">
        <v>2</v>
      </c>
      <c r="J350" s="26" t="n">
        <f aca="false">COUNTIFS('Control Library'!$A$5:$A$50,"AI-CTRL-005",'Control Library'!$R$5:$R$50,"Implemented")+COUNTIFS('Control Library'!$A$5:$A$50,"AI-CTRL-020",'Control Library'!$R$5:$R$50,"Implemented")</f>
        <v>0</v>
      </c>
      <c r="K350" s="43" t="str">
        <f aca="false">IF(I350=0,"No wiki control",IF(J350=I350,"Fully covered",IF(J350=0,"Not covered","Partly covered")))</f>
        <v>Not covered</v>
      </c>
      <c r="L350" s="9" t="s">
        <v>1502</v>
      </c>
    </row>
    <row r="351" customFormat="false" ht="23.85" hidden="false" customHeight="false" outlineLevel="0" collapsed="false">
      <c r="A351" s="49" t="s">
        <v>582</v>
      </c>
      <c r="B351" s="49" t="s">
        <v>577</v>
      </c>
      <c r="C351" s="5" t="s">
        <v>1560</v>
      </c>
      <c r="D351" s="6" t="s">
        <v>1561</v>
      </c>
      <c r="E351" s="6" t="s">
        <v>1562</v>
      </c>
      <c r="F351" s="6" t="s">
        <v>730</v>
      </c>
      <c r="G351" s="6" t="s">
        <v>1563</v>
      </c>
      <c r="H351" s="6"/>
      <c r="I351" s="26" t="n">
        <v>3</v>
      </c>
      <c r="J351" s="26" t="n">
        <f aca="false">COUNTIFS('Control Library'!$A$5:$A$50,"AI-CTRL-017",'Control Library'!$R$5:$R$50,"Implemented")+COUNTIFS('Control Library'!$A$5:$A$50,"AI-CTRL-018",'Control Library'!$R$5:$R$50,"Implemented")+COUNTIFS('Control Library'!$A$5:$A$50,"AI-CTRL-020",'Control Library'!$R$5:$R$50,"Implemented")</f>
        <v>0</v>
      </c>
      <c r="K351" s="43" t="str">
        <f aca="false">IF(I351=0,"No wiki control",IF(J351=I351,"Fully covered",IF(J351=0,"Not covered","Partly covered")))</f>
        <v>Not covered</v>
      </c>
      <c r="L351" s="9" t="s">
        <v>1502</v>
      </c>
    </row>
    <row r="352" customFormat="false" ht="23.85" hidden="false" customHeight="false" outlineLevel="0" collapsed="false">
      <c r="A352" s="49" t="s">
        <v>582</v>
      </c>
      <c r="B352" s="49" t="s">
        <v>577</v>
      </c>
      <c r="C352" s="5" t="s">
        <v>1564</v>
      </c>
      <c r="D352" s="6" t="s">
        <v>1565</v>
      </c>
      <c r="E352" s="6" t="s">
        <v>1566</v>
      </c>
      <c r="F352" s="6" t="s">
        <v>730</v>
      </c>
      <c r="G352" s="6" t="s">
        <v>1557</v>
      </c>
      <c r="H352" s="6"/>
      <c r="I352" s="26" t="n">
        <v>3</v>
      </c>
      <c r="J352" s="26" t="n">
        <f aca="false">COUNTIFS('Control Library'!$A$5:$A$50,"AI-CTRL-017",'Control Library'!$R$5:$R$50,"Implemented")+COUNTIFS('Control Library'!$A$5:$A$50,"AI-CTRL-028",'Control Library'!$R$5:$R$50,"Implemented")+COUNTIFS('Control Library'!$A$5:$A$50,"AI-CTRL-029",'Control Library'!$R$5:$R$50,"Implemented")</f>
        <v>0</v>
      </c>
      <c r="K352" s="43" t="str">
        <f aca="false">IF(I352=0,"No wiki control",IF(J352=I352,"Fully covered",IF(J352=0,"Not covered","Partly covered")))</f>
        <v>Not covered</v>
      </c>
      <c r="L352" s="9" t="s">
        <v>1502</v>
      </c>
    </row>
    <row r="353" customFormat="false" ht="35.05" hidden="false" customHeight="false" outlineLevel="0" collapsed="false">
      <c r="A353" s="49" t="s">
        <v>582</v>
      </c>
      <c r="B353" s="49" t="s">
        <v>577</v>
      </c>
      <c r="C353" s="5" t="s">
        <v>1567</v>
      </c>
      <c r="D353" s="6" t="s">
        <v>1568</v>
      </c>
      <c r="E353" s="6" t="s">
        <v>1569</v>
      </c>
      <c r="F353" s="6" t="s">
        <v>730</v>
      </c>
      <c r="G353" s="6" t="s">
        <v>1570</v>
      </c>
      <c r="H353" s="6"/>
      <c r="I353" s="26" t="n">
        <v>3</v>
      </c>
      <c r="J353" s="26" t="n">
        <f aca="false">COUNTIFS('Control Library'!$A$5:$A$50,"AI-CTRL-017",'Control Library'!$R$5:$R$50,"Implemented")+COUNTIFS('Control Library'!$A$5:$A$50,"AI-CTRL-020",'Control Library'!$R$5:$R$50,"Implemented")+COUNTIFS('Control Library'!$A$5:$A$50,"AI-CTRL-028",'Control Library'!$R$5:$R$50,"Implemented")</f>
        <v>0</v>
      </c>
      <c r="K353" s="43" t="str">
        <f aca="false">IF(I353=0,"No wiki control",IF(J353=I353,"Fully covered",IF(J353=0,"Not covered","Partly covered")))</f>
        <v>Not covered</v>
      </c>
      <c r="L353" s="9" t="s">
        <v>1502</v>
      </c>
    </row>
    <row r="354" customFormat="false" ht="35.05" hidden="false" customHeight="false" outlineLevel="0" collapsed="false">
      <c r="A354" s="49" t="s">
        <v>582</v>
      </c>
      <c r="B354" s="49" t="s">
        <v>577</v>
      </c>
      <c r="C354" s="5" t="s">
        <v>1571</v>
      </c>
      <c r="D354" s="6" t="s">
        <v>1572</v>
      </c>
      <c r="E354" s="6" t="s">
        <v>1573</v>
      </c>
      <c r="F354" s="6" t="s">
        <v>730</v>
      </c>
      <c r="G354" s="6" t="s">
        <v>1574</v>
      </c>
      <c r="H354" s="6"/>
      <c r="I354" s="26" t="n">
        <v>4</v>
      </c>
      <c r="J354" s="26" t="n">
        <f aca="false">COUNTIFS('Control Library'!$A$5:$A$50,"AI-CTRL-016",'Control Library'!$R$5:$R$50,"Implemented")+COUNTIFS('Control Library'!$A$5:$A$50,"AI-CTRL-022",'Control Library'!$R$5:$R$50,"Implemented")+COUNTIFS('Control Library'!$A$5:$A$50,"AI-CTRL-024",'Control Library'!$R$5:$R$50,"Implemented")+COUNTIFS('Control Library'!$A$5:$A$50,"AI-CTRL-027",'Control Library'!$R$5:$R$50,"Implemented")</f>
        <v>0</v>
      </c>
      <c r="K354" s="43" t="str">
        <f aca="false">IF(I354=0,"No wiki control",IF(J354=I354,"Fully covered",IF(J354=0,"Not covered","Partly covered")))</f>
        <v>Not covered</v>
      </c>
      <c r="L354" s="9" t="s">
        <v>1502</v>
      </c>
    </row>
    <row r="355" customFormat="false" ht="23.85" hidden="false" customHeight="false" outlineLevel="0" collapsed="false">
      <c r="A355" s="49" t="s">
        <v>582</v>
      </c>
      <c r="B355" s="49" t="s">
        <v>577</v>
      </c>
      <c r="C355" s="5" t="s">
        <v>1575</v>
      </c>
      <c r="D355" s="6" t="s">
        <v>1576</v>
      </c>
      <c r="E355" s="6" t="s">
        <v>1509</v>
      </c>
      <c r="F355" s="6" t="s">
        <v>730</v>
      </c>
      <c r="G355" s="6" t="s">
        <v>424</v>
      </c>
      <c r="H355" s="6"/>
      <c r="I355" s="26" t="n">
        <v>3</v>
      </c>
      <c r="J355" s="26" t="n">
        <f aca="false">COUNTIFS('Control Library'!$A$5:$A$50,"AI-CTRL-028",'Control Library'!$R$5:$R$50,"Implemented")+COUNTIFS('Control Library'!$A$5:$A$50,"AI-CTRL-030",'Control Library'!$R$5:$R$50,"Implemented")+COUNTIFS('Control Library'!$A$5:$A$50,"AI-CTRL-031",'Control Library'!$R$5:$R$50,"Implemented")</f>
        <v>0</v>
      </c>
      <c r="K355" s="43" t="str">
        <f aca="false">IF(I355=0,"No wiki control",IF(J355=I355,"Fully covered",IF(J355=0,"Not covered","Partly covered")))</f>
        <v>Not covered</v>
      </c>
      <c r="L355" s="9" t="s">
        <v>1502</v>
      </c>
    </row>
    <row r="356" customFormat="false" ht="23.85" hidden="false" customHeight="false" outlineLevel="0" collapsed="false">
      <c r="A356" s="51" t="s">
        <v>583</v>
      </c>
      <c r="B356" s="51" t="s">
        <v>584</v>
      </c>
      <c r="C356" s="5" t="s">
        <v>1577</v>
      </c>
      <c r="D356" s="6" t="s">
        <v>1578</v>
      </c>
      <c r="E356" s="6" t="s">
        <v>1011</v>
      </c>
      <c r="F356" s="6" t="s">
        <v>730</v>
      </c>
      <c r="G356" s="6" t="s">
        <v>1012</v>
      </c>
      <c r="H356" s="6"/>
      <c r="I356" s="26" t="n">
        <v>2</v>
      </c>
      <c r="J356" s="26" t="n">
        <f aca="false">COUNTIFS('Control Library'!$A$5:$A$50,"AI-CTRL-010",'Control Library'!$R$5:$R$50,"Implemented")+COUNTIFS('Control Library'!$A$5:$A$50,"AI-CTRL-012",'Control Library'!$R$5:$R$50,"Implemented")</f>
        <v>0</v>
      </c>
      <c r="K356" s="43" t="str">
        <f aca="false">IF(I356=0,"No wiki control",IF(J356=I356,"Fully covered",IF(J356=0,"Not covered","Partly covered")))</f>
        <v>Not covered</v>
      </c>
      <c r="L356" s="9" t="s">
        <v>1579</v>
      </c>
    </row>
    <row r="357" customFormat="false" ht="23.85" hidden="false" customHeight="false" outlineLevel="0" collapsed="false">
      <c r="A357" s="51" t="s">
        <v>583</v>
      </c>
      <c r="B357" s="51" t="s">
        <v>584</v>
      </c>
      <c r="C357" s="5" t="s">
        <v>1580</v>
      </c>
      <c r="D357" s="6"/>
      <c r="E357" s="6"/>
      <c r="F357" s="6" t="s">
        <v>640</v>
      </c>
      <c r="G357" s="6"/>
      <c r="H357" s="6"/>
      <c r="I357" s="26" t="n">
        <v>0</v>
      </c>
      <c r="J357" s="26" t="n">
        <f aca="false">0</f>
        <v>0</v>
      </c>
      <c r="K357" s="43" t="str">
        <f aca="false">IF(I357=0,"No wiki control",IF(J357=I357,"Fully covered",IF(J357=0,"Not covered","Partly covered")))</f>
        <v>No wiki control</v>
      </c>
      <c r="L357" s="9" t="s">
        <v>1579</v>
      </c>
    </row>
    <row r="358" customFormat="false" ht="23.85" hidden="false" customHeight="false" outlineLevel="0" collapsed="false">
      <c r="A358" s="51" t="s">
        <v>583</v>
      </c>
      <c r="B358" s="51" t="s">
        <v>584</v>
      </c>
      <c r="C358" s="5" t="s">
        <v>1581</v>
      </c>
      <c r="D358" s="6" t="s">
        <v>1582</v>
      </c>
      <c r="E358" s="6" t="s">
        <v>263</v>
      </c>
      <c r="F358" s="6" t="s">
        <v>730</v>
      </c>
      <c r="G358" s="6" t="s">
        <v>266</v>
      </c>
      <c r="H358" s="6"/>
      <c r="I358" s="26" t="n">
        <v>1</v>
      </c>
      <c r="J358" s="26" t="n">
        <f aca="false">COUNTIFS('Control Library'!$A$5:$A$50,"AI-CTRL-012",'Control Library'!$R$5:$R$50,"Implemented")</f>
        <v>0</v>
      </c>
      <c r="K358" s="43" t="str">
        <f aca="false">IF(I358=0,"No wiki control",IF(J358=I358,"Fully covered",IF(J358=0,"Not covered","Partly covered")))</f>
        <v>Not covered</v>
      </c>
      <c r="L358" s="9" t="s">
        <v>1579</v>
      </c>
    </row>
    <row r="359" customFormat="false" ht="23.85" hidden="false" customHeight="false" outlineLevel="0" collapsed="false">
      <c r="A359" s="51" t="s">
        <v>583</v>
      </c>
      <c r="B359" s="51" t="s">
        <v>584</v>
      </c>
      <c r="C359" s="5" t="s">
        <v>1583</v>
      </c>
      <c r="D359" s="6" t="s">
        <v>1584</v>
      </c>
      <c r="E359" s="6" t="s">
        <v>263</v>
      </c>
      <c r="F359" s="6" t="s">
        <v>730</v>
      </c>
      <c r="G359" s="6" t="s">
        <v>266</v>
      </c>
      <c r="H359" s="6"/>
      <c r="I359" s="26" t="n">
        <v>1</v>
      </c>
      <c r="J359" s="26" t="n">
        <f aca="false">COUNTIFS('Control Library'!$A$5:$A$50,"AI-CTRL-012",'Control Library'!$R$5:$R$50,"Implemented")</f>
        <v>0</v>
      </c>
      <c r="K359" s="43" t="str">
        <f aca="false">IF(I359=0,"No wiki control",IF(J359=I359,"Fully covered",IF(J359=0,"Not covered","Partly covered")))</f>
        <v>Not covered</v>
      </c>
      <c r="L359" s="9" t="s">
        <v>1579</v>
      </c>
    </row>
    <row r="360" customFormat="false" ht="23.85" hidden="false" customHeight="false" outlineLevel="0" collapsed="false">
      <c r="A360" s="51" t="s">
        <v>583</v>
      </c>
      <c r="B360" s="51" t="s">
        <v>584</v>
      </c>
      <c r="C360" s="5" t="s">
        <v>1585</v>
      </c>
      <c r="D360" s="6" t="s">
        <v>1586</v>
      </c>
      <c r="E360" s="6" t="s">
        <v>453</v>
      </c>
      <c r="F360" s="6" t="s">
        <v>730</v>
      </c>
      <c r="G360" s="6" t="s">
        <v>456</v>
      </c>
      <c r="H360" s="6"/>
      <c r="I360" s="26" t="n">
        <v>1</v>
      </c>
      <c r="J360" s="26" t="n">
        <f aca="false">COUNTIFS('Control Library'!$A$5:$A$50,"AI-CTRL-035",'Control Library'!$R$5:$R$50,"Implemented")</f>
        <v>0</v>
      </c>
      <c r="K360" s="43" t="str">
        <f aca="false">IF(I360=0,"No wiki control",IF(J360=I360,"Fully covered",IF(J360=0,"Not covered","Partly covered")))</f>
        <v>Not covered</v>
      </c>
      <c r="L360" s="9" t="s">
        <v>1579</v>
      </c>
    </row>
    <row r="361" customFormat="false" ht="23.85" hidden="false" customHeight="false" outlineLevel="0" collapsed="false">
      <c r="A361" s="51" t="s">
        <v>583</v>
      </c>
      <c r="B361" s="51" t="s">
        <v>584</v>
      </c>
      <c r="C361" s="5" t="s">
        <v>1587</v>
      </c>
      <c r="D361" s="6" t="s">
        <v>1588</v>
      </c>
      <c r="E361" s="6" t="s">
        <v>1589</v>
      </c>
      <c r="F361" s="6" t="s">
        <v>730</v>
      </c>
      <c r="G361" s="6" t="s">
        <v>1590</v>
      </c>
      <c r="H361" s="6"/>
      <c r="I361" s="26" t="n">
        <v>4</v>
      </c>
      <c r="J361" s="26" t="n">
        <f aca="false">COUNTIFS('Control Library'!$A$5:$A$50,"AI-CTRL-001",'Control Library'!$R$5:$R$50,"Implemented")+COUNTIFS('Control Library'!$A$5:$A$50,"AI-CTRL-006",'Control Library'!$R$5:$R$50,"Implemented")+COUNTIFS('Control Library'!$A$5:$A$50,"AI-CTRL-011",'Control Library'!$R$5:$R$50,"Implemented")+COUNTIFS('Control Library'!$A$5:$A$50,"AI-CTRL-031",'Control Library'!$R$5:$R$50,"Implemented")</f>
        <v>0</v>
      </c>
      <c r="K361" s="43" t="str">
        <f aca="false">IF(I361=0,"No wiki control",IF(J361=I361,"Fully covered",IF(J361=0,"Not covered","Partly covered")))</f>
        <v>Not covered</v>
      </c>
      <c r="L361" s="9" t="s">
        <v>1579</v>
      </c>
    </row>
    <row r="362" customFormat="false" ht="23.85" hidden="false" customHeight="false" outlineLevel="0" collapsed="false">
      <c r="A362" s="51" t="s">
        <v>583</v>
      </c>
      <c r="B362" s="51" t="s">
        <v>584</v>
      </c>
      <c r="C362" s="5" t="s">
        <v>1591</v>
      </c>
      <c r="D362" s="6" t="s">
        <v>1592</v>
      </c>
      <c r="E362" s="6" t="s">
        <v>307</v>
      </c>
      <c r="F362" s="6" t="s">
        <v>730</v>
      </c>
      <c r="G362" s="6" t="s">
        <v>310</v>
      </c>
      <c r="H362" s="6"/>
      <c r="I362" s="26" t="n">
        <v>1</v>
      </c>
      <c r="J362" s="26" t="n">
        <f aca="false">COUNTIFS('Control Library'!$A$5:$A$50,"AI-CTRL-017",'Control Library'!$R$5:$R$50,"Implemented")</f>
        <v>0</v>
      </c>
      <c r="K362" s="43" t="str">
        <f aca="false">IF(I362=0,"No wiki control",IF(J362=I362,"Fully covered",IF(J362=0,"Not covered","Partly covered")))</f>
        <v>Not covered</v>
      </c>
      <c r="L362" s="9" t="s">
        <v>1579</v>
      </c>
    </row>
    <row r="363" customFormat="false" ht="23.85" hidden="false" customHeight="false" outlineLevel="0" collapsed="false">
      <c r="A363" s="51" t="s">
        <v>583</v>
      </c>
      <c r="B363" s="51" t="s">
        <v>584</v>
      </c>
      <c r="C363" s="5" t="s">
        <v>1593</v>
      </c>
      <c r="D363" s="6" t="s">
        <v>1594</v>
      </c>
      <c r="E363" s="6" t="s">
        <v>1595</v>
      </c>
      <c r="F363" s="6" t="s">
        <v>730</v>
      </c>
      <c r="G363" s="6" t="s">
        <v>1596</v>
      </c>
      <c r="H363" s="6"/>
      <c r="I363" s="26" t="n">
        <v>2</v>
      </c>
      <c r="J363" s="26" t="n">
        <f aca="false">COUNTIFS('Control Library'!$A$5:$A$50,"AI-CTRL-004",'Control Library'!$R$5:$R$50,"Implemented")+COUNTIFS('Control Library'!$A$5:$A$50,"AI-CTRL-024",'Control Library'!$R$5:$R$50,"Implemented")</f>
        <v>0</v>
      </c>
      <c r="K363" s="43" t="str">
        <f aca="false">IF(I363=0,"No wiki control",IF(J363=I363,"Fully covered",IF(J363=0,"Not covered","Partly covered")))</f>
        <v>Not covered</v>
      </c>
      <c r="L363" s="9" t="s">
        <v>1579</v>
      </c>
    </row>
    <row r="364" customFormat="false" ht="35.05" hidden="false" customHeight="false" outlineLevel="0" collapsed="false">
      <c r="A364" s="51" t="s">
        <v>583</v>
      </c>
      <c r="B364" s="51" t="s">
        <v>584</v>
      </c>
      <c r="C364" s="5" t="s">
        <v>1597</v>
      </c>
      <c r="D364" s="6" t="s">
        <v>1598</v>
      </c>
      <c r="E364" s="6" t="s">
        <v>1599</v>
      </c>
      <c r="F364" s="6" t="s">
        <v>730</v>
      </c>
      <c r="G364" s="6" t="s">
        <v>1600</v>
      </c>
      <c r="H364" s="6"/>
      <c r="I364" s="26" t="n">
        <v>5</v>
      </c>
      <c r="J364" s="26" t="n">
        <f aca="false">COUNTIFS('Control Library'!$A$5:$A$50,"AI-CTRL-007",'Control Library'!$R$5:$R$50,"Implemented")+COUNTIFS('Control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364" s="43" t="str">
        <f aca="false">IF(I364=0,"No wiki control",IF(J364=I364,"Fully covered",IF(J364=0,"Not covered","Partly covered")))</f>
        <v>Not covered</v>
      </c>
      <c r="L364" s="9" t="s">
        <v>1579</v>
      </c>
    </row>
    <row r="365" customFormat="false" ht="23.85" hidden="false" customHeight="false" outlineLevel="0" collapsed="false">
      <c r="A365" s="51" t="s">
        <v>583</v>
      </c>
      <c r="B365" s="51" t="s">
        <v>584</v>
      </c>
      <c r="C365" s="5" t="s">
        <v>1601</v>
      </c>
      <c r="D365" s="6" t="s">
        <v>1602</v>
      </c>
      <c r="E365" s="6" t="s">
        <v>530</v>
      </c>
      <c r="F365" s="6" t="s">
        <v>730</v>
      </c>
      <c r="G365" s="6" t="s">
        <v>533</v>
      </c>
      <c r="H365" s="6"/>
      <c r="I365" s="26" t="n">
        <v>1</v>
      </c>
      <c r="J365" s="26" t="n">
        <f aca="false">COUNTIFS('Control Library'!$A$5:$A$50,"AI-CTRL-044",'Control Library'!$R$5:$R$50,"Implemented")</f>
        <v>0</v>
      </c>
      <c r="K365" s="43" t="str">
        <f aca="false">IF(I365=0,"No wiki control",IF(J365=I365,"Fully covered",IF(J365=0,"Not covered","Partly covered")))</f>
        <v>Not covered</v>
      </c>
      <c r="L365" s="9" t="s">
        <v>1579</v>
      </c>
    </row>
    <row r="366" customFormat="false" ht="46.25" hidden="false" customHeight="false" outlineLevel="0" collapsed="false">
      <c r="A366" s="51" t="s">
        <v>583</v>
      </c>
      <c r="B366" s="51" t="s">
        <v>584</v>
      </c>
      <c r="C366" s="5" t="s">
        <v>1603</v>
      </c>
      <c r="D366" s="6" t="s">
        <v>1604</v>
      </c>
      <c r="E366" s="6" t="s">
        <v>1605</v>
      </c>
      <c r="F366" s="6" t="s">
        <v>730</v>
      </c>
      <c r="G366" s="6" t="s">
        <v>1606</v>
      </c>
      <c r="H366" s="6"/>
      <c r="I366" s="26" t="n">
        <v>4</v>
      </c>
      <c r="J366" s="26" t="n">
        <f aca="false">COUNTIFS('Control Library'!$A$5:$A$50,"AI-CTRL-011",'Control Library'!$R$5:$R$50,"Implemented")+COUNTIFS('Control Library'!$A$5:$A$50,"AI-CTRL-013",'Control Library'!$R$5:$R$50,"Implemented")+COUNTIFS('Control Library'!$A$5:$A$50,"AI-CTRL-033",'Control Library'!$R$5:$R$50,"Implemented")+COUNTIFS('Control Library'!$A$5:$A$50,"AI-CTRL-042",'Control Library'!$R$5:$R$50,"Implemented")</f>
        <v>0</v>
      </c>
      <c r="K366" s="43" t="str">
        <f aca="false">IF(I366=0,"No wiki control",IF(J366=I366,"Fully covered",IF(J366=0,"Not covered","Partly covered")))</f>
        <v>Not covered</v>
      </c>
      <c r="L366" s="9" t="s">
        <v>1579</v>
      </c>
    </row>
    <row r="367" customFormat="false" ht="23.85" hidden="false" customHeight="false" outlineLevel="0" collapsed="false">
      <c r="A367" s="51" t="s">
        <v>583</v>
      </c>
      <c r="B367" s="51" t="s">
        <v>584</v>
      </c>
      <c r="C367" s="5" t="s">
        <v>1607</v>
      </c>
      <c r="D367" s="6" t="s">
        <v>1608</v>
      </c>
      <c r="E367" s="6" t="s">
        <v>1609</v>
      </c>
      <c r="F367" s="6" t="s">
        <v>730</v>
      </c>
      <c r="G367" s="6" t="s">
        <v>1610</v>
      </c>
      <c r="H367" s="6"/>
      <c r="I367" s="26" t="n">
        <v>2</v>
      </c>
      <c r="J367" s="26" t="n">
        <f aca="false">COUNTIFS('Control Library'!$A$5:$A$50,"AI-CTRL-013",'Control Library'!$R$5:$R$50,"Implemented")+COUNTIFS('Control Library'!$A$5:$A$50,"AI-CTRL-042",'Control Library'!$R$5:$R$50,"Implemented")</f>
        <v>0</v>
      </c>
      <c r="K367" s="43" t="str">
        <f aca="false">IF(I367=0,"No wiki control",IF(J367=I367,"Fully covered",IF(J367=0,"Not covered","Partly covered")))</f>
        <v>Not covered</v>
      </c>
      <c r="L367" s="9" t="s">
        <v>1579</v>
      </c>
    </row>
    <row r="368" customFormat="false" ht="23.85" hidden="false" customHeight="false" outlineLevel="0" collapsed="false">
      <c r="A368" s="51" t="s">
        <v>583</v>
      </c>
      <c r="B368" s="51" t="s">
        <v>584</v>
      </c>
      <c r="C368" s="5" t="s">
        <v>1611</v>
      </c>
      <c r="D368" s="6" t="s">
        <v>1612</v>
      </c>
      <c r="E368" s="6" t="s">
        <v>1096</v>
      </c>
      <c r="F368" s="6" t="s">
        <v>730</v>
      </c>
      <c r="G368" s="6" t="s">
        <v>1097</v>
      </c>
      <c r="H368" s="6"/>
      <c r="I368" s="26" t="n">
        <v>3</v>
      </c>
      <c r="J368" s="26" t="n">
        <f aca="false">COUNTIFS('Control Library'!$A$5:$A$50,"AI-CTRL-013",'Control Library'!$R$5:$R$50,"Implemented")+COUNTIFS('Control Library'!$A$5:$A$50,"AI-CTRL-041",'Control Library'!$R$5:$R$50,"Implemented")+COUNTIFS('Control Library'!$A$5:$A$50,"AI-CTRL-042",'Control Library'!$R$5:$R$50,"Implemented")</f>
        <v>0</v>
      </c>
      <c r="K368" s="43" t="str">
        <f aca="false">IF(I368=0,"No wiki control",IF(J368=I368,"Fully covered",IF(J368=0,"Not covered","Partly covered")))</f>
        <v>Not covered</v>
      </c>
      <c r="L368" s="9" t="s">
        <v>1579</v>
      </c>
    </row>
    <row r="369" customFormat="false" ht="23.85" hidden="false" customHeight="false" outlineLevel="0" collapsed="false">
      <c r="A369" s="51" t="s">
        <v>583</v>
      </c>
      <c r="B369" s="51" t="s">
        <v>584</v>
      </c>
      <c r="C369" s="5" t="s">
        <v>1613</v>
      </c>
      <c r="D369" s="6" t="s">
        <v>1614</v>
      </c>
      <c r="E369" s="6" t="s">
        <v>513</v>
      </c>
      <c r="F369" s="6" t="s">
        <v>730</v>
      </c>
      <c r="G369" s="6" t="s">
        <v>516</v>
      </c>
      <c r="H369" s="6"/>
      <c r="I369" s="26" t="n">
        <v>1</v>
      </c>
      <c r="J369" s="26" t="n">
        <f aca="false">COUNTIFS('Control Library'!$A$5:$A$50,"AI-CTRL-042",'Control Library'!$R$5:$R$50,"Implemented")</f>
        <v>0</v>
      </c>
      <c r="K369" s="43" t="str">
        <f aca="false">IF(I369=0,"No wiki control",IF(J369=I369,"Fully covered",IF(J369=0,"Not covered","Partly covered")))</f>
        <v>Not covered</v>
      </c>
      <c r="L369" s="9" t="s">
        <v>1579</v>
      </c>
    </row>
    <row r="370" customFormat="false" ht="23.85" hidden="false" customHeight="false" outlineLevel="0" collapsed="false">
      <c r="A370" s="51" t="s">
        <v>583</v>
      </c>
      <c r="B370" s="51" t="s">
        <v>584</v>
      </c>
      <c r="C370" s="5" t="s">
        <v>1615</v>
      </c>
      <c r="D370" s="6"/>
      <c r="E370" s="6"/>
      <c r="F370" s="6" t="s">
        <v>640</v>
      </c>
      <c r="G370" s="6"/>
      <c r="H370" s="6"/>
      <c r="I370" s="26" t="n">
        <v>0</v>
      </c>
      <c r="J370" s="26" t="n">
        <f aca="false">0</f>
        <v>0</v>
      </c>
      <c r="K370" s="43" t="str">
        <f aca="false">IF(I370=0,"No wiki control",IF(J370=I370,"Fully covered",IF(J370=0,"Not covered","Partly covered")))</f>
        <v>No wiki control</v>
      </c>
      <c r="L370" s="9" t="s">
        <v>1579</v>
      </c>
    </row>
    <row r="371" customFormat="false" ht="23.85" hidden="false" customHeight="false" outlineLevel="0" collapsed="false">
      <c r="A371" s="51" t="s">
        <v>583</v>
      </c>
      <c r="B371" s="51" t="s">
        <v>584</v>
      </c>
      <c r="C371" s="5" t="s">
        <v>1616</v>
      </c>
      <c r="D371" s="6"/>
      <c r="E371" s="6"/>
      <c r="F371" s="6" t="s">
        <v>640</v>
      </c>
      <c r="G371" s="6"/>
      <c r="H371" s="6"/>
      <c r="I371" s="26" t="n">
        <v>0</v>
      </c>
      <c r="J371" s="26" t="n">
        <f aca="false">0</f>
        <v>0</v>
      </c>
      <c r="K371" s="43" t="str">
        <f aca="false">IF(I371=0,"No wiki control",IF(J371=I371,"Fully covered",IF(J371=0,"Not covered","Partly covered")))</f>
        <v>No wiki control</v>
      </c>
      <c r="L371" s="9" t="s">
        <v>1579</v>
      </c>
    </row>
    <row r="372" customFormat="false" ht="23.85" hidden="false" customHeight="false" outlineLevel="0" collapsed="false">
      <c r="A372" s="51" t="s">
        <v>583</v>
      </c>
      <c r="B372" s="51" t="s">
        <v>584</v>
      </c>
      <c r="C372" s="5" t="s">
        <v>1617</v>
      </c>
      <c r="D372" s="6" t="s">
        <v>1618</v>
      </c>
      <c r="E372" s="6" t="s">
        <v>1619</v>
      </c>
      <c r="F372" s="6" t="s">
        <v>730</v>
      </c>
      <c r="G372" s="6" t="s">
        <v>1620</v>
      </c>
      <c r="H372" s="6"/>
      <c r="I372" s="26" t="n">
        <v>2</v>
      </c>
      <c r="J372" s="26" t="n">
        <f aca="false">COUNTIFS('Control Library'!$A$5:$A$50,"AI-CTRL-022",'Control Library'!$R$5:$R$50,"Implemented")+COUNTIFS('Control Library'!$A$5:$A$50,"AI-CTRL-033",'Control Library'!$R$5:$R$50,"Implemented")</f>
        <v>0</v>
      </c>
      <c r="K372" s="43" t="str">
        <f aca="false">IF(I372=0,"No wiki control",IF(J372=I372,"Fully covered",IF(J372=0,"Not covered","Partly covered")))</f>
        <v>Not covered</v>
      </c>
      <c r="L372" s="9" t="s">
        <v>1579</v>
      </c>
    </row>
    <row r="373" customFormat="false" ht="23.85" hidden="false" customHeight="false" outlineLevel="0" collapsed="false">
      <c r="A373" s="51" t="s">
        <v>583</v>
      </c>
      <c r="B373" s="51" t="s">
        <v>584</v>
      </c>
      <c r="C373" s="5" t="s">
        <v>1621</v>
      </c>
      <c r="D373" s="6" t="s">
        <v>1622</v>
      </c>
      <c r="E373" s="6" t="s">
        <v>413</v>
      </c>
      <c r="F373" s="6" t="s">
        <v>730</v>
      </c>
      <c r="G373" s="6" t="s">
        <v>399</v>
      </c>
      <c r="H373" s="6"/>
      <c r="I373" s="26" t="n">
        <v>1</v>
      </c>
      <c r="J373" s="26" t="n">
        <f aca="false">COUNTIFS('Control Library'!$A$5:$A$50,"AI-CTRL-030",'Control Library'!$R$5:$R$50,"Implemented")</f>
        <v>0</v>
      </c>
      <c r="K373" s="43" t="str">
        <f aca="false">IF(I373=0,"No wiki control",IF(J373=I373,"Fully covered",IF(J373=0,"Not covered","Partly covered")))</f>
        <v>Not covered</v>
      </c>
      <c r="L373" s="9" t="s">
        <v>1579</v>
      </c>
    </row>
    <row r="374" customFormat="false" ht="46.25" hidden="false" customHeight="false" outlineLevel="0" collapsed="false">
      <c r="A374" s="51" t="s">
        <v>583</v>
      </c>
      <c r="B374" s="51" t="s">
        <v>584</v>
      </c>
      <c r="C374" s="5" t="s">
        <v>1623</v>
      </c>
      <c r="D374" s="6" t="s">
        <v>1624</v>
      </c>
      <c r="E374" s="6" t="s">
        <v>1625</v>
      </c>
      <c r="F374" s="6" t="s">
        <v>730</v>
      </c>
      <c r="G374" s="6" t="s">
        <v>1626</v>
      </c>
      <c r="H374" s="6"/>
      <c r="I374" s="26" t="n">
        <v>8</v>
      </c>
      <c r="J374" s="26" t="n">
        <f aca="false">COUNTIFS('Control Library'!$A$5:$A$50,"AI-CTRL-005",'Control Library'!$R$5:$R$50,"Implemented")+COUNTIFS('Control Library'!$A$5:$A$50,"AI-CTRL-020",'Control Library'!$R$5:$R$50,"Implemented")+COUNTIFS('Control Library'!$A$5:$A$50,"AI-CTRL-021",'Control Library'!$R$5:$R$50,"Implemented")+COUNTIFS('Control Library'!$A$5:$A$50,"AI-CTRL-028",'Control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f>
        <v>0</v>
      </c>
      <c r="K374" s="43" t="str">
        <f aca="false">IF(I374=0,"No wiki control",IF(J374=I374,"Fully covered",IF(J374=0,"Not covered","Partly covered")))</f>
        <v>Not covered</v>
      </c>
      <c r="L374" s="9" t="s">
        <v>1579</v>
      </c>
    </row>
    <row r="375" customFormat="false" ht="35.05" hidden="false" customHeight="false" outlineLevel="0" collapsed="false">
      <c r="A375" s="51" t="s">
        <v>583</v>
      </c>
      <c r="B375" s="51" t="s">
        <v>584</v>
      </c>
      <c r="C375" s="5" t="s">
        <v>1627</v>
      </c>
      <c r="D375" s="6" t="s">
        <v>1628</v>
      </c>
      <c r="E375" s="6" t="s">
        <v>1629</v>
      </c>
      <c r="F375" s="6" t="s">
        <v>730</v>
      </c>
      <c r="G375" s="6" t="s">
        <v>1630</v>
      </c>
      <c r="H375" s="6"/>
      <c r="I375" s="26" t="n">
        <v>3</v>
      </c>
      <c r="J375" s="26" t="n">
        <f aca="false">COUNTIFS('Control Library'!$A$5:$A$50,"AI-CTRL-027",'Control Library'!$R$5:$R$50,"Implemented")+COUNTIFS('Control Library'!$A$5:$A$50,"AI-CTRL-030",'Control Library'!$R$5:$R$50,"Implemented")+COUNTIFS('Control Library'!$A$5:$A$50,"AI-CTRL-033",'Control Library'!$R$5:$R$50,"Implemented")</f>
        <v>0</v>
      </c>
      <c r="K375" s="43" t="str">
        <f aca="false">IF(I375=0,"No wiki control",IF(J375=I375,"Fully covered",IF(J375=0,"Not covered","Partly covered")))</f>
        <v>Not covered</v>
      </c>
      <c r="L375" s="9" t="s">
        <v>1579</v>
      </c>
    </row>
    <row r="376" customFormat="false" ht="46.25" hidden="false" customHeight="false" outlineLevel="0" collapsed="false">
      <c r="A376" s="51" t="s">
        <v>583</v>
      </c>
      <c r="B376" s="51" t="s">
        <v>584</v>
      </c>
      <c r="C376" s="5" t="s">
        <v>1631</v>
      </c>
      <c r="D376" s="6" t="s">
        <v>1632</v>
      </c>
      <c r="E376" s="6" t="s">
        <v>1633</v>
      </c>
      <c r="F376" s="6" t="s">
        <v>730</v>
      </c>
      <c r="G376" s="6" t="s">
        <v>1634</v>
      </c>
      <c r="H376" s="6"/>
      <c r="I376" s="26" t="n">
        <v>9</v>
      </c>
      <c r="J376" s="26" t="n">
        <f aca="false">COUNTIFS('Control Library'!$A$5:$A$50,"AI-CTRL-005",'Control Library'!$R$5:$R$50,"Implemented")+COUNTIFS('Control Library'!$A$5:$A$50,"AI-CTRL-006",'Control Library'!$R$5:$R$50,"Implemented")+COUNTIFS('Control Library'!$A$5:$A$50,"AI-CTRL-009",'Control Library'!$R$5:$R$50,"Implemented")+COUNTIFS('Control Library'!$A$5:$A$50,"AI-CTRL-020",'Control Library'!$R$5:$R$50,"Implemented")+COUNTIFS('Control Library'!$A$5:$A$50,"AI-CTRL-025",'Control Library'!$R$5:$R$50,"Implemented")+COUNTIFS('Control Library'!$A$5:$A$50,"AI-CTRL-026",'Control Library'!$R$5:$R$50,"Implemented")+COUNTIFS('Control Library'!$A$5:$A$50,"AI-CTRL-028",'Control Library'!$R$5:$R$50,"Implemented")+COUNTIFS('Control Library'!$A$5:$A$50,"AI-CTRL-035",'Control Library'!$R$5:$R$50,"Implemented")+COUNTIFS('Control Library'!$A$5:$A$50,"AI-CTRL-040",'Control Library'!$R$5:$R$50,"Implemented")</f>
        <v>0</v>
      </c>
      <c r="K376" s="43" t="str">
        <f aca="false">IF(I376=0,"No wiki control",IF(J376=I376,"Fully covered",IF(J376=0,"Not covered","Partly covered")))</f>
        <v>Not covered</v>
      </c>
      <c r="L376" s="9" t="s">
        <v>1579</v>
      </c>
    </row>
    <row r="377" customFormat="false" ht="23.85" hidden="false" customHeight="false" outlineLevel="0" collapsed="false">
      <c r="A377" s="51" t="s">
        <v>583</v>
      </c>
      <c r="B377" s="51" t="s">
        <v>584</v>
      </c>
      <c r="C377" s="5" t="s">
        <v>1635</v>
      </c>
      <c r="D377" s="6"/>
      <c r="E377" s="6"/>
      <c r="F377" s="6" t="s">
        <v>640</v>
      </c>
      <c r="G377" s="6"/>
      <c r="H377" s="6"/>
      <c r="I377" s="26" t="n">
        <v>0</v>
      </c>
      <c r="J377" s="26" t="n">
        <f aca="false">0</f>
        <v>0</v>
      </c>
      <c r="K377" s="43" t="str">
        <f aca="false">IF(I377=0,"No wiki control",IF(J377=I377,"Fully covered",IF(J377=0,"Not covered","Partly covered")))</f>
        <v>No wiki control</v>
      </c>
      <c r="L377" s="9" t="s">
        <v>1579</v>
      </c>
    </row>
    <row r="378" customFormat="false" ht="23.85" hidden="false" customHeight="false" outlineLevel="0" collapsed="false">
      <c r="A378" s="51" t="s">
        <v>583</v>
      </c>
      <c r="B378" s="51" t="s">
        <v>584</v>
      </c>
      <c r="C378" s="5" t="s">
        <v>1636</v>
      </c>
      <c r="D378" s="6" t="s">
        <v>1637</v>
      </c>
      <c r="E378" s="6" t="s">
        <v>734</v>
      </c>
      <c r="F378" s="6" t="s">
        <v>730</v>
      </c>
      <c r="G378" s="6" t="s">
        <v>234</v>
      </c>
      <c r="H378" s="6"/>
      <c r="I378" s="26" t="n">
        <v>2</v>
      </c>
      <c r="J378" s="26" t="n">
        <f aca="false">COUNTIFS('Control Library'!$A$5:$A$50,"AI-CTRL-008",'Control Library'!$R$5:$R$50,"Implemented")+COUNTIFS('Control Library'!$A$5:$A$50,"AI-CTRL-009",'Control Library'!$R$5:$R$50,"Implemented")</f>
        <v>0</v>
      </c>
      <c r="K378" s="43" t="str">
        <f aca="false">IF(I378=0,"No wiki control",IF(J378=I378,"Fully covered",IF(J378=0,"Not covered","Partly covered")))</f>
        <v>Not covered</v>
      </c>
      <c r="L378" s="9" t="s">
        <v>1579</v>
      </c>
    </row>
    <row r="379" customFormat="false" ht="23.85" hidden="false" customHeight="false" outlineLevel="0" collapsed="false">
      <c r="A379" s="51" t="s">
        <v>583</v>
      </c>
      <c r="B379" s="51" t="s">
        <v>584</v>
      </c>
      <c r="C379" s="5" t="s">
        <v>1638</v>
      </c>
      <c r="D379" s="6" t="s">
        <v>1639</v>
      </c>
      <c r="E379" s="6" t="s">
        <v>404</v>
      </c>
      <c r="F379" s="6" t="s">
        <v>730</v>
      </c>
      <c r="G379" s="6" t="s">
        <v>399</v>
      </c>
      <c r="H379" s="6"/>
      <c r="I379" s="26" t="n">
        <v>1</v>
      </c>
      <c r="J379" s="26" t="n">
        <f aca="false">COUNTIFS('Control Library'!$A$5:$A$50,"AI-CTRL-029",'Control Library'!$R$5:$R$50,"Implemented")</f>
        <v>0</v>
      </c>
      <c r="K379" s="43" t="str">
        <f aca="false">IF(I379=0,"No wiki control",IF(J379=I379,"Fully covered",IF(J379=0,"Not covered","Partly covered")))</f>
        <v>Not covered</v>
      </c>
      <c r="L379" s="9" t="s">
        <v>1579</v>
      </c>
    </row>
    <row r="380" customFormat="false" ht="23.85" hidden="false" customHeight="false" outlineLevel="0" collapsed="false">
      <c r="A380" s="51" t="s">
        <v>583</v>
      </c>
      <c r="B380" s="51" t="s">
        <v>584</v>
      </c>
      <c r="C380" s="5" t="s">
        <v>1640</v>
      </c>
      <c r="D380" s="6" t="s">
        <v>1641</v>
      </c>
      <c r="E380" s="6" t="s">
        <v>876</v>
      </c>
      <c r="F380" s="6" t="s">
        <v>730</v>
      </c>
      <c r="G380" s="6" t="s">
        <v>327</v>
      </c>
      <c r="H380" s="6"/>
      <c r="I380" s="26" t="n">
        <v>2</v>
      </c>
      <c r="J380" s="26" t="n">
        <f aca="false">COUNTIFS('Control Library'!$A$5:$A$50,"AI-CTRL-019",'Control Library'!$R$5:$R$50,"Implemented")+COUNTIFS('Control Library'!$A$5:$A$50,"AI-CTRL-029",'Control Library'!$R$5:$R$50,"Implemented")</f>
        <v>0</v>
      </c>
      <c r="K380" s="43" t="str">
        <f aca="false">IF(I380=0,"No wiki control",IF(J380=I380,"Fully covered",IF(J380=0,"Not covered","Partly covered")))</f>
        <v>Not covered</v>
      </c>
      <c r="L380" s="9" t="s">
        <v>1579</v>
      </c>
    </row>
    <row r="381" customFormat="false" ht="23.85" hidden="false" customHeight="false" outlineLevel="0" collapsed="false">
      <c r="A381" s="51" t="s">
        <v>583</v>
      </c>
      <c r="B381" s="51" t="s">
        <v>584</v>
      </c>
      <c r="C381" s="5" t="s">
        <v>1642</v>
      </c>
      <c r="D381" s="6" t="s">
        <v>1643</v>
      </c>
      <c r="E381" s="6" t="s">
        <v>876</v>
      </c>
      <c r="F381" s="6" t="s">
        <v>730</v>
      </c>
      <c r="G381" s="6" t="s">
        <v>327</v>
      </c>
      <c r="H381" s="6"/>
      <c r="I381" s="26" t="n">
        <v>2</v>
      </c>
      <c r="J381" s="26" t="n">
        <f aca="false">COUNTIFS('Control Library'!$A$5:$A$50,"AI-CTRL-019",'Control Library'!$R$5:$R$50,"Implemented")+COUNTIFS('Control Library'!$A$5:$A$50,"AI-CTRL-029",'Control Library'!$R$5:$R$50,"Implemented")</f>
        <v>0</v>
      </c>
      <c r="K381" s="43" t="str">
        <f aca="false">IF(I381=0,"No wiki control",IF(J381=I381,"Fully covered",IF(J381=0,"Not covered","Partly covered")))</f>
        <v>Not covered</v>
      </c>
      <c r="L381" s="9" t="s">
        <v>1579</v>
      </c>
    </row>
    <row r="382" customFormat="false" ht="23.85" hidden="false" customHeight="false" outlineLevel="0" collapsed="false">
      <c r="A382" s="51" t="s">
        <v>583</v>
      </c>
      <c r="B382" s="51" t="s">
        <v>584</v>
      </c>
      <c r="C382" s="5" t="s">
        <v>1644</v>
      </c>
      <c r="D382" s="6" t="s">
        <v>1645</v>
      </c>
      <c r="E382" s="6" t="s">
        <v>1646</v>
      </c>
      <c r="F382" s="6" t="s">
        <v>730</v>
      </c>
      <c r="G382" s="6" t="s">
        <v>1647</v>
      </c>
      <c r="H382" s="6"/>
      <c r="I382" s="26" t="n">
        <v>4</v>
      </c>
      <c r="J382" s="26" t="n">
        <f aca="false">COUNTIFS('Control Library'!$A$5:$A$50,"AI-CTRL-019",'Control Library'!$R$5:$R$50,"Implemented")+COUNTIFS('Control Library'!$A$5:$A$50,"AI-CTRL-029",'Control Library'!$R$5:$R$50,"Implemented")+COUNTIFS('Control Library'!$A$5:$A$50,"AI-CTRL-031",'Control Library'!$R$5:$R$50,"Implemented")+COUNTIFS('Control Library'!$A$5:$A$50,"AI-CTRL-046",'Control Library'!$R$5:$R$50,"Implemented")</f>
        <v>0</v>
      </c>
      <c r="K382" s="43" t="str">
        <f aca="false">IF(I382=0,"No wiki control",IF(J382=I382,"Fully covered",IF(J382=0,"Not covered","Partly covered")))</f>
        <v>Not covered</v>
      </c>
      <c r="L382" s="9" t="s">
        <v>1579</v>
      </c>
    </row>
    <row r="383" customFormat="false" ht="23.85" hidden="false" customHeight="false" outlineLevel="0" collapsed="false">
      <c r="A383" s="51" t="s">
        <v>583</v>
      </c>
      <c r="B383" s="51" t="s">
        <v>584</v>
      </c>
      <c r="C383" s="5" t="s">
        <v>1648</v>
      </c>
      <c r="D383" s="6" t="s">
        <v>1649</v>
      </c>
      <c r="E383" s="6" t="s">
        <v>307</v>
      </c>
      <c r="F383" s="6" t="s">
        <v>730</v>
      </c>
      <c r="G383" s="6" t="s">
        <v>310</v>
      </c>
      <c r="H383" s="6"/>
      <c r="I383" s="26" t="n">
        <v>1</v>
      </c>
      <c r="J383" s="26" t="n">
        <f aca="false">COUNTIFS('Control Library'!$A$5:$A$50,"AI-CTRL-017",'Control Library'!$R$5:$R$50,"Implemented")</f>
        <v>0</v>
      </c>
      <c r="K383" s="43" t="str">
        <f aca="false">IF(I383=0,"No wiki control",IF(J383=I383,"Fully covered",IF(J383=0,"Not covered","Partly covered")))</f>
        <v>Not covered</v>
      </c>
      <c r="L383" s="9" t="s">
        <v>1579</v>
      </c>
    </row>
    <row r="384" customFormat="false" ht="23.85" hidden="false" customHeight="false" outlineLevel="0" collapsed="false">
      <c r="A384" s="51" t="s">
        <v>583</v>
      </c>
      <c r="B384" s="51" t="s">
        <v>584</v>
      </c>
      <c r="C384" s="5" t="s">
        <v>1650</v>
      </c>
      <c r="D384" s="6" t="s">
        <v>1651</v>
      </c>
      <c r="E384" s="6" t="s">
        <v>1652</v>
      </c>
      <c r="F384" s="6" t="s">
        <v>730</v>
      </c>
      <c r="G384" s="6" t="s">
        <v>1653</v>
      </c>
      <c r="H384" s="6"/>
      <c r="I384" s="26" t="n">
        <v>2</v>
      </c>
      <c r="J384" s="26" t="n">
        <f aca="false">COUNTIFS('Control Library'!$A$5:$A$50,"AI-CTRL-039",'Control Library'!$R$5:$R$50,"Implemented")+COUNTIFS('Control Library'!$A$5:$A$50,"AI-CTRL-041",'Control Library'!$R$5:$R$50,"Implemented")</f>
        <v>0</v>
      </c>
      <c r="K384" s="43" t="str">
        <f aca="false">IF(I384=0,"No wiki control",IF(J384=I384,"Fully covered",IF(J384=0,"Not covered","Partly covered")))</f>
        <v>Not covered</v>
      </c>
      <c r="L384" s="9" t="s">
        <v>1579</v>
      </c>
    </row>
    <row r="385" customFormat="false" ht="23.85" hidden="false" customHeight="false" outlineLevel="0" collapsed="false">
      <c r="A385" s="51" t="s">
        <v>583</v>
      </c>
      <c r="B385" s="51" t="s">
        <v>584</v>
      </c>
      <c r="C385" s="5" t="s">
        <v>1654</v>
      </c>
      <c r="D385" s="6" t="s">
        <v>1655</v>
      </c>
      <c r="E385" s="6" t="s">
        <v>1656</v>
      </c>
      <c r="F385" s="6" t="s">
        <v>730</v>
      </c>
      <c r="G385" s="6" t="s">
        <v>1657</v>
      </c>
      <c r="H385" s="6"/>
      <c r="I385" s="26" t="n">
        <v>2</v>
      </c>
      <c r="J385" s="26" t="n">
        <f aca="false">COUNTIFS('Control Library'!$A$5:$A$50,"AI-CTRL-035",'Control Library'!$R$5:$R$50,"Implemented")+COUNTIFS('Control Library'!$A$5:$A$50,"AI-CTRL-043",'Control Library'!$R$5:$R$50,"Implemented")</f>
        <v>0</v>
      </c>
      <c r="K385" s="43" t="str">
        <f aca="false">IF(I385=0,"No wiki control",IF(J385=I385,"Fully covered",IF(J385=0,"Not covered","Partly covered")))</f>
        <v>Not covered</v>
      </c>
      <c r="L385" s="9" t="s">
        <v>1579</v>
      </c>
    </row>
    <row r="386" customFormat="false" ht="23.85" hidden="false" customHeight="false" outlineLevel="0" collapsed="false">
      <c r="A386" s="51" t="s">
        <v>583</v>
      </c>
      <c r="B386" s="51" t="s">
        <v>584</v>
      </c>
      <c r="C386" s="5" t="s">
        <v>1658</v>
      </c>
      <c r="D386" s="6" t="s">
        <v>1659</v>
      </c>
      <c r="E386" s="6" t="s">
        <v>453</v>
      </c>
      <c r="F386" s="6" t="s">
        <v>730</v>
      </c>
      <c r="G386" s="6" t="s">
        <v>456</v>
      </c>
      <c r="H386" s="6"/>
      <c r="I386" s="26" t="n">
        <v>1</v>
      </c>
      <c r="J386" s="26" t="n">
        <f aca="false">COUNTIFS('Control Library'!$A$5:$A$50,"AI-CTRL-035",'Control Library'!$R$5:$R$50,"Implemented")</f>
        <v>0</v>
      </c>
      <c r="K386" s="43" t="str">
        <f aca="false">IF(I386=0,"No wiki control",IF(J386=I386,"Fully covered",IF(J386=0,"Not covered","Partly covered")))</f>
        <v>Not covered</v>
      </c>
      <c r="L386" s="9" t="s">
        <v>1579</v>
      </c>
    </row>
    <row r="387" customFormat="false" ht="23.85" hidden="false" customHeight="false" outlineLevel="0" collapsed="false">
      <c r="A387" s="51" t="s">
        <v>583</v>
      </c>
      <c r="B387" s="51" t="s">
        <v>584</v>
      </c>
      <c r="C387" s="5" t="s">
        <v>1660</v>
      </c>
      <c r="D387" s="6" t="s">
        <v>1661</v>
      </c>
      <c r="E387" s="6" t="s">
        <v>522</v>
      </c>
      <c r="F387" s="6" t="s">
        <v>730</v>
      </c>
      <c r="G387" s="6" t="s">
        <v>525</v>
      </c>
      <c r="H387" s="6"/>
      <c r="I387" s="26" t="n">
        <v>1</v>
      </c>
      <c r="J387" s="26" t="n">
        <f aca="false">COUNTIFS('Control Library'!$A$5:$A$50,"AI-CTRL-043",'Control Library'!$R$5:$R$50,"Implemented")</f>
        <v>0</v>
      </c>
      <c r="K387" s="43" t="str">
        <f aca="false">IF(I387=0,"No wiki control",IF(J387=I387,"Fully covered",IF(J387=0,"Not covered","Partly covered")))</f>
        <v>Not covered</v>
      </c>
      <c r="L387" s="9" t="s">
        <v>1579</v>
      </c>
    </row>
    <row r="388" customFormat="false" ht="46.25" hidden="false" customHeight="false" outlineLevel="0" collapsed="false">
      <c r="A388" s="51" t="s">
        <v>583</v>
      </c>
      <c r="B388" s="51" t="s">
        <v>584</v>
      </c>
      <c r="C388" s="5" t="s">
        <v>1662</v>
      </c>
      <c r="D388" s="6" t="s">
        <v>1663</v>
      </c>
      <c r="E388" s="6" t="s">
        <v>1664</v>
      </c>
      <c r="F388" s="6" t="s">
        <v>730</v>
      </c>
      <c r="G388" s="6" t="s">
        <v>1665</v>
      </c>
      <c r="H388" s="6"/>
      <c r="I388" s="26" t="n">
        <v>6</v>
      </c>
      <c r="J388"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Library'!$A$5:$A$50,"AI-CTRL-023",'Control Library'!$R$5:$R$50,"Implemented")+COUNTIFS('Control Library'!$A$5:$A$50,"AI-CTRL-045",'Control Library'!$R$5:$R$50,"Implemented")</f>
        <v>0</v>
      </c>
      <c r="K388" s="43" t="str">
        <f aca="false">IF(I388=0,"No wiki control",IF(J388=I388,"Fully covered",IF(J388=0,"Not covered","Partly covered")))</f>
        <v>Not covered</v>
      </c>
      <c r="L388" s="9" t="s">
        <v>1579</v>
      </c>
    </row>
    <row r="389" customFormat="false" ht="23.85" hidden="false" customHeight="false" outlineLevel="0" collapsed="false">
      <c r="A389" s="51" t="s">
        <v>583</v>
      </c>
      <c r="B389" s="51" t="s">
        <v>584</v>
      </c>
      <c r="C389" s="5" t="s">
        <v>1666</v>
      </c>
      <c r="D389" s="6" t="s">
        <v>1667</v>
      </c>
      <c r="E389" s="6" t="s">
        <v>805</v>
      </c>
      <c r="F389" s="6" t="s">
        <v>730</v>
      </c>
      <c r="G389" s="6" t="s">
        <v>542</v>
      </c>
      <c r="H389" s="6"/>
      <c r="I389" s="26" t="n">
        <v>2</v>
      </c>
      <c r="J389" s="26" t="n">
        <f aca="false">COUNTIFS('Control Library'!$A$5:$A$50,"AI-CTRL-023",'Control Library'!$R$5:$R$50,"Implemented")+COUNTIFS('Control Library'!$A$5:$A$50,"AI-CTRL-045",'Control Library'!$R$5:$R$50,"Implemented")</f>
        <v>0</v>
      </c>
      <c r="K389" s="43" t="str">
        <f aca="false">IF(I389=0,"No wiki control",IF(J389=I389,"Fully covered",IF(J389=0,"Not covered","Partly covered")))</f>
        <v>Not covered</v>
      </c>
      <c r="L389" s="9" t="s">
        <v>1579</v>
      </c>
    </row>
    <row r="390" customFormat="false" ht="23.85" hidden="false" customHeight="false" outlineLevel="0" collapsed="false">
      <c r="A390" s="51" t="s">
        <v>583</v>
      </c>
      <c r="B390" s="51" t="s">
        <v>584</v>
      </c>
      <c r="C390" s="5" t="s">
        <v>1668</v>
      </c>
      <c r="D390" s="6" t="s">
        <v>1669</v>
      </c>
      <c r="E390" s="6" t="s">
        <v>255</v>
      </c>
      <c r="F390" s="6" t="s">
        <v>730</v>
      </c>
      <c r="G390" s="6" t="s">
        <v>258</v>
      </c>
      <c r="H390" s="6"/>
      <c r="I390" s="26" t="n">
        <v>1</v>
      </c>
      <c r="J390" s="26" t="n">
        <f aca="false">COUNTIFS('Control Library'!$A$5:$A$50,"AI-CTRL-011",'Control Library'!$R$5:$R$50,"Implemented")</f>
        <v>0</v>
      </c>
      <c r="K390" s="43" t="str">
        <f aca="false">IF(I390=0,"No wiki control",IF(J390=I390,"Fully covered",IF(J390=0,"Not covered","Partly covered")))</f>
        <v>Not covered</v>
      </c>
      <c r="L390" s="9" t="s">
        <v>1579</v>
      </c>
    </row>
    <row r="391" customFormat="false" ht="23.85" hidden="false" customHeight="false" outlineLevel="0" collapsed="false">
      <c r="A391" s="51" t="s">
        <v>583</v>
      </c>
      <c r="B391" s="51" t="s">
        <v>584</v>
      </c>
      <c r="C391" s="5" t="s">
        <v>1670</v>
      </c>
      <c r="D391" s="6" t="s">
        <v>1671</v>
      </c>
      <c r="E391" s="6" t="s">
        <v>282</v>
      </c>
      <c r="F391" s="6" t="s">
        <v>730</v>
      </c>
      <c r="G391" s="6" t="s">
        <v>286</v>
      </c>
      <c r="H391" s="6"/>
      <c r="I391" s="26" t="n">
        <v>1</v>
      </c>
      <c r="J391" s="26" t="n">
        <f aca="false">COUNTIFS('Control Library'!$A$5:$A$50,"AI-CTRL-014",'Control Library'!$R$5:$R$50,"Implemented")</f>
        <v>0</v>
      </c>
      <c r="K391" s="43" t="str">
        <f aca="false">IF(I391=0,"No wiki control",IF(J391=I391,"Fully covered",IF(J391=0,"Not covered","Partly covered")))</f>
        <v>Not covered</v>
      </c>
      <c r="L391" s="9" t="s">
        <v>1579</v>
      </c>
    </row>
    <row r="392" customFormat="false" ht="23.85" hidden="false" customHeight="false" outlineLevel="0" collapsed="false">
      <c r="A392" s="51" t="s">
        <v>583</v>
      </c>
      <c r="B392" s="51" t="s">
        <v>584</v>
      </c>
      <c r="C392" s="5" t="s">
        <v>1672</v>
      </c>
      <c r="D392" s="6" t="s">
        <v>1673</v>
      </c>
      <c r="E392" s="6" t="s">
        <v>1674</v>
      </c>
      <c r="F392" s="6" t="s">
        <v>730</v>
      </c>
      <c r="G392" s="6" t="s">
        <v>1089</v>
      </c>
      <c r="H392" s="6"/>
      <c r="I392" s="26" t="n">
        <v>5</v>
      </c>
      <c r="J392"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Library'!$R$5:$R$50,"Implemented")+COUNTIFS('Control Library'!$A$5:$A$50,"AI-CTRL-046",'Control Library'!$R$5:$R$50,"Implemented")</f>
        <v>0</v>
      </c>
      <c r="K392" s="43" t="str">
        <f aca="false">IF(I392=0,"No wiki control",IF(J392=I392,"Fully covered",IF(J392=0,"Not covered","Partly covered")))</f>
        <v>Not covered</v>
      </c>
      <c r="L392" s="9" t="s">
        <v>1579</v>
      </c>
    </row>
    <row r="393" customFormat="false" ht="23.85" hidden="false" customHeight="false" outlineLevel="0" collapsed="false">
      <c r="A393" s="51" t="s">
        <v>583</v>
      </c>
      <c r="B393" s="51" t="s">
        <v>584</v>
      </c>
      <c r="C393" s="5" t="s">
        <v>1675</v>
      </c>
      <c r="D393" s="6"/>
      <c r="E393" s="6"/>
      <c r="F393" s="6" t="s">
        <v>640</v>
      </c>
      <c r="G393" s="6"/>
      <c r="H393" s="6"/>
      <c r="I393" s="26" t="n">
        <v>0</v>
      </c>
      <c r="J393" s="26" t="n">
        <f aca="false">0</f>
        <v>0</v>
      </c>
      <c r="K393" s="43" t="str">
        <f aca="false">IF(I393=0,"No wiki control",IF(J393=I393,"Fully covered",IF(J393=0,"Not covered","Partly covered")))</f>
        <v>No wiki control</v>
      </c>
      <c r="L393" s="9" t="s">
        <v>1579</v>
      </c>
    </row>
    <row r="394" customFormat="false" ht="23.85" hidden="false" customHeight="false" outlineLevel="0" collapsed="false">
      <c r="A394" s="51" t="s">
        <v>585</v>
      </c>
      <c r="B394" s="51" t="s">
        <v>584</v>
      </c>
      <c r="C394" s="5" t="s">
        <v>1676</v>
      </c>
      <c r="D394" s="6" t="s">
        <v>1677</v>
      </c>
      <c r="E394" s="6" t="s">
        <v>522</v>
      </c>
      <c r="F394" s="6" t="s">
        <v>730</v>
      </c>
      <c r="G394" s="6" t="s">
        <v>525</v>
      </c>
      <c r="H394" s="6"/>
      <c r="I394" s="26" t="n">
        <v>1</v>
      </c>
      <c r="J394" s="26" t="n">
        <f aca="false">COUNTIFS('Control Library'!$A$5:$A$50,"AI-CTRL-043",'Control Library'!$R$5:$R$50,"Implemented")</f>
        <v>0</v>
      </c>
      <c r="K394" s="43" t="str">
        <f aca="false">IF(I394=0,"No wiki control",IF(J394=I394,"Fully covered",IF(J394=0,"Not covered","Partly covered")))</f>
        <v>Not covered</v>
      </c>
      <c r="L394" s="9" t="s">
        <v>1579</v>
      </c>
    </row>
    <row r="395" customFormat="false" ht="23.85" hidden="false" customHeight="false" outlineLevel="0" collapsed="false">
      <c r="A395" s="51" t="s">
        <v>585</v>
      </c>
      <c r="B395" s="51" t="s">
        <v>584</v>
      </c>
      <c r="C395" s="5" t="s">
        <v>1678</v>
      </c>
      <c r="D395" s="6" t="s">
        <v>1679</v>
      </c>
      <c r="E395" s="6" t="s">
        <v>470</v>
      </c>
      <c r="F395" s="6" t="s">
        <v>730</v>
      </c>
      <c r="G395" s="6" t="s">
        <v>473</v>
      </c>
      <c r="H395" s="6"/>
      <c r="I395" s="26" t="n">
        <v>1</v>
      </c>
      <c r="J395" s="26" t="n">
        <f aca="false">COUNTIFS('Control Library'!$A$5:$A$50,"AI-CTRL-037",'Control Library'!$R$5:$R$50,"Implemented")</f>
        <v>0</v>
      </c>
      <c r="K395" s="43" t="str">
        <f aca="false">IF(I395=0,"No wiki control",IF(J395=I395,"Fully covered",IF(J395=0,"Not covered","Partly covered")))</f>
        <v>Not covered</v>
      </c>
      <c r="L395" s="9" t="s">
        <v>1579</v>
      </c>
    </row>
    <row r="396" customFormat="false" ht="23.85" hidden="false" customHeight="false" outlineLevel="0" collapsed="false">
      <c r="A396" s="51" t="s">
        <v>585</v>
      </c>
      <c r="B396" s="51" t="s">
        <v>584</v>
      </c>
      <c r="C396" s="5" t="s">
        <v>1680</v>
      </c>
      <c r="D396" s="6" t="s">
        <v>1681</v>
      </c>
      <c r="E396" s="6" t="s">
        <v>470</v>
      </c>
      <c r="F396" s="6" t="s">
        <v>730</v>
      </c>
      <c r="G396" s="6" t="s">
        <v>473</v>
      </c>
      <c r="H396" s="6"/>
      <c r="I396" s="26" t="n">
        <v>1</v>
      </c>
      <c r="J396" s="26" t="n">
        <f aca="false">COUNTIFS('Control Library'!$A$5:$A$50,"AI-CTRL-037",'Control Library'!$R$5:$R$50,"Implemented")</f>
        <v>0</v>
      </c>
      <c r="K396" s="43" t="str">
        <f aca="false">IF(I396=0,"No wiki control",IF(J396=I396,"Fully covered",IF(J396=0,"Not covered","Partly covered")))</f>
        <v>Not covered</v>
      </c>
      <c r="L396" s="9" t="s">
        <v>1579</v>
      </c>
    </row>
    <row r="397" customFormat="false" ht="23.85" hidden="false" customHeight="false" outlineLevel="0" collapsed="false">
      <c r="A397" s="51" t="s">
        <v>585</v>
      </c>
      <c r="B397" s="51" t="s">
        <v>584</v>
      </c>
      <c r="C397" s="5" t="s">
        <v>1682</v>
      </c>
      <c r="D397" s="6" t="s">
        <v>1683</v>
      </c>
      <c r="E397" s="6" t="s">
        <v>530</v>
      </c>
      <c r="F397" s="6" t="s">
        <v>730</v>
      </c>
      <c r="G397" s="6" t="s">
        <v>533</v>
      </c>
      <c r="H397" s="6"/>
      <c r="I397" s="26" t="n">
        <v>1</v>
      </c>
      <c r="J397" s="26" t="n">
        <f aca="false">COUNTIFS('Control Library'!$A$5:$A$50,"AI-CTRL-044",'Control Library'!$R$5:$R$50,"Implemented")</f>
        <v>0</v>
      </c>
      <c r="K397" s="43" t="str">
        <f aca="false">IF(I397=0,"No wiki control",IF(J397=I397,"Fully covered",IF(J397=0,"Not covered","Partly covered")))</f>
        <v>Not covered</v>
      </c>
      <c r="L397" s="9" t="s">
        <v>1579</v>
      </c>
    </row>
    <row r="398" customFormat="false" ht="23.85" hidden="false" customHeight="false" outlineLevel="0" collapsed="false">
      <c r="A398" s="51" t="s">
        <v>585</v>
      </c>
      <c r="B398" s="51" t="s">
        <v>584</v>
      </c>
      <c r="C398" s="5" t="s">
        <v>1684</v>
      </c>
      <c r="D398" s="6" t="s">
        <v>1685</v>
      </c>
      <c r="E398" s="6" t="s">
        <v>530</v>
      </c>
      <c r="F398" s="6" t="s">
        <v>730</v>
      </c>
      <c r="G398" s="6" t="s">
        <v>533</v>
      </c>
      <c r="H398" s="6"/>
      <c r="I398" s="26" t="n">
        <v>1</v>
      </c>
      <c r="J398" s="26" t="n">
        <f aca="false">COUNTIFS('Control Library'!$A$5:$A$50,"AI-CTRL-044",'Control Library'!$R$5:$R$50,"Implemented")</f>
        <v>0</v>
      </c>
      <c r="K398" s="43" t="str">
        <f aca="false">IF(I398=0,"No wiki control",IF(J398=I398,"Fully covered",IF(J398=0,"Not covered","Partly covered")))</f>
        <v>Not covered</v>
      </c>
      <c r="L398" s="9" t="s">
        <v>1579</v>
      </c>
    </row>
    <row r="399" customFormat="false" ht="23.85" hidden="false" customHeight="false" outlineLevel="0" collapsed="false">
      <c r="A399" s="51" t="s">
        <v>585</v>
      </c>
      <c r="B399" s="51" t="s">
        <v>584</v>
      </c>
      <c r="C399" s="5" t="s">
        <v>1686</v>
      </c>
      <c r="D399" s="6" t="s">
        <v>1687</v>
      </c>
      <c r="E399" s="6" t="s">
        <v>478</v>
      </c>
      <c r="F399" s="6" t="s">
        <v>730</v>
      </c>
      <c r="G399" s="6" t="s">
        <v>481</v>
      </c>
      <c r="H399" s="6"/>
      <c r="I399" s="26" t="n">
        <v>1</v>
      </c>
      <c r="J399" s="26" t="n">
        <f aca="false">COUNTIFS('Control Library'!$A$5:$A$50,"AI-CTRL-038",'Control Library'!$R$5:$R$50,"Implemented")</f>
        <v>0</v>
      </c>
      <c r="K399" s="43" t="str">
        <f aca="false">IF(I399=0,"No wiki control",IF(J399=I399,"Fully covered",IF(J399=0,"Not covered","Partly covered")))</f>
        <v>Not covered</v>
      </c>
      <c r="L399" s="9" t="s">
        <v>1579</v>
      </c>
    </row>
    <row r="400" customFormat="false" ht="23.85" hidden="false" customHeight="false" outlineLevel="0" collapsed="false">
      <c r="A400" s="51" t="s">
        <v>585</v>
      </c>
      <c r="B400" s="51" t="s">
        <v>584</v>
      </c>
      <c r="C400" s="5" t="s">
        <v>1688</v>
      </c>
      <c r="D400" s="6" t="s">
        <v>1689</v>
      </c>
      <c r="E400" s="6" t="s">
        <v>478</v>
      </c>
      <c r="F400" s="6" t="s">
        <v>730</v>
      </c>
      <c r="G400" s="6" t="s">
        <v>481</v>
      </c>
      <c r="H400" s="6"/>
      <c r="I400" s="26" t="n">
        <v>1</v>
      </c>
      <c r="J400" s="26" t="n">
        <f aca="false">COUNTIFS('Control Library'!$A$5:$A$50,"AI-CTRL-038",'Control Library'!$R$5:$R$50,"Implemented")</f>
        <v>0</v>
      </c>
      <c r="K400" s="43" t="str">
        <f aca="false">IF(I400=0,"No wiki control",IF(J400=I400,"Fully covered",IF(J400=0,"Not covered","Partly covered")))</f>
        <v>Not covered</v>
      </c>
      <c r="L400" s="9" t="s">
        <v>1579</v>
      </c>
    </row>
    <row r="401" customFormat="false" ht="23.85" hidden="false" customHeight="false" outlineLevel="0" collapsed="false">
      <c r="A401" s="51" t="s">
        <v>585</v>
      </c>
      <c r="B401" s="51" t="s">
        <v>584</v>
      </c>
      <c r="C401" s="5" t="s">
        <v>1690</v>
      </c>
      <c r="D401" s="6" t="s">
        <v>1691</v>
      </c>
      <c r="E401" s="6" t="s">
        <v>478</v>
      </c>
      <c r="F401" s="6" t="s">
        <v>730</v>
      </c>
      <c r="G401" s="6" t="s">
        <v>481</v>
      </c>
      <c r="H401" s="6"/>
      <c r="I401" s="26" t="n">
        <v>1</v>
      </c>
      <c r="J401" s="26" t="n">
        <f aca="false">COUNTIFS('Control Library'!$A$5:$A$50,"AI-CTRL-038",'Control Library'!$R$5:$R$50,"Implemented")</f>
        <v>0</v>
      </c>
      <c r="K401" s="43" t="str">
        <f aca="false">IF(I401=0,"No wiki control",IF(J401=I401,"Fully covered",IF(J401=0,"Not covered","Partly covered")))</f>
        <v>Not covered</v>
      </c>
      <c r="L401" s="9" t="s">
        <v>1579</v>
      </c>
    </row>
    <row r="402" customFormat="false" ht="23.85" hidden="false" customHeight="false" outlineLevel="0" collapsed="false">
      <c r="A402" s="51" t="s">
        <v>585</v>
      </c>
      <c r="B402" s="51" t="s">
        <v>584</v>
      </c>
      <c r="C402" s="5" t="s">
        <v>1692</v>
      </c>
      <c r="D402" s="6" t="s">
        <v>1693</v>
      </c>
      <c r="E402" s="6" t="s">
        <v>478</v>
      </c>
      <c r="F402" s="6" t="s">
        <v>730</v>
      </c>
      <c r="G402" s="6" t="s">
        <v>481</v>
      </c>
      <c r="H402" s="6"/>
      <c r="I402" s="26" t="n">
        <v>1</v>
      </c>
      <c r="J402" s="26" t="n">
        <f aca="false">COUNTIFS('Control Library'!$A$5:$A$50,"AI-CTRL-038",'Control Library'!$R$5:$R$50,"Implemented")</f>
        <v>0</v>
      </c>
      <c r="K402" s="43" t="str">
        <f aca="false">IF(I402=0,"No wiki control",IF(J402=I402,"Fully covered",IF(J402=0,"Not covered","Partly covered")))</f>
        <v>Not covered</v>
      </c>
      <c r="L402" s="9" t="s">
        <v>1579</v>
      </c>
    </row>
    <row r="403" customFormat="false" ht="23.85" hidden="false" customHeight="false" outlineLevel="0" collapsed="false">
      <c r="A403" s="51" t="s">
        <v>586</v>
      </c>
      <c r="B403" s="51" t="s">
        <v>584</v>
      </c>
      <c r="C403" s="5" t="s">
        <v>1694</v>
      </c>
      <c r="D403" s="6" t="s">
        <v>1695</v>
      </c>
      <c r="E403" s="6" t="s">
        <v>263</v>
      </c>
      <c r="F403" s="6" t="s">
        <v>730</v>
      </c>
      <c r="G403" s="6" t="s">
        <v>266</v>
      </c>
      <c r="H403" s="6"/>
      <c r="I403" s="26" t="n">
        <v>1</v>
      </c>
      <c r="J403" s="26" t="n">
        <f aca="false">COUNTIFS('Control Library'!$A$5:$A$50,"AI-CTRL-012",'Control Library'!$R$5:$R$50,"Implemented")</f>
        <v>0</v>
      </c>
      <c r="K403" s="43" t="str">
        <f aca="false">IF(I403=0,"No wiki control",IF(J403=I403,"Fully covered",IF(J403=0,"Not covered","Partly covered")))</f>
        <v>Not covered</v>
      </c>
      <c r="L403" s="9" t="s">
        <v>1696</v>
      </c>
    </row>
    <row r="404" customFormat="false" ht="23.85" hidden="false" customHeight="false" outlineLevel="0" collapsed="false">
      <c r="A404" s="51" t="s">
        <v>586</v>
      </c>
      <c r="B404" s="51" t="s">
        <v>584</v>
      </c>
      <c r="C404" s="5" t="s">
        <v>1603</v>
      </c>
      <c r="D404" s="6" t="s">
        <v>1697</v>
      </c>
      <c r="E404" s="6" t="s">
        <v>263</v>
      </c>
      <c r="F404" s="6" t="s">
        <v>730</v>
      </c>
      <c r="G404" s="6" t="s">
        <v>266</v>
      </c>
      <c r="H404" s="6"/>
      <c r="I404" s="26" t="n">
        <v>1</v>
      </c>
      <c r="J404" s="26" t="n">
        <f aca="false">COUNTIFS('Control Library'!$A$5:$A$50,"AI-CTRL-012",'Control Library'!$R$5:$R$50,"Implemented")</f>
        <v>0</v>
      </c>
      <c r="K404" s="43" t="str">
        <f aca="false">IF(I404=0,"No wiki control",IF(J404=I404,"Fully covered",IF(J404=0,"Not covered","Partly covered")))</f>
        <v>Not covered</v>
      </c>
      <c r="L404" s="9" t="s">
        <v>1696</v>
      </c>
    </row>
    <row r="405" customFormat="false" ht="23.85" hidden="false" customHeight="false" outlineLevel="0" collapsed="false">
      <c r="A405" s="51" t="s">
        <v>586</v>
      </c>
      <c r="B405" s="51" t="s">
        <v>584</v>
      </c>
      <c r="C405" s="5" t="s">
        <v>1607</v>
      </c>
      <c r="D405" s="6" t="s">
        <v>1698</v>
      </c>
      <c r="E405" s="6" t="s">
        <v>1397</v>
      </c>
      <c r="F405" s="6" t="s">
        <v>730</v>
      </c>
      <c r="G405" s="6" t="s">
        <v>1398</v>
      </c>
      <c r="H405" s="6"/>
      <c r="I405" s="26" t="n">
        <v>2</v>
      </c>
      <c r="J405" s="26" t="n">
        <f aca="false">COUNTIFS('Control Library'!$A$5:$A$50,"AI-CTRL-022",'Control Library'!$R$5:$R$50,"Implemented")+COUNTIFS('Control Library'!$A$5:$A$50,"AI-CTRL-023",'Control Library'!$R$5:$R$50,"Implemented")</f>
        <v>0</v>
      </c>
      <c r="K405" s="43" t="str">
        <f aca="false">IF(I405=0,"No wiki control",IF(J405=I405,"Fully covered",IF(J405=0,"Not covered","Partly covered")))</f>
        <v>Not covered</v>
      </c>
      <c r="L405" s="9" t="s">
        <v>1696</v>
      </c>
    </row>
    <row r="406" customFormat="false" ht="23.85" hidden="false" customHeight="false" outlineLevel="0" collapsed="false">
      <c r="A406" s="51" t="s">
        <v>586</v>
      </c>
      <c r="B406" s="51" t="s">
        <v>584</v>
      </c>
      <c r="C406" s="5" t="s">
        <v>1611</v>
      </c>
      <c r="D406" s="6" t="s">
        <v>1699</v>
      </c>
      <c r="E406" s="6" t="s">
        <v>263</v>
      </c>
      <c r="F406" s="6" t="s">
        <v>730</v>
      </c>
      <c r="G406" s="6" t="s">
        <v>266</v>
      </c>
      <c r="H406" s="6"/>
      <c r="I406" s="26" t="n">
        <v>1</v>
      </c>
      <c r="J406" s="26" t="n">
        <f aca="false">COUNTIFS('Control Library'!$A$5:$A$50,"AI-CTRL-012",'Control Library'!$R$5:$R$50,"Implemented")</f>
        <v>0</v>
      </c>
      <c r="K406" s="43" t="str">
        <f aca="false">IF(I406=0,"No wiki control",IF(J406=I406,"Fully covered",IF(J406=0,"Not covered","Partly covered")))</f>
        <v>Not covered</v>
      </c>
      <c r="L406" s="9" t="s">
        <v>1696</v>
      </c>
    </row>
    <row r="407" customFormat="false" ht="23.85" hidden="false" customHeight="false" outlineLevel="0" collapsed="false">
      <c r="A407" s="51" t="s">
        <v>586</v>
      </c>
      <c r="B407" s="51" t="s">
        <v>584</v>
      </c>
      <c r="C407" s="5" t="s">
        <v>1613</v>
      </c>
      <c r="D407" s="6" t="s">
        <v>1700</v>
      </c>
      <c r="E407" s="6" t="s">
        <v>522</v>
      </c>
      <c r="F407" s="6" t="s">
        <v>730</v>
      </c>
      <c r="G407" s="6" t="s">
        <v>525</v>
      </c>
      <c r="H407" s="6"/>
      <c r="I407" s="26" t="n">
        <v>1</v>
      </c>
      <c r="J407" s="26" t="n">
        <f aca="false">COUNTIFS('Control Library'!$A$5:$A$50,"AI-CTRL-043",'Control Library'!$R$5:$R$50,"Implemented")</f>
        <v>0</v>
      </c>
      <c r="K407" s="43" t="str">
        <f aca="false">IF(I407=0,"No wiki control",IF(J407=I407,"Fully covered",IF(J407=0,"Not covered","Partly covered")))</f>
        <v>Not covered</v>
      </c>
      <c r="L407" s="9" t="s">
        <v>1696</v>
      </c>
    </row>
    <row r="408" customFormat="false" ht="23.85" hidden="false" customHeight="false" outlineLevel="0" collapsed="false">
      <c r="A408" s="51" t="s">
        <v>586</v>
      </c>
      <c r="B408" s="51" t="s">
        <v>584</v>
      </c>
      <c r="C408" s="5" t="s">
        <v>1701</v>
      </c>
      <c r="D408" s="6"/>
      <c r="E408" s="6"/>
      <c r="F408" s="6" t="s">
        <v>640</v>
      </c>
      <c r="G408" s="6"/>
      <c r="H408" s="6"/>
      <c r="I408" s="26" t="n">
        <v>0</v>
      </c>
      <c r="J408" s="26" t="n">
        <f aca="false">0</f>
        <v>0</v>
      </c>
      <c r="K408" s="43" t="str">
        <f aca="false">IF(I408=0,"No wiki control",IF(J408=I408,"Fully covered",IF(J408=0,"Not covered","Partly covered")))</f>
        <v>No wiki control</v>
      </c>
      <c r="L408" s="9" t="s">
        <v>1696</v>
      </c>
    </row>
    <row r="409" customFormat="false" ht="23.85" hidden="false" customHeight="false" outlineLevel="0" collapsed="false">
      <c r="A409" s="51" t="s">
        <v>586</v>
      </c>
      <c r="B409" s="51" t="s">
        <v>584</v>
      </c>
      <c r="C409" s="5" t="s">
        <v>1702</v>
      </c>
      <c r="D409" s="6"/>
      <c r="E409" s="6"/>
      <c r="F409" s="6" t="s">
        <v>640</v>
      </c>
      <c r="G409" s="6"/>
      <c r="H409" s="6"/>
      <c r="I409" s="26" t="n">
        <v>0</v>
      </c>
      <c r="J409" s="26" t="n">
        <f aca="false">0</f>
        <v>0</v>
      </c>
      <c r="K409" s="43" t="str">
        <f aca="false">IF(I409=0,"No wiki control",IF(J409=I409,"Fully covered",IF(J409=0,"Not covered","Partly covered")))</f>
        <v>No wiki control</v>
      </c>
      <c r="L409" s="9" t="s">
        <v>1696</v>
      </c>
    </row>
    <row r="410" customFormat="false" ht="46.25" hidden="false" customHeight="false" outlineLevel="0" collapsed="false">
      <c r="A410" s="51" t="s">
        <v>586</v>
      </c>
      <c r="B410" s="51" t="s">
        <v>584</v>
      </c>
      <c r="C410" s="5" t="s">
        <v>1703</v>
      </c>
      <c r="D410" s="6" t="s">
        <v>1704</v>
      </c>
      <c r="E410" s="6" t="s">
        <v>1705</v>
      </c>
      <c r="F410" s="6" t="s">
        <v>730</v>
      </c>
      <c r="G410" s="6" t="s">
        <v>1706</v>
      </c>
      <c r="H410" s="6"/>
      <c r="I410" s="26" t="n">
        <v>3</v>
      </c>
      <c r="J410" s="26" t="n">
        <f aca="false">COUNTIFS('Control Library'!$A$5:$A$50,"AI-CTRL-011",'Control Library'!$R$5:$R$50,"Implemented")+COUNTIFS('Control Library'!$A$5:$A$50,"AI-CTRL-033",'Control Library'!$R$5:$R$50,"Implemented")+COUNTIFS('Control Library'!$A$5:$A$50,"AI-CTRL-042",'Control Library'!$R$5:$R$50,"Implemented")</f>
        <v>0</v>
      </c>
      <c r="K410" s="43" t="str">
        <f aca="false">IF(I410=0,"No wiki control",IF(J410=I410,"Fully covered",IF(J410=0,"Not covered","Partly covered")))</f>
        <v>Not covered</v>
      </c>
      <c r="L410" s="9" t="s">
        <v>1696</v>
      </c>
    </row>
    <row r="411" customFormat="false" ht="23.85" hidden="false" customHeight="false" outlineLevel="0" collapsed="false">
      <c r="A411" s="51" t="s">
        <v>586</v>
      </c>
      <c r="B411" s="51" t="s">
        <v>584</v>
      </c>
      <c r="C411" s="5" t="s">
        <v>1707</v>
      </c>
      <c r="D411" s="6" t="s">
        <v>1708</v>
      </c>
      <c r="E411" s="6" t="s">
        <v>1709</v>
      </c>
      <c r="F411" s="6" t="s">
        <v>730</v>
      </c>
      <c r="G411" s="6" t="s">
        <v>1710</v>
      </c>
      <c r="H411" s="6"/>
      <c r="I411" s="26" t="n">
        <v>4</v>
      </c>
      <c r="J411" s="26" t="n">
        <f aca="false">COUNTIFS('Control Library'!$A$5:$A$50,"AI-CTRL-001",'Control Library'!$R$5:$R$50,"Implemented")+COUNTIFS('Control Library'!$A$5:$A$50,"AI-CTRL-011",'Control Library'!$R$5:$R$50,"Implemented")+COUNTIFS('Control Library'!$A$5:$A$50,"AI-CTRL-029",'Control Library'!$R$5:$R$50,"Implemented")+COUNTIFS('Control Library'!$A$5:$A$50,"AI-CTRL-031",'Control Library'!$R$5:$R$50,"Implemented")</f>
        <v>0</v>
      </c>
      <c r="K411" s="43" t="str">
        <f aca="false">IF(I411=0,"No wiki control",IF(J411=I411,"Fully covered",IF(J411=0,"Not covered","Partly covered")))</f>
        <v>Not covered</v>
      </c>
      <c r="L411" s="9" t="s">
        <v>1696</v>
      </c>
    </row>
    <row r="412" customFormat="false" ht="23.85" hidden="false" customHeight="false" outlineLevel="0" collapsed="false">
      <c r="A412" s="51" t="s">
        <v>586</v>
      </c>
      <c r="B412" s="51" t="s">
        <v>584</v>
      </c>
      <c r="C412" s="5" t="s">
        <v>1711</v>
      </c>
      <c r="D412" s="6" t="s">
        <v>1712</v>
      </c>
      <c r="E412" s="6" t="s">
        <v>1713</v>
      </c>
      <c r="F412" s="6" t="s">
        <v>730</v>
      </c>
      <c r="G412" s="6" t="s">
        <v>1012</v>
      </c>
      <c r="H412" s="6"/>
      <c r="I412" s="26" t="n">
        <v>3</v>
      </c>
      <c r="J412" s="26" t="n">
        <f aca="false">COUNTIFS('Control Library'!$A$5:$A$50,"AI-CTRL-003",'Control Library'!$R$5:$R$50,"Implemented")+COUNTIFS('Control Library'!$A$5:$A$50,"AI-CTRL-010",'Control Library'!$R$5:$R$50,"Implemented")+COUNTIFS('Control Library'!$A$5:$A$50,"AI-CTRL-012",'Control Library'!$R$5:$R$50,"Implemented")</f>
        <v>0</v>
      </c>
      <c r="K412" s="43" t="str">
        <f aca="false">IF(I412=0,"No wiki control",IF(J412=I412,"Fully covered",IF(J412=0,"Not covered","Partly covered")))</f>
        <v>Not covered</v>
      </c>
      <c r="L412" s="9" t="s">
        <v>1696</v>
      </c>
    </row>
    <row r="413" customFormat="false" ht="23.85" hidden="false" customHeight="false" outlineLevel="0" collapsed="false">
      <c r="A413" s="51" t="s">
        <v>586</v>
      </c>
      <c r="B413" s="51" t="s">
        <v>584</v>
      </c>
      <c r="C413" s="5" t="s">
        <v>1714</v>
      </c>
      <c r="D413" s="6"/>
      <c r="E413" s="6"/>
      <c r="F413" s="6" t="s">
        <v>640</v>
      </c>
      <c r="G413" s="6"/>
      <c r="H413" s="6"/>
      <c r="I413" s="26" t="n">
        <v>0</v>
      </c>
      <c r="J413" s="26" t="n">
        <f aca="false">0</f>
        <v>0</v>
      </c>
      <c r="K413" s="43" t="str">
        <f aca="false">IF(I413=0,"No wiki control",IF(J413=I413,"Fully covered",IF(J413=0,"Not covered","Partly covered")))</f>
        <v>No wiki control</v>
      </c>
      <c r="L413" s="9" t="s">
        <v>1696</v>
      </c>
    </row>
    <row r="414" customFormat="false" ht="23.85" hidden="false" customHeight="false" outlineLevel="0" collapsed="false">
      <c r="A414" s="51" t="s">
        <v>586</v>
      </c>
      <c r="B414" s="51" t="s">
        <v>584</v>
      </c>
      <c r="C414" s="5" t="s">
        <v>1715</v>
      </c>
      <c r="D414" s="6" t="s">
        <v>1716</v>
      </c>
      <c r="E414" s="6" t="s">
        <v>1717</v>
      </c>
      <c r="F414" s="6" t="s">
        <v>730</v>
      </c>
      <c r="G414" s="6" t="s">
        <v>1718</v>
      </c>
      <c r="H414" s="6"/>
      <c r="I414" s="26" t="n">
        <v>4</v>
      </c>
      <c r="J414" s="26" t="n">
        <f aca="false">COUNTIFS('Control Library'!$A$5:$A$50,"AI-CTRL-002",'Control Library'!$R$5:$R$50,"Implemented")+COUNTIFS('Control Library'!$A$5:$A$50,"AI-CTRL-010",'Control Library'!$R$5:$R$50,"Implemented")+COUNTIFS('Control Library'!$A$5:$A$50,"AI-CTRL-011",'Control Library'!$R$5:$R$50,"Implemented")+COUNTIFS('Control Library'!$A$5:$A$50,"AI-CTRL-017",'Control Library'!$R$5:$R$50,"Implemented")</f>
        <v>0</v>
      </c>
      <c r="K414" s="43" t="str">
        <f aca="false">IF(I414=0,"No wiki control",IF(J414=I414,"Fully covered",IF(J414=0,"Not covered","Partly covered")))</f>
        <v>Not covered</v>
      </c>
      <c r="L414" s="9" t="s">
        <v>1696</v>
      </c>
    </row>
    <row r="415" customFormat="false" ht="23.85" hidden="false" customHeight="false" outlineLevel="0" collapsed="false">
      <c r="A415" s="51" t="s">
        <v>586</v>
      </c>
      <c r="B415" s="51" t="s">
        <v>584</v>
      </c>
      <c r="C415" s="5" t="s">
        <v>1719</v>
      </c>
      <c r="D415" s="6" t="s">
        <v>1720</v>
      </c>
      <c r="E415" s="6" t="s">
        <v>307</v>
      </c>
      <c r="F415" s="6" t="s">
        <v>730</v>
      </c>
      <c r="G415" s="6" t="s">
        <v>310</v>
      </c>
      <c r="H415" s="6"/>
      <c r="I415" s="26" t="n">
        <v>1</v>
      </c>
      <c r="J415" s="26" t="n">
        <f aca="false">COUNTIFS('Control Library'!$A$5:$A$50,"AI-CTRL-017",'Control Library'!$R$5:$R$50,"Implemented")</f>
        <v>0</v>
      </c>
      <c r="K415" s="43" t="str">
        <f aca="false">IF(I415=0,"No wiki control",IF(J415=I415,"Fully covered",IF(J415=0,"Not covered","Partly covered")))</f>
        <v>Not covered</v>
      </c>
      <c r="L415" s="9" t="s">
        <v>1696</v>
      </c>
    </row>
    <row r="416" customFormat="false" ht="23.85" hidden="false" customHeight="false" outlineLevel="0" collapsed="false">
      <c r="A416" s="51" t="s">
        <v>586</v>
      </c>
      <c r="B416" s="51" t="s">
        <v>584</v>
      </c>
      <c r="C416" s="5" t="s">
        <v>1721</v>
      </c>
      <c r="D416" s="6" t="s">
        <v>1722</v>
      </c>
      <c r="E416" s="6" t="s">
        <v>1723</v>
      </c>
      <c r="F416" s="6" t="s">
        <v>730</v>
      </c>
      <c r="G416" s="6" t="s">
        <v>1724</v>
      </c>
      <c r="H416" s="6"/>
      <c r="I416" s="26" t="n">
        <v>2</v>
      </c>
      <c r="J416" s="26" t="n">
        <f aca="false">COUNTIFS('Control Library'!$A$5:$A$50,"AI-CTRL-003",'Control Library'!$R$5:$R$50,"Implemented")+COUNTIFS('Control Library'!$A$5:$A$50,"AI-CTRL-007",'Control Library'!$R$5:$R$50,"Implemented")</f>
        <v>0</v>
      </c>
      <c r="K416" s="43" t="str">
        <f aca="false">IF(I416=0,"No wiki control",IF(J416=I416,"Fully covered",IF(J416=0,"Not covered","Partly covered")))</f>
        <v>Not covered</v>
      </c>
      <c r="L416" s="9" t="s">
        <v>1696</v>
      </c>
    </row>
    <row r="417" customFormat="false" ht="23.85" hidden="false" customHeight="false" outlineLevel="0" collapsed="false">
      <c r="A417" s="51" t="s">
        <v>586</v>
      </c>
      <c r="B417" s="51" t="s">
        <v>584</v>
      </c>
      <c r="C417" s="5" t="s">
        <v>1725</v>
      </c>
      <c r="D417" s="6" t="s">
        <v>1726</v>
      </c>
      <c r="E417" s="6" t="s">
        <v>1727</v>
      </c>
      <c r="F417" s="6" t="s">
        <v>730</v>
      </c>
      <c r="G417" s="6" t="s">
        <v>1728</v>
      </c>
      <c r="H417" s="6"/>
      <c r="I417" s="26" t="n">
        <v>5</v>
      </c>
      <c r="J417" s="26" t="n">
        <f aca="false">COUNTIFS('Control Library'!$A$5:$A$50,"AI-CTRL-006",'Control Library'!$R$5:$R$50,"Implemented")+COUNTIFS('Control Library'!$A$5:$A$50,"AI-CTRL-016",'Control Library'!$R$5:$R$50,"Implemented")+COUNTIFS('Control Library'!$A$5:$A$50,"AI-CTRL-018",'Control Library'!$R$5:$R$50,"Implemented")+COUNTIFS('Control Library'!$A$5:$A$50,"AI-CTRL-022",'Control Library'!$R$5:$R$50,"Implemented")+COUNTIFS('Control Library'!$A$5:$A$50,"AI-CTRL-028",'Control Library'!$R$5:$R$50,"Implemented")</f>
        <v>0</v>
      </c>
      <c r="K417" s="43" t="str">
        <f aca="false">IF(I417=0,"No wiki control",IF(J417=I417,"Fully covered",IF(J417=0,"Not covered","Partly covered")))</f>
        <v>Not covered</v>
      </c>
      <c r="L417" s="9" t="s">
        <v>1696</v>
      </c>
    </row>
    <row r="418" customFormat="false" ht="23.85" hidden="false" customHeight="false" outlineLevel="0" collapsed="false">
      <c r="A418" s="51" t="s">
        <v>586</v>
      </c>
      <c r="B418" s="51" t="s">
        <v>584</v>
      </c>
      <c r="C418" s="5" t="s">
        <v>1729</v>
      </c>
      <c r="D418" s="6" t="s">
        <v>1730</v>
      </c>
      <c r="E418" s="6" t="s">
        <v>291</v>
      </c>
      <c r="F418" s="6" t="s">
        <v>730</v>
      </c>
      <c r="G418" s="6" t="s">
        <v>295</v>
      </c>
      <c r="H418" s="6"/>
      <c r="I418" s="26" t="n">
        <v>1</v>
      </c>
      <c r="J418" s="26" t="n">
        <f aca="false">COUNTIFS('Control Library'!$A$5:$A$50,"AI-CTRL-015",'Control Library'!$R$5:$R$50,"Implemented")</f>
        <v>0</v>
      </c>
      <c r="K418" s="43" t="str">
        <f aca="false">IF(I418=0,"No wiki control",IF(J418=I418,"Fully covered",IF(J418=0,"Not covered","Partly covered")))</f>
        <v>Not covered</v>
      </c>
      <c r="L418" s="9" t="s">
        <v>1696</v>
      </c>
    </row>
    <row r="419" customFormat="false" ht="23.85" hidden="false" customHeight="false" outlineLevel="0" collapsed="false">
      <c r="A419" s="51" t="s">
        <v>586</v>
      </c>
      <c r="B419" s="51" t="s">
        <v>584</v>
      </c>
      <c r="C419" s="5" t="s">
        <v>1731</v>
      </c>
      <c r="D419" s="6" t="s">
        <v>1732</v>
      </c>
      <c r="E419" s="6" t="s">
        <v>291</v>
      </c>
      <c r="F419" s="6" t="s">
        <v>730</v>
      </c>
      <c r="G419" s="6" t="s">
        <v>295</v>
      </c>
      <c r="H419" s="6"/>
      <c r="I419" s="26" t="n">
        <v>1</v>
      </c>
      <c r="J419" s="26" t="n">
        <f aca="false">COUNTIFS('Control Library'!$A$5:$A$50,"AI-CTRL-015",'Control Library'!$R$5:$R$50,"Implemented")</f>
        <v>0</v>
      </c>
      <c r="K419" s="43" t="str">
        <f aca="false">IF(I419=0,"No wiki control",IF(J419=I419,"Fully covered",IF(J419=0,"Not covered","Partly covered")))</f>
        <v>Not covered</v>
      </c>
      <c r="L419" s="9" t="s">
        <v>1696</v>
      </c>
    </row>
    <row r="420" customFormat="false" ht="35.05" hidden="false" customHeight="false" outlineLevel="0" collapsed="false">
      <c r="A420" s="51" t="s">
        <v>586</v>
      </c>
      <c r="B420" s="51" t="s">
        <v>584</v>
      </c>
      <c r="C420" s="5" t="s">
        <v>1733</v>
      </c>
      <c r="D420" s="6" t="s">
        <v>1734</v>
      </c>
      <c r="E420" s="6" t="s">
        <v>1735</v>
      </c>
      <c r="F420" s="6" t="s">
        <v>730</v>
      </c>
      <c r="G420" s="6" t="s">
        <v>1736</v>
      </c>
      <c r="H420" s="6"/>
      <c r="I420" s="26" t="n">
        <v>2</v>
      </c>
      <c r="J420" s="26" t="n">
        <f aca="false">COUNTIFS('Control Library'!$A$5:$A$50,"AI-CTRL-016",'Control Library'!$R$5:$R$50,"Implemented")+COUNTIFS('Control Library'!$A$5:$A$50,"AI-CTRL-025",'Control Library'!$R$5:$R$50,"Implemented")</f>
        <v>0</v>
      </c>
      <c r="K420" s="43" t="str">
        <f aca="false">IF(I420=0,"No wiki control",IF(J420=I420,"Fully covered",IF(J420=0,"Not covered","Partly covered")))</f>
        <v>Not covered</v>
      </c>
      <c r="L420" s="9" t="s">
        <v>1696</v>
      </c>
    </row>
    <row r="421" customFormat="false" ht="23.85" hidden="false" customHeight="false" outlineLevel="0" collapsed="false">
      <c r="A421" s="51" t="s">
        <v>586</v>
      </c>
      <c r="B421" s="51" t="s">
        <v>584</v>
      </c>
      <c r="C421" s="5" t="s">
        <v>1737</v>
      </c>
      <c r="D421" s="6" t="s">
        <v>1738</v>
      </c>
      <c r="E421" s="6" t="s">
        <v>1739</v>
      </c>
      <c r="F421" s="6" t="s">
        <v>730</v>
      </c>
      <c r="G421" s="6" t="s">
        <v>1060</v>
      </c>
      <c r="H421" s="6"/>
      <c r="I421" s="26" t="n">
        <v>2</v>
      </c>
      <c r="J421" s="26" t="n">
        <f aca="false">COUNTIFS('Control Library'!$A$5:$A$50,"AI-CTRL-014",'Control Library'!$R$5:$R$50,"Implemented")+COUNTIFS('Control Library'!$A$5:$A$50,"AI-CTRL-024",'Control Library'!$R$5:$R$50,"Implemented")</f>
        <v>0</v>
      </c>
      <c r="K421" s="43" t="str">
        <f aca="false">IF(I421=0,"No wiki control",IF(J421=I421,"Fully covered",IF(J421=0,"Not covered","Partly covered")))</f>
        <v>Not covered</v>
      </c>
      <c r="L421" s="9" t="s">
        <v>1696</v>
      </c>
    </row>
    <row r="422" customFormat="false" ht="23.85" hidden="false" customHeight="false" outlineLevel="0" collapsed="false">
      <c r="A422" s="51" t="s">
        <v>586</v>
      </c>
      <c r="B422" s="51" t="s">
        <v>584</v>
      </c>
      <c r="C422" s="5" t="s">
        <v>1740</v>
      </c>
      <c r="D422" s="6" t="s">
        <v>1741</v>
      </c>
      <c r="E422" s="6" t="s">
        <v>1742</v>
      </c>
      <c r="F422" s="6" t="s">
        <v>730</v>
      </c>
      <c r="G422" s="6" t="s">
        <v>1743</v>
      </c>
      <c r="H422" s="6"/>
      <c r="I422" s="26" t="n">
        <v>2</v>
      </c>
      <c r="J422" s="26" t="n">
        <f aca="false">COUNTIFS('Control Library'!$A$5:$A$50,"AI-CTRL-014",'Control Library'!$R$5:$R$50,"Implemented")+COUNTIFS('Control Library'!$A$5:$A$50,"AI-CTRL-046",'Control Library'!$R$5:$R$50,"Implemented")</f>
        <v>0</v>
      </c>
      <c r="K422" s="43" t="str">
        <f aca="false">IF(I422=0,"No wiki control",IF(J422=I422,"Fully covered",IF(J422=0,"Not covered","Partly covered")))</f>
        <v>Not covered</v>
      </c>
      <c r="L422" s="9" t="s">
        <v>1696</v>
      </c>
    </row>
    <row r="423" customFormat="false" ht="23.85" hidden="false" customHeight="false" outlineLevel="0" collapsed="false">
      <c r="A423" s="51" t="s">
        <v>586</v>
      </c>
      <c r="B423" s="51" t="s">
        <v>584</v>
      </c>
      <c r="C423" s="5" t="s">
        <v>1744</v>
      </c>
      <c r="D423" s="6" t="s">
        <v>1745</v>
      </c>
      <c r="E423" s="6" t="s">
        <v>1746</v>
      </c>
      <c r="F423" s="6" t="s">
        <v>730</v>
      </c>
      <c r="G423" s="6" t="s">
        <v>1060</v>
      </c>
      <c r="H423" s="6"/>
      <c r="I423" s="26" t="n">
        <v>4</v>
      </c>
      <c r="J423" s="26" t="n">
        <f aca="false">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423" s="43" t="str">
        <f aca="false">IF(I423=0,"No wiki control",IF(J423=I423,"Fully covered",IF(J423=0,"Not covered","Partly covered")))</f>
        <v>Not covered</v>
      </c>
      <c r="L423" s="9" t="s">
        <v>1696</v>
      </c>
    </row>
    <row r="424" customFormat="false" ht="23.85" hidden="false" customHeight="false" outlineLevel="0" collapsed="false">
      <c r="A424" s="51" t="s">
        <v>586</v>
      </c>
      <c r="B424" s="51" t="s">
        <v>584</v>
      </c>
      <c r="C424" s="5" t="s">
        <v>1747</v>
      </c>
      <c r="D424" s="6" t="s">
        <v>1748</v>
      </c>
      <c r="E424" s="6" t="s">
        <v>282</v>
      </c>
      <c r="F424" s="6" t="s">
        <v>730</v>
      </c>
      <c r="G424" s="6" t="s">
        <v>286</v>
      </c>
      <c r="H424" s="6"/>
      <c r="I424" s="26" t="n">
        <v>1</v>
      </c>
      <c r="J424" s="26" t="n">
        <f aca="false">COUNTIFS('Control Library'!$A$5:$A$50,"AI-CTRL-014",'Control Library'!$R$5:$R$50,"Implemented")</f>
        <v>0</v>
      </c>
      <c r="K424" s="43" t="str">
        <f aca="false">IF(I424=0,"No wiki control",IF(J424=I424,"Fully covered",IF(J424=0,"Not covered","Partly covered")))</f>
        <v>Not covered</v>
      </c>
      <c r="L424" s="9" t="s">
        <v>1696</v>
      </c>
    </row>
    <row r="425" customFormat="false" ht="23.85" hidden="false" customHeight="false" outlineLevel="0" collapsed="false">
      <c r="A425" s="51" t="s">
        <v>586</v>
      </c>
      <c r="B425" s="51" t="s">
        <v>584</v>
      </c>
      <c r="C425" s="5" t="s">
        <v>1749</v>
      </c>
      <c r="D425" s="6" t="s">
        <v>1750</v>
      </c>
      <c r="E425" s="6" t="s">
        <v>1751</v>
      </c>
      <c r="F425" s="6" t="s">
        <v>730</v>
      </c>
      <c r="G425" s="6" t="s">
        <v>286</v>
      </c>
      <c r="H425" s="6"/>
      <c r="I425" s="26" t="n">
        <v>3</v>
      </c>
      <c r="J425" s="26" t="n">
        <f aca="false">COUNTIFS('Control Library'!$A$5:$A$50,"AI-CTRL-007",'Control Library'!$R$5:$R$50,"Implemented")+COUNTIFS('Control Library'!$A$5:$A$50,"AI-CTRL-014",'Control Library'!$R$5:$R$50,"Implemented")+COUNTIFS('Control Library'!$A$5:$A$50,"AI-CTRL-032",'Control Library'!$R$5:$R$50,"Implemented")</f>
        <v>0</v>
      </c>
      <c r="K425" s="43" t="str">
        <f aca="false">IF(I425=0,"No wiki control",IF(J425=I425,"Fully covered",IF(J425=0,"Not covered","Partly covered")))</f>
        <v>Not covered</v>
      </c>
      <c r="L425" s="9" t="s">
        <v>1696</v>
      </c>
    </row>
    <row r="426" customFormat="false" ht="23.85" hidden="false" customHeight="false" outlineLevel="0" collapsed="false">
      <c r="A426" s="51" t="s">
        <v>586</v>
      </c>
      <c r="B426" s="51" t="s">
        <v>584</v>
      </c>
      <c r="C426" s="5" t="s">
        <v>1752</v>
      </c>
      <c r="D426" s="6" t="s">
        <v>1753</v>
      </c>
      <c r="E426" s="6" t="s">
        <v>453</v>
      </c>
      <c r="F426" s="6" t="s">
        <v>730</v>
      </c>
      <c r="G426" s="6" t="s">
        <v>456</v>
      </c>
      <c r="H426" s="6"/>
      <c r="I426" s="26" t="n">
        <v>1</v>
      </c>
      <c r="J426" s="26" t="n">
        <f aca="false">COUNTIFS('Control Library'!$A$5:$A$50,"AI-CTRL-035",'Control Library'!$R$5:$R$50,"Implemented")</f>
        <v>0</v>
      </c>
      <c r="K426" s="43" t="str">
        <f aca="false">IF(I426=0,"No wiki control",IF(J426=I426,"Fully covered",IF(J426=0,"Not covered","Partly covered")))</f>
        <v>Not covered</v>
      </c>
      <c r="L426" s="9" t="s">
        <v>1696</v>
      </c>
    </row>
    <row r="427" customFormat="false" ht="23.85" hidden="false" customHeight="false" outlineLevel="0" collapsed="false">
      <c r="A427" s="51" t="s">
        <v>586</v>
      </c>
      <c r="B427" s="51" t="s">
        <v>584</v>
      </c>
      <c r="C427" s="5" t="s">
        <v>1754</v>
      </c>
      <c r="D427" s="6" t="s">
        <v>1755</v>
      </c>
      <c r="E427" s="6" t="s">
        <v>1756</v>
      </c>
      <c r="F427" s="6" t="s">
        <v>730</v>
      </c>
      <c r="G427" s="6" t="s">
        <v>456</v>
      </c>
      <c r="H427" s="6"/>
      <c r="I427" s="26" t="n">
        <v>2</v>
      </c>
      <c r="J427" s="26" t="n">
        <f aca="false">COUNTIFS('Control Library'!$A$5:$A$50,"AI-CTRL-009",'Control Library'!$R$5:$R$50,"Implemented")+COUNTIFS('Control Library'!$A$5:$A$50,"AI-CTRL-035",'Control Library'!$R$5:$R$50,"Implemented")</f>
        <v>0</v>
      </c>
      <c r="K427" s="43" t="str">
        <f aca="false">IF(I427=0,"No wiki control",IF(J427=I427,"Fully covered",IF(J427=0,"Not covered","Partly covered")))</f>
        <v>Not covered</v>
      </c>
      <c r="L427" s="9" t="s">
        <v>1696</v>
      </c>
    </row>
    <row r="428" customFormat="false" ht="23.85" hidden="false" customHeight="false" outlineLevel="0" collapsed="false">
      <c r="A428" s="51" t="s">
        <v>586</v>
      </c>
      <c r="B428" s="51" t="s">
        <v>584</v>
      </c>
      <c r="C428" s="5" t="s">
        <v>1757</v>
      </c>
      <c r="D428" s="6" t="s">
        <v>1758</v>
      </c>
      <c r="E428" s="6" t="s">
        <v>1759</v>
      </c>
      <c r="F428" s="6" t="s">
        <v>730</v>
      </c>
      <c r="G428" s="6" t="s">
        <v>1760</v>
      </c>
      <c r="H428" s="6"/>
      <c r="I428" s="26" t="n">
        <v>2</v>
      </c>
      <c r="J428" s="26" t="n">
        <f aca="false">COUNTIFS('Control Library'!$A$5:$A$50,"AI-CTRL-025",'Control Library'!$R$5:$R$50,"Implemented")+COUNTIFS('Control Library'!$A$5:$A$50,"AI-CTRL-035",'Control Library'!$R$5:$R$50,"Implemented")</f>
        <v>0</v>
      </c>
      <c r="K428" s="43" t="str">
        <f aca="false">IF(I428=0,"No wiki control",IF(J428=I428,"Fully covered",IF(J428=0,"Not covered","Partly covered")))</f>
        <v>Not covered</v>
      </c>
      <c r="L428" s="9" t="s">
        <v>1696</v>
      </c>
    </row>
    <row r="429" customFormat="false" ht="23.85" hidden="false" customHeight="false" outlineLevel="0" collapsed="false">
      <c r="A429" s="51" t="s">
        <v>586</v>
      </c>
      <c r="B429" s="51" t="s">
        <v>584</v>
      </c>
      <c r="C429" s="5" t="s">
        <v>1761</v>
      </c>
      <c r="D429" s="6" t="s">
        <v>1762</v>
      </c>
      <c r="E429" s="6" t="s">
        <v>453</v>
      </c>
      <c r="F429" s="6" t="s">
        <v>730</v>
      </c>
      <c r="G429" s="6" t="s">
        <v>456</v>
      </c>
      <c r="H429" s="6"/>
      <c r="I429" s="26" t="n">
        <v>1</v>
      </c>
      <c r="J429" s="26" t="n">
        <f aca="false">COUNTIFS('Control Library'!$A$5:$A$50,"AI-CTRL-035",'Control Library'!$R$5:$R$50,"Implemented")</f>
        <v>0</v>
      </c>
      <c r="K429" s="43" t="str">
        <f aca="false">IF(I429=0,"No wiki control",IF(J429=I429,"Fully covered",IF(J429=0,"Not covered","Partly covered")))</f>
        <v>Not covered</v>
      </c>
      <c r="L429" s="9" t="s">
        <v>1696</v>
      </c>
    </row>
    <row r="430" customFormat="false" ht="23.85" hidden="false" customHeight="false" outlineLevel="0" collapsed="false">
      <c r="A430" s="51" t="s">
        <v>586</v>
      </c>
      <c r="B430" s="51" t="s">
        <v>584</v>
      </c>
      <c r="C430" s="5" t="s">
        <v>1763</v>
      </c>
      <c r="D430" s="6" t="s">
        <v>1764</v>
      </c>
      <c r="E430" s="6" t="s">
        <v>1765</v>
      </c>
      <c r="F430" s="6" t="s">
        <v>730</v>
      </c>
      <c r="G430" s="6" t="s">
        <v>1766</v>
      </c>
      <c r="H430" s="6"/>
      <c r="I430" s="26" t="n">
        <v>2</v>
      </c>
      <c r="J430" s="26" t="n">
        <f aca="false">COUNTIFS('Control Library'!$A$5:$A$50,"AI-CTRL-008",'Control Library'!$R$5:$R$50,"Implemented")+COUNTIFS('Control Library'!$A$5:$A$50,"AI-CTRL-035",'Control Library'!$R$5:$R$50,"Implemented")</f>
        <v>0</v>
      </c>
      <c r="K430" s="43" t="str">
        <f aca="false">IF(I430=0,"No wiki control",IF(J430=I430,"Fully covered",IF(J430=0,"Not covered","Partly covered")))</f>
        <v>Not covered</v>
      </c>
      <c r="L430" s="9" t="s">
        <v>1696</v>
      </c>
    </row>
    <row r="431" customFormat="false" ht="23.85" hidden="false" customHeight="false" outlineLevel="0" collapsed="false">
      <c r="A431" s="51" t="s">
        <v>586</v>
      </c>
      <c r="B431" s="51" t="s">
        <v>584</v>
      </c>
      <c r="C431" s="5" t="s">
        <v>1767</v>
      </c>
      <c r="D431" s="6" t="s">
        <v>1768</v>
      </c>
      <c r="E431" s="6" t="s">
        <v>495</v>
      </c>
      <c r="F431" s="6" t="s">
        <v>730</v>
      </c>
      <c r="G431" s="6" t="s">
        <v>499</v>
      </c>
      <c r="H431" s="6"/>
      <c r="I431" s="26" t="n">
        <v>1</v>
      </c>
      <c r="J431" s="26" t="n">
        <f aca="false">COUNTIFS('Control Library'!$A$5:$A$50,"AI-CTRL-040",'Control Library'!$R$5:$R$50,"Implemented")</f>
        <v>0</v>
      </c>
      <c r="K431" s="43" t="str">
        <f aca="false">IF(I431=0,"No wiki control",IF(J431=I431,"Fully covered",IF(J431=0,"Not covered","Partly covered")))</f>
        <v>Not covered</v>
      </c>
      <c r="L431" s="9" t="s">
        <v>1696</v>
      </c>
    </row>
    <row r="432" customFormat="false" ht="23.85" hidden="false" customHeight="false" outlineLevel="0" collapsed="false">
      <c r="A432" s="51" t="s">
        <v>586</v>
      </c>
      <c r="B432" s="51" t="s">
        <v>584</v>
      </c>
      <c r="C432" s="5" t="s">
        <v>1769</v>
      </c>
      <c r="D432" s="6" t="s">
        <v>1770</v>
      </c>
      <c r="E432" s="6" t="s">
        <v>495</v>
      </c>
      <c r="F432" s="6" t="s">
        <v>730</v>
      </c>
      <c r="G432" s="6" t="s">
        <v>499</v>
      </c>
      <c r="H432" s="6"/>
      <c r="I432" s="26" t="n">
        <v>1</v>
      </c>
      <c r="J432" s="26" t="n">
        <f aca="false">COUNTIFS('Control Library'!$A$5:$A$50,"AI-CTRL-040",'Control Library'!$R$5:$R$50,"Implemented")</f>
        <v>0</v>
      </c>
      <c r="K432" s="43" t="str">
        <f aca="false">IF(I432=0,"No wiki control",IF(J432=I432,"Fully covered",IF(J432=0,"Not covered","Partly covered")))</f>
        <v>Not covered</v>
      </c>
      <c r="L432" s="9" t="s">
        <v>1696</v>
      </c>
    </row>
    <row r="433" customFormat="false" ht="23.85" hidden="false" customHeight="false" outlineLevel="0" collapsed="false">
      <c r="A433" s="51" t="s">
        <v>586</v>
      </c>
      <c r="B433" s="51" t="s">
        <v>584</v>
      </c>
      <c r="C433" s="5" t="s">
        <v>1771</v>
      </c>
      <c r="D433" s="6" t="s">
        <v>1772</v>
      </c>
      <c r="E433" s="6" t="s">
        <v>1773</v>
      </c>
      <c r="F433" s="6" t="s">
        <v>730</v>
      </c>
      <c r="G433" s="6" t="s">
        <v>1004</v>
      </c>
      <c r="H433" s="6"/>
      <c r="I433" s="26" t="n">
        <v>5</v>
      </c>
      <c r="J433"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433" s="43" t="str">
        <f aca="false">IF(I433=0,"No wiki control",IF(J433=I433,"Fully covered",IF(J433=0,"Not covered","Partly covered")))</f>
        <v>Not covered</v>
      </c>
      <c r="L433" s="9" t="s">
        <v>1696</v>
      </c>
    </row>
    <row r="434" customFormat="false" ht="23.85" hidden="false" customHeight="false" outlineLevel="0" collapsed="false">
      <c r="A434" s="51" t="s">
        <v>586</v>
      </c>
      <c r="B434" s="51" t="s">
        <v>584</v>
      </c>
      <c r="C434" s="5" t="s">
        <v>1774</v>
      </c>
      <c r="D434" s="6" t="s">
        <v>1775</v>
      </c>
      <c r="E434" s="6" t="s">
        <v>549</v>
      </c>
      <c r="F434" s="6" t="s">
        <v>730</v>
      </c>
      <c r="G434" s="6" t="s">
        <v>553</v>
      </c>
      <c r="H434" s="6"/>
      <c r="I434" s="26" t="n">
        <v>1</v>
      </c>
      <c r="J434" s="26" t="n">
        <f aca="false">COUNTIFS('Control Library'!$A$5:$A$50,"AI-CTRL-046",'Control Library'!$R$5:$R$50,"Implemented")</f>
        <v>0</v>
      </c>
      <c r="K434" s="43" t="str">
        <f aca="false">IF(I434=0,"No wiki control",IF(J434=I434,"Fully covered",IF(J434=0,"Not covered","Partly covered")))</f>
        <v>Not covered</v>
      </c>
      <c r="L434" s="9" t="s">
        <v>1696</v>
      </c>
    </row>
    <row r="435" customFormat="false" ht="23.85" hidden="false" customHeight="false" outlineLevel="0" collapsed="false">
      <c r="A435" s="51" t="s">
        <v>586</v>
      </c>
      <c r="B435" s="51" t="s">
        <v>584</v>
      </c>
      <c r="C435" s="5" t="s">
        <v>1776</v>
      </c>
      <c r="D435" s="6" t="s">
        <v>1777</v>
      </c>
      <c r="E435" s="6" t="s">
        <v>1778</v>
      </c>
      <c r="F435" s="6" t="s">
        <v>730</v>
      </c>
      <c r="G435" s="6" t="s">
        <v>1779</v>
      </c>
      <c r="H435" s="6"/>
      <c r="I435" s="26" t="n">
        <v>3</v>
      </c>
      <c r="J435" s="26" t="n">
        <f aca="false">COUNTIFS('Control Library'!$A$5:$A$50,"AI-CTRL-007",'Control Library'!$R$5:$R$50,"Implemented")+COUNTIFS('Control Library'!$A$5:$A$50,"AI-CTRL-008",'Control Library'!$R$5:$R$50,"Implemented")+COUNTIFS('Control Library'!$A$5:$A$50,"AI-CTRL-038",'Control Library'!$R$5:$R$50,"Implemented")</f>
        <v>0</v>
      </c>
      <c r="K435" s="43" t="str">
        <f aca="false">IF(I435=0,"No wiki control",IF(J435=I435,"Fully covered",IF(J435=0,"Not covered","Partly covered")))</f>
        <v>Not covered</v>
      </c>
      <c r="L435" s="9" t="s">
        <v>1696</v>
      </c>
    </row>
    <row r="436" customFormat="false" ht="23.85" hidden="false" customHeight="false" outlineLevel="0" collapsed="false">
      <c r="A436" s="51" t="s">
        <v>586</v>
      </c>
      <c r="B436" s="51" t="s">
        <v>584</v>
      </c>
      <c r="C436" s="5" t="s">
        <v>1780</v>
      </c>
      <c r="D436" s="6" t="s">
        <v>1781</v>
      </c>
      <c r="E436" s="6" t="s">
        <v>1609</v>
      </c>
      <c r="F436" s="6" t="s">
        <v>730</v>
      </c>
      <c r="G436" s="6" t="s">
        <v>1610</v>
      </c>
      <c r="H436" s="6"/>
      <c r="I436" s="26" t="n">
        <v>2</v>
      </c>
      <c r="J436" s="26" t="n">
        <f aca="false">COUNTIFS('Control Library'!$A$5:$A$50,"AI-CTRL-013",'Control Library'!$R$5:$R$50,"Implemented")+COUNTIFS('Control Library'!$A$5:$A$50,"AI-CTRL-042",'Control Library'!$R$5:$R$50,"Implemented")</f>
        <v>0</v>
      </c>
      <c r="K436" s="43" t="str">
        <f aca="false">IF(I436=0,"No wiki control",IF(J436=I436,"Fully covered",IF(J436=0,"Not covered","Partly covered")))</f>
        <v>Not covered</v>
      </c>
      <c r="L436" s="9" t="s">
        <v>1696</v>
      </c>
    </row>
    <row r="437" customFormat="false" ht="23.85" hidden="false" customHeight="false" outlineLevel="0" collapsed="false">
      <c r="A437" s="51" t="s">
        <v>586</v>
      </c>
      <c r="B437" s="51" t="s">
        <v>584</v>
      </c>
      <c r="C437" s="5" t="s">
        <v>1782</v>
      </c>
      <c r="D437" s="6" t="s">
        <v>1783</v>
      </c>
      <c r="E437" s="6" t="s">
        <v>478</v>
      </c>
      <c r="F437" s="6" t="s">
        <v>730</v>
      </c>
      <c r="G437" s="6" t="s">
        <v>481</v>
      </c>
      <c r="H437" s="6"/>
      <c r="I437" s="26" t="n">
        <v>1</v>
      </c>
      <c r="J437" s="26" t="n">
        <f aca="false">COUNTIFS('Control Library'!$A$5:$A$50,"AI-CTRL-038",'Control Library'!$R$5:$R$50,"Implemented")</f>
        <v>0</v>
      </c>
      <c r="K437" s="43" t="str">
        <f aca="false">IF(I437=0,"No wiki control",IF(J437=I437,"Fully covered",IF(J437=0,"Not covered","Partly covered")))</f>
        <v>Not covered</v>
      </c>
      <c r="L437" s="9" t="s">
        <v>1696</v>
      </c>
    </row>
    <row r="438" customFormat="false" ht="23.85" hidden="false" customHeight="false" outlineLevel="0" collapsed="false">
      <c r="A438" s="51" t="s">
        <v>586</v>
      </c>
      <c r="B438" s="51" t="s">
        <v>584</v>
      </c>
      <c r="C438" s="5" t="s">
        <v>1784</v>
      </c>
      <c r="D438" s="6" t="s">
        <v>1785</v>
      </c>
      <c r="E438" s="6" t="s">
        <v>478</v>
      </c>
      <c r="F438" s="6" t="s">
        <v>730</v>
      </c>
      <c r="G438" s="6" t="s">
        <v>481</v>
      </c>
      <c r="H438" s="6"/>
      <c r="I438" s="26" t="n">
        <v>1</v>
      </c>
      <c r="J438" s="26" t="n">
        <f aca="false">COUNTIFS('Control Library'!$A$5:$A$50,"AI-CTRL-038",'Control Library'!$R$5:$R$50,"Implemented")</f>
        <v>0</v>
      </c>
      <c r="K438" s="43" t="str">
        <f aca="false">IF(I438=0,"No wiki control",IF(J438=I438,"Fully covered",IF(J438=0,"Not covered","Partly covered")))</f>
        <v>Not covered</v>
      </c>
      <c r="L438" s="9" t="s">
        <v>1696</v>
      </c>
    </row>
    <row r="439" customFormat="false" ht="23.85" hidden="false" customHeight="false" outlineLevel="0" collapsed="false">
      <c r="A439" s="51" t="s">
        <v>586</v>
      </c>
      <c r="B439" s="51" t="s">
        <v>584</v>
      </c>
      <c r="C439" s="5" t="s">
        <v>1786</v>
      </c>
      <c r="D439" s="6"/>
      <c r="E439" s="6"/>
      <c r="F439" s="6" t="s">
        <v>640</v>
      </c>
      <c r="G439" s="6"/>
      <c r="H439" s="6"/>
      <c r="I439" s="26" t="n">
        <v>0</v>
      </c>
      <c r="J439" s="26" t="n">
        <f aca="false">0</f>
        <v>0</v>
      </c>
      <c r="K439" s="43" t="str">
        <f aca="false">IF(I439=0,"No wiki control",IF(J439=I439,"Fully covered",IF(J439=0,"Not covered","Partly covered")))</f>
        <v>No wiki control</v>
      </c>
      <c r="L439" s="9" t="s">
        <v>1696</v>
      </c>
    </row>
    <row r="440" customFormat="false" ht="23.85" hidden="false" customHeight="false" outlineLevel="0" collapsed="false">
      <c r="A440" s="51" t="s">
        <v>586</v>
      </c>
      <c r="B440" s="51" t="s">
        <v>584</v>
      </c>
      <c r="C440" s="5" t="s">
        <v>1787</v>
      </c>
      <c r="D440" s="6"/>
      <c r="E440" s="6"/>
      <c r="F440" s="6" t="s">
        <v>640</v>
      </c>
      <c r="G440" s="6"/>
      <c r="H440" s="6"/>
      <c r="I440" s="26" t="n">
        <v>0</v>
      </c>
      <c r="J440" s="26" t="n">
        <f aca="false">0</f>
        <v>0</v>
      </c>
      <c r="K440" s="43" t="str">
        <f aca="false">IF(I440=0,"No wiki control",IF(J440=I440,"Fully covered",IF(J440=0,"Not covered","Partly covered")))</f>
        <v>No wiki control</v>
      </c>
      <c r="L440" s="9" t="s">
        <v>1696</v>
      </c>
    </row>
    <row r="441" customFormat="false" ht="23.85" hidden="false" customHeight="false" outlineLevel="0" collapsed="false">
      <c r="A441" s="51" t="s">
        <v>586</v>
      </c>
      <c r="B441" s="51" t="s">
        <v>584</v>
      </c>
      <c r="C441" s="5" t="s">
        <v>1788</v>
      </c>
      <c r="D441" s="6"/>
      <c r="E441" s="6"/>
      <c r="F441" s="6" t="s">
        <v>640</v>
      </c>
      <c r="G441" s="6"/>
      <c r="H441" s="6"/>
      <c r="I441" s="26" t="n">
        <v>0</v>
      </c>
      <c r="J441" s="26" t="n">
        <f aca="false">0</f>
        <v>0</v>
      </c>
      <c r="K441" s="43" t="str">
        <f aca="false">IF(I441=0,"No wiki control",IF(J441=I441,"Fully covered",IF(J441=0,"Not covered","Partly covered")))</f>
        <v>No wiki control</v>
      </c>
      <c r="L441" s="9" t="s">
        <v>1696</v>
      </c>
    </row>
    <row r="442" customFormat="false" ht="23.85" hidden="false" customHeight="false" outlineLevel="0" collapsed="false">
      <c r="A442" s="51" t="s">
        <v>586</v>
      </c>
      <c r="B442" s="51" t="s">
        <v>584</v>
      </c>
      <c r="C442" s="5" t="s">
        <v>1789</v>
      </c>
      <c r="D442" s="6" t="s">
        <v>1790</v>
      </c>
      <c r="E442" s="6" t="s">
        <v>530</v>
      </c>
      <c r="F442" s="6" t="s">
        <v>730</v>
      </c>
      <c r="G442" s="6" t="s">
        <v>533</v>
      </c>
      <c r="H442" s="6"/>
      <c r="I442" s="26" t="n">
        <v>1</v>
      </c>
      <c r="J442" s="26" t="n">
        <f aca="false">COUNTIFS('Control Library'!$A$5:$A$50,"AI-CTRL-044",'Control Library'!$R$5:$R$50,"Implemented")</f>
        <v>0</v>
      </c>
      <c r="K442" s="43" t="str">
        <f aca="false">IF(I442=0,"No wiki control",IF(J442=I442,"Fully covered",IF(J442=0,"Not covered","Partly covered")))</f>
        <v>Not covered</v>
      </c>
      <c r="L442" s="9" t="s">
        <v>1696</v>
      </c>
    </row>
    <row r="443" customFormat="false" ht="23.85" hidden="false" customHeight="false" outlineLevel="0" collapsed="false">
      <c r="A443" s="51" t="s">
        <v>586</v>
      </c>
      <c r="B443" s="51" t="s">
        <v>584</v>
      </c>
      <c r="C443" s="5" t="s">
        <v>1791</v>
      </c>
      <c r="D443" s="6"/>
      <c r="E443" s="6"/>
      <c r="F443" s="6" t="s">
        <v>640</v>
      </c>
      <c r="G443" s="6"/>
      <c r="H443" s="6"/>
      <c r="I443" s="26" t="n">
        <v>0</v>
      </c>
      <c r="J443" s="26" t="n">
        <f aca="false">0</f>
        <v>0</v>
      </c>
      <c r="K443" s="43" t="str">
        <f aca="false">IF(I443=0,"No wiki control",IF(J443=I443,"Fully covered",IF(J443=0,"Not covered","Partly covered")))</f>
        <v>No wiki control</v>
      </c>
      <c r="L443" s="9" t="s">
        <v>1696</v>
      </c>
    </row>
    <row r="444" customFormat="false" ht="23.85" hidden="false" customHeight="false" outlineLevel="0" collapsed="false">
      <c r="A444" s="51" t="s">
        <v>586</v>
      </c>
      <c r="B444" s="51" t="s">
        <v>584</v>
      </c>
      <c r="C444" s="5" t="s">
        <v>1792</v>
      </c>
      <c r="D444" s="6"/>
      <c r="E444" s="6"/>
      <c r="F444" s="6" t="s">
        <v>640</v>
      </c>
      <c r="G444" s="6"/>
      <c r="H444" s="6"/>
      <c r="I444" s="26" t="n">
        <v>0</v>
      </c>
      <c r="J444" s="26" t="n">
        <f aca="false">0</f>
        <v>0</v>
      </c>
      <c r="K444" s="43" t="str">
        <f aca="false">IF(I444=0,"No wiki control",IF(J444=I444,"Fully covered",IF(J444=0,"Not covered","Partly covered")))</f>
        <v>No wiki control</v>
      </c>
      <c r="L444" s="9" t="s">
        <v>1696</v>
      </c>
    </row>
    <row r="445" customFormat="false" ht="23.85" hidden="false" customHeight="false" outlineLevel="0" collapsed="false">
      <c r="A445" s="51" t="s">
        <v>586</v>
      </c>
      <c r="B445" s="51" t="s">
        <v>584</v>
      </c>
      <c r="C445" s="5" t="s">
        <v>1793</v>
      </c>
      <c r="D445" s="6"/>
      <c r="E445" s="6"/>
      <c r="F445" s="6" t="s">
        <v>640</v>
      </c>
      <c r="G445" s="6"/>
      <c r="H445" s="6"/>
      <c r="I445" s="26" t="n">
        <v>0</v>
      </c>
      <c r="J445" s="26" t="n">
        <f aca="false">0</f>
        <v>0</v>
      </c>
      <c r="K445" s="43" t="str">
        <f aca="false">IF(I445=0,"No wiki control",IF(J445=I445,"Fully covered",IF(J445=0,"Not covered","Partly covered")))</f>
        <v>No wiki control</v>
      </c>
      <c r="L445" s="9" t="s">
        <v>1696</v>
      </c>
    </row>
    <row r="446" customFormat="false" ht="23.85" hidden="false" customHeight="false" outlineLevel="0" collapsed="false">
      <c r="A446" s="51" t="s">
        <v>586</v>
      </c>
      <c r="B446" s="51" t="s">
        <v>584</v>
      </c>
      <c r="C446" s="5" t="s">
        <v>1794</v>
      </c>
      <c r="D446" s="6"/>
      <c r="E446" s="6"/>
      <c r="F446" s="6" t="s">
        <v>640</v>
      </c>
      <c r="G446" s="6"/>
      <c r="H446" s="6"/>
      <c r="I446" s="26" t="n">
        <v>0</v>
      </c>
      <c r="J446" s="26" t="n">
        <f aca="false">0</f>
        <v>0</v>
      </c>
      <c r="K446" s="43" t="str">
        <f aca="false">IF(I446=0,"No wiki control",IF(J446=I446,"Fully covered",IF(J446=0,"Not covered","Partly covered")))</f>
        <v>No wiki control</v>
      </c>
      <c r="L446" s="9" t="s">
        <v>1696</v>
      </c>
    </row>
    <row r="447" customFormat="false" ht="23.85" hidden="false" customHeight="false" outlineLevel="0" collapsed="false">
      <c r="A447" s="51" t="s">
        <v>586</v>
      </c>
      <c r="B447" s="51" t="s">
        <v>584</v>
      </c>
      <c r="C447" s="5" t="s">
        <v>1795</v>
      </c>
      <c r="D447" s="6" t="s">
        <v>1796</v>
      </c>
      <c r="E447" s="6" t="s">
        <v>453</v>
      </c>
      <c r="F447" s="6" t="s">
        <v>730</v>
      </c>
      <c r="G447" s="6" t="s">
        <v>456</v>
      </c>
      <c r="H447" s="6"/>
      <c r="I447" s="26" t="n">
        <v>1</v>
      </c>
      <c r="J447" s="26" t="n">
        <f aca="false">COUNTIFS('Control Library'!$A$5:$A$50,"AI-CTRL-035",'Control Library'!$R$5:$R$50,"Implemented")</f>
        <v>0</v>
      </c>
      <c r="K447" s="43" t="str">
        <f aca="false">IF(I447=0,"No wiki control",IF(J447=I447,"Fully covered",IF(J447=0,"Not covered","Partly covered")))</f>
        <v>Not covered</v>
      </c>
      <c r="L447" s="9" t="s">
        <v>1696</v>
      </c>
    </row>
    <row r="448" customFormat="false" ht="23.85" hidden="false" customHeight="false" outlineLevel="0" collapsed="false">
      <c r="A448" s="51" t="s">
        <v>586</v>
      </c>
      <c r="B448" s="51" t="s">
        <v>584</v>
      </c>
      <c r="C448" s="5" t="s">
        <v>1797</v>
      </c>
      <c r="D448" s="6"/>
      <c r="E448" s="6"/>
      <c r="F448" s="6" t="s">
        <v>640</v>
      </c>
      <c r="G448" s="6"/>
      <c r="H448" s="6"/>
      <c r="I448" s="26" t="n">
        <v>0</v>
      </c>
      <c r="J448" s="26" t="n">
        <f aca="false">0</f>
        <v>0</v>
      </c>
      <c r="K448" s="43" t="str">
        <f aca="false">IF(I448=0,"No wiki control",IF(J448=I448,"Fully covered",IF(J448=0,"Not covered","Partly covered")))</f>
        <v>No wiki control</v>
      </c>
      <c r="L448" s="9" t="s">
        <v>1696</v>
      </c>
    </row>
    <row r="449" customFormat="false" ht="23.85" hidden="false" customHeight="false" outlineLevel="0" collapsed="false">
      <c r="A449" s="51" t="s">
        <v>586</v>
      </c>
      <c r="B449" s="51" t="s">
        <v>584</v>
      </c>
      <c r="C449" s="5" t="s">
        <v>1638</v>
      </c>
      <c r="D449" s="6"/>
      <c r="E449" s="6"/>
      <c r="F449" s="6" t="s">
        <v>640</v>
      </c>
      <c r="G449" s="6"/>
      <c r="H449" s="6"/>
      <c r="I449" s="26" t="n">
        <v>0</v>
      </c>
      <c r="J449" s="26" t="n">
        <f aca="false">0</f>
        <v>0</v>
      </c>
      <c r="K449" s="43" t="str">
        <f aca="false">IF(I449=0,"No wiki control",IF(J449=I449,"Fully covered",IF(J449=0,"Not covered","Partly covered")))</f>
        <v>No wiki control</v>
      </c>
      <c r="L449" s="9" t="s">
        <v>1696</v>
      </c>
    </row>
    <row r="450" customFormat="false" ht="23.85" hidden="false" customHeight="false" outlineLevel="0" collapsed="false">
      <c r="A450" s="51" t="s">
        <v>586</v>
      </c>
      <c r="B450" s="51" t="s">
        <v>584</v>
      </c>
      <c r="C450" s="5" t="s">
        <v>1640</v>
      </c>
      <c r="D450" s="6"/>
      <c r="E450" s="6"/>
      <c r="F450" s="6" t="s">
        <v>640</v>
      </c>
      <c r="G450" s="6"/>
      <c r="H450" s="6"/>
      <c r="I450" s="26" t="n">
        <v>0</v>
      </c>
      <c r="J450" s="26" t="n">
        <f aca="false">0</f>
        <v>0</v>
      </c>
      <c r="K450" s="43" t="str">
        <f aca="false">IF(I450=0,"No wiki control",IF(J450=I450,"Fully covered",IF(J450=0,"Not covered","Partly covered")))</f>
        <v>No wiki control</v>
      </c>
      <c r="L450" s="9" t="s">
        <v>1696</v>
      </c>
    </row>
    <row r="451" customFormat="false" ht="23.85" hidden="false" customHeight="false" outlineLevel="0" collapsed="false">
      <c r="A451" s="51" t="s">
        <v>586</v>
      </c>
      <c r="B451" s="51" t="s">
        <v>584</v>
      </c>
      <c r="C451" s="5" t="s">
        <v>1642</v>
      </c>
      <c r="D451" s="6"/>
      <c r="E451" s="6"/>
      <c r="F451" s="6" t="s">
        <v>640</v>
      </c>
      <c r="G451" s="6"/>
      <c r="H451" s="6"/>
      <c r="I451" s="26" t="n">
        <v>0</v>
      </c>
      <c r="J451" s="26" t="n">
        <f aca="false">0</f>
        <v>0</v>
      </c>
      <c r="K451" s="43" t="str">
        <f aca="false">IF(I451=0,"No wiki control",IF(J451=I451,"Fully covered",IF(J451=0,"Not covered","Partly covered")))</f>
        <v>No wiki control</v>
      </c>
      <c r="L451" s="9" t="s">
        <v>1696</v>
      </c>
    </row>
    <row r="452" customFormat="false" ht="23.85" hidden="false" customHeight="false" outlineLevel="0" collapsed="false">
      <c r="A452" s="51" t="s">
        <v>586</v>
      </c>
      <c r="B452" s="51" t="s">
        <v>584</v>
      </c>
      <c r="C452" s="5" t="s">
        <v>1644</v>
      </c>
      <c r="D452" s="6"/>
      <c r="E452" s="6"/>
      <c r="F452" s="6" t="s">
        <v>640</v>
      </c>
      <c r="G452" s="6"/>
      <c r="H452" s="6"/>
      <c r="I452" s="26" t="n">
        <v>0</v>
      </c>
      <c r="J452" s="26" t="n">
        <f aca="false">0</f>
        <v>0</v>
      </c>
      <c r="K452" s="43" t="str">
        <f aca="false">IF(I452=0,"No wiki control",IF(J452=I452,"Fully covered",IF(J452=0,"Not covered","Partly covered")))</f>
        <v>No wiki control</v>
      </c>
      <c r="L452" s="9" t="s">
        <v>1696</v>
      </c>
    </row>
    <row r="453" customFormat="false" ht="23.85" hidden="false" customHeight="false" outlineLevel="0" collapsed="false">
      <c r="A453" s="51" t="s">
        <v>586</v>
      </c>
      <c r="B453" s="51" t="s">
        <v>584</v>
      </c>
      <c r="C453" s="5" t="s">
        <v>1648</v>
      </c>
      <c r="D453" s="6"/>
      <c r="E453" s="6"/>
      <c r="F453" s="6" t="s">
        <v>640</v>
      </c>
      <c r="G453" s="6"/>
      <c r="H453" s="6"/>
      <c r="I453" s="26" t="n">
        <v>0</v>
      </c>
      <c r="J453" s="26" t="n">
        <f aca="false">0</f>
        <v>0</v>
      </c>
      <c r="K453" s="43" t="str">
        <f aca="false">IF(I453=0,"No wiki control",IF(J453=I453,"Fully covered",IF(J453=0,"Not covered","Partly covered")))</f>
        <v>No wiki control</v>
      </c>
      <c r="L453" s="9" t="s">
        <v>1696</v>
      </c>
    </row>
    <row r="454" customFormat="false" ht="23.85" hidden="false" customHeight="false" outlineLevel="0" collapsed="false">
      <c r="A454" s="51" t="s">
        <v>586</v>
      </c>
      <c r="B454" s="51" t="s">
        <v>584</v>
      </c>
      <c r="C454" s="5" t="s">
        <v>1798</v>
      </c>
      <c r="D454" s="6"/>
      <c r="E454" s="6"/>
      <c r="F454" s="6" t="s">
        <v>640</v>
      </c>
      <c r="G454" s="6"/>
      <c r="H454" s="6"/>
      <c r="I454" s="26" t="n">
        <v>0</v>
      </c>
      <c r="J454" s="26" t="n">
        <f aca="false">0</f>
        <v>0</v>
      </c>
      <c r="K454" s="43" t="str">
        <f aca="false">IF(I454=0,"No wiki control",IF(J454=I454,"Fully covered",IF(J454=0,"Not covered","Partly covered")))</f>
        <v>No wiki control</v>
      </c>
      <c r="L454" s="9" t="s">
        <v>1696</v>
      </c>
    </row>
    <row r="455" customFormat="false" ht="23.85" hidden="false" customHeight="false" outlineLevel="0" collapsed="false">
      <c r="A455" s="51" t="s">
        <v>586</v>
      </c>
      <c r="B455" s="51" t="s">
        <v>584</v>
      </c>
      <c r="C455" s="5" t="s">
        <v>1799</v>
      </c>
      <c r="D455" s="6"/>
      <c r="E455" s="6"/>
      <c r="F455" s="6" t="s">
        <v>640</v>
      </c>
      <c r="G455" s="6"/>
      <c r="H455" s="6"/>
      <c r="I455" s="26" t="n">
        <v>0</v>
      </c>
      <c r="J455" s="26" t="n">
        <f aca="false">0</f>
        <v>0</v>
      </c>
      <c r="K455" s="43" t="str">
        <f aca="false">IF(I455=0,"No wiki control",IF(J455=I455,"Fully covered",IF(J455=0,"Not covered","Partly covered")))</f>
        <v>No wiki control</v>
      </c>
      <c r="L455" s="9" t="s">
        <v>1696</v>
      </c>
    </row>
    <row r="456" customFormat="false" ht="23.85" hidden="false" customHeight="false" outlineLevel="0" collapsed="false">
      <c r="A456" s="51" t="s">
        <v>586</v>
      </c>
      <c r="B456" s="51" t="s">
        <v>584</v>
      </c>
      <c r="C456" s="5" t="s">
        <v>1800</v>
      </c>
      <c r="D456" s="6"/>
      <c r="E456" s="6"/>
      <c r="F456" s="6" t="s">
        <v>640</v>
      </c>
      <c r="G456" s="6"/>
      <c r="H456" s="6"/>
      <c r="I456" s="26" t="n">
        <v>0</v>
      </c>
      <c r="J456" s="26" t="n">
        <f aca="false">0</f>
        <v>0</v>
      </c>
      <c r="K456" s="43" t="str">
        <f aca="false">IF(I456=0,"No wiki control",IF(J456=I456,"Fully covered",IF(J456=0,"Not covered","Partly covered")))</f>
        <v>No wiki control</v>
      </c>
      <c r="L456" s="9" t="s">
        <v>1696</v>
      </c>
    </row>
    <row r="457" customFormat="false" ht="23.85" hidden="false" customHeight="false" outlineLevel="0" collapsed="false">
      <c r="A457" s="51" t="s">
        <v>586</v>
      </c>
      <c r="B457" s="51" t="s">
        <v>584</v>
      </c>
      <c r="C457" s="5" t="s">
        <v>1801</v>
      </c>
      <c r="D457" s="6"/>
      <c r="E457" s="6"/>
      <c r="F457" s="6" t="s">
        <v>640</v>
      </c>
      <c r="G457" s="6"/>
      <c r="H457" s="6"/>
      <c r="I457" s="26" t="n">
        <v>0</v>
      </c>
      <c r="J457" s="26" t="n">
        <f aca="false">0</f>
        <v>0</v>
      </c>
      <c r="K457" s="43" t="str">
        <f aca="false">IF(I457=0,"No wiki control",IF(J457=I457,"Fully covered",IF(J457=0,"Not covered","Partly covered")))</f>
        <v>No wiki control</v>
      </c>
      <c r="L457" s="9" t="s">
        <v>1696</v>
      </c>
    </row>
    <row r="458" customFormat="false" ht="23.85" hidden="false" customHeight="false" outlineLevel="0" collapsed="false">
      <c r="A458" s="51" t="s">
        <v>586</v>
      </c>
      <c r="B458" s="51" t="s">
        <v>584</v>
      </c>
      <c r="C458" s="5" t="s">
        <v>1802</v>
      </c>
      <c r="D458" s="6"/>
      <c r="E458" s="6"/>
      <c r="F458" s="6" t="s">
        <v>640</v>
      </c>
      <c r="G458" s="6"/>
      <c r="H458" s="6"/>
      <c r="I458" s="26" t="n">
        <v>0</v>
      </c>
      <c r="J458" s="26" t="n">
        <f aca="false">0</f>
        <v>0</v>
      </c>
      <c r="K458" s="43" t="str">
        <f aca="false">IF(I458=0,"No wiki control",IF(J458=I458,"Fully covered",IF(J458=0,"Not covered","Partly covered")))</f>
        <v>No wiki control</v>
      </c>
      <c r="L458" s="9" t="s">
        <v>1696</v>
      </c>
    </row>
    <row r="459" customFormat="false" ht="23.85" hidden="false" customHeight="false" outlineLevel="0" collapsed="false">
      <c r="A459" s="51" t="s">
        <v>586</v>
      </c>
      <c r="B459" s="51" t="s">
        <v>584</v>
      </c>
      <c r="C459" s="5" t="s">
        <v>1803</v>
      </c>
      <c r="D459" s="6"/>
      <c r="E459" s="6"/>
      <c r="F459" s="6" t="s">
        <v>640</v>
      </c>
      <c r="G459" s="6"/>
      <c r="H459" s="6"/>
      <c r="I459" s="26" t="n">
        <v>0</v>
      </c>
      <c r="J459" s="26" t="n">
        <f aca="false">0</f>
        <v>0</v>
      </c>
      <c r="K459" s="43" t="str">
        <f aca="false">IF(I459=0,"No wiki control",IF(J459=I459,"Fully covered",IF(J459=0,"Not covered","Partly covered")))</f>
        <v>No wiki control</v>
      </c>
      <c r="L459" s="9" t="s">
        <v>1696</v>
      </c>
    </row>
    <row r="460" customFormat="false" ht="23.85" hidden="false" customHeight="false" outlineLevel="0" collapsed="false">
      <c r="A460" s="51" t="s">
        <v>586</v>
      </c>
      <c r="B460" s="51" t="s">
        <v>584</v>
      </c>
      <c r="C460" s="5" t="s">
        <v>1804</v>
      </c>
      <c r="D460" s="6"/>
      <c r="E460" s="6"/>
      <c r="F460" s="6" t="s">
        <v>640</v>
      </c>
      <c r="G460" s="6"/>
      <c r="H460" s="6"/>
      <c r="I460" s="26" t="n">
        <v>0</v>
      </c>
      <c r="J460" s="26" t="n">
        <f aca="false">0</f>
        <v>0</v>
      </c>
      <c r="K460" s="43" t="str">
        <f aca="false">IF(I460=0,"No wiki control",IF(J460=I460,"Fully covered",IF(J460=0,"Not covered","Partly covered")))</f>
        <v>No wiki control</v>
      </c>
      <c r="L460" s="9" t="s">
        <v>1696</v>
      </c>
    </row>
    <row r="461" customFormat="false" ht="23.85" hidden="false" customHeight="false" outlineLevel="0" collapsed="false">
      <c r="A461" s="51" t="s">
        <v>586</v>
      </c>
      <c r="B461" s="51" t="s">
        <v>584</v>
      </c>
      <c r="C461" s="5" t="s">
        <v>1805</v>
      </c>
      <c r="D461" s="6"/>
      <c r="E461" s="6"/>
      <c r="F461" s="6" t="s">
        <v>640</v>
      </c>
      <c r="G461" s="6"/>
      <c r="H461" s="6"/>
      <c r="I461" s="26" t="n">
        <v>0</v>
      </c>
      <c r="J461" s="26" t="n">
        <f aca="false">0</f>
        <v>0</v>
      </c>
      <c r="K461" s="43" t="str">
        <f aca="false">IF(I461=0,"No wiki control",IF(J461=I461,"Fully covered",IF(J461=0,"Not covered","Partly covered")))</f>
        <v>No wiki control</v>
      </c>
      <c r="L461" s="9" t="s">
        <v>1696</v>
      </c>
    </row>
    <row r="462" customFormat="false" ht="23.85" hidden="false" customHeight="false" outlineLevel="0" collapsed="false">
      <c r="A462" s="51" t="s">
        <v>586</v>
      </c>
      <c r="B462" s="51" t="s">
        <v>584</v>
      </c>
      <c r="C462" s="5" t="s">
        <v>1806</v>
      </c>
      <c r="D462" s="6"/>
      <c r="E462" s="6"/>
      <c r="F462" s="6" t="s">
        <v>640</v>
      </c>
      <c r="G462" s="6"/>
      <c r="H462" s="6"/>
      <c r="I462" s="26" t="n">
        <v>0</v>
      </c>
      <c r="J462" s="26" t="n">
        <f aca="false">0</f>
        <v>0</v>
      </c>
      <c r="K462" s="43" t="str">
        <f aca="false">IF(I462=0,"No wiki control",IF(J462=I462,"Fully covered",IF(J462=0,"Not covered","Partly covered")))</f>
        <v>No wiki control</v>
      </c>
      <c r="L462" s="9" t="s">
        <v>1696</v>
      </c>
    </row>
    <row r="463" customFormat="false" ht="23.85" hidden="false" customHeight="false" outlineLevel="0" collapsed="false">
      <c r="A463" s="51" t="s">
        <v>586</v>
      </c>
      <c r="B463" s="51" t="s">
        <v>584</v>
      </c>
      <c r="C463" s="5" t="s">
        <v>1650</v>
      </c>
      <c r="D463" s="6" t="s">
        <v>1807</v>
      </c>
      <c r="E463" s="6" t="s">
        <v>300</v>
      </c>
      <c r="F463" s="6" t="s">
        <v>730</v>
      </c>
      <c r="G463" s="6" t="s">
        <v>303</v>
      </c>
      <c r="H463" s="6"/>
      <c r="I463" s="26" t="n">
        <v>1</v>
      </c>
      <c r="J463" s="26" t="n">
        <f aca="false">COUNTIFS('Control Library'!$A$5:$A$50,"AI-CTRL-016",'Control Library'!$R$5:$R$50,"Implemented")</f>
        <v>0</v>
      </c>
      <c r="K463" s="43" t="str">
        <f aca="false">IF(I463=0,"No wiki control",IF(J463=I463,"Fully covered",IF(J463=0,"Not covered","Partly covered")))</f>
        <v>Not covered</v>
      </c>
      <c r="L463" s="9" t="s">
        <v>1696</v>
      </c>
    </row>
    <row r="464" customFormat="false" ht="23.85" hidden="false" customHeight="false" outlineLevel="0" collapsed="false">
      <c r="A464" s="51" t="s">
        <v>586</v>
      </c>
      <c r="B464" s="51" t="s">
        <v>584</v>
      </c>
      <c r="C464" s="5" t="s">
        <v>1654</v>
      </c>
      <c r="D464" s="6" t="s">
        <v>1808</v>
      </c>
      <c r="E464" s="6" t="s">
        <v>1809</v>
      </c>
      <c r="F464" s="6" t="s">
        <v>730</v>
      </c>
      <c r="G464" s="6" t="s">
        <v>1810</v>
      </c>
      <c r="H464" s="6"/>
      <c r="I464" s="26" t="n">
        <v>5</v>
      </c>
      <c r="J464" s="26" t="n">
        <f aca="false">COUNTIFS('Control Library'!$A$5:$A$50,"AI-CTRL-016",'Control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f>
        <v>0</v>
      </c>
      <c r="K464" s="43" t="str">
        <f aca="false">IF(I464=0,"No wiki control",IF(J464=I464,"Fully covered",IF(J464=0,"Not covered","Partly covered")))</f>
        <v>Not covered</v>
      </c>
      <c r="L464" s="9" t="s">
        <v>1696</v>
      </c>
    </row>
    <row r="465" customFormat="false" ht="23.85" hidden="false" customHeight="false" outlineLevel="0" collapsed="false">
      <c r="A465" s="51" t="s">
        <v>586</v>
      </c>
      <c r="B465" s="51" t="s">
        <v>584</v>
      </c>
      <c r="C465" s="5" t="s">
        <v>1658</v>
      </c>
      <c r="D465" s="6" t="s">
        <v>1811</v>
      </c>
      <c r="E465" s="6" t="s">
        <v>1812</v>
      </c>
      <c r="F465" s="6" t="s">
        <v>730</v>
      </c>
      <c r="G465" s="6" t="s">
        <v>1813</v>
      </c>
      <c r="H465" s="6"/>
      <c r="I465" s="26" t="n">
        <v>2</v>
      </c>
      <c r="J465" s="26" t="n">
        <f aca="false">COUNTIFS('Control Library'!$A$5:$A$50,"AI-CTRL-004",'Control Library'!$R$5:$R$50,"Implemented")+COUNTIFS('Control Library'!$A$5:$A$50,"AI-CTRL-030",'Control Library'!$R$5:$R$50,"Implemented")</f>
        <v>0</v>
      </c>
      <c r="K465" s="43" t="str">
        <f aca="false">IF(I465=0,"No wiki control",IF(J465=I465,"Fully covered",IF(J465=0,"Not covered","Partly covered")))</f>
        <v>Not covered</v>
      </c>
      <c r="L465" s="9" t="s">
        <v>1696</v>
      </c>
    </row>
    <row r="466" customFormat="false" ht="23.85" hidden="false" customHeight="false" outlineLevel="0" collapsed="false">
      <c r="A466" s="51" t="s">
        <v>586</v>
      </c>
      <c r="B466" s="51" t="s">
        <v>584</v>
      </c>
      <c r="C466" s="5" t="s">
        <v>1660</v>
      </c>
      <c r="D466" s="6" t="s">
        <v>1814</v>
      </c>
      <c r="E466" s="6" t="s">
        <v>291</v>
      </c>
      <c r="F466" s="6" t="s">
        <v>730</v>
      </c>
      <c r="G466" s="6" t="s">
        <v>295</v>
      </c>
      <c r="H466" s="6"/>
      <c r="I466" s="26" t="n">
        <v>1</v>
      </c>
      <c r="J466" s="26" t="n">
        <f aca="false">COUNTIFS('Control Library'!$A$5:$A$50,"AI-CTRL-015",'Control Library'!$R$5:$R$50,"Implemented")</f>
        <v>0</v>
      </c>
      <c r="K466" s="43" t="str">
        <f aca="false">IF(I466=0,"No wiki control",IF(J466=I466,"Fully covered",IF(J466=0,"Not covered","Partly covered")))</f>
        <v>Not covered</v>
      </c>
      <c r="L466" s="9" t="s">
        <v>1696</v>
      </c>
    </row>
    <row r="467" customFormat="false" ht="23.85" hidden="false" customHeight="false" outlineLevel="0" collapsed="false">
      <c r="A467" s="51" t="s">
        <v>586</v>
      </c>
      <c r="B467" s="51" t="s">
        <v>584</v>
      </c>
      <c r="C467" s="5" t="s">
        <v>1815</v>
      </c>
      <c r="D467" s="6" t="s">
        <v>1816</v>
      </c>
      <c r="E467" s="6" t="s">
        <v>771</v>
      </c>
      <c r="F467" s="6" t="s">
        <v>730</v>
      </c>
      <c r="G467" s="6" t="s">
        <v>772</v>
      </c>
      <c r="H467" s="6"/>
      <c r="I467" s="26" t="n">
        <v>2</v>
      </c>
      <c r="J467" s="26" t="n">
        <f aca="false">COUNTIFS('Control Library'!$A$5:$A$50,"AI-CTRL-036",'Control Library'!$R$5:$R$50,"Implemented")+COUNTIFS('Control Library'!$A$5:$A$50,"AI-CTRL-040",'Control Library'!$R$5:$R$50,"Implemented")</f>
        <v>0</v>
      </c>
      <c r="K467" s="43" t="str">
        <f aca="false">IF(I467=0,"No wiki control",IF(J467=I467,"Fully covered",IF(J467=0,"Not covered","Partly covered")))</f>
        <v>Not covered</v>
      </c>
      <c r="L467" s="9" t="s">
        <v>1696</v>
      </c>
    </row>
    <row r="468" customFormat="false" ht="23.85" hidden="false" customHeight="false" outlineLevel="0" collapsed="false">
      <c r="A468" s="51" t="s">
        <v>586</v>
      </c>
      <c r="B468" s="51" t="s">
        <v>584</v>
      </c>
      <c r="C468" s="5" t="s">
        <v>1817</v>
      </c>
      <c r="D468" s="6" t="s">
        <v>1818</v>
      </c>
      <c r="E468" s="6" t="s">
        <v>339</v>
      </c>
      <c r="F468" s="6" t="s">
        <v>730</v>
      </c>
      <c r="G468" s="6" t="s">
        <v>343</v>
      </c>
      <c r="H468" s="6"/>
      <c r="I468" s="26" t="n">
        <v>1</v>
      </c>
      <c r="J468" s="26" t="n">
        <f aca="false">COUNTIFS('Control Library'!$A$5:$A$50,"AI-CTRL-021",'Control Library'!$R$5:$R$50,"Implemented")</f>
        <v>0</v>
      </c>
      <c r="K468" s="43" t="str">
        <f aca="false">IF(I468=0,"No wiki control",IF(J468=I468,"Fully covered",IF(J468=0,"Not covered","Partly covered")))</f>
        <v>Not covered</v>
      </c>
      <c r="L468" s="9" t="s">
        <v>1696</v>
      </c>
    </row>
    <row r="469" customFormat="false" ht="35.05" hidden="false" customHeight="false" outlineLevel="0" collapsed="false">
      <c r="A469" s="51" t="s">
        <v>586</v>
      </c>
      <c r="B469" s="51" t="s">
        <v>584</v>
      </c>
      <c r="C469" s="5" t="s">
        <v>1819</v>
      </c>
      <c r="D469" s="6" t="s">
        <v>1820</v>
      </c>
      <c r="E469" s="6" t="s">
        <v>1821</v>
      </c>
      <c r="F469" s="6" t="s">
        <v>730</v>
      </c>
      <c r="G469" s="6" t="s">
        <v>1822</v>
      </c>
      <c r="H469" s="6"/>
      <c r="I469" s="26" t="n">
        <v>3</v>
      </c>
      <c r="J469" s="26" t="n">
        <f aca="false">COUNTIFS('Control Library'!$A$5:$A$50,"AI-CTRL-031",'Control Library'!$R$5:$R$50,"Implemented")+COUNTIFS('Control Library'!$A$5:$A$50,"AI-CTRL-032",'Control Library'!$R$5:$R$50,"Implemented")+COUNTIFS('Control Library'!$A$5:$A$50,"AI-CTRL-034",'Control Library'!$R$5:$R$50,"Implemented")</f>
        <v>0</v>
      </c>
      <c r="K469" s="43" t="str">
        <f aca="false">IF(I469=0,"No wiki control",IF(J469=I469,"Fully covered",IF(J469=0,"Not covered","Partly covered")))</f>
        <v>Not covered</v>
      </c>
      <c r="L469" s="9" t="s">
        <v>1696</v>
      </c>
    </row>
    <row r="470" customFormat="false" ht="23.85" hidden="false" customHeight="false" outlineLevel="0" collapsed="false">
      <c r="A470" s="51" t="s">
        <v>586</v>
      </c>
      <c r="B470" s="51" t="s">
        <v>584</v>
      </c>
      <c r="C470" s="5" t="s">
        <v>1823</v>
      </c>
      <c r="D470" s="6" t="s">
        <v>1824</v>
      </c>
      <c r="E470" s="6" t="s">
        <v>1092</v>
      </c>
      <c r="F470" s="6" t="s">
        <v>730</v>
      </c>
      <c r="G470" s="6" t="s">
        <v>1093</v>
      </c>
      <c r="H470" s="6"/>
      <c r="I470" s="26" t="n">
        <v>3</v>
      </c>
      <c r="J470" s="26" t="n">
        <f aca="false">COUNTIFS('Control Library'!$A$5:$A$50,"AI-CTRL-024",'Control Library'!$R$5:$R$50,"Implemented")+COUNTIFS('Control Library'!$A$5:$A$50,"AI-CTRL-030",'Control Library'!$R$5:$R$50,"Implemented")+COUNTIFS('Control Library'!$A$5:$A$50,"AI-CTRL-032",'Control Library'!$R$5:$R$50,"Implemented")</f>
        <v>0</v>
      </c>
      <c r="K470" s="43" t="str">
        <f aca="false">IF(I470=0,"No wiki control",IF(J470=I470,"Fully covered",IF(J470=0,"Not covered","Partly covered")))</f>
        <v>Not covered</v>
      </c>
      <c r="L470" s="9" t="s">
        <v>1696</v>
      </c>
    </row>
    <row r="471" customFormat="false" ht="23.85" hidden="false" customHeight="false" outlineLevel="0" collapsed="false">
      <c r="A471" s="51" t="s">
        <v>586</v>
      </c>
      <c r="B471" s="51" t="s">
        <v>584</v>
      </c>
      <c r="C471" s="5" t="s">
        <v>1825</v>
      </c>
      <c r="D471" s="6" t="s">
        <v>1826</v>
      </c>
      <c r="E471" s="6" t="s">
        <v>1827</v>
      </c>
      <c r="F471" s="6" t="s">
        <v>730</v>
      </c>
      <c r="G471" s="6" t="s">
        <v>1828</v>
      </c>
      <c r="H471" s="6"/>
      <c r="I471" s="26" t="n">
        <v>3</v>
      </c>
      <c r="J471" s="26" t="n">
        <f aca="false">COUNTIFS('Control Library'!$A$5:$A$50,"AI-CTRL-007",'Control Library'!$R$5:$R$50,"Implemented")+COUNTIFS('Control Library'!$A$5:$A$50,"AI-CTRL-013",'Control Library'!$R$5:$R$50,"Implemented")+COUNTIFS('Control Library'!$A$5:$A$50,"AI-CTRL-017",'Control Library'!$R$5:$R$50,"Implemented")</f>
        <v>0</v>
      </c>
      <c r="K471" s="43" t="str">
        <f aca="false">IF(I471=0,"No wiki control",IF(J471=I471,"Fully covered",IF(J471=0,"Not covered","Partly covered")))</f>
        <v>Not covered</v>
      </c>
      <c r="L471" s="9" t="s">
        <v>1696</v>
      </c>
    </row>
    <row r="472" customFormat="false" ht="23.85" hidden="false" customHeight="false" outlineLevel="0" collapsed="false">
      <c r="A472" s="51" t="s">
        <v>586</v>
      </c>
      <c r="B472" s="51" t="s">
        <v>584</v>
      </c>
      <c r="C472" s="5" t="s">
        <v>1829</v>
      </c>
      <c r="D472" s="6" t="s">
        <v>1830</v>
      </c>
      <c r="E472" s="6" t="s">
        <v>1831</v>
      </c>
      <c r="F472" s="6" t="s">
        <v>730</v>
      </c>
      <c r="G472" s="6" t="s">
        <v>1828</v>
      </c>
      <c r="H472" s="6"/>
      <c r="I472" s="26" t="n">
        <v>3</v>
      </c>
      <c r="J472" s="26" t="n">
        <f aca="false">COUNTIFS('Control Library'!$A$5:$A$50,"AI-CTRL-002",'Control Library'!$R$5:$R$50,"Implemented")+COUNTIFS('Control Library'!$A$5:$A$50,"AI-CTRL-013",'Control Library'!$R$5:$R$50,"Implemented")+COUNTIFS('Control Library'!$A$5:$A$50,"AI-CTRL-017",'Control Library'!$R$5:$R$50,"Implemented")</f>
        <v>0</v>
      </c>
      <c r="K472" s="43" t="str">
        <f aca="false">IF(I472=0,"No wiki control",IF(J472=I472,"Fully covered",IF(J472=0,"Not covered","Partly covered")))</f>
        <v>Not covered</v>
      </c>
      <c r="L472" s="9" t="s">
        <v>1696</v>
      </c>
    </row>
    <row r="473" customFormat="false" ht="35.05" hidden="false" customHeight="false" outlineLevel="0" collapsed="false">
      <c r="A473" s="51" t="s">
        <v>586</v>
      </c>
      <c r="B473" s="51" t="s">
        <v>584</v>
      </c>
      <c r="C473" s="5" t="s">
        <v>1832</v>
      </c>
      <c r="D473" s="6" t="s">
        <v>1833</v>
      </c>
      <c r="E473" s="6" t="s">
        <v>1834</v>
      </c>
      <c r="F473" s="6" t="s">
        <v>730</v>
      </c>
      <c r="G473" s="6" t="s">
        <v>1835</v>
      </c>
      <c r="H473" s="6"/>
      <c r="I473" s="26" t="n">
        <v>7</v>
      </c>
      <c r="J473"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473" s="43" t="str">
        <f aca="false">IF(I473=0,"No wiki control",IF(J473=I473,"Fully covered",IF(J473=0,"Not covered","Partly covered")))</f>
        <v>Not covered</v>
      </c>
      <c r="L473" s="9" t="s">
        <v>1696</v>
      </c>
    </row>
    <row r="474" customFormat="false" ht="23.85" hidden="false" customHeight="false" outlineLevel="0" collapsed="false">
      <c r="A474" s="51" t="s">
        <v>586</v>
      </c>
      <c r="B474" s="51" t="s">
        <v>584</v>
      </c>
      <c r="C474" s="5" t="s">
        <v>1836</v>
      </c>
      <c r="D474" s="6" t="s">
        <v>1837</v>
      </c>
      <c r="E474" s="6" t="s">
        <v>495</v>
      </c>
      <c r="F474" s="6" t="s">
        <v>730</v>
      </c>
      <c r="G474" s="6" t="s">
        <v>499</v>
      </c>
      <c r="H474" s="6"/>
      <c r="I474" s="26" t="n">
        <v>1</v>
      </c>
      <c r="J474" s="26" t="n">
        <f aca="false">COUNTIFS('Control Library'!$A$5:$A$50,"AI-CTRL-040",'Control Library'!$R$5:$R$50,"Implemented")</f>
        <v>0</v>
      </c>
      <c r="K474" s="43" t="str">
        <f aca="false">IF(I474=0,"No wiki control",IF(J474=I474,"Fully covered",IF(J474=0,"Not covered","Partly covered")))</f>
        <v>Not covered</v>
      </c>
      <c r="L474" s="9" t="s">
        <v>1696</v>
      </c>
    </row>
    <row r="475" customFormat="false" ht="23.85" hidden="false" customHeight="false" outlineLevel="0" collapsed="false">
      <c r="A475" s="51" t="s">
        <v>586</v>
      </c>
      <c r="B475" s="51" t="s">
        <v>584</v>
      </c>
      <c r="C475" s="5" t="s">
        <v>1838</v>
      </c>
      <c r="D475" s="6" t="s">
        <v>1839</v>
      </c>
      <c r="E475" s="6" t="s">
        <v>495</v>
      </c>
      <c r="F475" s="6" t="s">
        <v>730</v>
      </c>
      <c r="G475" s="6" t="s">
        <v>499</v>
      </c>
      <c r="H475" s="6"/>
      <c r="I475" s="26" t="n">
        <v>1</v>
      </c>
      <c r="J475" s="26" t="n">
        <f aca="false">COUNTIFS('Control Library'!$A$5:$A$50,"AI-CTRL-040",'Control Library'!$R$5:$R$50,"Implemented")</f>
        <v>0</v>
      </c>
      <c r="K475" s="43" t="str">
        <f aca="false">IF(I475=0,"No wiki control",IF(J475=I475,"Fully covered",IF(J475=0,"Not covered","Partly covered")))</f>
        <v>Not covered</v>
      </c>
      <c r="L475" s="9" t="s">
        <v>1696</v>
      </c>
    </row>
    <row r="476" customFormat="false" ht="23.85" hidden="false" customHeight="false" outlineLevel="0" collapsed="false">
      <c r="A476" s="51" t="s">
        <v>586</v>
      </c>
      <c r="B476" s="51" t="s">
        <v>584</v>
      </c>
      <c r="C476" s="5" t="s">
        <v>1840</v>
      </c>
      <c r="D476" s="6" t="s">
        <v>1841</v>
      </c>
      <c r="E476" s="6" t="s">
        <v>1107</v>
      </c>
      <c r="F476" s="6" t="s">
        <v>730</v>
      </c>
      <c r="G476" s="6" t="s">
        <v>1108</v>
      </c>
      <c r="H476" s="6"/>
      <c r="I476" s="26" t="n">
        <v>3</v>
      </c>
      <c r="J476" s="26" t="n">
        <f aca="false">COUNTIFS('Control Library'!$A$5:$A$50,"AI-CTRL-006",'Control Library'!$R$5:$R$50,"Implemented")+COUNTIFS('Control Library'!$A$5:$A$50,"AI-CTRL-008",'Control Library'!$R$5:$R$50,"Implemented")+COUNTIFS('Control Library'!$A$5:$A$50,"AI-CTRL-009",'Control Library'!$R$5:$R$50,"Implemented")</f>
        <v>0</v>
      </c>
      <c r="K476" s="43" t="str">
        <f aca="false">IF(I476=0,"No wiki control",IF(J476=I476,"Fully covered",IF(J476=0,"Not covered","Partly covered")))</f>
        <v>Not covered</v>
      </c>
      <c r="L476" s="9" t="s">
        <v>1696</v>
      </c>
    </row>
    <row r="477" customFormat="false" ht="35.05" hidden="false" customHeight="false" outlineLevel="0" collapsed="false">
      <c r="A477" s="51" t="s">
        <v>586</v>
      </c>
      <c r="B477" s="51" t="s">
        <v>584</v>
      </c>
      <c r="C477" s="5" t="s">
        <v>1842</v>
      </c>
      <c r="D477" s="6" t="s">
        <v>1843</v>
      </c>
      <c r="E477" s="6" t="s">
        <v>1844</v>
      </c>
      <c r="F477" s="6" t="s">
        <v>730</v>
      </c>
      <c r="G477" s="6" t="s">
        <v>1845</v>
      </c>
      <c r="H477" s="6"/>
      <c r="I477" s="26" t="n">
        <v>5</v>
      </c>
      <c r="J477" s="26" t="n">
        <f aca="false">COUNTIFS('Control Library'!$A$5:$A$50,"AI-CTRL-001",'Control Library'!$R$5:$R$50,"Implemented")+COUNTIFS('Control Library'!$A$5:$A$50,"AI-CTRL-005",'Control Library'!$R$5:$R$50,"Implemented")+COUNTIFS('Control Library'!$A$5:$A$50,"AI-CTRL-006",'Control Library'!$R$5:$R$50,"Implemented")+COUNTIFS('Control Library'!$A$5:$A$50,"AI-CTRL-009",'Control Library'!$R$5:$R$50,"Implemented")+COUNTIFS('Control Library'!$A$5:$A$50,"AI-CTRL-036",'Control Library'!$R$5:$R$50,"Implemented")</f>
        <v>0</v>
      </c>
      <c r="K477" s="43" t="str">
        <f aca="false">IF(I477=0,"No wiki control",IF(J477=I477,"Fully covered",IF(J477=0,"Not covered","Partly covered")))</f>
        <v>Not covered</v>
      </c>
      <c r="L477" s="9" t="s">
        <v>1696</v>
      </c>
    </row>
    <row r="478" customFormat="false" ht="23.85" hidden="false" customHeight="false" outlineLevel="0" collapsed="false">
      <c r="A478" s="51" t="s">
        <v>586</v>
      </c>
      <c r="B478" s="51" t="s">
        <v>584</v>
      </c>
      <c r="C478" s="5" t="s">
        <v>1846</v>
      </c>
      <c r="D478" s="6" t="s">
        <v>1847</v>
      </c>
      <c r="E478" s="6" t="s">
        <v>230</v>
      </c>
      <c r="F478" s="6" t="s">
        <v>730</v>
      </c>
      <c r="G478" s="6" t="s">
        <v>234</v>
      </c>
      <c r="H478" s="6"/>
      <c r="I478" s="26" t="n">
        <v>1</v>
      </c>
      <c r="J478" s="26" t="n">
        <f aca="false">COUNTIFS('Control Library'!$A$5:$A$50,"AI-CTRL-008",'Control Library'!$R$5:$R$50,"Implemented")</f>
        <v>0</v>
      </c>
      <c r="K478" s="43" t="str">
        <f aca="false">IF(I478=0,"No wiki control",IF(J478=I478,"Fully covered",IF(J478=0,"Not covered","Partly covered")))</f>
        <v>Not covered</v>
      </c>
      <c r="L478" s="9" t="s">
        <v>1696</v>
      </c>
    </row>
    <row r="479" customFormat="false" ht="23.85" hidden="false" customHeight="false" outlineLevel="0" collapsed="false">
      <c r="A479" s="51" t="s">
        <v>586</v>
      </c>
      <c r="B479" s="51" t="s">
        <v>584</v>
      </c>
      <c r="C479" s="5" t="s">
        <v>1848</v>
      </c>
      <c r="D479" s="6"/>
      <c r="E479" s="6"/>
      <c r="F479" s="6" t="s">
        <v>640</v>
      </c>
      <c r="G479" s="6"/>
      <c r="H479" s="6"/>
      <c r="I479" s="26" t="n">
        <v>0</v>
      </c>
      <c r="J479" s="26" t="n">
        <f aca="false">0</f>
        <v>0</v>
      </c>
      <c r="K479" s="43" t="str">
        <f aca="false">IF(I479=0,"No wiki control",IF(J479=I479,"Fully covered",IF(J479=0,"Not covered","Partly covered")))</f>
        <v>No wiki control</v>
      </c>
      <c r="L479" s="9" t="s">
        <v>1696</v>
      </c>
    </row>
    <row r="480" customFormat="false" ht="23.85" hidden="false" customHeight="false" outlineLevel="0" collapsed="false">
      <c r="A480" s="51" t="s">
        <v>586</v>
      </c>
      <c r="B480" s="51" t="s">
        <v>584</v>
      </c>
      <c r="C480" s="5" t="s">
        <v>1849</v>
      </c>
      <c r="D480" s="6" t="s">
        <v>1850</v>
      </c>
      <c r="E480" s="6" t="s">
        <v>725</v>
      </c>
      <c r="F480" s="6" t="s">
        <v>730</v>
      </c>
      <c r="G480" s="6" t="s">
        <v>808</v>
      </c>
      <c r="H480" s="6"/>
      <c r="I480" s="26" t="n">
        <v>2</v>
      </c>
      <c r="J480" s="26" t="n">
        <f aca="false">COUNTIFS('Control Library'!$A$5:$A$50,"AI-CTRL-024",'Control Library'!$R$5:$R$50,"Implemented")+COUNTIFS('Control Library'!$A$5:$A$50,"AI-CTRL-031",'Control Library'!$R$5:$R$50,"Implemented")</f>
        <v>0</v>
      </c>
      <c r="K480" s="43" t="str">
        <f aca="false">IF(I480=0,"No wiki control",IF(J480=I480,"Fully covered",IF(J480=0,"Not covered","Partly covered")))</f>
        <v>Not covered</v>
      </c>
      <c r="L480" s="9" t="s">
        <v>1696</v>
      </c>
    </row>
    <row r="481" customFormat="false" ht="23.85" hidden="false" customHeight="false" outlineLevel="0" collapsed="false">
      <c r="A481" s="51" t="s">
        <v>586</v>
      </c>
      <c r="B481" s="51" t="s">
        <v>584</v>
      </c>
      <c r="C481" s="5" t="s">
        <v>1851</v>
      </c>
      <c r="D481" s="6" t="s">
        <v>1852</v>
      </c>
      <c r="E481" s="6" t="s">
        <v>428</v>
      </c>
      <c r="F481" s="6" t="s">
        <v>730</v>
      </c>
      <c r="G481" s="6" t="s">
        <v>431</v>
      </c>
      <c r="H481" s="6"/>
      <c r="I481" s="26" t="n">
        <v>1</v>
      </c>
      <c r="J481" s="26" t="n">
        <f aca="false">COUNTIFS('Control Library'!$A$5:$A$50,"AI-CTRL-032",'Control Library'!$R$5:$R$50,"Implemented")</f>
        <v>0</v>
      </c>
      <c r="K481" s="43" t="str">
        <f aca="false">IF(I481=0,"No wiki control",IF(J481=I481,"Fully covered",IF(J481=0,"Not covered","Partly covered")))</f>
        <v>Not covered</v>
      </c>
      <c r="L481" s="9" t="s">
        <v>1696</v>
      </c>
    </row>
    <row r="482" customFormat="false" ht="23.85" hidden="false" customHeight="false" outlineLevel="0" collapsed="false">
      <c r="A482" s="51" t="s">
        <v>586</v>
      </c>
      <c r="B482" s="51" t="s">
        <v>584</v>
      </c>
      <c r="C482" s="5" t="s">
        <v>1853</v>
      </c>
      <c r="D482" s="6"/>
      <c r="E482" s="6"/>
      <c r="F482" s="6" t="s">
        <v>640</v>
      </c>
      <c r="G482" s="6"/>
      <c r="H482" s="6"/>
      <c r="I482" s="26" t="n">
        <v>0</v>
      </c>
      <c r="J482" s="26" t="n">
        <f aca="false">0</f>
        <v>0</v>
      </c>
      <c r="K482" s="43" t="str">
        <f aca="false">IF(I482=0,"No wiki control",IF(J482=I482,"Fully covered",IF(J482=0,"Not covered","Partly covered")))</f>
        <v>No wiki control</v>
      </c>
      <c r="L482" s="9" t="s">
        <v>1696</v>
      </c>
    </row>
    <row r="483" customFormat="false" ht="23.85" hidden="false" customHeight="false" outlineLevel="0" collapsed="false">
      <c r="A483" s="51" t="s">
        <v>586</v>
      </c>
      <c r="B483" s="51" t="s">
        <v>584</v>
      </c>
      <c r="C483" s="5" t="s">
        <v>1854</v>
      </c>
      <c r="D483" s="6" t="s">
        <v>1855</v>
      </c>
      <c r="E483" s="6" t="s">
        <v>1856</v>
      </c>
      <c r="F483" s="6" t="s">
        <v>730</v>
      </c>
      <c r="G483" s="6" t="s">
        <v>1857</v>
      </c>
      <c r="H483" s="6"/>
      <c r="I483" s="26" t="n">
        <v>2</v>
      </c>
      <c r="J483" s="26" t="n">
        <f aca="false">COUNTIFS('Control Library'!$A$5:$A$50,"AI-CTRL-027",'Control Library'!$R$5:$R$50,"Implemented")+COUNTIFS('Control Library'!$A$5:$A$50,"AI-CTRL-032",'Control Library'!$R$5:$R$50,"Implemented")</f>
        <v>0</v>
      </c>
      <c r="K483" s="43" t="str">
        <f aca="false">IF(I483=0,"No wiki control",IF(J483=I483,"Fully covered",IF(J483=0,"Not covered","Partly covered")))</f>
        <v>Not covered</v>
      </c>
      <c r="L483" s="9" t="s">
        <v>1696</v>
      </c>
    </row>
    <row r="484" customFormat="false" ht="23.85" hidden="false" customHeight="false" outlineLevel="0" collapsed="false">
      <c r="A484" s="51" t="s">
        <v>586</v>
      </c>
      <c r="B484" s="51" t="s">
        <v>584</v>
      </c>
      <c r="C484" s="5" t="s">
        <v>1858</v>
      </c>
      <c r="D484" s="6" t="s">
        <v>1859</v>
      </c>
      <c r="E484" s="6" t="s">
        <v>1860</v>
      </c>
      <c r="F484" s="6" t="s">
        <v>730</v>
      </c>
      <c r="G484" s="6" t="s">
        <v>251</v>
      </c>
      <c r="H484" s="6"/>
      <c r="I484" s="26" t="n">
        <v>2</v>
      </c>
      <c r="J484" s="26" t="n">
        <f aca="false">COUNTIFS('Control Library'!$A$5:$A$50,"AI-CTRL-001",'Control Library'!$R$5:$R$50,"Implemented")+COUNTIFS('Control Library'!$A$5:$A$50,"AI-CTRL-010",'Control Library'!$R$5:$R$50,"Implemented")</f>
        <v>0</v>
      </c>
      <c r="K484" s="43" t="str">
        <f aca="false">IF(I484=0,"No wiki control",IF(J484=I484,"Fully covered",IF(J484=0,"Not covered","Partly covered")))</f>
        <v>Not covered</v>
      </c>
      <c r="L484" s="9" t="s">
        <v>1696</v>
      </c>
    </row>
    <row r="485" customFormat="false" ht="23.85" hidden="false" customHeight="false" outlineLevel="0" collapsed="false">
      <c r="A485" s="51" t="s">
        <v>586</v>
      </c>
      <c r="B485" s="51" t="s">
        <v>584</v>
      </c>
      <c r="C485" s="5" t="s">
        <v>1861</v>
      </c>
      <c r="D485" s="6" t="s">
        <v>1862</v>
      </c>
      <c r="E485" s="6" t="s">
        <v>1425</v>
      </c>
      <c r="F485" s="6" t="s">
        <v>730</v>
      </c>
      <c r="G485" s="6" t="s">
        <v>783</v>
      </c>
      <c r="H485" s="6"/>
      <c r="I485" s="26" t="n">
        <v>3</v>
      </c>
      <c r="J485" s="26" t="n">
        <f aca="false">COUNTIFS('Control Library'!$A$5:$A$50,"AI-CTRL-017",'Control Library'!$R$5:$R$50,"Implemented")+COUNTIFS('Control Library'!$A$5:$A$50,"AI-CTRL-028",'Control Library'!$R$5:$R$50,"Implemented")+COUNTIFS('Control Library'!$A$5:$A$50,"AI-CTRL-032",'Control Library'!$R$5:$R$50,"Implemented")</f>
        <v>0</v>
      </c>
      <c r="K485" s="43" t="str">
        <f aca="false">IF(I485=0,"No wiki control",IF(J485=I485,"Fully covered",IF(J485=0,"Not covered","Partly covered")))</f>
        <v>Not covered</v>
      </c>
      <c r="L485" s="9" t="s">
        <v>1696</v>
      </c>
    </row>
    <row r="486" customFormat="false" ht="23.85" hidden="false" customHeight="false" outlineLevel="0" collapsed="false">
      <c r="A486" s="51" t="s">
        <v>586</v>
      </c>
      <c r="B486" s="51" t="s">
        <v>584</v>
      </c>
      <c r="C486" s="5" t="s">
        <v>1863</v>
      </c>
      <c r="D486" s="6" t="s">
        <v>1864</v>
      </c>
      <c r="E486" s="6" t="s">
        <v>1865</v>
      </c>
      <c r="F486" s="6" t="s">
        <v>730</v>
      </c>
      <c r="G486" s="6" t="s">
        <v>439</v>
      </c>
      <c r="H486" s="6"/>
      <c r="I486" s="26" t="n">
        <v>2</v>
      </c>
      <c r="J486" s="26" t="n">
        <f aca="false">COUNTIFS('Control Library'!$A$5:$A$50,"AI-CTRL-030",'Control Library'!$R$5:$R$50,"Implemented")+COUNTIFS('Control Library'!$A$5:$A$50,"AI-CTRL-033",'Control Library'!$R$5:$R$50,"Implemented")</f>
        <v>0</v>
      </c>
      <c r="K486" s="43" t="str">
        <f aca="false">IF(I486=0,"No wiki control",IF(J486=I486,"Fully covered",IF(J486=0,"Not covered","Partly covered")))</f>
        <v>Not covered</v>
      </c>
      <c r="L486" s="9" t="s">
        <v>1696</v>
      </c>
    </row>
    <row r="487" customFormat="false" ht="23.85" hidden="false" customHeight="false" outlineLevel="0" collapsed="false">
      <c r="A487" s="51" t="s">
        <v>586</v>
      </c>
      <c r="B487" s="51" t="s">
        <v>584</v>
      </c>
      <c r="C487" s="5" t="s">
        <v>1866</v>
      </c>
      <c r="D487" s="6" t="s">
        <v>1867</v>
      </c>
      <c r="E487" s="6" t="s">
        <v>1868</v>
      </c>
      <c r="F487" s="6" t="s">
        <v>730</v>
      </c>
      <c r="G487" s="6" t="s">
        <v>1869</v>
      </c>
      <c r="H487" s="6"/>
      <c r="I487" s="26" t="n">
        <v>3</v>
      </c>
      <c r="J487" s="26" t="n">
        <f aca="false">COUNTIFS('Control Library'!$A$5:$A$50,"AI-CTRL-005",'Control Library'!$R$5:$R$50,"Implemented")+COUNTIFS('Control Library'!$A$5:$A$50,"AI-CTRL-020",'Control Library'!$R$5:$R$50,"Implemented")+COUNTIFS('Control Library'!$A$5:$A$50,"AI-CTRL-021",'Control Library'!$R$5:$R$50,"Implemented")</f>
        <v>0</v>
      </c>
      <c r="K487" s="43" t="str">
        <f aca="false">IF(I487=0,"No wiki control",IF(J487=I487,"Fully covered",IF(J487=0,"Not covered","Partly covered")))</f>
        <v>Not covered</v>
      </c>
      <c r="L487" s="9" t="s">
        <v>1696</v>
      </c>
    </row>
    <row r="488" customFormat="false" ht="46.25" hidden="false" customHeight="false" outlineLevel="0" collapsed="false">
      <c r="A488" s="51" t="s">
        <v>586</v>
      </c>
      <c r="B488" s="51" t="s">
        <v>584</v>
      </c>
      <c r="C488" s="5" t="s">
        <v>1870</v>
      </c>
      <c r="D488" s="6" t="s">
        <v>1871</v>
      </c>
      <c r="E488" s="6" t="s">
        <v>1872</v>
      </c>
      <c r="F488" s="6" t="s">
        <v>730</v>
      </c>
      <c r="G488" s="6" t="s">
        <v>1873</v>
      </c>
      <c r="H488" s="6"/>
      <c r="I488" s="26" t="n">
        <v>3</v>
      </c>
      <c r="J488" s="26" t="n">
        <f aca="false">COUNTIFS('Control Library'!$A$5:$A$50,"AI-CTRL-005",'Control Library'!$R$5:$R$50,"Implemented")+COUNTIFS('Control Library'!$A$5:$A$50,"AI-CTRL-027",'Control Library'!$R$5:$R$50,"Implemented")+COUNTIFS('Control Library'!$A$5:$A$50,"AI-CTRL-033",'Control Library'!$R$5:$R$50,"Implemented")</f>
        <v>0</v>
      </c>
      <c r="K488" s="43" t="str">
        <f aca="false">IF(I488=0,"No wiki control",IF(J488=I488,"Fully covered",IF(J488=0,"Not covered","Partly covered")))</f>
        <v>Not covered</v>
      </c>
      <c r="L488" s="9" t="s">
        <v>1696</v>
      </c>
    </row>
    <row r="489" customFormat="false" ht="23.85" hidden="false" customHeight="false" outlineLevel="0" collapsed="false">
      <c r="A489" s="51" t="s">
        <v>586</v>
      </c>
      <c r="B489" s="51" t="s">
        <v>584</v>
      </c>
      <c r="C489" s="5" t="s">
        <v>1874</v>
      </c>
      <c r="D489" s="6" t="s">
        <v>1875</v>
      </c>
      <c r="E489" s="6" t="s">
        <v>1876</v>
      </c>
      <c r="F489" s="6" t="s">
        <v>730</v>
      </c>
      <c r="G489" s="6" t="s">
        <v>1877</v>
      </c>
      <c r="H489" s="6"/>
      <c r="I489" s="26" t="n">
        <v>2</v>
      </c>
      <c r="J489" s="26" t="n">
        <f aca="false">COUNTIFS('Control Library'!$A$5:$A$50,"AI-CTRL-004",'Control Library'!$R$5:$R$50,"Implemented")+COUNTIFS('Control Library'!$A$5:$A$50,"AI-CTRL-020",'Control Library'!$R$5:$R$50,"Implemented")</f>
        <v>0</v>
      </c>
      <c r="K489" s="43" t="str">
        <f aca="false">IF(I489=0,"No wiki control",IF(J489=I489,"Fully covered",IF(J489=0,"Not covered","Partly covered")))</f>
        <v>Not covered</v>
      </c>
      <c r="L489" s="9" t="s">
        <v>1696</v>
      </c>
    </row>
    <row r="490" customFormat="false" ht="35.05" hidden="false" customHeight="false" outlineLevel="0" collapsed="false">
      <c r="A490" s="51" t="s">
        <v>586</v>
      </c>
      <c r="B490" s="51" t="s">
        <v>584</v>
      </c>
      <c r="C490" s="5" t="s">
        <v>1878</v>
      </c>
      <c r="D490" s="6" t="s">
        <v>1879</v>
      </c>
      <c r="E490" s="6" t="s">
        <v>1880</v>
      </c>
      <c r="F490" s="6" t="s">
        <v>730</v>
      </c>
      <c r="G490" s="6" t="s">
        <v>760</v>
      </c>
      <c r="H490" s="6"/>
      <c r="I490" s="26" t="n">
        <v>3</v>
      </c>
      <c r="J490" s="26" t="n">
        <f aca="false">COUNTIFS('Control Library'!$A$5:$A$50,"AI-CTRL-030",'Control Library'!$R$5:$R$50,"Implemented")+COUNTIFS('Control Library'!$A$5:$A$50,"AI-CTRL-033",'Control Library'!$R$5:$R$50,"Implemented")+COUNTIFS('Control Library'!$A$5:$A$50,"AI-CTRL-034",'Control Library'!$R$5:$R$50,"Implemented")</f>
        <v>0</v>
      </c>
      <c r="K490" s="43" t="str">
        <f aca="false">IF(I490=0,"No wiki control",IF(J490=I490,"Fully covered",IF(J490=0,"Not covered","Partly covered")))</f>
        <v>Not covered</v>
      </c>
      <c r="L490" s="9" t="s">
        <v>1696</v>
      </c>
    </row>
    <row r="491" customFormat="false" ht="23.85" hidden="false" customHeight="false" outlineLevel="0" collapsed="false">
      <c r="A491" s="51" t="s">
        <v>586</v>
      </c>
      <c r="B491" s="51" t="s">
        <v>584</v>
      </c>
      <c r="C491" s="5" t="s">
        <v>1881</v>
      </c>
      <c r="D491" s="6" t="s">
        <v>1882</v>
      </c>
      <c r="E491" s="6" t="s">
        <v>420</v>
      </c>
      <c r="F491" s="6" t="s">
        <v>730</v>
      </c>
      <c r="G491" s="6" t="s">
        <v>424</v>
      </c>
      <c r="H491" s="6"/>
      <c r="I491" s="26" t="n">
        <v>1</v>
      </c>
      <c r="J491" s="26" t="n">
        <f aca="false">COUNTIFS('Control Library'!$A$5:$A$50,"AI-CTRL-031",'Control Library'!$R$5:$R$50,"Implemented")</f>
        <v>0</v>
      </c>
      <c r="K491" s="43" t="str">
        <f aca="false">IF(I491=0,"No wiki control",IF(J491=I491,"Fully covered",IF(J491=0,"Not covered","Partly covered")))</f>
        <v>Not covered</v>
      </c>
      <c r="L491" s="9" t="s">
        <v>1696</v>
      </c>
    </row>
    <row r="492" customFormat="false" ht="23.85" hidden="false" customHeight="false" outlineLevel="0" collapsed="false">
      <c r="A492" s="51" t="s">
        <v>586</v>
      </c>
      <c r="B492" s="51" t="s">
        <v>584</v>
      </c>
      <c r="C492" s="5" t="s">
        <v>1883</v>
      </c>
      <c r="D492" s="6" t="s">
        <v>1884</v>
      </c>
      <c r="E492" s="6" t="s">
        <v>1885</v>
      </c>
      <c r="F492" s="6" t="s">
        <v>730</v>
      </c>
      <c r="G492" s="6" t="s">
        <v>1886</v>
      </c>
      <c r="H492" s="6"/>
      <c r="I492" s="26" t="n">
        <v>2</v>
      </c>
      <c r="J492" s="26" t="n">
        <f aca="false">COUNTIFS('Control Library'!$A$5:$A$50,"AI-CTRL-027",'Control Library'!$R$5:$R$50,"Implemented")+COUNTIFS('Control Library'!$A$5:$A$50,"AI-CTRL-030",'Control Library'!$R$5:$R$50,"Implemented")</f>
        <v>0</v>
      </c>
      <c r="K492" s="43" t="str">
        <f aca="false">IF(I492=0,"No wiki control",IF(J492=I492,"Fully covered",IF(J492=0,"Not covered","Partly covered")))</f>
        <v>Not covered</v>
      </c>
      <c r="L492" s="9" t="s">
        <v>1696</v>
      </c>
    </row>
    <row r="493" customFormat="false" ht="35.05" hidden="false" customHeight="false" outlineLevel="0" collapsed="false">
      <c r="A493" s="51" t="s">
        <v>586</v>
      </c>
      <c r="B493" s="51" t="s">
        <v>584</v>
      </c>
      <c r="C493" s="5" t="s">
        <v>1887</v>
      </c>
      <c r="D493" s="6" t="s">
        <v>1888</v>
      </c>
      <c r="E493" s="6" t="s">
        <v>1889</v>
      </c>
      <c r="F493" s="6" t="s">
        <v>730</v>
      </c>
      <c r="G493" s="6" t="s">
        <v>1890</v>
      </c>
      <c r="H493" s="6"/>
      <c r="I493" s="26" t="n">
        <v>4</v>
      </c>
      <c r="J493" s="26" t="n">
        <f aca="false">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493" s="43" t="str">
        <f aca="false">IF(I493=0,"No wiki control",IF(J493=I493,"Fully covered",IF(J493=0,"Not covered","Partly covered")))</f>
        <v>Not covered</v>
      </c>
      <c r="L493" s="9" t="s">
        <v>1696</v>
      </c>
    </row>
    <row r="494" customFormat="false" ht="23.85" hidden="false" customHeight="false" outlineLevel="0" collapsed="false">
      <c r="A494" s="51" t="s">
        <v>586</v>
      </c>
      <c r="B494" s="51" t="s">
        <v>584</v>
      </c>
      <c r="C494" s="5" t="s">
        <v>1891</v>
      </c>
      <c r="D494" s="6" t="s">
        <v>1892</v>
      </c>
      <c r="E494" s="6" t="s">
        <v>1893</v>
      </c>
      <c r="F494" s="6" t="s">
        <v>730</v>
      </c>
      <c r="G494" s="6" t="s">
        <v>1557</v>
      </c>
      <c r="H494" s="6"/>
      <c r="I494" s="26" t="n">
        <v>2</v>
      </c>
      <c r="J494" s="26" t="n">
        <f aca="false">COUNTIFS('Control Library'!$A$5:$A$50,"AI-CTRL-017",'Control Library'!$R$5:$R$50,"Implemented")+COUNTIFS('Control Library'!$A$5:$A$50,"AI-CTRL-029",'Control Library'!$R$5:$R$50,"Implemented")</f>
        <v>0</v>
      </c>
      <c r="K494" s="43" t="str">
        <f aca="false">IF(I494=0,"No wiki control",IF(J494=I494,"Fully covered",IF(J494=0,"Not covered","Partly covered")))</f>
        <v>Not covered</v>
      </c>
      <c r="L494" s="9" t="s">
        <v>1696</v>
      </c>
    </row>
    <row r="495" customFormat="false" ht="23.85" hidden="false" customHeight="false" outlineLevel="0" collapsed="false">
      <c r="A495" s="51" t="s">
        <v>586</v>
      </c>
      <c r="B495" s="51" t="s">
        <v>584</v>
      </c>
      <c r="C495" s="5" t="s">
        <v>1894</v>
      </c>
      <c r="D495" s="6"/>
      <c r="E495" s="6"/>
      <c r="F495" s="6" t="s">
        <v>640</v>
      </c>
      <c r="G495" s="6"/>
      <c r="H495" s="6"/>
      <c r="I495" s="26" t="n">
        <v>0</v>
      </c>
      <c r="J495" s="26" t="n">
        <f aca="false">0</f>
        <v>0</v>
      </c>
      <c r="K495" s="43" t="str">
        <f aca="false">IF(I495=0,"No wiki control",IF(J495=I495,"Fully covered",IF(J495=0,"Not covered","Partly covered")))</f>
        <v>No wiki control</v>
      </c>
      <c r="L495" s="9" t="s">
        <v>1696</v>
      </c>
    </row>
    <row r="496" customFormat="false" ht="23.85" hidden="false" customHeight="false" outlineLevel="0" collapsed="false">
      <c r="A496" s="51" t="s">
        <v>587</v>
      </c>
      <c r="B496" s="51" t="s">
        <v>584</v>
      </c>
      <c r="C496" s="5" t="s">
        <v>1678</v>
      </c>
      <c r="D496" s="6" t="s">
        <v>1895</v>
      </c>
      <c r="E496" s="6" t="s">
        <v>470</v>
      </c>
      <c r="F496" s="6" t="s">
        <v>730</v>
      </c>
      <c r="G496" s="6" t="s">
        <v>473</v>
      </c>
      <c r="H496" s="6"/>
      <c r="I496" s="26" t="n">
        <v>1</v>
      </c>
      <c r="J496" s="26" t="n">
        <f aca="false">COUNTIFS('Control Library'!$A$5:$A$50,"AI-CTRL-037",'Control Library'!$R$5:$R$50,"Implemented")</f>
        <v>0</v>
      </c>
      <c r="K496" s="43" t="str">
        <f aca="false">IF(I496=0,"No wiki control",IF(J496=I496,"Fully covered",IF(J496=0,"Not covered","Partly covered")))</f>
        <v>Not covered</v>
      </c>
      <c r="L496" s="9" t="s">
        <v>1696</v>
      </c>
    </row>
    <row r="497" customFormat="false" ht="23.85" hidden="false" customHeight="false" outlineLevel="0" collapsed="false">
      <c r="A497" s="51" t="s">
        <v>587</v>
      </c>
      <c r="B497" s="51" t="s">
        <v>584</v>
      </c>
      <c r="C497" s="5" t="s">
        <v>1680</v>
      </c>
      <c r="D497" s="6" t="s">
        <v>1896</v>
      </c>
      <c r="E497" s="6" t="s">
        <v>470</v>
      </c>
      <c r="F497" s="6" t="s">
        <v>730</v>
      </c>
      <c r="G497" s="6" t="s">
        <v>473</v>
      </c>
      <c r="H497" s="6"/>
      <c r="I497" s="26" t="n">
        <v>1</v>
      </c>
      <c r="J497" s="26" t="n">
        <f aca="false">COUNTIFS('Control Library'!$A$5:$A$50,"AI-CTRL-037",'Control Library'!$R$5:$R$50,"Implemented")</f>
        <v>0</v>
      </c>
      <c r="K497" s="43" t="str">
        <f aca="false">IF(I497=0,"No wiki control",IF(J497=I497,"Fully covered",IF(J497=0,"Not covered","Partly covered")))</f>
        <v>Not covered</v>
      </c>
      <c r="L497" s="9" t="s">
        <v>1696</v>
      </c>
    </row>
    <row r="498" customFormat="false" ht="23.85" hidden="false" customHeight="false" outlineLevel="0" collapsed="false">
      <c r="A498" s="51" t="s">
        <v>587</v>
      </c>
      <c r="B498" s="51" t="s">
        <v>584</v>
      </c>
      <c r="C498" s="5" t="s">
        <v>1688</v>
      </c>
      <c r="D498" s="6" t="s">
        <v>1689</v>
      </c>
      <c r="E498" s="6" t="s">
        <v>478</v>
      </c>
      <c r="F498" s="6" t="s">
        <v>730</v>
      </c>
      <c r="G498" s="6" t="s">
        <v>481</v>
      </c>
      <c r="H498" s="6"/>
      <c r="I498" s="26" t="n">
        <v>1</v>
      </c>
      <c r="J498" s="26" t="n">
        <f aca="false">COUNTIFS('Control Library'!$A$5:$A$50,"AI-CTRL-038",'Control Library'!$R$5:$R$50,"Implemented")</f>
        <v>0</v>
      </c>
      <c r="K498" s="43" t="str">
        <f aca="false">IF(I498=0,"No wiki control",IF(J498=I498,"Fully covered",IF(J498=0,"Not covered","Partly covered")))</f>
        <v>Not covered</v>
      </c>
      <c r="L498" s="9" t="s">
        <v>1696</v>
      </c>
    </row>
    <row r="499" customFormat="false" ht="23.85" hidden="false" customHeight="false" outlineLevel="0" collapsed="false">
      <c r="A499" s="51" t="s">
        <v>588</v>
      </c>
      <c r="B499" s="51" t="s">
        <v>584</v>
      </c>
      <c r="C499" s="5" t="s">
        <v>1897</v>
      </c>
      <c r="D499" s="6" t="s">
        <v>1898</v>
      </c>
      <c r="E499" s="6" t="s">
        <v>263</v>
      </c>
      <c r="F499" s="6" t="s">
        <v>730</v>
      </c>
      <c r="G499" s="6" t="s">
        <v>266</v>
      </c>
      <c r="H499" s="6"/>
      <c r="I499" s="26" t="n">
        <v>1</v>
      </c>
      <c r="J499" s="26" t="n">
        <f aca="false">COUNTIFS('Control Library'!$A$5:$A$50,"AI-CTRL-012",'Control Library'!$R$5:$R$50,"Implemented")</f>
        <v>0</v>
      </c>
      <c r="K499" s="43" t="str">
        <f aca="false">IF(I499=0,"No wiki control",IF(J499=I499,"Fully covered",IF(J499=0,"Not covered","Partly covered")))</f>
        <v>Not covered</v>
      </c>
      <c r="L499" s="9" t="s">
        <v>1899</v>
      </c>
    </row>
    <row r="500" customFormat="false" ht="23.85" hidden="false" customHeight="false" outlineLevel="0" collapsed="false">
      <c r="A500" s="51" t="s">
        <v>588</v>
      </c>
      <c r="B500" s="51" t="s">
        <v>584</v>
      </c>
      <c r="C500" s="5" t="s">
        <v>1900</v>
      </c>
      <c r="D500" s="6" t="s">
        <v>1901</v>
      </c>
      <c r="E500" s="6"/>
      <c r="F500" s="6" t="s">
        <v>640</v>
      </c>
      <c r="G500" s="6"/>
      <c r="H500" s="6"/>
      <c r="I500" s="26" t="n">
        <v>0</v>
      </c>
      <c r="J500" s="26" t="n">
        <f aca="false">0</f>
        <v>0</v>
      </c>
      <c r="K500" s="43" t="str">
        <f aca="false">IF(I500=0,"No wiki control",IF(J500=I500,"Fully covered",IF(J500=0,"Not covered","Partly covered")))</f>
        <v>No wiki control</v>
      </c>
      <c r="L500" s="9" t="s">
        <v>1899</v>
      </c>
    </row>
    <row r="501" customFormat="false" ht="23.85" hidden="false" customHeight="false" outlineLevel="0" collapsed="false">
      <c r="A501" s="51" t="s">
        <v>588</v>
      </c>
      <c r="B501" s="51" t="s">
        <v>584</v>
      </c>
      <c r="C501" s="5" t="s">
        <v>1902</v>
      </c>
      <c r="D501" s="6" t="s">
        <v>1903</v>
      </c>
      <c r="E501" s="6"/>
      <c r="F501" s="6" t="s">
        <v>640</v>
      </c>
      <c r="G501" s="6"/>
      <c r="H501" s="6"/>
      <c r="I501" s="26" t="n">
        <v>0</v>
      </c>
      <c r="J501" s="26" t="n">
        <f aca="false">0</f>
        <v>0</v>
      </c>
      <c r="K501" s="43" t="str">
        <f aca="false">IF(I501=0,"No wiki control",IF(J501=I501,"Fully covered",IF(J501=0,"Not covered","Partly covered")))</f>
        <v>No wiki control</v>
      </c>
      <c r="L501" s="9" t="s">
        <v>1899</v>
      </c>
    </row>
    <row r="502" customFormat="false" ht="23.85" hidden="false" customHeight="false" outlineLevel="0" collapsed="false">
      <c r="A502" s="51" t="s">
        <v>588</v>
      </c>
      <c r="B502" s="51" t="s">
        <v>584</v>
      </c>
      <c r="C502" s="5" t="s">
        <v>1904</v>
      </c>
      <c r="D502" s="6" t="s">
        <v>1905</v>
      </c>
      <c r="E502" s="6"/>
      <c r="F502" s="6" t="s">
        <v>640</v>
      </c>
      <c r="G502" s="6"/>
      <c r="H502" s="6"/>
      <c r="I502" s="26" t="n">
        <v>0</v>
      </c>
      <c r="J502" s="26" t="n">
        <f aca="false">0</f>
        <v>0</v>
      </c>
      <c r="K502" s="43" t="str">
        <f aca="false">IF(I502=0,"No wiki control",IF(J502=I502,"Fully covered",IF(J502=0,"Not covered","Partly covered")))</f>
        <v>No wiki control</v>
      </c>
      <c r="L502" s="9" t="s">
        <v>1899</v>
      </c>
    </row>
    <row r="503" customFormat="false" ht="23.85" hidden="false" customHeight="false" outlineLevel="0" collapsed="false">
      <c r="A503" s="51" t="s">
        <v>589</v>
      </c>
      <c r="B503" s="51" t="s">
        <v>584</v>
      </c>
      <c r="C503" s="5" t="s">
        <v>1906</v>
      </c>
      <c r="D503" s="6" t="s">
        <v>1907</v>
      </c>
      <c r="E503" s="6" t="s">
        <v>513</v>
      </c>
      <c r="F503" s="6" t="s">
        <v>730</v>
      </c>
      <c r="G503" s="6" t="s">
        <v>516</v>
      </c>
      <c r="H503" s="6"/>
      <c r="I503" s="26" t="n">
        <v>1</v>
      </c>
      <c r="J503" s="26" t="n">
        <f aca="false">COUNTIFS('Control Library'!$A$5:$A$50,"AI-CTRL-042",'Control Library'!$R$5:$R$50,"Implemented")</f>
        <v>0</v>
      </c>
      <c r="K503" s="43" t="str">
        <f aca="false">IF(I503=0,"No wiki control",IF(J503=I503,"Fully covered",IF(J503=0,"Not covered","Partly covered")))</f>
        <v>Not covered</v>
      </c>
      <c r="L503" s="9" t="s">
        <v>1899</v>
      </c>
    </row>
    <row r="504" customFormat="false" ht="46.25" hidden="false" customHeight="false" outlineLevel="0" collapsed="false">
      <c r="A504" s="51" t="s">
        <v>589</v>
      </c>
      <c r="B504" s="51" t="s">
        <v>584</v>
      </c>
      <c r="C504" s="5" t="s">
        <v>1908</v>
      </c>
      <c r="D504" s="6" t="s">
        <v>1909</v>
      </c>
      <c r="E504" s="6" t="s">
        <v>1070</v>
      </c>
      <c r="F504" s="6" t="s">
        <v>730</v>
      </c>
      <c r="G504" s="6" t="s">
        <v>1071</v>
      </c>
      <c r="H504" s="6"/>
      <c r="I504" s="26" t="n">
        <v>2</v>
      </c>
      <c r="J504" s="26" t="n">
        <f aca="false">COUNTIFS('Control Library'!$A$5:$A$50,"AI-CTRL-011",'Control Library'!$R$5:$R$50,"Implemented")+COUNTIFS('Control Library'!$A$5:$A$50,"AI-CTRL-042",'Control Library'!$R$5:$R$50,"Implemented")</f>
        <v>0</v>
      </c>
      <c r="K504" s="43" t="str">
        <f aca="false">IF(I504=0,"No wiki control",IF(J504=I504,"Fully covered",IF(J504=0,"Not covered","Partly covered")))</f>
        <v>Not covered</v>
      </c>
      <c r="L504" s="9" t="s">
        <v>1899</v>
      </c>
    </row>
    <row r="505" customFormat="false" ht="46.25" hidden="false" customHeight="false" outlineLevel="0" collapsed="false">
      <c r="A505" s="51" t="s">
        <v>589</v>
      </c>
      <c r="B505" s="51" t="s">
        <v>584</v>
      </c>
      <c r="C505" s="5" t="s">
        <v>1910</v>
      </c>
      <c r="D505" s="6" t="s">
        <v>1911</v>
      </c>
      <c r="E505" s="6" t="s">
        <v>513</v>
      </c>
      <c r="F505" s="6" t="s">
        <v>730</v>
      </c>
      <c r="G505" s="6" t="s">
        <v>516</v>
      </c>
      <c r="H505" s="6"/>
      <c r="I505" s="26" t="n">
        <v>1</v>
      </c>
      <c r="J505" s="26" t="n">
        <f aca="false">COUNTIFS('Control Library'!$A$5:$A$50,"AI-CTRL-042",'Control Library'!$R$5:$R$50,"Implemented")</f>
        <v>0</v>
      </c>
      <c r="K505" s="43" t="str">
        <f aca="false">IF(I505=0,"No wiki control",IF(J505=I505,"Fully covered",IF(J505=0,"Not covered","Partly covered")))</f>
        <v>Not covered</v>
      </c>
      <c r="L505" s="9" t="s">
        <v>1899</v>
      </c>
    </row>
    <row r="506" customFormat="false" ht="23.85" hidden="false" customHeight="false" outlineLevel="0" collapsed="false">
      <c r="A506" s="51" t="s">
        <v>589</v>
      </c>
      <c r="B506" s="51" t="s">
        <v>584</v>
      </c>
      <c r="C506" s="5" t="s">
        <v>1912</v>
      </c>
      <c r="D506" s="6" t="s">
        <v>1912</v>
      </c>
      <c r="E506" s="6" t="s">
        <v>513</v>
      </c>
      <c r="F506" s="6" t="s">
        <v>730</v>
      </c>
      <c r="G506" s="6" t="s">
        <v>516</v>
      </c>
      <c r="H506" s="6"/>
      <c r="I506" s="26" t="n">
        <v>1</v>
      </c>
      <c r="J506" s="26" t="n">
        <f aca="false">COUNTIFS('Control Library'!$A$5:$A$50,"AI-CTRL-042",'Control Library'!$R$5:$R$50,"Implemented")</f>
        <v>0</v>
      </c>
      <c r="K506" s="43" t="str">
        <f aca="false">IF(I506=0,"No wiki control",IF(J506=I506,"Fully covered",IF(J506=0,"Not covered","Partly covered")))</f>
        <v>Not covered</v>
      </c>
      <c r="L506" s="9" t="s">
        <v>1899</v>
      </c>
    </row>
    <row r="507" customFormat="false" ht="23.85" hidden="false" customHeight="false" outlineLevel="0" collapsed="false">
      <c r="A507" s="51" t="s">
        <v>589</v>
      </c>
      <c r="B507" s="51" t="s">
        <v>584</v>
      </c>
      <c r="C507" s="5" t="s">
        <v>1913</v>
      </c>
      <c r="D507" s="6" t="s">
        <v>1913</v>
      </c>
      <c r="E507" s="6" t="s">
        <v>1914</v>
      </c>
      <c r="F507" s="6" t="s">
        <v>730</v>
      </c>
      <c r="G507" s="6" t="s">
        <v>1915</v>
      </c>
      <c r="H507" s="6"/>
      <c r="I507" s="26" t="n">
        <v>2</v>
      </c>
      <c r="J507" s="26" t="n">
        <f aca="false">COUNTIFS('Control Library'!$A$5:$A$50,"AI-CTRL-029",'Control Library'!$R$5:$R$50,"Implemented")+COUNTIFS('Control Library'!$A$5:$A$50,"AI-CTRL-042",'Control Library'!$R$5:$R$50,"Implemented")</f>
        <v>0</v>
      </c>
      <c r="K507" s="43" t="str">
        <f aca="false">IF(I507=0,"No wiki control",IF(J507=I507,"Fully covered",IF(J507=0,"Not covered","Partly covered")))</f>
        <v>Not covered</v>
      </c>
      <c r="L507" s="9" t="s">
        <v>1899</v>
      </c>
    </row>
    <row r="508" customFormat="false" ht="46.25" hidden="false" customHeight="false" outlineLevel="0" collapsed="false">
      <c r="A508" s="51" t="s">
        <v>589</v>
      </c>
      <c r="B508" s="51" t="s">
        <v>584</v>
      </c>
      <c r="C508" s="5" t="s">
        <v>1916</v>
      </c>
      <c r="D508" s="6" t="s">
        <v>1917</v>
      </c>
      <c r="E508" s="6" t="s">
        <v>1918</v>
      </c>
      <c r="F508" s="6" t="s">
        <v>730</v>
      </c>
      <c r="G508" s="6" t="s">
        <v>516</v>
      </c>
      <c r="H508" s="6"/>
      <c r="I508" s="26" t="n">
        <v>2</v>
      </c>
      <c r="J508" s="26" t="n">
        <f aca="false">COUNTIFS('Control Library'!$A$5:$A$50,"AI-CTRL-007",'Control Library'!$R$5:$R$50,"Implemented")+COUNTIFS('Control Library'!$A$5:$A$50,"AI-CTRL-042",'Control Library'!$R$5:$R$50,"Implemented")</f>
        <v>0</v>
      </c>
      <c r="K508" s="43" t="str">
        <f aca="false">IF(I508=0,"No wiki control",IF(J508=I508,"Fully covered",IF(J508=0,"Not covered","Partly covered")))</f>
        <v>Not covered</v>
      </c>
      <c r="L508" s="9" t="s">
        <v>1899</v>
      </c>
    </row>
    <row r="509" customFormat="false" ht="35.05" hidden="false" customHeight="false" outlineLevel="0" collapsed="false">
      <c r="A509" s="51" t="s">
        <v>589</v>
      </c>
      <c r="B509" s="51" t="s">
        <v>584</v>
      </c>
      <c r="C509" s="5" t="s">
        <v>1919</v>
      </c>
      <c r="D509" s="6" t="s">
        <v>1919</v>
      </c>
      <c r="E509" s="6" t="s">
        <v>513</v>
      </c>
      <c r="F509" s="6" t="s">
        <v>730</v>
      </c>
      <c r="G509" s="6" t="s">
        <v>516</v>
      </c>
      <c r="H509" s="6"/>
      <c r="I509" s="26" t="n">
        <v>1</v>
      </c>
      <c r="J509" s="26" t="n">
        <f aca="false">COUNTIFS('Control Library'!$A$5:$A$50,"AI-CTRL-042",'Control Library'!$R$5:$R$50,"Implemented")</f>
        <v>0</v>
      </c>
      <c r="K509" s="43" t="str">
        <f aca="false">IF(I509=0,"No wiki control",IF(J509=I509,"Fully covered",IF(J509=0,"Not covered","Partly covered")))</f>
        <v>Not covered</v>
      </c>
      <c r="L509" s="9" t="s">
        <v>1899</v>
      </c>
    </row>
    <row r="510" customFormat="false" ht="23.85" hidden="false" customHeight="false" outlineLevel="0" collapsed="false">
      <c r="A510" s="51" t="s">
        <v>589</v>
      </c>
      <c r="B510" s="51" t="s">
        <v>584</v>
      </c>
      <c r="C510" s="5" t="s">
        <v>1920</v>
      </c>
      <c r="D510" s="6" t="s">
        <v>1920</v>
      </c>
      <c r="E510" s="6" t="s">
        <v>1921</v>
      </c>
      <c r="F510" s="6" t="s">
        <v>730</v>
      </c>
      <c r="G510" s="6" t="s">
        <v>1922</v>
      </c>
      <c r="H510" s="6"/>
      <c r="I510" s="26" t="n">
        <v>2</v>
      </c>
      <c r="J510" s="26" t="n">
        <f aca="false">COUNTIFS('Control Library'!$A$5:$A$50,"AI-CTRL-041",'Control Library'!$R$5:$R$50,"Implemented")+COUNTIFS('Control Library'!$A$5:$A$50,"AI-CTRL-042",'Control Library'!$R$5:$R$50,"Implemented")</f>
        <v>0</v>
      </c>
      <c r="K510" s="43" t="str">
        <f aca="false">IF(I510=0,"No wiki control",IF(J510=I510,"Fully covered",IF(J510=0,"Not covered","Partly covered")))</f>
        <v>Not covered</v>
      </c>
      <c r="L510" s="9" t="s">
        <v>1899</v>
      </c>
    </row>
    <row r="511" customFormat="false" ht="35.05" hidden="false" customHeight="false" outlineLevel="0" collapsed="false">
      <c r="A511" s="51" t="s">
        <v>589</v>
      </c>
      <c r="B511" s="51" t="s">
        <v>584</v>
      </c>
      <c r="C511" s="5" t="s">
        <v>1923</v>
      </c>
      <c r="D511" s="6" t="s">
        <v>1924</v>
      </c>
      <c r="E511" s="6"/>
      <c r="F511" s="6" t="s">
        <v>640</v>
      </c>
      <c r="G511" s="6"/>
      <c r="H511" s="6"/>
      <c r="I511" s="26" t="n">
        <v>0</v>
      </c>
      <c r="J511" s="26" t="n">
        <f aca="false">0</f>
        <v>0</v>
      </c>
      <c r="K511" s="43" t="str">
        <f aca="false">IF(I511=0,"No wiki control",IF(J511=I511,"Fully covered",IF(J511=0,"Not covered","Partly covered")))</f>
        <v>No wiki control</v>
      </c>
      <c r="L511" s="9" t="s">
        <v>1899</v>
      </c>
    </row>
    <row r="512" customFormat="false" ht="23.85" hidden="false" customHeight="false" outlineLevel="0" collapsed="false">
      <c r="A512" s="51" t="s">
        <v>590</v>
      </c>
      <c r="B512" s="51" t="s">
        <v>584</v>
      </c>
      <c r="C512" s="5" t="s">
        <v>1925</v>
      </c>
      <c r="D512" s="6" t="s">
        <v>1926</v>
      </c>
      <c r="E512" s="6" t="s">
        <v>1927</v>
      </c>
      <c r="F512" s="6" t="s">
        <v>730</v>
      </c>
      <c r="G512" s="6" t="s">
        <v>1928</v>
      </c>
      <c r="H512" s="6"/>
      <c r="I512" s="26" t="n">
        <v>2</v>
      </c>
      <c r="J512" s="26" t="n">
        <f aca="false">COUNTIFS('Control Library'!$A$5:$A$50,"AI-CTRL-011",'Control Library'!$R$5:$R$50,"Implemented")+COUNTIFS('Control Library'!$A$5:$A$50,"AI-CTRL-014",'Control Library'!$R$5:$R$50,"Implemented")</f>
        <v>0</v>
      </c>
      <c r="K512" s="43" t="str">
        <f aca="false">IF(I512=0,"No wiki control",IF(J512=I512,"Fully covered",IF(J512=0,"Not covered","Partly covered")))</f>
        <v>Not covered</v>
      </c>
      <c r="L512" s="9" t="s">
        <v>1899</v>
      </c>
    </row>
    <row r="513" customFormat="false" ht="35.05" hidden="false" customHeight="false" outlineLevel="0" collapsed="false">
      <c r="A513" s="51" t="s">
        <v>590</v>
      </c>
      <c r="B513" s="51" t="s">
        <v>584</v>
      </c>
      <c r="C513" s="5" t="s">
        <v>1929</v>
      </c>
      <c r="D513" s="6" t="s">
        <v>1930</v>
      </c>
      <c r="E513" s="6" t="s">
        <v>478</v>
      </c>
      <c r="F513" s="6" t="s">
        <v>730</v>
      </c>
      <c r="G513" s="6" t="s">
        <v>481</v>
      </c>
      <c r="H513" s="6"/>
      <c r="I513" s="26" t="n">
        <v>1</v>
      </c>
      <c r="J513" s="26" t="n">
        <f aca="false">COUNTIFS('Control Library'!$A$5:$A$50,"AI-CTRL-038",'Control Library'!$R$5:$R$50,"Implemented")</f>
        <v>0</v>
      </c>
      <c r="K513" s="43" t="str">
        <f aca="false">IF(I513=0,"No wiki control",IF(J513=I513,"Fully covered",IF(J513=0,"Not covered","Partly covered")))</f>
        <v>Not covered</v>
      </c>
      <c r="L513" s="9" t="s">
        <v>1899</v>
      </c>
    </row>
    <row r="514" customFormat="false" ht="23.85" hidden="false" customHeight="false" outlineLevel="0" collapsed="false">
      <c r="A514" s="51" t="s">
        <v>590</v>
      </c>
      <c r="B514" s="51" t="s">
        <v>584</v>
      </c>
      <c r="C514" s="5" t="s">
        <v>1931</v>
      </c>
      <c r="D514" s="6" t="s">
        <v>1931</v>
      </c>
      <c r="E514" s="6" t="s">
        <v>478</v>
      </c>
      <c r="F514" s="6" t="s">
        <v>730</v>
      </c>
      <c r="G514" s="6" t="s">
        <v>481</v>
      </c>
      <c r="H514" s="6"/>
      <c r="I514" s="26" t="n">
        <v>1</v>
      </c>
      <c r="J514" s="26" t="n">
        <f aca="false">COUNTIFS('Control Library'!$A$5:$A$50,"AI-CTRL-038",'Control Library'!$R$5:$R$50,"Implemented")</f>
        <v>0</v>
      </c>
      <c r="K514" s="43" t="str">
        <f aca="false">IF(I514=0,"No wiki control",IF(J514=I514,"Fully covered",IF(J514=0,"Not covered","Partly covered")))</f>
        <v>Not covered</v>
      </c>
      <c r="L514" s="9" t="s">
        <v>1899</v>
      </c>
    </row>
    <row r="515" customFormat="false" ht="23.85" hidden="false" customHeight="false" outlineLevel="0" collapsed="false">
      <c r="A515" s="51" t="s">
        <v>590</v>
      </c>
      <c r="B515" s="51" t="s">
        <v>584</v>
      </c>
      <c r="C515" s="5" t="s">
        <v>1932</v>
      </c>
      <c r="D515" s="6" t="s">
        <v>1932</v>
      </c>
      <c r="E515" s="6" t="s">
        <v>255</v>
      </c>
      <c r="F515" s="6" t="s">
        <v>730</v>
      </c>
      <c r="G515" s="6" t="s">
        <v>258</v>
      </c>
      <c r="H515" s="6"/>
      <c r="I515" s="26" t="n">
        <v>1</v>
      </c>
      <c r="J515" s="26" t="n">
        <f aca="false">COUNTIFS('Control Library'!$A$5:$A$50,"AI-CTRL-011",'Control Library'!$R$5:$R$50,"Implemented")</f>
        <v>0</v>
      </c>
      <c r="K515" s="43" t="str">
        <f aca="false">IF(I515=0,"No wiki control",IF(J515=I515,"Fully covered",IF(J515=0,"Not covered","Partly covered")))</f>
        <v>Not covered</v>
      </c>
      <c r="L515" s="9" t="s">
        <v>1899</v>
      </c>
    </row>
    <row r="516" customFormat="false" ht="35.05" hidden="false" customHeight="false" outlineLevel="0" collapsed="false">
      <c r="A516" s="51" t="s">
        <v>590</v>
      </c>
      <c r="B516" s="51" t="s">
        <v>584</v>
      </c>
      <c r="C516" s="5" t="s">
        <v>1933</v>
      </c>
      <c r="D516" s="6" t="s">
        <v>1933</v>
      </c>
      <c r="E516" s="6"/>
      <c r="F516" s="6" t="s">
        <v>640</v>
      </c>
      <c r="G516" s="6"/>
      <c r="H516" s="6"/>
      <c r="I516" s="26" t="n">
        <v>0</v>
      </c>
      <c r="J516" s="26" t="n">
        <f aca="false">0</f>
        <v>0</v>
      </c>
      <c r="K516" s="43" t="str">
        <f aca="false">IF(I516=0,"No wiki control",IF(J516=I516,"Fully covered",IF(J516=0,"Not covered","Partly covered")))</f>
        <v>No wiki control</v>
      </c>
      <c r="L516" s="9" t="s">
        <v>1899</v>
      </c>
    </row>
    <row r="517" customFormat="false" ht="23.85" hidden="false" customHeight="false" outlineLevel="0" collapsed="false">
      <c r="A517" s="51" t="s">
        <v>591</v>
      </c>
      <c r="B517" s="51" t="s">
        <v>584</v>
      </c>
      <c r="C517" s="5" t="s">
        <v>1934</v>
      </c>
      <c r="D517" s="6" t="s">
        <v>1935</v>
      </c>
      <c r="E517" s="6"/>
      <c r="F517" s="6" t="s">
        <v>640</v>
      </c>
      <c r="G517" s="6"/>
      <c r="H517" s="6"/>
      <c r="I517" s="26" t="n">
        <v>0</v>
      </c>
      <c r="J517" s="26" t="n">
        <f aca="false">0</f>
        <v>0</v>
      </c>
      <c r="K517" s="43" t="str">
        <f aca="false">IF(I517=0,"No wiki control",IF(J517=I517,"Fully covered",IF(J517=0,"Not covered","Partly covered")))</f>
        <v>No wiki control</v>
      </c>
      <c r="L517" s="9" t="s">
        <v>1899</v>
      </c>
    </row>
    <row r="518" customFormat="false" ht="23.85" hidden="false" customHeight="false" outlineLevel="0" collapsed="false">
      <c r="A518" s="51" t="s">
        <v>591</v>
      </c>
      <c r="B518" s="51" t="s">
        <v>584</v>
      </c>
      <c r="C518" s="5" t="s">
        <v>1936</v>
      </c>
      <c r="D518" s="6" t="s">
        <v>1936</v>
      </c>
      <c r="E518" s="6" t="s">
        <v>1167</v>
      </c>
      <c r="F518" s="6" t="s">
        <v>730</v>
      </c>
      <c r="G518" s="6" t="s">
        <v>1168</v>
      </c>
      <c r="H518" s="6"/>
      <c r="I518" s="26" t="n">
        <v>2</v>
      </c>
      <c r="J518" s="26" t="n">
        <f aca="false">COUNTIFS('Control Library'!$A$5:$A$50,"AI-CTRL-013",'Control Library'!$R$5:$R$50,"Implemented")+COUNTIFS('Control Library'!$A$5:$A$50,"AI-CTRL-043",'Control Library'!$R$5:$R$50,"Implemented")</f>
        <v>0</v>
      </c>
      <c r="K518" s="43" t="str">
        <f aca="false">IF(I518=0,"No wiki control",IF(J518=I518,"Fully covered",IF(J518=0,"Not covered","Partly covered")))</f>
        <v>Not covered</v>
      </c>
      <c r="L518" s="9" t="s">
        <v>1899</v>
      </c>
    </row>
    <row r="519" customFormat="false" ht="23.85" hidden="false" customHeight="false" outlineLevel="0" collapsed="false">
      <c r="A519" s="51" t="s">
        <v>591</v>
      </c>
      <c r="B519" s="51" t="s">
        <v>584</v>
      </c>
      <c r="C519" s="5" t="s">
        <v>1937</v>
      </c>
      <c r="D519" s="6" t="s">
        <v>1937</v>
      </c>
      <c r="E519" s="6" t="s">
        <v>530</v>
      </c>
      <c r="F519" s="6" t="s">
        <v>730</v>
      </c>
      <c r="G519" s="6" t="s">
        <v>533</v>
      </c>
      <c r="H519" s="6"/>
      <c r="I519" s="26" t="n">
        <v>1</v>
      </c>
      <c r="J519" s="26" t="n">
        <f aca="false">COUNTIFS('Control Library'!$A$5:$A$50,"AI-CTRL-044",'Control Library'!$R$5:$R$50,"Implemented")</f>
        <v>0</v>
      </c>
      <c r="K519" s="43" t="str">
        <f aca="false">IF(I519=0,"No wiki control",IF(J519=I519,"Fully covered",IF(J519=0,"Not covered","Partly covered")))</f>
        <v>Not covered</v>
      </c>
      <c r="L519" s="9" t="s">
        <v>1899</v>
      </c>
    </row>
    <row r="520" customFormat="false" ht="35.05" hidden="false" customHeight="false" outlineLevel="0" collapsed="false">
      <c r="A520" s="51" t="s">
        <v>591</v>
      </c>
      <c r="B520" s="51" t="s">
        <v>584</v>
      </c>
      <c r="C520" s="5" t="s">
        <v>1938</v>
      </c>
      <c r="D520" s="6" t="s">
        <v>1938</v>
      </c>
      <c r="E520" s="6" t="s">
        <v>1939</v>
      </c>
      <c r="F520" s="6" t="s">
        <v>730</v>
      </c>
      <c r="G520" s="6" t="s">
        <v>1940</v>
      </c>
      <c r="H520" s="6"/>
      <c r="I520" s="26" t="n">
        <v>3</v>
      </c>
      <c r="J520" s="26" t="n">
        <f aca="false">COUNTIFS('Control Library'!$A$5:$A$50,"AI-CTRL-013",'Control Library'!$R$5:$R$50,"Implemented")+COUNTIFS('Control Library'!$A$5:$A$50,"AI-CTRL-017",'Control Library'!$R$5:$R$50,"Implemented")+COUNTIFS('Control Library'!$A$5:$A$50,"AI-CTRL-029",'Control Library'!$R$5:$R$50,"Implemented")</f>
        <v>0</v>
      </c>
      <c r="K520" s="43" t="str">
        <f aca="false">IF(I520=0,"No wiki control",IF(J520=I520,"Fully covered",IF(J520=0,"Not covered","Partly covered")))</f>
        <v>Not covered</v>
      </c>
      <c r="L520" s="9" t="s">
        <v>1899</v>
      </c>
    </row>
    <row r="521" customFormat="false" ht="23.85" hidden="false" customHeight="false" outlineLevel="0" collapsed="false">
      <c r="A521" s="51" t="s">
        <v>591</v>
      </c>
      <c r="B521" s="51" t="s">
        <v>584</v>
      </c>
      <c r="C521" s="5" t="s">
        <v>1941</v>
      </c>
      <c r="D521" s="6" t="s">
        <v>1941</v>
      </c>
      <c r="E521" s="6" t="s">
        <v>539</v>
      </c>
      <c r="F521" s="6" t="s">
        <v>730</v>
      </c>
      <c r="G521" s="6" t="s">
        <v>542</v>
      </c>
      <c r="H521" s="6"/>
      <c r="I521" s="26" t="n">
        <v>1</v>
      </c>
      <c r="J521" s="26" t="n">
        <f aca="false">COUNTIFS('Control Library'!$A$5:$A$50,"AI-CTRL-045",'Control Library'!$R$5:$R$50,"Implemented")</f>
        <v>0</v>
      </c>
      <c r="K521" s="43" t="str">
        <f aca="false">IF(I521=0,"No wiki control",IF(J521=I521,"Fully covered",IF(J521=0,"Not covered","Partly covered")))</f>
        <v>Not covered</v>
      </c>
      <c r="L521" s="9" t="s">
        <v>1899</v>
      </c>
    </row>
    <row r="522" customFormat="false" ht="23.85" hidden="false" customHeight="false" outlineLevel="0" collapsed="false">
      <c r="A522" s="51" t="s">
        <v>591</v>
      </c>
      <c r="B522" s="51" t="s">
        <v>584</v>
      </c>
      <c r="C522" s="5" t="s">
        <v>1942</v>
      </c>
      <c r="D522" s="6" t="s">
        <v>1942</v>
      </c>
      <c r="E522" s="6" t="s">
        <v>255</v>
      </c>
      <c r="F522" s="6" t="s">
        <v>730</v>
      </c>
      <c r="G522" s="6" t="s">
        <v>258</v>
      </c>
      <c r="H522" s="6"/>
      <c r="I522" s="26" t="n">
        <v>1</v>
      </c>
      <c r="J522" s="26" t="n">
        <f aca="false">COUNTIFS('Control Library'!$A$5:$A$50,"AI-CTRL-011",'Control Library'!$R$5:$R$50,"Implemented")</f>
        <v>0</v>
      </c>
      <c r="K522" s="43" t="str">
        <f aca="false">IF(I522=0,"No wiki control",IF(J522=I522,"Fully covered",IF(J522=0,"Not covered","Partly covered")))</f>
        <v>Not covered</v>
      </c>
      <c r="L522" s="9" t="s">
        <v>1899</v>
      </c>
    </row>
    <row r="523" customFormat="false" ht="35.05" hidden="false" customHeight="false" outlineLevel="0" collapsed="false">
      <c r="A523" s="51" t="s">
        <v>591</v>
      </c>
      <c r="B523" s="51" t="s">
        <v>584</v>
      </c>
      <c r="C523" s="5" t="s">
        <v>1943</v>
      </c>
      <c r="D523" s="6" t="s">
        <v>1944</v>
      </c>
      <c r="E523" s="6" t="s">
        <v>470</v>
      </c>
      <c r="F523" s="6" t="s">
        <v>730</v>
      </c>
      <c r="G523" s="6" t="s">
        <v>473</v>
      </c>
      <c r="H523" s="6"/>
      <c r="I523" s="26" t="n">
        <v>1</v>
      </c>
      <c r="J523" s="26" t="n">
        <f aca="false">COUNTIFS('Control Library'!$A$5:$A$50,"AI-CTRL-037",'Control Library'!$R$5:$R$50,"Implemented")</f>
        <v>0</v>
      </c>
      <c r="K523" s="43" t="str">
        <f aca="false">IF(I523=0,"No wiki control",IF(J523=I523,"Fully covered",IF(J523=0,"Not covered","Partly covered")))</f>
        <v>Not covered</v>
      </c>
      <c r="L523" s="9" t="s">
        <v>1899</v>
      </c>
    </row>
    <row r="524" customFormat="false" ht="23.85" hidden="false" customHeight="false" outlineLevel="0" collapsed="false">
      <c r="A524" s="51" t="s">
        <v>592</v>
      </c>
      <c r="B524" s="51" t="s">
        <v>584</v>
      </c>
      <c r="C524" s="5" t="s">
        <v>1945</v>
      </c>
      <c r="D524" s="6" t="s">
        <v>1946</v>
      </c>
      <c r="E524" s="6" t="s">
        <v>1652</v>
      </c>
      <c r="F524" s="6" t="s">
        <v>730</v>
      </c>
      <c r="G524" s="6" t="s">
        <v>1653</v>
      </c>
      <c r="H524" s="6"/>
      <c r="I524" s="26" t="n">
        <v>2</v>
      </c>
      <c r="J524" s="26" t="n">
        <f aca="false">COUNTIFS('Control Library'!$A$5:$A$50,"AI-CTRL-039",'Control Library'!$R$5:$R$50,"Implemented")+COUNTIFS('Control Library'!$A$5:$A$50,"AI-CTRL-041",'Control Library'!$R$5:$R$50,"Implemented")</f>
        <v>0</v>
      </c>
      <c r="K524" s="43" t="str">
        <f aca="false">IF(I524=0,"No wiki control",IF(J524=I524,"Fully covered",IF(J524=0,"Not covered","Partly covered")))</f>
        <v>Not covered</v>
      </c>
      <c r="L524" s="9" t="s">
        <v>1899</v>
      </c>
    </row>
    <row r="525" customFormat="false" ht="23.85" hidden="false" customHeight="false" outlineLevel="0" collapsed="false">
      <c r="A525" s="51" t="s">
        <v>592</v>
      </c>
      <c r="B525" s="51" t="s">
        <v>584</v>
      </c>
      <c r="C525" s="5" t="s">
        <v>1947</v>
      </c>
      <c r="D525" s="6" t="s">
        <v>1948</v>
      </c>
      <c r="E525" s="6" t="s">
        <v>1652</v>
      </c>
      <c r="F525" s="6" t="s">
        <v>730</v>
      </c>
      <c r="G525" s="6" t="s">
        <v>1653</v>
      </c>
      <c r="H525" s="6"/>
      <c r="I525" s="26" t="n">
        <v>2</v>
      </c>
      <c r="J525" s="26" t="n">
        <f aca="false">COUNTIFS('Control Library'!$A$5:$A$50,"AI-CTRL-039",'Control Library'!$R$5:$R$50,"Implemented")+COUNTIFS('Control Library'!$A$5:$A$50,"AI-CTRL-041",'Control Library'!$R$5:$R$50,"Implemented")</f>
        <v>0</v>
      </c>
      <c r="K525" s="43" t="str">
        <f aca="false">IF(I525=0,"No wiki control",IF(J525=I525,"Fully covered",IF(J525=0,"Not covered","Partly covered")))</f>
        <v>Not covered</v>
      </c>
      <c r="L525" s="9" t="s">
        <v>1899</v>
      </c>
    </row>
    <row r="526" customFormat="false" ht="23.85" hidden="false" customHeight="false" outlineLevel="0" collapsed="false">
      <c r="A526" s="51" t="s">
        <v>592</v>
      </c>
      <c r="B526" s="51" t="s">
        <v>584</v>
      </c>
      <c r="C526" s="5" t="s">
        <v>1949</v>
      </c>
      <c r="D526" s="6" t="s">
        <v>1949</v>
      </c>
      <c r="E526" s="6" t="s">
        <v>1950</v>
      </c>
      <c r="F526" s="6" t="s">
        <v>730</v>
      </c>
      <c r="G526" s="6" t="s">
        <v>1828</v>
      </c>
      <c r="H526" s="6"/>
      <c r="I526" s="26" t="n">
        <v>2</v>
      </c>
      <c r="J526" s="26" t="n">
        <f aca="false">COUNTIFS('Control Library'!$A$5:$A$50,"AI-CTRL-013",'Control Library'!$R$5:$R$50,"Implemented")+COUNTIFS('Control Library'!$A$5:$A$50,"AI-CTRL-017",'Control Library'!$R$5:$R$50,"Implemented")</f>
        <v>0</v>
      </c>
      <c r="K526" s="43" t="str">
        <f aca="false">IF(I526=0,"No wiki control",IF(J526=I526,"Fully covered",IF(J526=0,"Not covered","Partly covered")))</f>
        <v>Not covered</v>
      </c>
      <c r="L526" s="9" t="s">
        <v>1899</v>
      </c>
    </row>
    <row r="527" customFormat="false" ht="35.05" hidden="false" customHeight="false" outlineLevel="0" collapsed="false">
      <c r="A527" s="51" t="s">
        <v>592</v>
      </c>
      <c r="B527" s="51" t="s">
        <v>584</v>
      </c>
      <c r="C527" s="5" t="s">
        <v>1951</v>
      </c>
      <c r="D527" s="6" t="s">
        <v>1952</v>
      </c>
      <c r="E527" s="6" t="s">
        <v>1953</v>
      </c>
      <c r="F527" s="6" t="s">
        <v>730</v>
      </c>
      <c r="G527" s="6" t="s">
        <v>1954</v>
      </c>
      <c r="H527" s="6"/>
      <c r="I527" s="26" t="n">
        <v>4</v>
      </c>
      <c r="J527" s="26" t="n">
        <f aca="false">COUNTIFS('Control Library'!$A$5:$A$50,"AI-CTRL-028",'Control Library'!$R$5:$R$50,"Implemented")+COUNTIFS('Control Library'!$A$5:$A$50,"AI-CTRL-029",'Control Library'!$R$5:$R$50,"Implemented")+COUNTIFS('Control Library'!$A$5:$A$50,"AI-CTRL-032",'Control Library'!$R$5:$R$50,"Implemented")+COUNTIFS('Control Library'!$A$5:$A$50,"AI-CTRL-034",'Control Library'!$R$5:$R$50,"Implemented")</f>
        <v>0</v>
      </c>
      <c r="K527" s="43" t="str">
        <f aca="false">IF(I527=0,"No wiki control",IF(J527=I527,"Fully covered",IF(J527=0,"Not covered","Partly covered")))</f>
        <v>Not covered</v>
      </c>
      <c r="L527" s="9" t="s">
        <v>1899</v>
      </c>
    </row>
    <row r="528" customFormat="false" ht="35.05" hidden="false" customHeight="false" outlineLevel="0" collapsed="false">
      <c r="A528" s="51" t="s">
        <v>592</v>
      </c>
      <c r="B528" s="51" t="s">
        <v>584</v>
      </c>
      <c r="C528" s="5" t="s">
        <v>1955</v>
      </c>
      <c r="D528" s="6" t="s">
        <v>1956</v>
      </c>
      <c r="E528" s="6" t="s">
        <v>1957</v>
      </c>
      <c r="F528" s="6" t="s">
        <v>730</v>
      </c>
      <c r="G528" s="6" t="s">
        <v>1958</v>
      </c>
      <c r="H528" s="6"/>
      <c r="I528" s="26" t="n">
        <v>3</v>
      </c>
      <c r="J528" s="26" t="n">
        <f aca="false">COUNTIFS('Control Library'!$A$5:$A$50,"AI-CTRL-023",'Control Library'!$R$5:$R$50,"Implemented")+COUNTIFS('Control Library'!$A$5:$A$50,"AI-CTRL-025",'Control Library'!$R$5:$R$50,"Implemented")+COUNTIFS('Control Library'!$A$5:$A$50,"AI-CTRL-045",'Control Library'!$R$5:$R$50,"Implemented")</f>
        <v>0</v>
      </c>
      <c r="K528" s="43" t="str">
        <f aca="false">IF(I528=0,"No wiki control",IF(J528=I528,"Fully covered",IF(J528=0,"Not covered","Partly covered")))</f>
        <v>Not covered</v>
      </c>
      <c r="L528" s="9" t="s">
        <v>1899</v>
      </c>
    </row>
    <row r="529" customFormat="false" ht="23.85" hidden="false" customHeight="false" outlineLevel="0" collapsed="false">
      <c r="A529" s="51" t="s">
        <v>592</v>
      </c>
      <c r="B529" s="51" t="s">
        <v>584</v>
      </c>
      <c r="C529" s="5" t="s">
        <v>1959</v>
      </c>
      <c r="D529" s="6" t="s">
        <v>1959</v>
      </c>
      <c r="E529" s="6"/>
      <c r="F529" s="6" t="s">
        <v>640</v>
      </c>
      <c r="G529" s="6"/>
      <c r="H529" s="6"/>
      <c r="I529" s="26" t="n">
        <v>0</v>
      </c>
      <c r="J529" s="26" t="n">
        <f aca="false">0</f>
        <v>0</v>
      </c>
      <c r="K529" s="43" t="str">
        <f aca="false">IF(I529=0,"No wiki control",IF(J529=I529,"Fully covered",IF(J529=0,"Not covered","Partly covered")))</f>
        <v>No wiki control</v>
      </c>
      <c r="L529" s="9" t="s">
        <v>1899</v>
      </c>
    </row>
    <row r="530" customFormat="false" ht="35.05" hidden="false" customHeight="false" outlineLevel="0" collapsed="false">
      <c r="A530" s="51" t="s">
        <v>592</v>
      </c>
      <c r="B530" s="51" t="s">
        <v>584</v>
      </c>
      <c r="C530" s="5" t="s">
        <v>1960</v>
      </c>
      <c r="D530" s="6" t="s">
        <v>1960</v>
      </c>
      <c r="E530" s="6" t="s">
        <v>759</v>
      </c>
      <c r="F530" s="6" t="s">
        <v>730</v>
      </c>
      <c r="G530" s="6" t="s">
        <v>760</v>
      </c>
      <c r="H530" s="6"/>
      <c r="I530" s="26" t="n">
        <v>2</v>
      </c>
      <c r="J530" s="26" t="n">
        <f aca="false">COUNTIFS('Control Library'!$A$5:$A$50,"AI-CTRL-033",'Control Library'!$R$5:$R$50,"Implemented")+COUNTIFS('Control Library'!$A$5:$A$50,"AI-CTRL-034",'Control Library'!$R$5:$R$50,"Implemented")</f>
        <v>0</v>
      </c>
      <c r="K530" s="43" t="str">
        <f aca="false">IF(I530=0,"No wiki control",IF(J530=I530,"Fully covered",IF(J530=0,"Not covered","Partly covered")))</f>
        <v>Not covered</v>
      </c>
      <c r="L530" s="9" t="s">
        <v>1899</v>
      </c>
    </row>
    <row r="531" customFormat="false" ht="23.85" hidden="false" customHeight="false" outlineLevel="0" collapsed="false">
      <c r="A531" s="51" t="s">
        <v>593</v>
      </c>
      <c r="B531" s="51" t="s">
        <v>584</v>
      </c>
      <c r="C531" s="5" t="s">
        <v>1961</v>
      </c>
      <c r="D531" s="6" t="s">
        <v>1962</v>
      </c>
      <c r="E531" s="6" t="s">
        <v>282</v>
      </c>
      <c r="F531" s="6" t="s">
        <v>730</v>
      </c>
      <c r="G531" s="6" t="s">
        <v>286</v>
      </c>
      <c r="H531" s="6"/>
      <c r="I531" s="26" t="n">
        <v>1</v>
      </c>
      <c r="J531" s="26" t="n">
        <f aca="false">COUNTIFS('Control Library'!$A$5:$A$50,"AI-CTRL-014",'Control Library'!$R$5:$R$50,"Implemented")</f>
        <v>0</v>
      </c>
      <c r="K531" s="43" t="str">
        <f aca="false">IF(I531=0,"No wiki control",IF(J531=I531,"Fully covered",IF(J531=0,"Not covered","Partly covered")))</f>
        <v>Not covered</v>
      </c>
      <c r="L531" s="9" t="s">
        <v>1899</v>
      </c>
    </row>
    <row r="532" customFormat="false" ht="23.85" hidden="false" customHeight="false" outlineLevel="0" collapsed="false">
      <c r="A532" s="51" t="s">
        <v>593</v>
      </c>
      <c r="B532" s="51" t="s">
        <v>584</v>
      </c>
      <c r="C532" s="5" t="s">
        <v>1963</v>
      </c>
      <c r="D532" s="6" t="s">
        <v>1964</v>
      </c>
      <c r="E532" s="6" t="s">
        <v>1965</v>
      </c>
      <c r="F532" s="6" t="s">
        <v>730</v>
      </c>
      <c r="G532" s="6" t="s">
        <v>1966</v>
      </c>
      <c r="H532" s="6"/>
      <c r="I532" s="26" t="n">
        <v>2</v>
      </c>
      <c r="J532" s="26" t="n">
        <f aca="false">COUNTIFS('Control Library'!$A$5:$A$50,"AI-CTRL-031",'Control Library'!$R$5:$R$50,"Implemented")+COUNTIFS('Control Library'!$A$5:$A$50,"AI-CTRL-037",'Control Library'!$R$5:$R$50,"Implemented")</f>
        <v>0</v>
      </c>
      <c r="K532" s="43" t="str">
        <f aca="false">IF(I532=0,"No wiki control",IF(J532=I532,"Fully covered",IF(J532=0,"Not covered","Partly covered")))</f>
        <v>Not covered</v>
      </c>
      <c r="L532" s="9" t="s">
        <v>1899</v>
      </c>
    </row>
    <row r="533" customFormat="false" ht="35.05" hidden="false" customHeight="false" outlineLevel="0" collapsed="false">
      <c r="A533" s="51" t="s">
        <v>593</v>
      </c>
      <c r="B533" s="51" t="s">
        <v>584</v>
      </c>
      <c r="C533" s="5" t="s">
        <v>1967</v>
      </c>
      <c r="D533" s="6" t="s">
        <v>1968</v>
      </c>
      <c r="E533" s="6" t="s">
        <v>759</v>
      </c>
      <c r="F533" s="6" t="s">
        <v>730</v>
      </c>
      <c r="G533" s="6" t="s">
        <v>760</v>
      </c>
      <c r="H533" s="6"/>
      <c r="I533" s="26" t="n">
        <v>2</v>
      </c>
      <c r="J533" s="26" t="n">
        <f aca="false">COUNTIFS('Control Library'!$A$5:$A$50,"AI-CTRL-033",'Control Library'!$R$5:$R$50,"Implemented")+COUNTIFS('Control Library'!$A$5:$A$50,"AI-CTRL-034",'Control Library'!$R$5:$R$50,"Implemented")</f>
        <v>0</v>
      </c>
      <c r="K533" s="43" t="str">
        <f aca="false">IF(I533=0,"No wiki control",IF(J533=I533,"Fully covered",IF(J533=0,"Not covered","Partly covered")))</f>
        <v>Not covered</v>
      </c>
      <c r="L533" s="9" t="s">
        <v>1899</v>
      </c>
    </row>
    <row r="534" customFormat="false" ht="23.85" hidden="false" customHeight="false" outlineLevel="0" collapsed="false">
      <c r="A534" s="51" t="s">
        <v>593</v>
      </c>
      <c r="B534" s="51" t="s">
        <v>584</v>
      </c>
      <c r="C534" s="5" t="s">
        <v>1969</v>
      </c>
      <c r="D534" s="6" t="s">
        <v>1970</v>
      </c>
      <c r="E534" s="6" t="s">
        <v>1971</v>
      </c>
      <c r="F534" s="6" t="s">
        <v>730</v>
      </c>
      <c r="G534" s="6" t="s">
        <v>1972</v>
      </c>
      <c r="H534" s="6"/>
      <c r="I534" s="26" t="n">
        <v>2</v>
      </c>
      <c r="J534" s="26" t="n">
        <f aca="false">COUNTIFS('Control Library'!$A$5:$A$50,"AI-CTRL-009",'Control Library'!$R$5:$R$50,"Implemented")+COUNTIFS('Control Library'!$A$5:$A$50,"AI-CTRL-040",'Control Library'!$R$5:$R$50,"Implemented")</f>
        <v>0</v>
      </c>
      <c r="K534" s="43" t="str">
        <f aca="false">IF(I534=0,"No wiki control",IF(J534=I534,"Fully covered",IF(J534=0,"Not covered","Partly covered")))</f>
        <v>Not covered</v>
      </c>
      <c r="L534" s="9" t="s">
        <v>1899</v>
      </c>
    </row>
    <row r="535" customFormat="false" ht="23.85" hidden="false" customHeight="false" outlineLevel="0" collapsed="false">
      <c r="A535" s="51" t="s">
        <v>593</v>
      </c>
      <c r="B535" s="51" t="s">
        <v>584</v>
      </c>
      <c r="C535" s="5" t="s">
        <v>1973</v>
      </c>
      <c r="D535" s="6" t="s">
        <v>1973</v>
      </c>
      <c r="E535" s="6" t="s">
        <v>1893</v>
      </c>
      <c r="F535" s="6" t="s">
        <v>730</v>
      </c>
      <c r="G535" s="6" t="s">
        <v>1557</v>
      </c>
      <c r="H535" s="6"/>
      <c r="I535" s="26" t="n">
        <v>2</v>
      </c>
      <c r="J535" s="26" t="n">
        <f aca="false">COUNTIFS('Control Library'!$A$5:$A$50,"AI-CTRL-017",'Control Library'!$R$5:$R$50,"Implemented")+COUNTIFS('Control Library'!$A$5:$A$50,"AI-CTRL-029",'Control Library'!$R$5:$R$50,"Implemented")</f>
        <v>0</v>
      </c>
      <c r="K535" s="43" t="str">
        <f aca="false">IF(I535=0,"No wiki control",IF(J535=I535,"Fully covered",IF(J535=0,"Not covered","Partly covered")))</f>
        <v>Not covered</v>
      </c>
      <c r="L535" s="9" t="s">
        <v>1899</v>
      </c>
    </row>
    <row r="536" customFormat="false" ht="23.85" hidden="false" customHeight="false" outlineLevel="0" collapsed="false">
      <c r="A536" s="51" t="s">
        <v>593</v>
      </c>
      <c r="B536" s="51" t="s">
        <v>584</v>
      </c>
      <c r="C536" s="5" t="s">
        <v>1974</v>
      </c>
      <c r="D536" s="6" t="s">
        <v>1974</v>
      </c>
      <c r="E536" s="6" t="s">
        <v>444</v>
      </c>
      <c r="F536" s="6" t="s">
        <v>730</v>
      </c>
      <c r="G536" s="6" t="s">
        <v>447</v>
      </c>
      <c r="H536" s="6"/>
      <c r="I536" s="26" t="n">
        <v>1</v>
      </c>
      <c r="J536" s="26" t="n">
        <f aca="false">COUNTIFS('Control Library'!$A$5:$A$50,"AI-CTRL-034",'Control Library'!$R$5:$R$50,"Implemented")</f>
        <v>0</v>
      </c>
      <c r="K536" s="43" t="str">
        <f aca="false">IF(I536=0,"No wiki control",IF(J536=I536,"Fully covered",IF(J536=0,"Not covered","Partly covered")))</f>
        <v>Not covered</v>
      </c>
      <c r="L536" s="9" t="s">
        <v>1899</v>
      </c>
    </row>
    <row r="537" customFormat="false" ht="23.85" hidden="false" customHeight="false" outlineLevel="0" collapsed="false">
      <c r="A537" s="51" t="s">
        <v>593</v>
      </c>
      <c r="B537" s="51" t="s">
        <v>584</v>
      </c>
      <c r="C537" s="5" t="s">
        <v>1975</v>
      </c>
      <c r="D537" s="6" t="s">
        <v>1975</v>
      </c>
      <c r="E537" s="6" t="s">
        <v>1976</v>
      </c>
      <c r="F537" s="6" t="s">
        <v>730</v>
      </c>
      <c r="G537" s="6" t="s">
        <v>1977</v>
      </c>
      <c r="H537" s="6"/>
      <c r="I537" s="26" t="n">
        <v>2</v>
      </c>
      <c r="J537" s="26" t="n">
        <f aca="false">COUNTIFS('Control Library'!$A$5:$A$50,"AI-CTRL-011",'Control Library'!$R$5:$R$50,"Implemented")+COUNTIFS('Control Library'!$A$5:$A$50,"AI-CTRL-030",'Control Library'!$R$5:$R$50,"Implemented")</f>
        <v>0</v>
      </c>
      <c r="K537" s="43" t="str">
        <f aca="false">IF(I537=0,"No wiki control",IF(J537=I537,"Fully covered",IF(J537=0,"Not covered","Partly covered")))</f>
        <v>Not covered</v>
      </c>
      <c r="L537" s="9" t="s">
        <v>1899</v>
      </c>
    </row>
    <row r="538" customFormat="false" ht="23.85" hidden="false" customHeight="false" outlineLevel="0" collapsed="false">
      <c r="A538" s="51" t="s">
        <v>593</v>
      </c>
      <c r="B538" s="51" t="s">
        <v>584</v>
      </c>
      <c r="C538" s="5" t="s">
        <v>1978</v>
      </c>
      <c r="D538" s="6" t="s">
        <v>1978</v>
      </c>
      <c r="E538" s="6" t="s">
        <v>324</v>
      </c>
      <c r="F538" s="6" t="s">
        <v>730</v>
      </c>
      <c r="G538" s="6" t="s">
        <v>327</v>
      </c>
      <c r="H538" s="6"/>
      <c r="I538" s="26" t="n">
        <v>1</v>
      </c>
      <c r="J538" s="26" t="n">
        <f aca="false">COUNTIFS('Control Library'!$A$5:$A$50,"AI-CTRL-019",'Control Library'!$R$5:$R$50,"Implemented")</f>
        <v>0</v>
      </c>
      <c r="K538" s="43" t="str">
        <f aca="false">IF(I538=0,"No wiki control",IF(J538=I538,"Fully covered",IF(J538=0,"Not covered","Partly covered")))</f>
        <v>Not covered</v>
      </c>
      <c r="L538" s="9" t="s">
        <v>1899</v>
      </c>
    </row>
    <row r="539" customFormat="false" ht="23.85" hidden="false" customHeight="false" outlineLevel="0" collapsed="false">
      <c r="A539" s="51" t="s">
        <v>594</v>
      </c>
      <c r="B539" s="51" t="s">
        <v>584</v>
      </c>
      <c r="C539" s="5" t="s">
        <v>1979</v>
      </c>
      <c r="D539" s="6" t="s">
        <v>1980</v>
      </c>
      <c r="E539" s="6"/>
      <c r="F539" s="6" t="s">
        <v>640</v>
      </c>
      <c r="G539" s="6"/>
      <c r="H539" s="6"/>
      <c r="I539" s="26" t="n">
        <v>0</v>
      </c>
      <c r="J539" s="26" t="n">
        <f aca="false">0</f>
        <v>0</v>
      </c>
      <c r="K539" s="43" t="str">
        <f aca="false">IF(I539=0,"No wiki control",IF(J539=I539,"Fully covered",IF(J539=0,"Not covered","Partly covered")))</f>
        <v>No wiki control</v>
      </c>
      <c r="L539" s="9" t="s">
        <v>1899</v>
      </c>
    </row>
    <row r="540" customFormat="false" ht="23.85" hidden="false" customHeight="false" outlineLevel="0" collapsed="false">
      <c r="A540" s="51" t="s">
        <v>594</v>
      </c>
      <c r="B540" s="51" t="s">
        <v>584</v>
      </c>
      <c r="C540" s="5" t="s">
        <v>1981</v>
      </c>
      <c r="D540" s="6" t="s">
        <v>1982</v>
      </c>
      <c r="E540" s="6" t="s">
        <v>1893</v>
      </c>
      <c r="F540" s="6" t="s">
        <v>730</v>
      </c>
      <c r="G540" s="6" t="s">
        <v>1557</v>
      </c>
      <c r="H540" s="6"/>
      <c r="I540" s="26" t="n">
        <v>2</v>
      </c>
      <c r="J540" s="26" t="n">
        <f aca="false">COUNTIFS('Control Library'!$A$5:$A$50,"AI-CTRL-017",'Control Library'!$R$5:$R$50,"Implemented")+COUNTIFS('Control Library'!$A$5:$A$50,"AI-CTRL-029",'Control Library'!$R$5:$R$50,"Implemented")</f>
        <v>0</v>
      </c>
      <c r="K540" s="43" t="str">
        <f aca="false">IF(I540=0,"No wiki control",IF(J540=I540,"Fully covered",IF(J540=0,"Not covered","Partly covered")))</f>
        <v>Not covered</v>
      </c>
      <c r="L540" s="9" t="s">
        <v>1899</v>
      </c>
    </row>
    <row r="541" customFormat="false" ht="23.85" hidden="false" customHeight="false" outlineLevel="0" collapsed="false">
      <c r="A541" s="51" t="s">
        <v>594</v>
      </c>
      <c r="B541" s="51" t="s">
        <v>584</v>
      </c>
      <c r="C541" s="5" t="s">
        <v>1983</v>
      </c>
      <c r="D541" s="6" t="s">
        <v>1984</v>
      </c>
      <c r="E541" s="6" t="s">
        <v>1985</v>
      </c>
      <c r="F541" s="6" t="s">
        <v>730</v>
      </c>
      <c r="G541" s="6" t="s">
        <v>1513</v>
      </c>
      <c r="H541" s="6"/>
      <c r="I541" s="26" t="n">
        <v>2</v>
      </c>
      <c r="J541" s="26" t="n">
        <f aca="false">COUNTIFS('Control Library'!$A$5:$A$50,"AI-CTRL-030",'Control Library'!$R$5:$R$50,"Implemented")+COUNTIFS('Control Library'!$A$5:$A$50,"AI-CTRL-034",'Control Library'!$R$5:$R$50,"Implemented")</f>
        <v>0</v>
      </c>
      <c r="K541" s="43" t="str">
        <f aca="false">IF(I541=0,"No wiki control",IF(J541=I541,"Fully covered",IF(J541=0,"Not covered","Partly covered")))</f>
        <v>Not covered</v>
      </c>
      <c r="L541" s="9" t="s">
        <v>1899</v>
      </c>
    </row>
    <row r="542" customFormat="false" ht="23.85" hidden="false" customHeight="false" outlineLevel="0" collapsed="false">
      <c r="A542" s="51" t="s">
        <v>594</v>
      </c>
      <c r="B542" s="51" t="s">
        <v>584</v>
      </c>
      <c r="C542" s="5" t="s">
        <v>1986</v>
      </c>
      <c r="D542" s="6" t="s">
        <v>1987</v>
      </c>
      <c r="E542" s="6" t="s">
        <v>1988</v>
      </c>
      <c r="F542" s="6" t="s">
        <v>730</v>
      </c>
      <c r="G542" s="6" t="s">
        <v>1989</v>
      </c>
      <c r="H542" s="6"/>
      <c r="I542" s="26" t="n">
        <v>2</v>
      </c>
      <c r="J542" s="26" t="n">
        <f aca="false">COUNTIFS('Control Library'!$A$5:$A$50,"AI-CTRL-005",'Control Library'!$R$5:$R$50,"Implemented")+COUNTIFS('Control Library'!$A$5:$A$50,"AI-CTRL-030",'Control Library'!$R$5:$R$50,"Implemented")</f>
        <v>0</v>
      </c>
      <c r="K542" s="43" t="str">
        <f aca="false">IF(I542=0,"No wiki control",IF(J542=I542,"Fully covered",IF(J542=0,"Not covered","Partly covered")))</f>
        <v>Not covered</v>
      </c>
      <c r="L542" s="9" t="s">
        <v>1899</v>
      </c>
    </row>
    <row r="543" customFormat="false" ht="35.05" hidden="false" customHeight="false" outlineLevel="0" collapsed="false">
      <c r="A543" s="51" t="s">
        <v>595</v>
      </c>
      <c r="B543" s="51" t="s">
        <v>584</v>
      </c>
      <c r="C543" s="5" t="s">
        <v>1990</v>
      </c>
      <c r="D543" s="6" t="s">
        <v>1991</v>
      </c>
      <c r="E543" s="6"/>
      <c r="F543" s="6" t="s">
        <v>640</v>
      </c>
      <c r="G543" s="6"/>
      <c r="H543" s="6"/>
      <c r="I543" s="26" t="n">
        <v>0</v>
      </c>
      <c r="J543" s="26" t="n">
        <f aca="false">0</f>
        <v>0</v>
      </c>
      <c r="K543" s="43" t="str">
        <f aca="false">IF(I543=0,"No wiki control",IF(J543=I543,"Fully covered",IF(J543=0,"Not covered","Partly covered")))</f>
        <v>No wiki control</v>
      </c>
      <c r="L543" s="9" t="s">
        <v>1899</v>
      </c>
    </row>
    <row r="544" customFormat="false" ht="35.05" hidden="false" customHeight="false" outlineLevel="0" collapsed="false">
      <c r="A544" s="51" t="s">
        <v>595</v>
      </c>
      <c r="B544" s="51" t="s">
        <v>584</v>
      </c>
      <c r="C544" s="5" t="s">
        <v>1992</v>
      </c>
      <c r="D544" s="6" t="s">
        <v>1993</v>
      </c>
      <c r="E544" s="6"/>
      <c r="F544" s="6" t="s">
        <v>640</v>
      </c>
      <c r="G544" s="6"/>
      <c r="H544" s="6"/>
      <c r="I544" s="26" t="n">
        <v>0</v>
      </c>
      <c r="J544" s="26" t="n">
        <f aca="false">0</f>
        <v>0</v>
      </c>
      <c r="K544" s="43" t="str">
        <f aca="false">IF(I544=0,"No wiki control",IF(J544=I544,"Fully covered",IF(J544=0,"Not covered","Partly covered")))</f>
        <v>No wiki control</v>
      </c>
      <c r="L544" s="9" t="s">
        <v>1899</v>
      </c>
    </row>
    <row r="545" customFormat="false" ht="23.85" hidden="false" customHeight="false" outlineLevel="0" collapsed="false">
      <c r="A545" s="51" t="s">
        <v>595</v>
      </c>
      <c r="B545" s="51" t="s">
        <v>584</v>
      </c>
      <c r="C545" s="5" t="s">
        <v>1994</v>
      </c>
      <c r="D545" s="6" t="s">
        <v>1994</v>
      </c>
      <c r="E545" s="6"/>
      <c r="F545" s="6" t="s">
        <v>640</v>
      </c>
      <c r="G545" s="6"/>
      <c r="H545" s="6"/>
      <c r="I545" s="26" t="n">
        <v>0</v>
      </c>
      <c r="J545" s="26" t="n">
        <f aca="false">0</f>
        <v>0</v>
      </c>
      <c r="K545" s="43" t="str">
        <f aca="false">IF(I545=0,"No wiki control",IF(J545=I545,"Fully covered",IF(J545=0,"Not covered","Partly covered")))</f>
        <v>No wiki control</v>
      </c>
      <c r="L545" s="9" t="s">
        <v>1899</v>
      </c>
    </row>
    <row r="546" customFormat="false" ht="46.25" hidden="false" customHeight="false" outlineLevel="0" collapsed="false">
      <c r="A546" s="51" t="s">
        <v>595</v>
      </c>
      <c r="B546" s="51" t="s">
        <v>584</v>
      </c>
      <c r="C546" s="5" t="s">
        <v>1995</v>
      </c>
      <c r="D546" s="6" t="s">
        <v>1996</v>
      </c>
      <c r="E546" s="6" t="s">
        <v>1997</v>
      </c>
      <c r="F546" s="6" t="s">
        <v>730</v>
      </c>
      <c r="G546" s="6" t="s">
        <v>1998</v>
      </c>
      <c r="H546" s="6"/>
      <c r="I546" s="26" t="n">
        <v>5</v>
      </c>
      <c r="J546" s="26" t="n">
        <f aca="false">COUNTIFS('Control Library'!$A$5:$A$50,"AI-CTRL-034",'Control Library'!$R$5:$R$50,"Implemented")+COUNTIFS('Control Library'!$A$5:$A$50,"AI-CTRL-039",'Control Library'!$R$5:$R$50,"Implemented")+COUNTIFS('Control Library'!$A$5:$A$50,"AI-CTRL-040",'Control Library'!$R$5:$R$50,"Implemented")+COUNTIFS('Control Library'!$A$5:$A$50,"AI-CTRL-041",'Control Library'!$R$5:$R$50,"Implemented")+COUNTIFS('Control Library'!$A$5:$A$50,"AI-CTRL-045",'Control Library'!$R$5:$R$50,"Implemented")</f>
        <v>0</v>
      </c>
      <c r="K546" s="43" t="str">
        <f aca="false">IF(I546=0,"No wiki control",IF(J546=I546,"Fully covered",IF(J546=0,"Not covered","Partly covered")))</f>
        <v>Not covered</v>
      </c>
      <c r="L546" s="9" t="s">
        <v>1899</v>
      </c>
    </row>
    <row r="547" customFormat="false" ht="23.85" hidden="false" customHeight="false" outlineLevel="0" collapsed="false">
      <c r="A547" s="51" t="s">
        <v>596</v>
      </c>
      <c r="B547" s="51" t="s">
        <v>584</v>
      </c>
      <c r="C547" s="5" t="s">
        <v>1999</v>
      </c>
      <c r="D547" s="6" t="s">
        <v>2000</v>
      </c>
      <c r="E547" s="6" t="s">
        <v>1893</v>
      </c>
      <c r="F547" s="6" t="s">
        <v>730</v>
      </c>
      <c r="G547" s="6" t="s">
        <v>1557</v>
      </c>
      <c r="H547" s="6"/>
      <c r="I547" s="26" t="n">
        <v>2</v>
      </c>
      <c r="J547" s="26" t="n">
        <f aca="false">COUNTIFS('Control Library'!$A$5:$A$50,"AI-CTRL-017",'Control Library'!$R$5:$R$50,"Implemented")+COUNTIFS('Control Library'!$A$5:$A$50,"AI-CTRL-029",'Control Library'!$R$5:$R$50,"Implemented")</f>
        <v>0</v>
      </c>
      <c r="K547" s="43" t="str">
        <f aca="false">IF(I547=0,"No wiki control",IF(J547=I547,"Fully covered",IF(J547=0,"Not covered","Partly covered")))</f>
        <v>Not covered</v>
      </c>
      <c r="L547" s="9" t="s">
        <v>1899</v>
      </c>
    </row>
    <row r="548" customFormat="false" ht="35.05" hidden="false" customHeight="false" outlineLevel="0" collapsed="false">
      <c r="A548" s="51" t="s">
        <v>596</v>
      </c>
      <c r="B548" s="51" t="s">
        <v>584</v>
      </c>
      <c r="C548" s="5" t="s">
        <v>2001</v>
      </c>
      <c r="D548" s="6" t="s">
        <v>2002</v>
      </c>
      <c r="E548" s="6" t="s">
        <v>876</v>
      </c>
      <c r="F548" s="6" t="s">
        <v>730</v>
      </c>
      <c r="G548" s="6" t="s">
        <v>327</v>
      </c>
      <c r="H548" s="6"/>
      <c r="I548" s="26" t="n">
        <v>2</v>
      </c>
      <c r="J548" s="26" t="n">
        <f aca="false">COUNTIFS('Control Library'!$A$5:$A$50,"AI-CTRL-019",'Control Library'!$R$5:$R$50,"Implemented")+COUNTIFS('Control Library'!$A$5:$A$50,"AI-CTRL-029",'Control Library'!$R$5:$R$50,"Implemented")</f>
        <v>0</v>
      </c>
      <c r="K548" s="43" t="str">
        <f aca="false">IF(I548=0,"No wiki control",IF(J548=I548,"Fully covered",IF(J548=0,"Not covered","Partly covered")))</f>
        <v>Not covered</v>
      </c>
      <c r="L548" s="9" t="s">
        <v>1899</v>
      </c>
    </row>
    <row r="549" customFormat="false" ht="23.85" hidden="false" customHeight="false" outlineLevel="0" collapsed="false">
      <c r="A549" s="51" t="s">
        <v>596</v>
      </c>
      <c r="B549" s="51" t="s">
        <v>584</v>
      </c>
      <c r="C549" s="5" t="s">
        <v>2003</v>
      </c>
      <c r="D549" s="6" t="s">
        <v>2004</v>
      </c>
      <c r="E549" s="6"/>
      <c r="F549" s="6" t="s">
        <v>640</v>
      </c>
      <c r="G549" s="6"/>
      <c r="H549" s="6"/>
      <c r="I549" s="26" t="n">
        <v>0</v>
      </c>
      <c r="J549" s="26" t="n">
        <f aca="false">0</f>
        <v>0</v>
      </c>
      <c r="K549" s="43" t="str">
        <f aca="false">IF(I549=0,"No wiki control",IF(J549=I549,"Fully covered",IF(J549=0,"Not covered","Partly covered")))</f>
        <v>No wiki control</v>
      </c>
      <c r="L549" s="9" t="s">
        <v>1899</v>
      </c>
    </row>
    <row r="550" customFormat="false" ht="23.85" hidden="false" customHeight="false" outlineLevel="0" collapsed="false">
      <c r="A550" s="51" t="s">
        <v>596</v>
      </c>
      <c r="B550" s="51" t="s">
        <v>584</v>
      </c>
      <c r="C550" s="5" t="s">
        <v>2005</v>
      </c>
      <c r="D550" s="6" t="s">
        <v>2006</v>
      </c>
      <c r="E550" s="6" t="s">
        <v>2007</v>
      </c>
      <c r="F550" s="6" t="s">
        <v>730</v>
      </c>
      <c r="G550" s="6" t="s">
        <v>1444</v>
      </c>
      <c r="H550" s="6"/>
      <c r="I550" s="26" t="n">
        <v>2</v>
      </c>
      <c r="J550" s="26" t="n">
        <f aca="false">COUNTIFS('Control Library'!$A$5:$A$50,"AI-CTRL-014",'Control Library'!$R$5:$R$50,"Implemented")+COUNTIFS('Control Library'!$A$5:$A$50,"AI-CTRL-031",'Control Library'!$R$5:$R$50,"Implemented")</f>
        <v>0</v>
      </c>
      <c r="K550" s="43" t="str">
        <f aca="false">IF(I550=0,"No wiki control",IF(J550=I550,"Fully covered",IF(J550=0,"Not covered","Partly covered")))</f>
        <v>Not covered</v>
      </c>
      <c r="L550" s="9" t="s">
        <v>1899</v>
      </c>
    </row>
    <row r="551" customFormat="false" ht="23.85" hidden="false" customHeight="false" outlineLevel="0" collapsed="false">
      <c r="A551" s="51" t="s">
        <v>596</v>
      </c>
      <c r="B551" s="51" t="s">
        <v>584</v>
      </c>
      <c r="C551" s="5" t="s">
        <v>2008</v>
      </c>
      <c r="D551" s="6" t="s">
        <v>2009</v>
      </c>
      <c r="E551" s="6"/>
      <c r="F551" s="6" t="s">
        <v>640</v>
      </c>
      <c r="G551" s="6"/>
      <c r="H551" s="6"/>
      <c r="I551" s="26" t="n">
        <v>0</v>
      </c>
      <c r="J551" s="26" t="n">
        <f aca="false">0</f>
        <v>0</v>
      </c>
      <c r="K551" s="43" t="str">
        <f aca="false">IF(I551=0,"No wiki control",IF(J551=I551,"Fully covered",IF(J551=0,"Not covered","Partly covered")))</f>
        <v>No wiki control</v>
      </c>
      <c r="L551" s="9" t="s">
        <v>1899</v>
      </c>
    </row>
    <row r="552" customFormat="false" ht="23.85" hidden="false" customHeight="false" outlineLevel="0" collapsed="false">
      <c r="A552" s="51" t="s">
        <v>596</v>
      </c>
      <c r="B552" s="51" t="s">
        <v>584</v>
      </c>
      <c r="C552" s="5" t="s">
        <v>2010</v>
      </c>
      <c r="D552" s="6" t="s">
        <v>2011</v>
      </c>
      <c r="E552" s="6" t="s">
        <v>404</v>
      </c>
      <c r="F552" s="6" t="s">
        <v>730</v>
      </c>
      <c r="G552" s="6" t="s">
        <v>399</v>
      </c>
      <c r="H552" s="6"/>
      <c r="I552" s="26" t="n">
        <v>1</v>
      </c>
      <c r="J552" s="26" t="n">
        <f aca="false">COUNTIFS('Control Library'!$A$5:$A$50,"AI-CTRL-029",'Control Library'!$R$5:$R$50,"Implemented")</f>
        <v>0</v>
      </c>
      <c r="K552" s="43" t="str">
        <f aca="false">IF(I552=0,"No wiki control",IF(J552=I552,"Fully covered",IF(J552=0,"Not covered","Partly covered")))</f>
        <v>Not covered</v>
      </c>
      <c r="L552" s="9" t="s">
        <v>1899</v>
      </c>
    </row>
    <row r="553" customFormat="false" ht="23.85" hidden="false" customHeight="false" outlineLevel="0" collapsed="false">
      <c r="A553" s="51" t="s">
        <v>596</v>
      </c>
      <c r="B553" s="51" t="s">
        <v>584</v>
      </c>
      <c r="C553" s="5" t="s">
        <v>2012</v>
      </c>
      <c r="D553" s="6" t="s">
        <v>2013</v>
      </c>
      <c r="E553" s="6"/>
      <c r="F553" s="6" t="s">
        <v>640</v>
      </c>
      <c r="G553" s="6"/>
      <c r="H553" s="6"/>
      <c r="I553" s="26" t="n">
        <v>0</v>
      </c>
      <c r="J553" s="26" t="n">
        <f aca="false">0</f>
        <v>0</v>
      </c>
      <c r="K553" s="43" t="str">
        <f aca="false">IF(I553=0,"No wiki control",IF(J553=I553,"Fully covered",IF(J553=0,"Not covered","Partly covered")))</f>
        <v>No wiki control</v>
      </c>
      <c r="L553" s="9" t="s">
        <v>1899</v>
      </c>
    </row>
    <row r="554" customFormat="false" ht="23.85" hidden="false" customHeight="false" outlineLevel="0" collapsed="false">
      <c r="A554" s="53" t="s">
        <v>597</v>
      </c>
      <c r="B554" s="53" t="s">
        <v>598</v>
      </c>
      <c r="C554" s="5" t="s">
        <v>2014</v>
      </c>
      <c r="D554" s="6" t="s">
        <v>2015</v>
      </c>
      <c r="E554" s="6" t="s">
        <v>1756</v>
      </c>
      <c r="F554" s="6" t="s">
        <v>730</v>
      </c>
      <c r="G554" s="6" t="s">
        <v>456</v>
      </c>
      <c r="H554" s="6"/>
      <c r="I554" s="26" t="n">
        <v>2</v>
      </c>
      <c r="J554" s="26" t="n">
        <f aca="false">COUNTIFS('Control Library'!$A$5:$A$50,"AI-CTRL-009",'Control Library'!$R$5:$R$50,"Implemented")+COUNTIFS('Control Library'!$A$5:$A$50,"AI-CTRL-035",'Control Library'!$R$5:$R$50,"Implemented")</f>
        <v>0</v>
      </c>
      <c r="K554" s="43" t="str">
        <f aca="false">IF(I554=0,"No wiki control",IF(J554=I554,"Fully covered",IF(J554=0,"Not covered","Partly covered")))</f>
        <v>Not covered</v>
      </c>
      <c r="L554" s="9" t="s">
        <v>2016</v>
      </c>
    </row>
    <row r="555" customFormat="false" ht="46.25" hidden="false" customHeight="false" outlineLevel="0" collapsed="false">
      <c r="A555" s="53" t="s">
        <v>597</v>
      </c>
      <c r="B555" s="53" t="s">
        <v>598</v>
      </c>
      <c r="C555" s="5" t="s">
        <v>2017</v>
      </c>
      <c r="D555" s="6" t="s">
        <v>2018</v>
      </c>
      <c r="E555" s="6" t="s">
        <v>2019</v>
      </c>
      <c r="F555" s="6" t="s">
        <v>730</v>
      </c>
      <c r="G555" s="6" t="s">
        <v>2020</v>
      </c>
      <c r="H555" s="6"/>
      <c r="I555" s="26" t="n">
        <v>8</v>
      </c>
      <c r="J555" s="26" t="n">
        <f aca="false">COUNTIFS('Control Library'!$A$5:$A$50,"AI-CTRL-001",'Control Library'!$R$5:$R$50,"Implemented")+COUNTIFS('Control Library'!$A$5:$A$50,"AI-CTRL-002",'Control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Library'!$A$5:$A$50,"AI-CTRL-021",'Control Library'!$R$5:$R$50,"Implemented")+COUNTIFS('Control Library'!$A$5:$A$50,"AI-CTRL-036",'Control Library'!$R$5:$R$50,"Implemented")</f>
        <v>0</v>
      </c>
      <c r="K555" s="43" t="str">
        <f aca="false">IF(I555=0,"No wiki control",IF(J555=I555,"Fully covered",IF(J555=0,"Not covered","Partly covered")))</f>
        <v>Not covered</v>
      </c>
      <c r="L555" s="9" t="s">
        <v>2016</v>
      </c>
    </row>
    <row r="556" customFormat="false" ht="23.85" hidden="false" customHeight="false" outlineLevel="0" collapsed="false">
      <c r="A556" s="53" t="s">
        <v>597</v>
      </c>
      <c r="B556" s="53" t="s">
        <v>598</v>
      </c>
      <c r="C556" s="5" t="s">
        <v>2021</v>
      </c>
      <c r="D556" s="6" t="s">
        <v>2022</v>
      </c>
      <c r="E556" s="6" t="s">
        <v>1773</v>
      </c>
      <c r="F556" s="6" t="s">
        <v>730</v>
      </c>
      <c r="G556" s="6" t="s">
        <v>1004</v>
      </c>
      <c r="H556" s="6"/>
      <c r="I556" s="26" t="n">
        <v>5</v>
      </c>
      <c r="J556" s="26"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556" s="43" t="str">
        <f aca="false">IF(I556=0,"No wiki control",IF(J556=I556,"Fully covered",IF(J556=0,"Not covered","Partly covered")))</f>
        <v>Not covered</v>
      </c>
      <c r="L556" s="9" t="s">
        <v>2016</v>
      </c>
    </row>
    <row r="557" customFormat="false" ht="23.85" hidden="false" customHeight="false" outlineLevel="0" collapsed="false">
      <c r="A557" s="53" t="s">
        <v>597</v>
      </c>
      <c r="B557" s="53" t="s">
        <v>598</v>
      </c>
      <c r="C557" s="5" t="s">
        <v>2023</v>
      </c>
      <c r="D557" s="6" t="s">
        <v>2024</v>
      </c>
      <c r="E557" s="6" t="s">
        <v>478</v>
      </c>
      <c r="F557" s="6" t="s">
        <v>730</v>
      </c>
      <c r="G557" s="6" t="s">
        <v>481</v>
      </c>
      <c r="H557" s="6"/>
      <c r="I557" s="26" t="n">
        <v>1</v>
      </c>
      <c r="J557" s="26" t="n">
        <f aca="false">COUNTIFS('Control Library'!$A$5:$A$50,"AI-CTRL-038",'Control Library'!$R$5:$R$50,"Implemented")</f>
        <v>0</v>
      </c>
      <c r="K557" s="43" t="str">
        <f aca="false">IF(I557=0,"No wiki control",IF(J557=I557,"Fully covered",IF(J557=0,"Not covered","Partly covered")))</f>
        <v>Not covered</v>
      </c>
      <c r="L557" s="9" t="s">
        <v>2016</v>
      </c>
    </row>
    <row r="558" customFormat="false" ht="23.85" hidden="false" customHeight="false" outlineLevel="0" collapsed="false">
      <c r="A558" s="53" t="s">
        <v>597</v>
      </c>
      <c r="B558" s="53" t="s">
        <v>598</v>
      </c>
      <c r="C558" s="5" t="s">
        <v>2025</v>
      </c>
      <c r="D558" s="6" t="s">
        <v>2026</v>
      </c>
      <c r="E558" s="6" t="s">
        <v>1011</v>
      </c>
      <c r="F558" s="6" t="s">
        <v>730</v>
      </c>
      <c r="G558" s="6" t="s">
        <v>1012</v>
      </c>
      <c r="H558" s="6"/>
      <c r="I558" s="26" t="n">
        <v>2</v>
      </c>
      <c r="J558" s="26" t="n">
        <f aca="false">COUNTIFS('Control Library'!$A$5:$A$50,"AI-CTRL-010",'Control Library'!$R$5:$R$50,"Implemented")+COUNTIFS('Control Library'!$A$5:$A$50,"AI-CTRL-012",'Control Library'!$R$5:$R$50,"Implemented")</f>
        <v>0</v>
      </c>
      <c r="K558" s="43" t="str">
        <f aca="false">IF(I558=0,"No wiki control",IF(J558=I558,"Fully covered",IF(J558=0,"Not covered","Partly covered")))</f>
        <v>Not covered</v>
      </c>
      <c r="L558" s="9" t="s">
        <v>2016</v>
      </c>
    </row>
    <row r="559" customFormat="false" ht="23.85" hidden="false" customHeight="false" outlineLevel="0" collapsed="false">
      <c r="A559" s="53" t="s">
        <v>597</v>
      </c>
      <c r="B559" s="53" t="s">
        <v>598</v>
      </c>
      <c r="C559" s="5" t="s">
        <v>2027</v>
      </c>
      <c r="D559" s="6" t="s">
        <v>2028</v>
      </c>
      <c r="E559" s="6" t="s">
        <v>826</v>
      </c>
      <c r="F559" s="6" t="s">
        <v>730</v>
      </c>
      <c r="G559" s="6" t="s">
        <v>473</v>
      </c>
      <c r="H559" s="6"/>
      <c r="I559" s="26" t="n">
        <v>2</v>
      </c>
      <c r="J559" s="26" t="n">
        <f aca="false">COUNTIFS('Control Library'!$A$5:$A$50,"AI-CTRL-011",'Control Library'!$R$5:$R$50,"Implemented")+COUNTIFS('Control Library'!$A$5:$A$50,"AI-CTRL-037",'Control Library'!$R$5:$R$50,"Implemented")</f>
        <v>0</v>
      </c>
      <c r="K559" s="43" t="str">
        <f aca="false">IF(I559=0,"No wiki control",IF(J559=I559,"Fully covered",IF(J559=0,"Not covered","Partly covered")))</f>
        <v>Not covered</v>
      </c>
      <c r="L559" s="9" t="s">
        <v>2016</v>
      </c>
    </row>
    <row r="560" customFormat="false" ht="35.05" hidden="false" customHeight="false" outlineLevel="0" collapsed="false">
      <c r="A560" s="53" t="s">
        <v>597</v>
      </c>
      <c r="B560" s="53" t="s">
        <v>598</v>
      </c>
      <c r="C560" s="5" t="s">
        <v>2029</v>
      </c>
      <c r="D560" s="6" t="s">
        <v>2030</v>
      </c>
      <c r="E560" s="6" t="s">
        <v>2031</v>
      </c>
      <c r="F560" s="6" t="s">
        <v>730</v>
      </c>
      <c r="G560" s="6" t="s">
        <v>2032</v>
      </c>
      <c r="H560" s="6"/>
      <c r="I560" s="26" t="n">
        <v>2</v>
      </c>
      <c r="J560" s="26" t="n">
        <f aca="false">COUNTIFS('Control Library'!$A$5:$A$50,"AI-CTRL-012",'Control Library'!$R$5:$R$50,"Implemented")+COUNTIFS('Control Library'!$A$5:$A$50,"AI-CTRL-045",'Control Library'!$R$5:$R$50,"Implemented")</f>
        <v>0</v>
      </c>
      <c r="K560" s="43" t="str">
        <f aca="false">IF(I560=0,"No wiki control",IF(J560=I560,"Fully covered",IF(J560=0,"Not covered","Partly covered")))</f>
        <v>Not covered</v>
      </c>
      <c r="L560" s="9" t="s">
        <v>2016</v>
      </c>
    </row>
    <row r="561" customFormat="false" ht="23.85" hidden="false" customHeight="false" outlineLevel="0" collapsed="false">
      <c r="A561" s="53" t="s">
        <v>597</v>
      </c>
      <c r="B561" s="53" t="s">
        <v>598</v>
      </c>
      <c r="C561" s="5" t="s">
        <v>2033</v>
      </c>
      <c r="D561" s="6" t="s">
        <v>2034</v>
      </c>
      <c r="E561" s="6" t="s">
        <v>2035</v>
      </c>
      <c r="F561" s="6" t="s">
        <v>730</v>
      </c>
      <c r="G561" s="6" t="s">
        <v>1060</v>
      </c>
      <c r="H561" s="6"/>
      <c r="I561" s="26" t="n">
        <v>5</v>
      </c>
      <c r="J561" s="26" t="n">
        <f aca="false">COUNTIFS('Control Library'!$A$5:$A$50,"AI-CTRL-007",'Control Library'!$R$5:$R$50,"Implemented")+COUNTIFS('Control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561" s="43" t="str">
        <f aca="false">IF(I561=0,"No wiki control",IF(J561=I561,"Fully covered",IF(J561=0,"Not covered","Partly covered")))</f>
        <v>Not covered</v>
      </c>
      <c r="L561" s="9" t="s">
        <v>2016</v>
      </c>
    </row>
    <row r="562" customFormat="false" ht="35.05" hidden="false" customHeight="false" outlineLevel="0" collapsed="false">
      <c r="A562" s="53" t="s">
        <v>597</v>
      </c>
      <c r="B562" s="53" t="s">
        <v>598</v>
      </c>
      <c r="C562" s="5" t="s">
        <v>2036</v>
      </c>
      <c r="D562" s="6" t="s">
        <v>2037</v>
      </c>
      <c r="E562" s="6" t="s">
        <v>2038</v>
      </c>
      <c r="F562" s="6" t="s">
        <v>730</v>
      </c>
      <c r="G562" s="6" t="s">
        <v>2039</v>
      </c>
      <c r="H562" s="6"/>
      <c r="I562" s="26" t="n">
        <v>5</v>
      </c>
      <c r="J562" s="26" t="n">
        <f aca="false">COUNTIFS('Control Library'!$A$5:$A$50,"AI-CTRL-001",'Control Library'!$R$5:$R$50,"Implemented")+COUNTIFS('Control Library'!$A$5:$A$50,"AI-CTRL-011",'Control Library'!$R$5:$R$50,"Implemented")+COUNTIFS('Control Library'!$A$5:$A$50,"AI-CTRL-017",'Control Library'!$R$5:$R$50,"Implemented")+COUNTIFS('Control Library'!$A$5:$A$50,"AI-CTRL-029",'Control Library'!$R$5:$R$50,"Implemented")+COUNTIFS('Control Library'!$A$5:$A$50,"AI-CTRL-031",'Control Library'!$R$5:$R$50,"Implemented")</f>
        <v>0</v>
      </c>
      <c r="K562" s="43" t="str">
        <f aca="false">IF(I562=0,"No wiki control",IF(J562=I562,"Fully covered",IF(J562=0,"Not covered","Partly covered")))</f>
        <v>Not covered</v>
      </c>
      <c r="L562" s="9" t="s">
        <v>2016</v>
      </c>
    </row>
    <row r="563" customFormat="false" ht="35.05" hidden="false" customHeight="false" outlineLevel="0" collapsed="false">
      <c r="A563" s="53" t="s">
        <v>597</v>
      </c>
      <c r="B563" s="53" t="s">
        <v>598</v>
      </c>
      <c r="C563" s="5" t="s">
        <v>2040</v>
      </c>
      <c r="D563" s="6" t="s">
        <v>2041</v>
      </c>
      <c r="E563" s="6" t="s">
        <v>1192</v>
      </c>
      <c r="F563" s="6" t="s">
        <v>730</v>
      </c>
      <c r="G563" s="6" t="s">
        <v>1193</v>
      </c>
      <c r="H563" s="6"/>
      <c r="I563" s="26" t="n">
        <v>2</v>
      </c>
      <c r="J563" s="26" t="n">
        <f aca="false">COUNTIFS('Control Library'!$A$5:$A$50,"AI-CTRL-034",'Control Library'!$R$5:$R$50,"Implemented")+COUNTIFS('Control Library'!$A$5:$A$50,"AI-CTRL-038",'Control Library'!$R$5:$R$50,"Implemented")</f>
        <v>0</v>
      </c>
      <c r="K563" s="43" t="str">
        <f aca="false">IF(I563=0,"No wiki control",IF(J563=I563,"Fully covered",IF(J563=0,"Not covered","Partly covered")))</f>
        <v>Not covered</v>
      </c>
      <c r="L563" s="9" t="s">
        <v>2016</v>
      </c>
    </row>
    <row r="564" customFormat="false" ht="46.25" hidden="false" customHeight="false" outlineLevel="0" collapsed="false">
      <c r="A564" s="53" t="s">
        <v>597</v>
      </c>
      <c r="B564" s="53" t="s">
        <v>598</v>
      </c>
      <c r="C564" s="5" t="s">
        <v>2042</v>
      </c>
      <c r="D564" s="6" t="s">
        <v>2043</v>
      </c>
      <c r="E564" s="6" t="s">
        <v>2044</v>
      </c>
      <c r="F564" s="6" t="s">
        <v>730</v>
      </c>
      <c r="G564" s="6" t="s">
        <v>2045</v>
      </c>
      <c r="H564" s="6"/>
      <c r="I564" s="26" t="n">
        <v>6</v>
      </c>
      <c r="J564" s="26"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Library'!$A$5:$A$50,"AI-CTRL-042",'Control Library'!$R$5:$R$50,"Implemented")</f>
        <v>0</v>
      </c>
      <c r="K564" s="43" t="str">
        <f aca="false">IF(I564=0,"No wiki control",IF(J564=I564,"Fully covered",IF(J564=0,"Not covered","Partly covered")))</f>
        <v>Not covered</v>
      </c>
      <c r="L564" s="9" t="s">
        <v>2016</v>
      </c>
    </row>
    <row r="565" customFormat="false" ht="35.05" hidden="false" customHeight="false" outlineLevel="0" collapsed="false">
      <c r="A565" s="53" t="s">
        <v>597</v>
      </c>
      <c r="B565" s="53" t="s">
        <v>598</v>
      </c>
      <c r="C565" s="5" t="s">
        <v>2046</v>
      </c>
      <c r="D565" s="6" t="s">
        <v>2047</v>
      </c>
      <c r="E565" s="6" t="s">
        <v>2048</v>
      </c>
      <c r="F565" s="6" t="s">
        <v>730</v>
      </c>
      <c r="G565" s="6" t="s">
        <v>2049</v>
      </c>
      <c r="H565" s="6"/>
      <c r="I565" s="26" t="n">
        <v>8</v>
      </c>
      <c r="J565" s="26"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Library'!$A$5:$A$50,"AI-CTRL-023",'Control Library'!$R$5:$R$50,"Implemented")+COUNTIFS('Control Library'!$A$5:$A$50,"AI-CTRL-028",'Control Library'!$R$5:$R$50,"Implemented")+COUNTIFS('Control Library'!$A$5:$A$50,"AI-CTRL-030",'Control Library'!$R$5:$R$50,"Implemented")</f>
        <v>0</v>
      </c>
      <c r="K565" s="43" t="str">
        <f aca="false">IF(I565=0,"No wiki control",IF(J565=I565,"Fully covered",IF(J565=0,"Not covered","Partly covered")))</f>
        <v>Not covered</v>
      </c>
      <c r="L565" s="9" t="s">
        <v>2016</v>
      </c>
    </row>
    <row r="566" customFormat="false" ht="23.85" hidden="false" customHeight="false" outlineLevel="0" collapsed="false">
      <c r="A566" s="53" t="s">
        <v>597</v>
      </c>
      <c r="B566" s="53" t="s">
        <v>598</v>
      </c>
      <c r="C566" s="5" t="s">
        <v>2050</v>
      </c>
      <c r="D566" s="6" t="s">
        <v>2051</v>
      </c>
      <c r="E566" s="6" t="s">
        <v>530</v>
      </c>
      <c r="F566" s="6" t="s">
        <v>730</v>
      </c>
      <c r="G566" s="6" t="s">
        <v>533</v>
      </c>
      <c r="H566" s="6"/>
      <c r="I566" s="26" t="n">
        <v>1</v>
      </c>
      <c r="J566" s="26" t="n">
        <f aca="false">COUNTIFS('Control Library'!$A$5:$A$50,"AI-CTRL-044",'Control Library'!$R$5:$R$50,"Implemented")</f>
        <v>0</v>
      </c>
      <c r="K566" s="43" t="str">
        <f aca="false">IF(I566=0,"No wiki control",IF(J566=I566,"Fully covered",IF(J566=0,"Not covered","Partly covered")))</f>
        <v>Not covered</v>
      </c>
      <c r="L566" s="9" t="s">
        <v>2016</v>
      </c>
    </row>
    <row r="567" customFormat="false" ht="68.65" hidden="false" customHeight="false" outlineLevel="0" collapsed="false">
      <c r="A567" s="53" t="s">
        <v>597</v>
      </c>
      <c r="B567" s="53" t="s">
        <v>598</v>
      </c>
      <c r="C567" s="5" t="s">
        <v>2052</v>
      </c>
      <c r="D567" s="6" t="s">
        <v>2053</v>
      </c>
      <c r="E567" s="6" t="s">
        <v>2054</v>
      </c>
      <c r="F567" s="6" t="s">
        <v>730</v>
      </c>
      <c r="G567" s="6" t="s">
        <v>2055</v>
      </c>
      <c r="H567" s="6"/>
      <c r="I567" s="26" t="n">
        <v>15</v>
      </c>
      <c r="J567" s="26" t="n">
        <f aca="false">COUNTIFS('Control Library'!$A$5:$A$50,"AI-CTRL-002",'Control Library'!$R$5:$R$50,"Implemented")+COUNTIFS('Control Library'!$A$5:$A$50,"AI-CTRL-003",'Control Library'!$R$5:$R$50,"Implemented")+COUNTIFS('Control Library'!$A$5:$A$50,"AI-CTRL-004",'Control Library'!$R$5:$R$50,"Implemented")+COUNTIFS('Control Library'!$A$5:$A$50,"AI-CTRL-005",'Control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Library'!$A$5:$A$50,"AI-CTRL-019",'Control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Library'!$R$5:$R$50,"Implemented")+COUNTIFS('Control Library'!$A$5:$A$50,"AI-CTRL-032",'Control Library'!$R$5:$R$50,"Implemented")</f>
        <v>0</v>
      </c>
      <c r="K567" s="43" t="str">
        <f aca="false">IF(I567=0,"No wiki control",IF(J567=I567,"Fully covered",IF(J567=0,"Not covered","Partly covered")))</f>
        <v>Not covered</v>
      </c>
      <c r="L567" s="9" t="s">
        <v>2016</v>
      </c>
    </row>
    <row r="568" customFormat="false" ht="35.05" hidden="false" customHeight="false" outlineLevel="0" collapsed="false">
      <c r="A568" s="53" t="s">
        <v>597</v>
      </c>
      <c r="B568" s="53" t="s">
        <v>598</v>
      </c>
      <c r="C568" s="5" t="s">
        <v>2056</v>
      </c>
      <c r="D568" s="6" t="s">
        <v>2057</v>
      </c>
      <c r="E568" s="6" t="s">
        <v>2058</v>
      </c>
      <c r="F568" s="6" t="s">
        <v>730</v>
      </c>
      <c r="G568" s="6" t="s">
        <v>1600</v>
      </c>
      <c r="H568" s="6"/>
      <c r="I568" s="26" t="n">
        <v>4</v>
      </c>
      <c r="J568" s="26" t="n">
        <f aca="false">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568" s="43" t="str">
        <f aca="false">IF(I568=0,"No wiki control",IF(J568=I568,"Fully covered",IF(J568=0,"Not covered","Partly covered")))</f>
        <v>Not covered</v>
      </c>
      <c r="L568" s="9" t="s">
        <v>2016</v>
      </c>
    </row>
    <row r="569" customFormat="false" ht="57.45" hidden="false" customHeight="false" outlineLevel="0" collapsed="false">
      <c r="A569" s="53" t="s">
        <v>597</v>
      </c>
      <c r="B569" s="53" t="s">
        <v>598</v>
      </c>
      <c r="C569" s="5" t="s">
        <v>2059</v>
      </c>
      <c r="D569" s="6" t="s">
        <v>2060</v>
      </c>
      <c r="E569" s="6" t="s">
        <v>2061</v>
      </c>
      <c r="F569" s="6" t="s">
        <v>730</v>
      </c>
      <c r="G569" s="6" t="s">
        <v>2062</v>
      </c>
      <c r="H569" s="6"/>
      <c r="I569" s="26" t="n">
        <v>9</v>
      </c>
      <c r="J569" s="26" t="n">
        <f aca="false">COUNTIFS('Control Library'!$A$5:$A$50,"AI-CTRL-004",'Control Library'!$R$5:$R$50,"Implemented")+COUNTIFS('Control Library'!$A$5:$A$50,"AI-CTRL-005",'Control Library'!$R$5:$R$50,"Implemented")+COUNTIFS('Control Library'!$A$5:$A$50,"AI-CTRL-008",'Control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Library'!$A$5:$A$50,"AI-CTRL-032",'Control Library'!$R$5:$R$50,"Implemented")+COUNTIFS('Control Library'!$A$5:$A$50,"AI-CTRL-033",'Control Library'!$R$5:$R$50,"Implemented")</f>
        <v>0</v>
      </c>
      <c r="K569" s="43" t="str">
        <f aca="false">IF(I569=0,"No wiki control",IF(J569=I569,"Fully covered",IF(J569=0,"Not covered","Partly covered")))</f>
        <v>Not covered</v>
      </c>
      <c r="L569" s="9" t="s">
        <v>2016</v>
      </c>
    </row>
    <row r="570" customFormat="false" ht="23.85" hidden="false" customHeight="false" outlineLevel="0" collapsed="false">
      <c r="A570" s="53" t="s">
        <v>597</v>
      </c>
      <c r="B570" s="53" t="s">
        <v>598</v>
      </c>
      <c r="C570" s="5" t="s">
        <v>2063</v>
      </c>
      <c r="D570" s="6"/>
      <c r="E570" s="6"/>
      <c r="F570" s="6" t="s">
        <v>640</v>
      </c>
      <c r="G570" s="6"/>
      <c r="H570" s="6"/>
      <c r="I570" s="26" t="n">
        <v>0</v>
      </c>
      <c r="J570" s="26" t="n">
        <f aca="false">0</f>
        <v>0</v>
      </c>
      <c r="K570" s="43" t="str">
        <f aca="false">IF(I570=0,"No wiki control",IF(J570=I570,"Fully covered",IF(J570=0,"Not covered","Partly covered")))</f>
        <v>No wiki control</v>
      </c>
      <c r="L570" s="9" t="s">
        <v>2016</v>
      </c>
    </row>
    <row r="571" customFormat="false" ht="23.85" hidden="false" customHeight="false" outlineLevel="0" collapsed="false">
      <c r="A571" s="53" t="s">
        <v>597</v>
      </c>
      <c r="B571" s="53" t="s">
        <v>598</v>
      </c>
      <c r="C571" s="5" t="s">
        <v>2064</v>
      </c>
      <c r="D571" s="6" t="s">
        <v>2065</v>
      </c>
      <c r="E571" s="6" t="s">
        <v>2066</v>
      </c>
      <c r="F571" s="6" t="s">
        <v>730</v>
      </c>
      <c r="G571" s="6" t="s">
        <v>2067</v>
      </c>
      <c r="H571" s="6"/>
      <c r="I571" s="26" t="n">
        <v>2</v>
      </c>
      <c r="J571" s="26" t="n">
        <f aca="false">COUNTIFS('Control Library'!$A$5:$A$50,"AI-CTRL-035",'Control Library'!$R$5:$R$50,"Implemented")+COUNTIFS('Control Library'!$A$5:$A$50,"AI-CTRL-040",'Control Library'!$R$5:$R$50,"Implemented")</f>
        <v>0</v>
      </c>
      <c r="K571" s="43" t="str">
        <f aca="false">IF(I571=0,"No wiki control",IF(J571=I571,"Fully covered",IF(J571=0,"Not covered","Partly covered")))</f>
        <v>Not covered</v>
      </c>
      <c r="L571" s="9" t="s">
        <v>2016</v>
      </c>
    </row>
    <row r="572" customFormat="false" ht="23.85" hidden="false" customHeight="false" outlineLevel="0" collapsed="false">
      <c r="A572" s="53" t="s">
        <v>597</v>
      </c>
      <c r="B572" s="53" t="s">
        <v>598</v>
      </c>
      <c r="C572" s="5" t="s">
        <v>2068</v>
      </c>
      <c r="D572" s="6" t="s">
        <v>2069</v>
      </c>
      <c r="E572" s="6" t="s">
        <v>453</v>
      </c>
      <c r="F572" s="6" t="s">
        <v>730</v>
      </c>
      <c r="G572" s="6" t="s">
        <v>456</v>
      </c>
      <c r="H572" s="6"/>
      <c r="I572" s="26" t="n">
        <v>1</v>
      </c>
      <c r="J572" s="26" t="n">
        <f aca="false">COUNTIFS('Control Library'!$A$5:$A$50,"AI-CTRL-035",'Control Library'!$R$5:$R$50,"Implemented")</f>
        <v>0</v>
      </c>
      <c r="K572" s="43" t="str">
        <f aca="false">IF(I572=0,"No wiki control",IF(J572=I572,"Fully covered",IF(J572=0,"Not covered","Partly covered")))</f>
        <v>Not covered</v>
      </c>
      <c r="L572" s="9" t="s">
        <v>2016</v>
      </c>
    </row>
    <row r="573" customFormat="false" ht="23.85" hidden="false" customHeight="false" outlineLevel="0" collapsed="false">
      <c r="A573" s="53" t="s">
        <v>597</v>
      </c>
      <c r="B573" s="53" t="s">
        <v>598</v>
      </c>
      <c r="C573" s="5" t="s">
        <v>2070</v>
      </c>
      <c r="D573" s="6" t="s">
        <v>2071</v>
      </c>
      <c r="E573" s="6" t="s">
        <v>1656</v>
      </c>
      <c r="F573" s="6" t="s">
        <v>730</v>
      </c>
      <c r="G573" s="6" t="s">
        <v>1657</v>
      </c>
      <c r="H573" s="6"/>
      <c r="I573" s="26" t="n">
        <v>2</v>
      </c>
      <c r="J573" s="26" t="n">
        <f aca="false">COUNTIFS('Control Library'!$A$5:$A$50,"AI-CTRL-035",'Control Library'!$R$5:$R$50,"Implemented")+COUNTIFS('Control Library'!$A$5:$A$50,"AI-CTRL-043",'Control Library'!$R$5:$R$50,"Implemented")</f>
        <v>0</v>
      </c>
      <c r="K573" s="43" t="str">
        <f aca="false">IF(I573=0,"No wiki control",IF(J573=I573,"Fully covered",IF(J573=0,"Not covered","Partly covered")))</f>
        <v>Not covered</v>
      </c>
      <c r="L573" s="9" t="s">
        <v>2016</v>
      </c>
    </row>
    <row r="574" customFormat="false" ht="23.85" hidden="false" customHeight="false" outlineLevel="0" collapsed="false">
      <c r="A574" s="53" t="s">
        <v>597</v>
      </c>
      <c r="B574" s="53" t="s">
        <v>598</v>
      </c>
      <c r="C574" s="5" t="s">
        <v>2072</v>
      </c>
      <c r="D574" s="6" t="s">
        <v>2073</v>
      </c>
      <c r="E574" s="6" t="s">
        <v>1759</v>
      </c>
      <c r="F574" s="6" t="s">
        <v>730</v>
      </c>
      <c r="G574" s="6" t="s">
        <v>1760</v>
      </c>
      <c r="H574" s="6"/>
      <c r="I574" s="26" t="n">
        <v>2</v>
      </c>
      <c r="J574" s="26" t="n">
        <f aca="false">COUNTIFS('Control Library'!$A$5:$A$50,"AI-CTRL-025",'Control Library'!$R$5:$R$50,"Implemented")+COUNTIFS('Control Library'!$A$5:$A$50,"AI-CTRL-035",'Control Library'!$R$5:$R$50,"Implemented")</f>
        <v>0</v>
      </c>
      <c r="K574" s="43" t="str">
        <f aca="false">IF(I574=0,"No wiki control",IF(J574=I574,"Fully covered",IF(J574=0,"Not covered","Partly covered")))</f>
        <v>Not covered</v>
      </c>
      <c r="L574" s="9" t="s">
        <v>2016</v>
      </c>
    </row>
    <row r="575" customFormat="false" ht="23.85" hidden="false" customHeight="false" outlineLevel="0" collapsed="false">
      <c r="A575" s="53" t="s">
        <v>597</v>
      </c>
      <c r="B575" s="53" t="s">
        <v>598</v>
      </c>
      <c r="C575" s="5" t="s">
        <v>2074</v>
      </c>
      <c r="D575" s="6" t="s">
        <v>2075</v>
      </c>
      <c r="E575" s="6" t="s">
        <v>1759</v>
      </c>
      <c r="F575" s="6" t="s">
        <v>730</v>
      </c>
      <c r="G575" s="6" t="s">
        <v>1760</v>
      </c>
      <c r="H575" s="6"/>
      <c r="I575" s="26" t="n">
        <v>2</v>
      </c>
      <c r="J575" s="26" t="n">
        <f aca="false">COUNTIFS('Control Library'!$A$5:$A$50,"AI-CTRL-025",'Control Library'!$R$5:$R$50,"Implemented")+COUNTIFS('Control Library'!$A$5:$A$50,"AI-CTRL-035",'Control Library'!$R$5:$R$50,"Implemented")</f>
        <v>0</v>
      </c>
      <c r="K575" s="43" t="str">
        <f aca="false">IF(I575=0,"No wiki control",IF(J575=I575,"Fully covered",IF(J575=0,"Not covered","Partly covered")))</f>
        <v>Not covered</v>
      </c>
      <c r="L575" s="9" t="s">
        <v>2016</v>
      </c>
    </row>
    <row r="576" customFormat="false" ht="23.85" hidden="false" customHeight="false" outlineLevel="0" collapsed="false">
      <c r="A576" s="53" t="s">
        <v>599</v>
      </c>
      <c r="B576" s="53" t="s">
        <v>598</v>
      </c>
      <c r="C576" s="5" t="s">
        <v>2076</v>
      </c>
      <c r="D576" s="6" t="s">
        <v>2077</v>
      </c>
      <c r="E576" s="6" t="s">
        <v>2078</v>
      </c>
      <c r="F576" s="6" t="s">
        <v>730</v>
      </c>
      <c r="G576" s="6" t="s">
        <v>258</v>
      </c>
      <c r="H576" s="6"/>
      <c r="I576" s="26" t="n">
        <v>2</v>
      </c>
      <c r="J576" s="26" t="n">
        <f aca="false">COUNTIFS('Control Library'!$A$5:$A$50,"AI-CTRL-001",'Control Library'!$R$5:$R$50,"Implemented")+COUNTIFS('Control Library'!$A$5:$A$50,"AI-CTRL-011",'Control Library'!$R$5:$R$50,"Implemented")</f>
        <v>0</v>
      </c>
      <c r="K576" s="43" t="str">
        <f aca="false">IF(I576=0,"No wiki control",IF(J576=I576,"Fully covered",IF(J576=0,"Not covered","Partly covered")))</f>
        <v>Not covered</v>
      </c>
      <c r="L576" s="9" t="s">
        <v>2079</v>
      </c>
    </row>
    <row r="577" customFormat="false" ht="23.85" hidden="false" customHeight="false" outlineLevel="0" collapsed="false">
      <c r="A577" s="53" t="s">
        <v>599</v>
      </c>
      <c r="B577" s="53" t="s">
        <v>598</v>
      </c>
      <c r="C577" s="5" t="s">
        <v>2080</v>
      </c>
      <c r="D577" s="6" t="s">
        <v>2081</v>
      </c>
      <c r="E577" s="6" t="s">
        <v>2082</v>
      </c>
      <c r="F577" s="6" t="s">
        <v>730</v>
      </c>
      <c r="G577" s="6" t="s">
        <v>2083</v>
      </c>
      <c r="H577" s="6"/>
      <c r="I577" s="26" t="n">
        <v>4</v>
      </c>
      <c r="J577" s="26" t="n">
        <f aca="false">COUNTIFS('Control Library'!$A$5:$A$50,"AI-CTRL-001",'Control Library'!$R$5:$R$50,"Implemented")+COUNTIFS('Control Library'!$A$5:$A$50,"AI-CTRL-011",'Control Library'!$R$5:$R$50,"Implemented")+COUNTIFS('Control Library'!$A$5:$A$50,"AI-CTRL-024",'Control Library'!$R$5:$R$50,"Implemented")+COUNTIFS('Control Library'!$A$5:$A$50,"AI-CTRL-031",'Control Library'!$R$5:$R$50,"Implemented")</f>
        <v>0</v>
      </c>
      <c r="K577" s="43" t="str">
        <f aca="false">IF(I577=0,"No wiki control",IF(J577=I577,"Fully covered",IF(J577=0,"Not covered","Partly covered")))</f>
        <v>Not covered</v>
      </c>
      <c r="L577" s="9" t="s">
        <v>2079</v>
      </c>
    </row>
    <row r="578" customFormat="false" ht="57.45" hidden="false" customHeight="false" outlineLevel="0" collapsed="false">
      <c r="A578" s="53" t="s">
        <v>599</v>
      </c>
      <c r="B578" s="53" t="s">
        <v>598</v>
      </c>
      <c r="C578" s="5" t="s">
        <v>2084</v>
      </c>
      <c r="D578" s="6" t="s">
        <v>2085</v>
      </c>
      <c r="E578" s="6" t="s">
        <v>2086</v>
      </c>
      <c r="F578" s="6" t="s">
        <v>730</v>
      </c>
      <c r="G578" s="6" t="s">
        <v>2087</v>
      </c>
      <c r="H578" s="6"/>
      <c r="I578" s="26" t="n">
        <v>12</v>
      </c>
      <c r="J578" s="26"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f>
        <v>0</v>
      </c>
      <c r="K578" s="43" t="str">
        <f aca="false">IF(I578=0,"No wiki control",IF(J578=I578,"Fully covered",IF(J578=0,"Not covered","Partly covered")))</f>
        <v>Not covered</v>
      </c>
      <c r="L578" s="9" t="s">
        <v>2079</v>
      </c>
    </row>
    <row r="579" customFormat="false" ht="23.85" hidden="false" customHeight="false" outlineLevel="0" collapsed="false">
      <c r="A579" s="53" t="s">
        <v>599</v>
      </c>
      <c r="B579" s="53" t="s">
        <v>598</v>
      </c>
      <c r="C579" s="5" t="s">
        <v>2088</v>
      </c>
      <c r="D579" s="6" t="s">
        <v>2089</v>
      </c>
      <c r="E579" s="6" t="s">
        <v>2090</v>
      </c>
      <c r="F579" s="6" t="s">
        <v>730</v>
      </c>
      <c r="G579" s="6" t="s">
        <v>1857</v>
      </c>
      <c r="H579" s="6"/>
      <c r="I579" s="26" t="n">
        <v>3</v>
      </c>
      <c r="J579" s="26" t="n">
        <f aca="false">COUNTIFS('Control Library'!$A$5:$A$50,"AI-CTRL-027",'Control Library'!$R$5:$R$50,"Implemented")+COUNTIFS('Control Library'!$A$5:$A$50,"AI-CTRL-030",'Control Library'!$R$5:$R$50,"Implemented")+COUNTIFS('Control Library'!$A$5:$A$50,"AI-CTRL-032",'Control Library'!$R$5:$R$50,"Implemented")</f>
        <v>0</v>
      </c>
      <c r="K579" s="43" t="str">
        <f aca="false">IF(I579=0,"No wiki control",IF(J579=I579,"Fully covered",IF(J579=0,"Not covered","Partly covered")))</f>
        <v>Not covered</v>
      </c>
      <c r="L579" s="9" t="s">
        <v>2079</v>
      </c>
    </row>
    <row r="580" customFormat="false" ht="23.85" hidden="false" customHeight="false" outlineLevel="0" collapsed="false">
      <c r="A580" s="53" t="s">
        <v>599</v>
      </c>
      <c r="B580" s="53" t="s">
        <v>598</v>
      </c>
      <c r="C580" s="5" t="s">
        <v>2091</v>
      </c>
      <c r="D580" s="6" t="s">
        <v>2092</v>
      </c>
      <c r="E580" s="6" t="s">
        <v>801</v>
      </c>
      <c r="F580" s="6" t="s">
        <v>730</v>
      </c>
      <c r="G580" s="6" t="s">
        <v>802</v>
      </c>
      <c r="H580" s="6"/>
      <c r="I580" s="26" t="n">
        <v>2</v>
      </c>
      <c r="J580" s="26" t="n">
        <f aca="false">COUNTIFS('Control Library'!$A$5:$A$50,"AI-CTRL-015",'Control Library'!$R$5:$R$50,"Implemented")+COUNTIFS('Control Library'!$A$5:$A$50,"AI-CTRL-016",'Control Library'!$R$5:$R$50,"Implemented")</f>
        <v>0</v>
      </c>
      <c r="K580" s="43" t="str">
        <f aca="false">IF(I580=0,"No wiki control",IF(J580=I580,"Fully covered",IF(J580=0,"Not covered","Partly covered")))</f>
        <v>Not covered</v>
      </c>
      <c r="L580" s="9" t="s">
        <v>2079</v>
      </c>
    </row>
    <row r="581" customFormat="false" ht="35.05" hidden="false" customHeight="false" outlineLevel="0" collapsed="false">
      <c r="A581" s="53" t="s">
        <v>599</v>
      </c>
      <c r="B581" s="53" t="s">
        <v>598</v>
      </c>
      <c r="C581" s="5" t="s">
        <v>2093</v>
      </c>
      <c r="D581" s="6" t="s">
        <v>2094</v>
      </c>
      <c r="E581" s="6" t="s">
        <v>2095</v>
      </c>
      <c r="F581" s="6" t="s">
        <v>730</v>
      </c>
      <c r="G581" s="6" t="s">
        <v>2096</v>
      </c>
      <c r="H581" s="6"/>
      <c r="I581" s="26" t="n">
        <v>7</v>
      </c>
      <c r="J581" s="26"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Library'!$A$5:$A$50,"AI-CTRL-025",'Control Library'!$R$5:$R$50,"Implemented")+COUNTIFS('Control Library'!$A$5:$A$50,"AI-CTRL-028",'Control Library'!$R$5:$R$50,"Implemented")</f>
        <v>0</v>
      </c>
      <c r="K581" s="43" t="str">
        <f aca="false">IF(I581=0,"No wiki control",IF(J581=I581,"Fully covered",IF(J581=0,"Not covered","Partly covered")))</f>
        <v>Not covered</v>
      </c>
      <c r="L581" s="9" t="s">
        <v>2079</v>
      </c>
    </row>
    <row r="582" customFormat="false" ht="35.05" hidden="false" customHeight="false" outlineLevel="0" collapsed="false">
      <c r="A582" s="53" t="s">
        <v>599</v>
      </c>
      <c r="B582" s="53" t="s">
        <v>598</v>
      </c>
      <c r="C582" s="5" t="s">
        <v>2097</v>
      </c>
      <c r="D582" s="6" t="s">
        <v>2098</v>
      </c>
      <c r="E582" s="6" t="s">
        <v>1821</v>
      </c>
      <c r="F582" s="6" t="s">
        <v>730</v>
      </c>
      <c r="G582" s="6" t="s">
        <v>1822</v>
      </c>
      <c r="H582" s="6"/>
      <c r="I582" s="26" t="n">
        <v>3</v>
      </c>
      <c r="J582" s="26" t="n">
        <f aca="false">COUNTIFS('Control Library'!$A$5:$A$50,"AI-CTRL-031",'Control Library'!$R$5:$R$50,"Implemented")+COUNTIFS('Control Library'!$A$5:$A$50,"AI-CTRL-032",'Control Library'!$R$5:$R$50,"Implemented")+COUNTIFS('Control Library'!$A$5:$A$50,"AI-CTRL-034",'Control Library'!$R$5:$R$50,"Implemented")</f>
        <v>0</v>
      </c>
      <c r="K582" s="43" t="str">
        <f aca="false">IF(I582=0,"No wiki control",IF(J582=I582,"Fully covered",IF(J582=0,"Not covered","Partly covered")))</f>
        <v>Not covered</v>
      </c>
      <c r="L582" s="9" t="s">
        <v>2079</v>
      </c>
    </row>
    <row r="583" customFormat="false" ht="23.85" hidden="false" customHeight="false" outlineLevel="0" collapsed="false">
      <c r="A583" s="53" t="s">
        <v>599</v>
      </c>
      <c r="B583" s="53" t="s">
        <v>598</v>
      </c>
      <c r="C583" s="5" t="s">
        <v>2099</v>
      </c>
      <c r="D583" s="6" t="s">
        <v>2100</v>
      </c>
      <c r="E583" s="6" t="s">
        <v>1107</v>
      </c>
      <c r="F583" s="6" t="s">
        <v>730</v>
      </c>
      <c r="G583" s="6" t="s">
        <v>1108</v>
      </c>
      <c r="H583" s="6"/>
      <c r="I583" s="26" t="n">
        <v>3</v>
      </c>
      <c r="J583" s="26" t="n">
        <f aca="false">COUNTIFS('Control Library'!$A$5:$A$50,"AI-CTRL-006",'Control Library'!$R$5:$R$50,"Implemented")+COUNTIFS('Control Library'!$A$5:$A$50,"AI-CTRL-008",'Control Library'!$R$5:$R$50,"Implemented")+COUNTIFS('Control Library'!$A$5:$A$50,"AI-CTRL-009",'Control Library'!$R$5:$R$50,"Implemented")</f>
        <v>0</v>
      </c>
      <c r="K583" s="43" t="str">
        <f aca="false">IF(I583=0,"No wiki control",IF(J583=I583,"Fully covered",IF(J583=0,"Not covered","Partly covered")))</f>
        <v>Not covered</v>
      </c>
      <c r="L583" s="9" t="s">
        <v>2079</v>
      </c>
    </row>
    <row r="584" customFormat="false" ht="23.85" hidden="false" customHeight="false" outlineLevel="0" collapsed="false">
      <c r="A584" s="53" t="s">
        <v>599</v>
      </c>
      <c r="B584" s="53" t="s">
        <v>598</v>
      </c>
      <c r="C584" s="5" t="s">
        <v>2101</v>
      </c>
      <c r="D584" s="6" t="s">
        <v>2102</v>
      </c>
      <c r="E584" s="6" t="s">
        <v>2103</v>
      </c>
      <c r="F584" s="6" t="s">
        <v>730</v>
      </c>
      <c r="G584" s="6" t="s">
        <v>2104</v>
      </c>
      <c r="H584" s="6"/>
      <c r="I584" s="26" t="n">
        <v>3</v>
      </c>
      <c r="J584" s="26" t="n">
        <f aca="false">COUNTIFS('Control Library'!$A$5:$A$50,"AI-CTRL-001",'Control Library'!$R$5:$R$50,"Implemented")+COUNTIFS('Control Library'!$A$5:$A$50,"AI-CTRL-003",'Control Library'!$R$5:$R$50,"Implemented")+COUNTIFS('Control Library'!$A$5:$A$50,"AI-CTRL-010",'Control Library'!$R$5:$R$50,"Implemented")</f>
        <v>0</v>
      </c>
      <c r="K584" s="43" t="str">
        <f aca="false">IF(I584=0,"No wiki control",IF(J584=I584,"Fully covered",IF(J584=0,"Not covered","Partly covered")))</f>
        <v>Not covered</v>
      </c>
      <c r="L584" s="9" t="s">
        <v>2079</v>
      </c>
    </row>
    <row r="585" customFormat="false" ht="23.85" hidden="false" customHeight="false" outlineLevel="0" collapsed="false">
      <c r="A585" s="53" t="s">
        <v>599</v>
      </c>
      <c r="B585" s="53" t="s">
        <v>598</v>
      </c>
      <c r="C585" s="5" t="s">
        <v>2105</v>
      </c>
      <c r="D585" s="6" t="s">
        <v>2106</v>
      </c>
      <c r="E585" s="6" t="s">
        <v>339</v>
      </c>
      <c r="F585" s="6" t="s">
        <v>730</v>
      </c>
      <c r="G585" s="6" t="s">
        <v>343</v>
      </c>
      <c r="H585" s="6"/>
      <c r="I585" s="26" t="n">
        <v>1</v>
      </c>
      <c r="J585" s="26" t="n">
        <f aca="false">COUNTIFS('Control Library'!$A$5:$A$50,"AI-CTRL-021",'Control Library'!$R$5:$R$50,"Implemented")</f>
        <v>0</v>
      </c>
      <c r="K585" s="43" t="str">
        <f aca="false">IF(I585=0,"No wiki control",IF(J585=I585,"Fully covered",IF(J585=0,"Not covered","Partly covered")))</f>
        <v>Not covered</v>
      </c>
      <c r="L585" s="9" t="s">
        <v>2079</v>
      </c>
    </row>
    <row r="586" customFormat="false" ht="23.85" hidden="false" customHeight="false" outlineLevel="0" collapsed="false">
      <c r="A586" s="53" t="s">
        <v>599</v>
      </c>
      <c r="B586" s="53" t="s">
        <v>598</v>
      </c>
      <c r="C586" s="5" t="s">
        <v>2107</v>
      </c>
      <c r="D586" s="6" t="s">
        <v>2108</v>
      </c>
      <c r="E586" s="6" t="s">
        <v>495</v>
      </c>
      <c r="F586" s="6" t="s">
        <v>730</v>
      </c>
      <c r="G586" s="6" t="s">
        <v>499</v>
      </c>
      <c r="H586" s="6"/>
      <c r="I586" s="26" t="n">
        <v>1</v>
      </c>
      <c r="J586" s="26" t="n">
        <f aca="false">COUNTIFS('Control Library'!$A$5:$A$50,"AI-CTRL-040",'Control Library'!$R$5:$R$50,"Implemented")</f>
        <v>0</v>
      </c>
      <c r="K586" s="43" t="str">
        <f aca="false">IF(I586=0,"No wiki control",IF(J586=I586,"Fully covered",IF(J586=0,"Not covered","Partly covered")))</f>
        <v>Not covered</v>
      </c>
      <c r="L586" s="9" t="s">
        <v>2079</v>
      </c>
    </row>
    <row r="587" customFormat="false" ht="23.85" hidden="false" customHeight="false" outlineLevel="0" collapsed="false">
      <c r="A587" s="53" t="s">
        <v>599</v>
      </c>
      <c r="B587" s="53" t="s">
        <v>598</v>
      </c>
      <c r="C587" s="5" t="s">
        <v>2109</v>
      </c>
      <c r="D587" s="6" t="s">
        <v>2110</v>
      </c>
      <c r="E587" s="6" t="s">
        <v>1856</v>
      </c>
      <c r="F587" s="6" t="s">
        <v>730</v>
      </c>
      <c r="G587" s="6" t="s">
        <v>1857</v>
      </c>
      <c r="H587" s="6"/>
      <c r="I587" s="26" t="n">
        <v>2</v>
      </c>
      <c r="J587" s="26" t="n">
        <f aca="false">COUNTIFS('Control Library'!$A$5:$A$50,"AI-CTRL-027",'Control Library'!$R$5:$R$50,"Implemented")+COUNTIFS('Control Library'!$A$5:$A$50,"AI-CTRL-032",'Control Library'!$R$5:$R$50,"Implemented")</f>
        <v>0</v>
      </c>
      <c r="K587" s="43" t="str">
        <f aca="false">IF(I587=0,"No wiki control",IF(J587=I587,"Fully covered",IF(J587=0,"Not covered","Partly covered")))</f>
        <v>Not covered</v>
      </c>
      <c r="L587" s="9" t="s">
        <v>2079</v>
      </c>
    </row>
    <row r="588" customFormat="false" ht="23.85" hidden="false" customHeight="false" outlineLevel="0" collapsed="false">
      <c r="A588" s="53" t="s">
        <v>599</v>
      </c>
      <c r="B588" s="53" t="s">
        <v>598</v>
      </c>
      <c r="C588" s="5" t="s">
        <v>2111</v>
      </c>
      <c r="D588" s="6" t="s">
        <v>2112</v>
      </c>
      <c r="E588" s="6" t="s">
        <v>2113</v>
      </c>
      <c r="F588" s="6" t="s">
        <v>730</v>
      </c>
      <c r="G588" s="6" t="s">
        <v>2114</v>
      </c>
      <c r="H588" s="6"/>
      <c r="I588" s="26" t="n">
        <v>3</v>
      </c>
      <c r="J588" s="26" t="n">
        <f aca="false">COUNTIFS('Control Library'!$A$5:$A$50,"AI-CTRL-005",'Control Library'!$R$5:$R$50,"Implemented")+COUNTIFS('Control Library'!$A$5:$A$50,"AI-CTRL-009",'Control Library'!$R$5:$R$50,"Implemented")+COUNTIFS('Control Library'!$A$5:$A$50,"AI-CTRL-032",'Control Library'!$R$5:$R$50,"Implemented")</f>
        <v>0</v>
      </c>
      <c r="K588" s="43" t="str">
        <f aca="false">IF(I588=0,"No wiki control",IF(J588=I588,"Fully covered",IF(J588=0,"Not covered","Partly covered")))</f>
        <v>Not covered</v>
      </c>
      <c r="L588" s="9" t="s">
        <v>2079</v>
      </c>
    </row>
    <row r="589" customFormat="false" ht="23.85" hidden="false" customHeight="false" outlineLevel="0" collapsed="false">
      <c r="A589" s="53" t="s">
        <v>599</v>
      </c>
      <c r="B589" s="53" t="s">
        <v>598</v>
      </c>
      <c r="C589" s="5" t="s">
        <v>2115</v>
      </c>
      <c r="D589" s="6" t="s">
        <v>2116</v>
      </c>
      <c r="E589" s="6" t="s">
        <v>530</v>
      </c>
      <c r="F589" s="6" t="s">
        <v>730</v>
      </c>
      <c r="G589" s="6" t="s">
        <v>533</v>
      </c>
      <c r="H589" s="6"/>
      <c r="I589" s="26" t="n">
        <v>1</v>
      </c>
      <c r="J589" s="26" t="n">
        <f aca="false">COUNTIFS('Control Library'!$A$5:$A$50,"AI-CTRL-044",'Control Library'!$R$5:$R$50,"Implemented")</f>
        <v>0</v>
      </c>
      <c r="K589" s="43" t="str">
        <f aca="false">IF(I589=0,"No wiki control",IF(J589=I589,"Fully covered",IF(J589=0,"Not covered","Partly covered")))</f>
        <v>Not covered</v>
      </c>
      <c r="L589" s="9" t="s">
        <v>2079</v>
      </c>
    </row>
    <row r="590" customFormat="false" ht="23.85" hidden="false" customHeight="false" outlineLevel="0" collapsed="false">
      <c r="A590" s="53" t="s">
        <v>599</v>
      </c>
      <c r="B590" s="53" t="s">
        <v>598</v>
      </c>
      <c r="C590" s="5" t="s">
        <v>2117</v>
      </c>
      <c r="D590" s="6" t="s">
        <v>2118</v>
      </c>
      <c r="E590" s="6" t="s">
        <v>2119</v>
      </c>
      <c r="F590" s="6" t="s">
        <v>730</v>
      </c>
      <c r="G590" s="6" t="s">
        <v>1060</v>
      </c>
      <c r="H590" s="6"/>
      <c r="I590" s="26" t="n">
        <v>4</v>
      </c>
      <c r="J590"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590" s="43" t="str">
        <f aca="false">IF(I590=0,"No wiki control",IF(J590=I590,"Fully covered",IF(J590=0,"Not covered","Partly covered")))</f>
        <v>Not covered</v>
      </c>
      <c r="L590" s="9" t="s">
        <v>2079</v>
      </c>
    </row>
    <row r="591" customFormat="false" ht="46.25" hidden="false" customHeight="false" outlineLevel="0" collapsed="false">
      <c r="A591" s="53" t="s">
        <v>599</v>
      </c>
      <c r="B591" s="53" t="s">
        <v>598</v>
      </c>
      <c r="C591" s="5" t="s">
        <v>2120</v>
      </c>
      <c r="D591" s="6" t="s">
        <v>2121</v>
      </c>
      <c r="E591" s="6" t="s">
        <v>2122</v>
      </c>
      <c r="F591" s="6" t="s">
        <v>730</v>
      </c>
      <c r="G591" s="6" t="s">
        <v>2123</v>
      </c>
      <c r="H591" s="6"/>
      <c r="I591" s="26" t="n">
        <v>8</v>
      </c>
      <c r="J591" s="26" t="n">
        <f aca="false">COUNTIFS('Control Library'!$A$5:$A$50,"AI-CTRL-004",'Control Library'!$R$5:$R$50,"Implemented")+COUNTIFS('Control Library'!$A$5:$A$50,"AI-CTRL-005",'Control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Library'!$A$5:$A$50,"AI-CTRL-031",'Control Library'!$R$5:$R$50,"Implemented")+COUNTIFS('Control Library'!$A$5:$A$50,"AI-CTRL-033",'Control Library'!$R$5:$R$50,"Implemented")</f>
        <v>0</v>
      </c>
      <c r="K591" s="43" t="str">
        <f aca="false">IF(I591=0,"No wiki control",IF(J591=I591,"Fully covered",IF(J591=0,"Not covered","Partly covered")))</f>
        <v>Not covered</v>
      </c>
      <c r="L591" s="9" t="s">
        <v>2079</v>
      </c>
    </row>
    <row r="592" customFormat="false" ht="35.05" hidden="false" customHeight="false" outlineLevel="0" collapsed="false">
      <c r="A592" s="53" t="s">
        <v>599</v>
      </c>
      <c r="B592" s="53" t="s">
        <v>598</v>
      </c>
      <c r="C592" s="5" t="s">
        <v>2124</v>
      </c>
      <c r="D592" s="6" t="s">
        <v>2125</v>
      </c>
      <c r="E592" s="6" t="s">
        <v>2126</v>
      </c>
      <c r="F592" s="6" t="s">
        <v>730</v>
      </c>
      <c r="G592" s="6" t="s">
        <v>2127</v>
      </c>
      <c r="H592" s="6"/>
      <c r="I592" s="26" t="n">
        <v>3</v>
      </c>
      <c r="J592" s="26" t="n">
        <f aca="false">COUNTIFS('Control Library'!$A$5:$A$50,"AI-CTRL-025",'Control Library'!$R$5:$R$50,"Implemented")+COUNTIFS('Control Library'!$A$5:$A$50,"AI-CTRL-035",'Control Library'!$R$5:$R$50,"Implemented")+COUNTIFS('Control Library'!$A$5:$A$50,"AI-CTRL-043",'Control Library'!$R$5:$R$50,"Implemented")</f>
        <v>0</v>
      </c>
      <c r="K592" s="43" t="str">
        <f aca="false">IF(I592=0,"No wiki control",IF(J592=I592,"Fully covered",IF(J592=0,"Not covered","Partly covered")))</f>
        <v>Not covered</v>
      </c>
      <c r="L592" s="9" t="s">
        <v>2079</v>
      </c>
    </row>
    <row r="593" customFormat="false" ht="23.85" hidden="false" customHeight="false" outlineLevel="0" collapsed="false">
      <c r="A593" s="53" t="s">
        <v>599</v>
      </c>
      <c r="B593" s="53" t="s">
        <v>598</v>
      </c>
      <c r="C593" s="5" t="s">
        <v>2128</v>
      </c>
      <c r="D593" s="6" t="s">
        <v>2129</v>
      </c>
      <c r="E593" s="6" t="s">
        <v>444</v>
      </c>
      <c r="F593" s="6" t="s">
        <v>730</v>
      </c>
      <c r="G593" s="6" t="s">
        <v>447</v>
      </c>
      <c r="H593" s="6"/>
      <c r="I593" s="26" t="n">
        <v>1</v>
      </c>
      <c r="J593" s="26" t="n">
        <f aca="false">COUNTIFS('Control Library'!$A$5:$A$50,"AI-CTRL-034",'Control Library'!$R$5:$R$50,"Implemented")</f>
        <v>0</v>
      </c>
      <c r="K593" s="43" t="str">
        <f aca="false">IF(I593=0,"No wiki control",IF(J593=I593,"Fully covered",IF(J593=0,"Not covered","Partly covered")))</f>
        <v>Not covered</v>
      </c>
      <c r="L593" s="9" t="s">
        <v>2079</v>
      </c>
    </row>
    <row r="594" customFormat="false" ht="23.85" hidden="false" customHeight="false" outlineLevel="0" collapsed="false">
      <c r="A594" s="53" t="s">
        <v>600</v>
      </c>
      <c r="B594" s="53" t="s">
        <v>598</v>
      </c>
      <c r="C594" s="5" t="s">
        <v>2130</v>
      </c>
      <c r="D594" s="6" t="s">
        <v>2131</v>
      </c>
      <c r="E594" s="6" t="s">
        <v>771</v>
      </c>
      <c r="F594" s="6" t="s">
        <v>730</v>
      </c>
      <c r="G594" s="6" t="s">
        <v>772</v>
      </c>
      <c r="H594" s="6"/>
      <c r="I594" s="26" t="n">
        <v>2</v>
      </c>
      <c r="J594" s="26" t="n">
        <f aca="false">COUNTIFS('Control Library'!$A$5:$A$50,"AI-CTRL-036",'Control Library'!$R$5:$R$50,"Implemented")+COUNTIFS('Control Library'!$A$5:$A$50,"AI-CTRL-040",'Control Library'!$R$5:$R$50,"Implemented")</f>
        <v>0</v>
      </c>
      <c r="K594" s="43" t="str">
        <f aca="false">IF(I594=0,"No wiki control",IF(J594=I594,"Fully covered",IF(J594=0,"Not covered","Partly covered")))</f>
        <v>Not covered</v>
      </c>
      <c r="L594" s="9" t="s">
        <v>2132</v>
      </c>
    </row>
    <row r="595" customFormat="false" ht="23.85" hidden="false" customHeight="false" outlineLevel="0" collapsed="false">
      <c r="A595" s="53" t="s">
        <v>600</v>
      </c>
      <c r="B595" s="53" t="s">
        <v>598</v>
      </c>
      <c r="C595" s="5" t="s">
        <v>2133</v>
      </c>
      <c r="D595" s="6" t="s">
        <v>2134</v>
      </c>
      <c r="E595" s="6" t="s">
        <v>495</v>
      </c>
      <c r="F595" s="6" t="s">
        <v>730</v>
      </c>
      <c r="G595" s="6" t="s">
        <v>499</v>
      </c>
      <c r="H595" s="6"/>
      <c r="I595" s="26" t="n">
        <v>1</v>
      </c>
      <c r="J595" s="26" t="n">
        <f aca="false">COUNTIFS('Control Library'!$A$5:$A$50,"AI-CTRL-040",'Control Library'!$R$5:$R$50,"Implemented")</f>
        <v>0</v>
      </c>
      <c r="K595" s="43" t="str">
        <f aca="false">IF(I595=0,"No wiki control",IF(J595=I595,"Fully covered",IF(J595=0,"Not covered","Partly covered")))</f>
        <v>Not covered</v>
      </c>
      <c r="L595" s="9" t="s">
        <v>2132</v>
      </c>
    </row>
    <row r="596" customFormat="false" ht="23.85" hidden="false" customHeight="false" outlineLevel="0" collapsed="false">
      <c r="A596" s="53" t="s">
        <v>600</v>
      </c>
      <c r="B596" s="53" t="s">
        <v>598</v>
      </c>
      <c r="C596" s="5" t="s">
        <v>2135</v>
      </c>
      <c r="D596" s="6" t="s">
        <v>2136</v>
      </c>
      <c r="E596" s="6" t="s">
        <v>495</v>
      </c>
      <c r="F596" s="6" t="s">
        <v>730</v>
      </c>
      <c r="G596" s="6" t="s">
        <v>499</v>
      </c>
      <c r="H596" s="6"/>
      <c r="I596" s="26" t="n">
        <v>1</v>
      </c>
      <c r="J596" s="26" t="n">
        <f aca="false">COUNTIFS('Control Library'!$A$5:$A$50,"AI-CTRL-040",'Control Library'!$R$5:$R$50,"Implemented")</f>
        <v>0</v>
      </c>
      <c r="K596" s="43" t="str">
        <f aca="false">IF(I596=0,"No wiki control",IF(J596=I596,"Fully covered",IF(J596=0,"Not covered","Partly covered")))</f>
        <v>Not covered</v>
      </c>
      <c r="L596" s="9" t="s">
        <v>2132</v>
      </c>
    </row>
    <row r="597" customFormat="false" ht="23.85" hidden="false" customHeight="false" outlineLevel="0" collapsed="false">
      <c r="A597" s="53" t="s">
        <v>600</v>
      </c>
      <c r="B597" s="53" t="s">
        <v>598</v>
      </c>
      <c r="C597" s="5" t="s">
        <v>2137</v>
      </c>
      <c r="D597" s="6" t="s">
        <v>2138</v>
      </c>
      <c r="E597" s="6" t="s">
        <v>2139</v>
      </c>
      <c r="F597" s="6" t="s">
        <v>730</v>
      </c>
      <c r="G597" s="6" t="s">
        <v>2140</v>
      </c>
      <c r="H597" s="6"/>
      <c r="I597" s="26" t="n">
        <v>5</v>
      </c>
      <c r="J597" s="26" t="n">
        <f aca="false">COUNTIFS('Control Library'!$A$5:$A$50,"AI-CTRL-002",'Control Library'!$R$5:$R$50,"Implemented")+COUNTIFS('Control Library'!$A$5:$A$50,"AI-CTRL-003",'Control Library'!$R$5:$R$50,"Implemented")+COUNTIFS('Control Library'!$A$5:$A$50,"AI-CTRL-007",'Control Library'!$R$5:$R$50,"Implemented")+COUNTIFS('Control Library'!$A$5:$A$50,"AI-CTRL-017",'Control Library'!$R$5:$R$50,"Implemented")+COUNTIFS('Control Library'!$A$5:$A$50,"AI-CTRL-028",'Control Library'!$R$5:$R$50,"Implemented")</f>
        <v>0</v>
      </c>
      <c r="K597" s="43" t="str">
        <f aca="false">IF(I597=0,"No wiki control",IF(J597=I597,"Fully covered",IF(J597=0,"Not covered","Partly covered")))</f>
        <v>Not covered</v>
      </c>
      <c r="L597" s="9" t="s">
        <v>2132</v>
      </c>
    </row>
    <row r="598" customFormat="false" ht="23.85" hidden="false" customHeight="false" outlineLevel="0" collapsed="false">
      <c r="A598" s="53" t="s">
        <v>600</v>
      </c>
      <c r="B598" s="53" t="s">
        <v>598</v>
      </c>
      <c r="C598" s="5" t="s">
        <v>2141</v>
      </c>
      <c r="D598" s="6" t="s">
        <v>2142</v>
      </c>
      <c r="E598" s="6" t="s">
        <v>2143</v>
      </c>
      <c r="F598" s="6" t="s">
        <v>730</v>
      </c>
      <c r="G598" s="6" t="s">
        <v>2144</v>
      </c>
      <c r="H598" s="6"/>
      <c r="I598" s="26" t="n">
        <v>2</v>
      </c>
      <c r="J598" s="26" t="n">
        <f aca="false">COUNTIFS('Control Library'!$A$5:$A$50,"AI-CTRL-007",'Control Library'!$R$5:$R$50,"Implemented")+COUNTIFS('Control Library'!$A$5:$A$50,"AI-CTRL-017",'Control Library'!$R$5:$R$50,"Implemented")</f>
        <v>0</v>
      </c>
      <c r="K598" s="43" t="str">
        <f aca="false">IF(I598=0,"No wiki control",IF(J598=I598,"Fully covered",IF(J598=0,"Not covered","Partly covered")))</f>
        <v>Not covered</v>
      </c>
      <c r="L598" s="9" t="s">
        <v>2132</v>
      </c>
    </row>
    <row r="599" customFormat="false" ht="23.85" hidden="false" customHeight="false" outlineLevel="0" collapsed="false">
      <c r="A599" s="53" t="s">
        <v>600</v>
      </c>
      <c r="B599" s="53" t="s">
        <v>598</v>
      </c>
      <c r="C599" s="5" t="s">
        <v>2145</v>
      </c>
      <c r="D599" s="6"/>
      <c r="E599" s="6"/>
      <c r="F599" s="6" t="s">
        <v>640</v>
      </c>
      <c r="G599" s="6"/>
      <c r="H599" s="6"/>
      <c r="I599" s="26" t="n">
        <v>0</v>
      </c>
      <c r="J599" s="26" t="n">
        <f aca="false">0</f>
        <v>0</v>
      </c>
      <c r="K599" s="43" t="str">
        <f aca="false">IF(I599=0,"No wiki control",IF(J599=I599,"Fully covered",IF(J599=0,"Not covered","Partly covered")))</f>
        <v>No wiki control</v>
      </c>
      <c r="L599" s="9" t="s">
        <v>2132</v>
      </c>
    </row>
    <row r="600" customFormat="false" ht="23.85" hidden="false" customHeight="false" outlineLevel="0" collapsed="false">
      <c r="A600" s="53" t="s">
        <v>600</v>
      </c>
      <c r="B600" s="53" t="s">
        <v>598</v>
      </c>
      <c r="C600" s="5" t="s">
        <v>2146</v>
      </c>
      <c r="D600" s="6"/>
      <c r="E600" s="6"/>
      <c r="F600" s="6" t="s">
        <v>640</v>
      </c>
      <c r="G600" s="6"/>
      <c r="H600" s="6"/>
      <c r="I600" s="26" t="n">
        <v>0</v>
      </c>
      <c r="J600" s="26" t="n">
        <f aca="false">0</f>
        <v>0</v>
      </c>
      <c r="K600" s="43" t="str">
        <f aca="false">IF(I600=0,"No wiki control",IF(J600=I600,"Fully covered",IF(J600=0,"Not covered","Partly covered")))</f>
        <v>No wiki control</v>
      </c>
      <c r="L600" s="9" t="s">
        <v>2132</v>
      </c>
    </row>
    <row r="601" customFormat="false" ht="23.85" hidden="false" customHeight="false" outlineLevel="0" collapsed="false">
      <c r="A601" s="53" t="s">
        <v>600</v>
      </c>
      <c r="B601" s="53" t="s">
        <v>598</v>
      </c>
      <c r="C601" s="5" t="s">
        <v>2147</v>
      </c>
      <c r="D601" s="6" t="s">
        <v>2148</v>
      </c>
      <c r="E601" s="6" t="s">
        <v>263</v>
      </c>
      <c r="F601" s="6" t="s">
        <v>730</v>
      </c>
      <c r="G601" s="6" t="s">
        <v>266</v>
      </c>
      <c r="H601" s="6"/>
      <c r="I601" s="26" t="n">
        <v>1</v>
      </c>
      <c r="J601" s="26" t="n">
        <f aca="false">COUNTIFS('Control Library'!$A$5:$A$50,"AI-CTRL-012",'Control Library'!$R$5:$R$50,"Implemented")</f>
        <v>0</v>
      </c>
      <c r="K601" s="43" t="str">
        <f aca="false">IF(I601=0,"No wiki control",IF(J601=I601,"Fully covered",IF(J601=0,"Not covered","Partly covered")))</f>
        <v>Not covered</v>
      </c>
      <c r="L601" s="9" t="s">
        <v>2132</v>
      </c>
    </row>
    <row r="602" customFormat="false" ht="23.85" hidden="false" customHeight="false" outlineLevel="0" collapsed="false">
      <c r="A602" s="53" t="s">
        <v>600</v>
      </c>
      <c r="B602" s="53" t="s">
        <v>598</v>
      </c>
      <c r="C602" s="5" t="s">
        <v>2149</v>
      </c>
      <c r="D602" s="6" t="s">
        <v>1683</v>
      </c>
      <c r="E602" s="6" t="s">
        <v>530</v>
      </c>
      <c r="F602" s="6" t="s">
        <v>730</v>
      </c>
      <c r="G602" s="6" t="s">
        <v>533</v>
      </c>
      <c r="H602" s="6"/>
      <c r="I602" s="26" t="n">
        <v>1</v>
      </c>
      <c r="J602" s="26" t="n">
        <f aca="false">COUNTIFS('Control Library'!$A$5:$A$50,"AI-CTRL-044",'Control Library'!$R$5:$R$50,"Implemented")</f>
        <v>0</v>
      </c>
      <c r="K602" s="43" t="str">
        <f aca="false">IF(I602=0,"No wiki control",IF(J602=I602,"Fully covered",IF(J602=0,"Not covered","Partly covered")))</f>
        <v>Not covered</v>
      </c>
      <c r="L602" s="9" t="s">
        <v>2132</v>
      </c>
    </row>
    <row r="603" customFormat="false" ht="23.85" hidden="false" customHeight="false" outlineLevel="0" collapsed="false">
      <c r="A603" s="53" t="s">
        <v>600</v>
      </c>
      <c r="B603" s="53" t="s">
        <v>598</v>
      </c>
      <c r="C603" s="5" t="s">
        <v>2150</v>
      </c>
      <c r="D603" s="6"/>
      <c r="E603" s="6"/>
      <c r="F603" s="6" t="s">
        <v>640</v>
      </c>
      <c r="G603" s="6"/>
      <c r="H603" s="6"/>
      <c r="I603" s="26" t="n">
        <v>0</v>
      </c>
      <c r="J603" s="26" t="n">
        <f aca="false">0</f>
        <v>0</v>
      </c>
      <c r="K603" s="43" t="str">
        <f aca="false">IF(I603=0,"No wiki control",IF(J603=I603,"Fully covered",IF(J603=0,"Not covered","Partly covered")))</f>
        <v>No wiki control</v>
      </c>
      <c r="L603" s="9" t="s">
        <v>2132</v>
      </c>
    </row>
    <row r="604" customFormat="false" ht="23.85" hidden="false" customHeight="false" outlineLevel="0" collapsed="false">
      <c r="A604" s="53" t="s">
        <v>600</v>
      </c>
      <c r="B604" s="53" t="s">
        <v>598</v>
      </c>
      <c r="C604" s="5" t="s">
        <v>2151</v>
      </c>
      <c r="D604" s="6"/>
      <c r="E604" s="6"/>
      <c r="F604" s="6" t="s">
        <v>640</v>
      </c>
      <c r="G604" s="6"/>
      <c r="H604" s="6"/>
      <c r="I604" s="26" t="n">
        <v>0</v>
      </c>
      <c r="J604" s="26" t="n">
        <f aca="false">0</f>
        <v>0</v>
      </c>
      <c r="K604" s="43" t="str">
        <f aca="false">IF(I604=0,"No wiki control",IF(J604=I604,"Fully covered",IF(J604=0,"Not covered","Partly covered")))</f>
        <v>No wiki control</v>
      </c>
      <c r="L604" s="9" t="s">
        <v>2132</v>
      </c>
    </row>
    <row r="605" customFormat="false" ht="23.85" hidden="false" customHeight="false" outlineLevel="0" collapsed="false">
      <c r="A605" s="53" t="s">
        <v>600</v>
      </c>
      <c r="B605" s="53" t="s">
        <v>598</v>
      </c>
      <c r="C605" s="5" t="s">
        <v>2152</v>
      </c>
      <c r="D605" s="6" t="s">
        <v>2153</v>
      </c>
      <c r="E605" s="6" t="s">
        <v>973</v>
      </c>
      <c r="F605" s="6" t="s">
        <v>730</v>
      </c>
      <c r="G605" s="6" t="s">
        <v>266</v>
      </c>
      <c r="H605" s="6"/>
      <c r="I605" s="26" t="n">
        <v>2</v>
      </c>
      <c r="J605" s="26" t="n">
        <f aca="false">COUNTIFS('Control Library'!$A$5:$A$50,"AI-CTRL-012",'Control Library'!$R$5:$R$50,"Implemented")+COUNTIFS('Control Library'!$A$5:$A$50,"AI-CTRL-044",'Control Library'!$R$5:$R$50,"Implemented")</f>
        <v>0</v>
      </c>
      <c r="K605" s="43" t="str">
        <f aca="false">IF(I605=0,"No wiki control",IF(J605=I605,"Fully covered",IF(J605=0,"Not covered","Partly covered")))</f>
        <v>Not covered</v>
      </c>
      <c r="L605" s="9" t="s">
        <v>2132</v>
      </c>
    </row>
    <row r="606" customFormat="false" ht="23.85" hidden="false" customHeight="false" outlineLevel="0" collapsed="false">
      <c r="A606" s="53" t="s">
        <v>600</v>
      </c>
      <c r="B606" s="53" t="s">
        <v>598</v>
      </c>
      <c r="C606" s="5" t="s">
        <v>2154</v>
      </c>
      <c r="D606" s="6" t="s">
        <v>2155</v>
      </c>
      <c r="E606" s="6" t="s">
        <v>522</v>
      </c>
      <c r="F606" s="6" t="s">
        <v>730</v>
      </c>
      <c r="G606" s="6" t="s">
        <v>525</v>
      </c>
      <c r="H606" s="6"/>
      <c r="I606" s="26" t="n">
        <v>1</v>
      </c>
      <c r="J606" s="26" t="n">
        <f aca="false">COUNTIFS('Control Library'!$A$5:$A$50,"AI-CTRL-043",'Control Library'!$R$5:$R$50,"Implemented")</f>
        <v>0</v>
      </c>
      <c r="K606" s="43" t="str">
        <f aca="false">IF(I606=0,"No wiki control",IF(J606=I606,"Fully covered",IF(J606=0,"Not covered","Partly covered")))</f>
        <v>Not covered</v>
      </c>
      <c r="L606" s="9" t="s">
        <v>2132</v>
      </c>
    </row>
    <row r="607" customFormat="false" ht="23.85" hidden="false" customHeight="false" outlineLevel="0" collapsed="false">
      <c r="A607" s="53" t="s">
        <v>600</v>
      </c>
      <c r="B607" s="53" t="s">
        <v>598</v>
      </c>
      <c r="C607" s="5" t="s">
        <v>2156</v>
      </c>
      <c r="D607" s="6" t="s">
        <v>2157</v>
      </c>
      <c r="E607" s="6" t="s">
        <v>826</v>
      </c>
      <c r="F607" s="6" t="s">
        <v>730</v>
      </c>
      <c r="G607" s="6" t="s">
        <v>473</v>
      </c>
      <c r="H607" s="6"/>
      <c r="I607" s="26" t="n">
        <v>2</v>
      </c>
      <c r="J607" s="26" t="n">
        <f aca="false">COUNTIFS('Control Library'!$A$5:$A$50,"AI-CTRL-011",'Control Library'!$R$5:$R$50,"Implemented")+COUNTIFS('Control Library'!$A$5:$A$50,"AI-CTRL-037",'Control Library'!$R$5:$R$50,"Implemented")</f>
        <v>0</v>
      </c>
      <c r="K607" s="43" t="str">
        <f aca="false">IF(I607=0,"No wiki control",IF(J607=I607,"Fully covered",IF(J607=0,"Not covered","Partly covered")))</f>
        <v>Not covered</v>
      </c>
      <c r="L607" s="9" t="s">
        <v>2132</v>
      </c>
    </row>
    <row r="608" customFormat="false" ht="23.85" hidden="false" customHeight="false" outlineLevel="0" collapsed="false">
      <c r="A608" s="53" t="s">
        <v>600</v>
      </c>
      <c r="B608" s="53" t="s">
        <v>598</v>
      </c>
      <c r="C608" s="5" t="s">
        <v>2158</v>
      </c>
      <c r="D608" s="6" t="s">
        <v>2159</v>
      </c>
      <c r="E608" s="6" t="s">
        <v>2160</v>
      </c>
      <c r="F608" s="6" t="s">
        <v>730</v>
      </c>
      <c r="G608" s="6" t="s">
        <v>2161</v>
      </c>
      <c r="H608" s="6"/>
      <c r="I608" s="26" t="n">
        <v>3</v>
      </c>
      <c r="J608" s="26" t="n">
        <f aca="false">COUNTIFS('Control Library'!$A$5:$A$50,"AI-CTRL-011",'Control Library'!$R$5:$R$50,"Implemented")+COUNTIFS('Control Library'!$A$5:$A$50,"AI-CTRL-037",'Control Library'!$R$5:$R$50,"Implemented")+COUNTIFS('Control Library'!$A$5:$A$50,"AI-CTRL-042",'Control Library'!$R$5:$R$50,"Implemented")</f>
        <v>0</v>
      </c>
      <c r="K608" s="43" t="str">
        <f aca="false">IF(I608=0,"No wiki control",IF(J608=I608,"Fully covered",IF(J608=0,"Not covered","Partly covered")))</f>
        <v>Not covered</v>
      </c>
      <c r="L608" s="9" t="s">
        <v>2132</v>
      </c>
    </row>
    <row r="609" customFormat="false" ht="23.85" hidden="false" customHeight="false" outlineLevel="0" collapsed="false">
      <c r="A609" s="53" t="s">
        <v>600</v>
      </c>
      <c r="B609" s="53" t="s">
        <v>598</v>
      </c>
      <c r="C609" s="5" t="s">
        <v>2162</v>
      </c>
      <c r="D609" s="6"/>
      <c r="E609" s="6"/>
      <c r="F609" s="6" t="s">
        <v>640</v>
      </c>
      <c r="G609" s="6"/>
      <c r="H609" s="6"/>
      <c r="I609" s="26" t="n">
        <v>0</v>
      </c>
      <c r="J609" s="26" t="n">
        <f aca="false">0</f>
        <v>0</v>
      </c>
      <c r="K609" s="43" t="str">
        <f aca="false">IF(I609=0,"No wiki control",IF(J609=I609,"Fully covered",IF(J609=0,"Not covered","Partly covered")))</f>
        <v>No wiki control</v>
      </c>
      <c r="L609" s="9" t="s">
        <v>2132</v>
      </c>
    </row>
    <row r="610" customFormat="false" ht="23.85" hidden="false" customHeight="false" outlineLevel="0" collapsed="false">
      <c r="A610" s="53" t="s">
        <v>600</v>
      </c>
      <c r="B610" s="53" t="s">
        <v>598</v>
      </c>
      <c r="C610" s="5" t="s">
        <v>2163</v>
      </c>
      <c r="D610" s="6" t="s">
        <v>2164</v>
      </c>
      <c r="E610" s="6" t="s">
        <v>435</v>
      </c>
      <c r="F610" s="6" t="s">
        <v>730</v>
      </c>
      <c r="G610" s="6" t="s">
        <v>439</v>
      </c>
      <c r="H610" s="6"/>
      <c r="I610" s="26" t="n">
        <v>1</v>
      </c>
      <c r="J610" s="26" t="n">
        <f aca="false">COUNTIFS('Control Library'!$A$5:$A$50,"AI-CTRL-033",'Control Library'!$R$5:$R$50,"Implemented")</f>
        <v>0</v>
      </c>
      <c r="K610" s="43" t="str">
        <f aca="false">IF(I610=0,"No wiki control",IF(J610=I610,"Fully covered",IF(J610=0,"Not covered","Partly covered")))</f>
        <v>Not covered</v>
      </c>
      <c r="L610" s="9" t="s">
        <v>2132</v>
      </c>
    </row>
    <row r="611" customFormat="false" ht="35.05" hidden="false" customHeight="false" outlineLevel="0" collapsed="false">
      <c r="A611" s="53" t="s">
        <v>600</v>
      </c>
      <c r="B611" s="53" t="s">
        <v>598</v>
      </c>
      <c r="C611" s="5" t="s">
        <v>2165</v>
      </c>
      <c r="D611" s="6" t="s">
        <v>2166</v>
      </c>
      <c r="E611" s="6" t="s">
        <v>1192</v>
      </c>
      <c r="F611" s="6" t="s">
        <v>730</v>
      </c>
      <c r="G611" s="6" t="s">
        <v>1193</v>
      </c>
      <c r="H611" s="6"/>
      <c r="I611" s="26" t="n">
        <v>2</v>
      </c>
      <c r="J611" s="26" t="n">
        <f aca="false">COUNTIFS('Control Library'!$A$5:$A$50,"AI-CTRL-034",'Control Library'!$R$5:$R$50,"Implemented")+COUNTIFS('Control Library'!$A$5:$A$50,"AI-CTRL-038",'Control Library'!$R$5:$R$50,"Implemented")</f>
        <v>0</v>
      </c>
      <c r="K611" s="43" t="str">
        <f aca="false">IF(I611=0,"No wiki control",IF(J611=I611,"Fully covered",IF(J611=0,"Not covered","Partly covered")))</f>
        <v>Not covered</v>
      </c>
      <c r="L611" s="9" t="s">
        <v>2132</v>
      </c>
    </row>
    <row r="612" customFormat="false" ht="23.85" hidden="false" customHeight="false" outlineLevel="0" collapsed="false">
      <c r="A612" s="53" t="s">
        <v>600</v>
      </c>
      <c r="B612" s="53" t="s">
        <v>598</v>
      </c>
      <c r="C612" s="5" t="s">
        <v>2167</v>
      </c>
      <c r="D612" s="6" t="s">
        <v>2168</v>
      </c>
      <c r="E612" s="6" t="s">
        <v>478</v>
      </c>
      <c r="F612" s="6" t="s">
        <v>730</v>
      </c>
      <c r="G612" s="6" t="s">
        <v>481</v>
      </c>
      <c r="H612" s="6"/>
      <c r="I612" s="26" t="n">
        <v>1</v>
      </c>
      <c r="J612" s="26" t="n">
        <f aca="false">COUNTIFS('Control Library'!$A$5:$A$50,"AI-CTRL-038",'Control Library'!$R$5:$R$50,"Implemented")</f>
        <v>0</v>
      </c>
      <c r="K612" s="43" t="str">
        <f aca="false">IF(I612=0,"No wiki control",IF(J612=I612,"Fully covered",IF(J612=0,"Not covered","Partly covered")))</f>
        <v>Not covered</v>
      </c>
      <c r="L612" s="9" t="s">
        <v>2132</v>
      </c>
    </row>
    <row r="613" customFormat="false" ht="23.85" hidden="false" customHeight="false" outlineLevel="0" collapsed="false">
      <c r="A613" s="53" t="s">
        <v>600</v>
      </c>
      <c r="B613" s="53" t="s">
        <v>598</v>
      </c>
      <c r="C613" s="5" t="s">
        <v>2169</v>
      </c>
      <c r="D613" s="6"/>
      <c r="E613" s="6"/>
      <c r="F613" s="6" t="s">
        <v>640</v>
      </c>
      <c r="G613" s="6"/>
      <c r="H613" s="6"/>
      <c r="I613" s="26" t="n">
        <v>0</v>
      </c>
      <c r="J613" s="26" t="n">
        <f aca="false">0</f>
        <v>0</v>
      </c>
      <c r="K613" s="43" t="str">
        <f aca="false">IF(I613=0,"No wiki control",IF(J613=I613,"Fully covered",IF(J613=0,"Not covered","Partly covered")))</f>
        <v>No wiki control</v>
      </c>
      <c r="L613" s="9" t="s">
        <v>2132</v>
      </c>
    </row>
    <row r="614" customFormat="false" ht="23.85" hidden="false" customHeight="false" outlineLevel="0" collapsed="false">
      <c r="A614" s="53" t="s">
        <v>600</v>
      </c>
      <c r="B614" s="53" t="s">
        <v>598</v>
      </c>
      <c r="C614" s="5" t="s">
        <v>2170</v>
      </c>
      <c r="D614" s="6"/>
      <c r="E614" s="6"/>
      <c r="F614" s="6" t="s">
        <v>640</v>
      </c>
      <c r="G614" s="6"/>
      <c r="H614" s="6"/>
      <c r="I614" s="26" t="n">
        <v>0</v>
      </c>
      <c r="J614" s="26" t="n">
        <f aca="false">0</f>
        <v>0</v>
      </c>
      <c r="K614" s="43" t="str">
        <f aca="false">IF(I614=0,"No wiki control",IF(J614=I614,"Fully covered",IF(J614=0,"Not covered","Partly covered")))</f>
        <v>No wiki control</v>
      </c>
      <c r="L614" s="9" t="s">
        <v>2132</v>
      </c>
    </row>
    <row r="615" customFormat="false" ht="23.85" hidden="false" customHeight="false" outlineLevel="0" collapsed="false">
      <c r="A615" s="53" t="s">
        <v>600</v>
      </c>
      <c r="B615" s="53" t="s">
        <v>598</v>
      </c>
      <c r="C615" s="5" t="s">
        <v>2171</v>
      </c>
      <c r="D615" s="6" t="s">
        <v>2172</v>
      </c>
      <c r="E615" s="6" t="s">
        <v>1011</v>
      </c>
      <c r="F615" s="6" t="s">
        <v>730</v>
      </c>
      <c r="G615" s="6" t="s">
        <v>1012</v>
      </c>
      <c r="H615" s="6"/>
      <c r="I615" s="26" t="n">
        <v>2</v>
      </c>
      <c r="J615" s="26" t="n">
        <f aca="false">COUNTIFS('Control Library'!$A$5:$A$50,"AI-CTRL-010",'Control Library'!$R$5:$R$50,"Implemented")+COUNTIFS('Control Library'!$A$5:$A$50,"AI-CTRL-012",'Control Library'!$R$5:$R$50,"Implemented")</f>
        <v>0</v>
      </c>
      <c r="K615" s="43" t="str">
        <f aca="false">IF(I615=0,"No wiki control",IF(J615=I615,"Fully covered",IF(J615=0,"Not covered","Partly covered")))</f>
        <v>Not covered</v>
      </c>
      <c r="L615" s="9" t="s">
        <v>2132</v>
      </c>
    </row>
    <row r="616" customFormat="false" ht="46.25" hidden="false" customHeight="false" outlineLevel="0" collapsed="false">
      <c r="A616" s="53" t="s">
        <v>600</v>
      </c>
      <c r="B616" s="53" t="s">
        <v>598</v>
      </c>
      <c r="C616" s="5" t="s">
        <v>2173</v>
      </c>
      <c r="D616" s="6" t="s">
        <v>2174</v>
      </c>
      <c r="E616" s="6" t="s">
        <v>2175</v>
      </c>
      <c r="F616" s="6" t="s">
        <v>730</v>
      </c>
      <c r="G616" s="6" t="s">
        <v>2176</v>
      </c>
      <c r="H616" s="6"/>
      <c r="I616" s="26" t="n">
        <v>10</v>
      </c>
      <c r="J616" s="26" t="n">
        <f aca="false">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Library'!$R$5:$R$50,"Implemented")+COUNTIFS('Control Library'!$A$5:$A$50,"AI-CTRL-030",'Control Library'!$R$5:$R$50,"Implemented")+COUNTIFS('Control Library'!$A$5:$A$50,"AI-CTRL-032",'Control Library'!$R$5:$R$50,"Implemented")</f>
        <v>0</v>
      </c>
      <c r="K616" s="43" t="str">
        <f aca="false">IF(I616=0,"No wiki control",IF(J616=I616,"Fully covered",IF(J616=0,"Not covered","Partly covered")))</f>
        <v>Not covered</v>
      </c>
      <c r="L616" s="9" t="s">
        <v>2132</v>
      </c>
    </row>
    <row r="617" customFormat="false" ht="23.85" hidden="false" customHeight="false" outlineLevel="0" collapsed="false">
      <c r="A617" s="53" t="s">
        <v>600</v>
      </c>
      <c r="B617" s="53" t="s">
        <v>598</v>
      </c>
      <c r="C617" s="5" t="s">
        <v>2177</v>
      </c>
      <c r="D617" s="6" t="s">
        <v>2178</v>
      </c>
      <c r="E617" s="6" t="s">
        <v>2179</v>
      </c>
      <c r="F617" s="6" t="s">
        <v>730</v>
      </c>
      <c r="G617" s="6" t="s">
        <v>2180</v>
      </c>
      <c r="H617" s="6"/>
      <c r="I617" s="26" t="n">
        <v>2</v>
      </c>
      <c r="J617" s="26" t="n">
        <f aca="false">COUNTIFS('Control Library'!$A$5:$A$50,"AI-CTRL-015",'Control Library'!$R$5:$R$50,"Implemented")+COUNTIFS('Control Library'!$A$5:$A$50,"AI-CTRL-025",'Control Library'!$R$5:$R$50,"Implemented")</f>
        <v>0</v>
      </c>
      <c r="K617" s="43" t="str">
        <f aca="false">IF(I617=0,"No wiki control",IF(J617=I617,"Fully covered",IF(J617=0,"Not covered","Partly covered")))</f>
        <v>Not covered</v>
      </c>
      <c r="L617" s="9" t="s">
        <v>2132</v>
      </c>
    </row>
    <row r="618" customFormat="false" ht="23.85" hidden="false" customHeight="false" outlineLevel="0" collapsed="false">
      <c r="A618" s="53" t="s">
        <v>600</v>
      </c>
      <c r="B618" s="53" t="s">
        <v>598</v>
      </c>
      <c r="C618" s="5" t="s">
        <v>2181</v>
      </c>
      <c r="D618" s="6" t="s">
        <v>2182</v>
      </c>
      <c r="E618" s="6" t="s">
        <v>2183</v>
      </c>
      <c r="F618" s="6" t="s">
        <v>730</v>
      </c>
      <c r="G618" s="6" t="s">
        <v>789</v>
      </c>
      <c r="H618" s="6"/>
      <c r="I618" s="26" t="n">
        <v>3</v>
      </c>
      <c r="J618" s="26" t="n">
        <f aca="false">COUNTIFS('Control Library'!$A$5:$A$50,"AI-CTRL-016",'Control Library'!$R$5:$R$50,"Implemented")+COUNTIFS('Control Library'!$A$5:$A$50,"AI-CTRL-018",'Control Library'!$R$5:$R$50,"Implemented")+COUNTIFS('Control Library'!$A$5:$A$50,"AI-CTRL-022",'Control Library'!$R$5:$R$50,"Implemented")</f>
        <v>0</v>
      </c>
      <c r="K618" s="43" t="str">
        <f aca="false">IF(I618=0,"No wiki control",IF(J618=I618,"Fully covered",IF(J618=0,"Not covered","Partly covered")))</f>
        <v>Not covered</v>
      </c>
      <c r="L618" s="9" t="s">
        <v>2132</v>
      </c>
    </row>
    <row r="619" customFormat="false" ht="23.85" hidden="false" customHeight="false" outlineLevel="0" collapsed="false">
      <c r="A619" s="53" t="s">
        <v>600</v>
      </c>
      <c r="B619" s="53" t="s">
        <v>598</v>
      </c>
      <c r="C619" s="5" t="s">
        <v>2184</v>
      </c>
      <c r="D619" s="6"/>
      <c r="E619" s="6"/>
      <c r="F619" s="6" t="s">
        <v>640</v>
      </c>
      <c r="G619" s="6"/>
      <c r="H619" s="6"/>
      <c r="I619" s="26" t="n">
        <v>0</v>
      </c>
      <c r="J619" s="26" t="n">
        <f aca="false">0</f>
        <v>0</v>
      </c>
      <c r="K619" s="43" t="str">
        <f aca="false">IF(I619=0,"No wiki control",IF(J619=I619,"Fully covered",IF(J619=0,"Not covered","Partly covered")))</f>
        <v>No wiki control</v>
      </c>
      <c r="L619" s="9" t="s">
        <v>2132</v>
      </c>
    </row>
    <row r="620" customFormat="false" ht="23.85" hidden="false" customHeight="false" outlineLevel="0" collapsed="false">
      <c r="A620" s="53" t="s">
        <v>600</v>
      </c>
      <c r="B620" s="53" t="s">
        <v>598</v>
      </c>
      <c r="C620" s="5" t="s">
        <v>2185</v>
      </c>
      <c r="D620" s="6"/>
      <c r="E620" s="6"/>
      <c r="F620" s="6" t="s">
        <v>640</v>
      </c>
      <c r="G620" s="6"/>
      <c r="H620" s="6"/>
      <c r="I620" s="26" t="n">
        <v>0</v>
      </c>
      <c r="J620" s="26" t="n">
        <f aca="false">0</f>
        <v>0</v>
      </c>
      <c r="K620" s="43" t="str">
        <f aca="false">IF(I620=0,"No wiki control",IF(J620=I620,"Fully covered",IF(J620=0,"Not covered","Partly covered")))</f>
        <v>No wiki control</v>
      </c>
      <c r="L620" s="9" t="s">
        <v>2132</v>
      </c>
    </row>
    <row r="621" customFormat="false" ht="35.05" hidden="false" customHeight="false" outlineLevel="0" collapsed="false">
      <c r="A621" s="53" t="s">
        <v>600</v>
      </c>
      <c r="B621" s="53" t="s">
        <v>598</v>
      </c>
      <c r="C621" s="5" t="s">
        <v>2186</v>
      </c>
      <c r="D621" s="6" t="s">
        <v>2187</v>
      </c>
      <c r="E621" s="6" t="s">
        <v>2188</v>
      </c>
      <c r="F621" s="6" t="s">
        <v>730</v>
      </c>
      <c r="G621" s="6" t="s">
        <v>2189</v>
      </c>
      <c r="H621" s="6"/>
      <c r="I621" s="26" t="n">
        <v>3</v>
      </c>
      <c r="J621" s="26" t="n">
        <f aca="false">COUNTIFS('Control Library'!$A$5:$A$50,"AI-CTRL-005",'Control Library'!$R$5:$R$50,"Implemented")+COUNTIFS('Control Library'!$A$5:$A$50,"AI-CTRL-027",'Control Library'!$R$5:$R$50,"Implemented")+COUNTIFS('Control Library'!$A$5:$A$50,"AI-CTRL-032",'Control Library'!$R$5:$R$50,"Implemented")</f>
        <v>0</v>
      </c>
      <c r="K621" s="43" t="str">
        <f aca="false">IF(I621=0,"No wiki control",IF(J621=I621,"Fully covered",IF(J621=0,"Not covered","Partly covered")))</f>
        <v>Not covered</v>
      </c>
      <c r="L621" s="9" t="s">
        <v>2132</v>
      </c>
    </row>
    <row r="622" customFormat="false" ht="35.05" hidden="false" customHeight="false" outlineLevel="0" collapsed="false">
      <c r="A622" s="53" t="s">
        <v>600</v>
      </c>
      <c r="B622" s="53" t="s">
        <v>598</v>
      </c>
      <c r="C622" s="5" t="s">
        <v>2190</v>
      </c>
      <c r="D622" s="6" t="s">
        <v>2191</v>
      </c>
      <c r="E622" s="6" t="s">
        <v>1834</v>
      </c>
      <c r="F622" s="6" t="s">
        <v>730</v>
      </c>
      <c r="G622" s="6" t="s">
        <v>1835</v>
      </c>
      <c r="H622" s="6"/>
      <c r="I622" s="26" t="n">
        <v>7</v>
      </c>
      <c r="J622" s="26"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622" s="43" t="str">
        <f aca="false">IF(I622=0,"No wiki control",IF(J622=I622,"Fully covered",IF(J622=0,"Not covered","Partly covered")))</f>
        <v>Not covered</v>
      </c>
      <c r="L622" s="9" t="s">
        <v>2132</v>
      </c>
    </row>
    <row r="623" customFormat="false" ht="46.25" hidden="false" customHeight="false" outlineLevel="0" collapsed="false">
      <c r="A623" s="53" t="s">
        <v>600</v>
      </c>
      <c r="B623" s="53" t="s">
        <v>598</v>
      </c>
      <c r="C623" s="5" t="s">
        <v>2192</v>
      </c>
      <c r="D623" s="6" t="s">
        <v>2193</v>
      </c>
      <c r="E623" s="6" t="s">
        <v>2194</v>
      </c>
      <c r="F623" s="6" t="s">
        <v>730</v>
      </c>
      <c r="G623" s="6" t="s">
        <v>2195</v>
      </c>
      <c r="H623" s="6"/>
      <c r="I623" s="26" t="n">
        <v>4</v>
      </c>
      <c r="J623" s="26" t="n">
        <f aca="false">COUNTIFS('Control Library'!$A$5:$A$50,"AI-CTRL-001",'Control Library'!$R$5:$R$50,"Implemented")+COUNTIFS('Control Library'!$A$5:$A$50,"AI-CTRL-021",'Control Library'!$R$5:$R$50,"Implemented")+COUNTIFS('Control Library'!$A$5:$A$50,"AI-CTRL-024",'Control Library'!$R$5:$R$50,"Implemented")+COUNTIFS('Control Library'!$A$5:$A$50,"AI-CTRL-027",'Control Library'!$R$5:$R$50,"Implemented")</f>
        <v>0</v>
      </c>
      <c r="K623" s="43" t="str">
        <f aca="false">IF(I623=0,"No wiki control",IF(J623=I623,"Fully covered",IF(J623=0,"Not covered","Partly covered")))</f>
        <v>Not covered</v>
      </c>
      <c r="L623" s="9" t="s">
        <v>2132</v>
      </c>
    </row>
    <row r="624" customFormat="false" ht="35.05" hidden="false" customHeight="false" outlineLevel="0" collapsed="false">
      <c r="A624" s="53" t="s">
        <v>600</v>
      </c>
      <c r="B624" s="53" t="s">
        <v>598</v>
      </c>
      <c r="C624" s="5" t="s">
        <v>2196</v>
      </c>
      <c r="D624" s="6" t="s">
        <v>2197</v>
      </c>
      <c r="E624" s="6" t="s">
        <v>1821</v>
      </c>
      <c r="F624" s="6" t="s">
        <v>730</v>
      </c>
      <c r="G624" s="6" t="s">
        <v>1822</v>
      </c>
      <c r="H624" s="6"/>
      <c r="I624" s="26" t="n">
        <v>3</v>
      </c>
      <c r="J624" s="26" t="n">
        <f aca="false">COUNTIFS('Control Library'!$A$5:$A$50,"AI-CTRL-031",'Control Library'!$R$5:$R$50,"Implemented")+COUNTIFS('Control Library'!$A$5:$A$50,"AI-CTRL-032",'Control Library'!$R$5:$R$50,"Implemented")+COUNTIFS('Control Library'!$A$5:$A$50,"AI-CTRL-034",'Control Library'!$R$5:$R$50,"Implemented")</f>
        <v>0</v>
      </c>
      <c r="K624" s="43" t="str">
        <f aca="false">IF(I624=0,"No wiki control",IF(J624=I624,"Fully covered",IF(J624=0,"Not covered","Partly covered")))</f>
        <v>Not covered</v>
      </c>
      <c r="L624" s="9" t="s">
        <v>2132</v>
      </c>
    </row>
    <row r="625" customFormat="false" ht="35.05" hidden="false" customHeight="false" outlineLevel="0" collapsed="false">
      <c r="A625" s="53" t="s">
        <v>600</v>
      </c>
      <c r="B625" s="53" t="s">
        <v>598</v>
      </c>
      <c r="C625" s="5" t="s">
        <v>2198</v>
      </c>
      <c r="D625" s="6" t="s">
        <v>2199</v>
      </c>
      <c r="E625" s="6" t="s">
        <v>2200</v>
      </c>
      <c r="F625" s="6" t="s">
        <v>730</v>
      </c>
      <c r="G625" s="6" t="s">
        <v>2201</v>
      </c>
      <c r="H625" s="6"/>
      <c r="I625" s="26" t="n">
        <v>5</v>
      </c>
      <c r="J625" s="26"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f>
        <v>0</v>
      </c>
      <c r="K625" s="43" t="str">
        <f aca="false">IF(I625=0,"No wiki control",IF(J625=I625,"Fully covered",IF(J625=0,"Not covered","Partly covered")))</f>
        <v>Not covered</v>
      </c>
      <c r="L625" s="9" t="s">
        <v>2132</v>
      </c>
    </row>
    <row r="626" customFormat="false" ht="23.85" hidden="false" customHeight="false" outlineLevel="0" collapsed="false">
      <c r="A626" s="53" t="s">
        <v>600</v>
      </c>
      <c r="B626" s="53" t="s">
        <v>598</v>
      </c>
      <c r="C626" s="5" t="s">
        <v>2202</v>
      </c>
      <c r="D626" s="6" t="s">
        <v>2203</v>
      </c>
      <c r="E626" s="6" t="s">
        <v>1756</v>
      </c>
      <c r="F626" s="6" t="s">
        <v>730</v>
      </c>
      <c r="G626" s="6" t="s">
        <v>456</v>
      </c>
      <c r="H626" s="6"/>
      <c r="I626" s="26" t="n">
        <v>2</v>
      </c>
      <c r="J626" s="26" t="n">
        <f aca="false">COUNTIFS('Control Library'!$A$5:$A$50,"AI-CTRL-009",'Control Library'!$R$5:$R$50,"Implemented")+COUNTIFS('Control Library'!$A$5:$A$50,"AI-CTRL-035",'Control Library'!$R$5:$R$50,"Implemented")</f>
        <v>0</v>
      </c>
      <c r="K626" s="43" t="str">
        <f aca="false">IF(I626=0,"No wiki control",IF(J626=I626,"Fully covered",IF(J626=0,"Not covered","Partly covered")))</f>
        <v>Not covered</v>
      </c>
      <c r="L626" s="9" t="s">
        <v>2132</v>
      </c>
    </row>
    <row r="627" customFormat="false" ht="23.85" hidden="false" customHeight="false" outlineLevel="0" collapsed="false">
      <c r="A627" s="53" t="s">
        <v>600</v>
      </c>
      <c r="B627" s="53" t="s">
        <v>598</v>
      </c>
      <c r="C627" s="5" t="s">
        <v>2204</v>
      </c>
      <c r="D627" s="6" t="s">
        <v>2205</v>
      </c>
      <c r="E627" s="6" t="s">
        <v>1759</v>
      </c>
      <c r="F627" s="6" t="s">
        <v>730</v>
      </c>
      <c r="G627" s="6" t="s">
        <v>1760</v>
      </c>
      <c r="H627" s="6"/>
      <c r="I627" s="26" t="n">
        <v>2</v>
      </c>
      <c r="J627" s="26" t="n">
        <f aca="false">COUNTIFS('Control Library'!$A$5:$A$50,"AI-CTRL-025",'Control Library'!$R$5:$R$50,"Implemented")+COUNTIFS('Control Library'!$A$5:$A$50,"AI-CTRL-035",'Control Library'!$R$5:$R$50,"Implemented")</f>
        <v>0</v>
      </c>
      <c r="K627" s="43" t="str">
        <f aca="false">IF(I627=0,"No wiki control",IF(J627=I627,"Fully covered",IF(J627=0,"Not covered","Partly covered")))</f>
        <v>Not covered</v>
      </c>
      <c r="L627" s="9" t="s">
        <v>2132</v>
      </c>
    </row>
    <row r="628" customFormat="false" ht="23.85" hidden="false" customHeight="false" outlineLevel="0" collapsed="false">
      <c r="A628" s="53" t="s">
        <v>600</v>
      </c>
      <c r="B628" s="53" t="s">
        <v>598</v>
      </c>
      <c r="C628" s="5" t="s">
        <v>2206</v>
      </c>
      <c r="D628" s="6" t="s">
        <v>2207</v>
      </c>
      <c r="E628" s="6" t="s">
        <v>453</v>
      </c>
      <c r="F628" s="6" t="s">
        <v>730</v>
      </c>
      <c r="G628" s="6" t="s">
        <v>456</v>
      </c>
      <c r="H628" s="6"/>
      <c r="I628" s="26" t="n">
        <v>1</v>
      </c>
      <c r="J628" s="26" t="n">
        <f aca="false">COUNTIFS('Control Library'!$A$5:$A$50,"AI-CTRL-035",'Control Library'!$R$5:$R$50,"Implemented")</f>
        <v>0</v>
      </c>
      <c r="K628" s="43" t="str">
        <f aca="false">IF(I628=0,"No wiki control",IF(J628=I628,"Fully covered",IF(J628=0,"Not covered","Partly covered")))</f>
        <v>Not covered</v>
      </c>
      <c r="L628" s="9" t="s">
        <v>2132</v>
      </c>
    </row>
    <row r="629" customFormat="false" ht="46.25" hidden="false" customHeight="false" outlineLevel="0" collapsed="false">
      <c r="A629" s="53" t="s">
        <v>600</v>
      </c>
      <c r="B629" s="53" t="s">
        <v>598</v>
      </c>
      <c r="C629" s="5" t="s">
        <v>2208</v>
      </c>
      <c r="D629" s="6" t="s">
        <v>1888</v>
      </c>
      <c r="E629" s="6" t="s">
        <v>2209</v>
      </c>
      <c r="F629" s="6" t="s">
        <v>730</v>
      </c>
      <c r="G629" s="6" t="s">
        <v>2210</v>
      </c>
      <c r="H629" s="6"/>
      <c r="I629" s="26" t="n">
        <v>5</v>
      </c>
      <c r="J629" s="26" t="n">
        <f aca="false">COUNTIFS('Control Library'!$A$5:$A$50,"AI-CTRL-004",'Control Library'!$R$5:$R$50,"Implemented")+COUNTIFS('Control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629" s="43" t="str">
        <f aca="false">IF(I629=0,"No wiki control",IF(J629=I629,"Fully covered",IF(J629=0,"Not covered","Partly covered")))</f>
        <v>Not covered</v>
      </c>
      <c r="L629" s="9" t="s">
        <v>2132</v>
      </c>
    </row>
    <row r="630" customFormat="false" ht="23.85" hidden="false" customHeight="false" outlineLevel="0" collapsed="false">
      <c r="A630" s="53" t="s">
        <v>600</v>
      </c>
      <c r="B630" s="53" t="s">
        <v>598</v>
      </c>
      <c r="C630" s="5" t="s">
        <v>2211</v>
      </c>
      <c r="D630" s="6" t="s">
        <v>2212</v>
      </c>
      <c r="E630" s="6" t="s">
        <v>2213</v>
      </c>
      <c r="F630" s="6" t="s">
        <v>730</v>
      </c>
      <c r="G630" s="6" t="s">
        <v>2214</v>
      </c>
      <c r="H630" s="6"/>
      <c r="I630" s="26" t="n">
        <v>2</v>
      </c>
      <c r="J630" s="26" t="n">
        <f aca="false">COUNTIFS('Control Library'!$A$5:$A$50,"AI-CTRL-037",'Control Library'!$R$5:$R$50,"Implemented")+COUNTIFS('Control Library'!$A$5:$A$50,"AI-CTRL-040",'Control Library'!$R$5:$R$50,"Implemented")</f>
        <v>0</v>
      </c>
      <c r="K630" s="43" t="str">
        <f aca="false">IF(I630=0,"No wiki control",IF(J630=I630,"Fully covered",IF(J630=0,"Not covered","Partly covered")))</f>
        <v>Not covered</v>
      </c>
      <c r="L630" s="9" t="s">
        <v>2132</v>
      </c>
    </row>
    <row r="631" customFormat="false" ht="23.85" hidden="false" customHeight="false" outlineLevel="0" collapsed="false">
      <c r="A631" s="53" t="s">
        <v>600</v>
      </c>
      <c r="B631" s="53" t="s">
        <v>598</v>
      </c>
      <c r="C631" s="5" t="s">
        <v>2215</v>
      </c>
      <c r="D631" s="6" t="s">
        <v>2216</v>
      </c>
      <c r="E631" s="6" t="s">
        <v>2119</v>
      </c>
      <c r="F631" s="6" t="s">
        <v>730</v>
      </c>
      <c r="G631" s="6" t="s">
        <v>1060</v>
      </c>
      <c r="H631" s="6"/>
      <c r="I631" s="26" t="n">
        <v>4</v>
      </c>
      <c r="J631" s="26"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631" s="43" t="str">
        <f aca="false">IF(I631=0,"No wiki control",IF(J631=I631,"Fully covered",IF(J631=0,"Not covered","Partly covered")))</f>
        <v>Not covered</v>
      </c>
      <c r="L631" s="9" t="s">
        <v>2132</v>
      </c>
    </row>
    <row r="632" customFormat="false" ht="23.85" hidden="false" customHeight="false" outlineLevel="0" collapsed="false">
      <c r="A632" s="53" t="s">
        <v>600</v>
      </c>
      <c r="B632" s="53" t="s">
        <v>598</v>
      </c>
      <c r="C632" s="5" t="s">
        <v>2217</v>
      </c>
      <c r="D632" s="6" t="s">
        <v>2218</v>
      </c>
      <c r="E632" s="6" t="s">
        <v>272</v>
      </c>
      <c r="F632" s="6" t="s">
        <v>730</v>
      </c>
      <c r="G632" s="6" t="s">
        <v>276</v>
      </c>
      <c r="H632" s="6"/>
      <c r="I632" s="26" t="n">
        <v>1</v>
      </c>
      <c r="J632" s="26" t="n">
        <f aca="false">COUNTIFS('Control Library'!$A$5:$A$50,"AI-CTRL-013",'Control Library'!$R$5:$R$50,"Implemented")</f>
        <v>0</v>
      </c>
      <c r="K632" s="43" t="str">
        <f aca="false">IF(I632=0,"No wiki control",IF(J632=I632,"Fully covered",IF(J632=0,"Not covered","Partly covered")))</f>
        <v>Not covered</v>
      </c>
      <c r="L632" s="9" t="s">
        <v>2132</v>
      </c>
    </row>
    <row r="633" customFormat="false" ht="23.85" hidden="false" customHeight="false" outlineLevel="0" collapsed="false">
      <c r="A633" s="53" t="s">
        <v>600</v>
      </c>
      <c r="B633" s="53" t="s">
        <v>598</v>
      </c>
      <c r="C633" s="5" t="s">
        <v>2219</v>
      </c>
      <c r="D633" s="6"/>
      <c r="E633" s="6"/>
      <c r="F633" s="6" t="s">
        <v>640</v>
      </c>
      <c r="G633" s="6"/>
      <c r="H633" s="6"/>
      <c r="I633" s="26" t="n">
        <v>0</v>
      </c>
      <c r="J633" s="26" t="n">
        <f aca="false">0</f>
        <v>0</v>
      </c>
      <c r="K633" s="43" t="str">
        <f aca="false">IF(I633=0,"No wiki control",IF(J633=I633,"Fully covered",IF(J633=0,"Not covered","Partly covered")))</f>
        <v>No wiki control</v>
      </c>
      <c r="L633" s="9" t="s">
        <v>2132</v>
      </c>
    </row>
    <row r="634" customFormat="false" ht="23.85" hidden="false" customHeight="false" outlineLevel="0" collapsed="false">
      <c r="A634" s="53" t="s">
        <v>600</v>
      </c>
      <c r="B634" s="53" t="s">
        <v>598</v>
      </c>
      <c r="C634" s="5" t="s">
        <v>2220</v>
      </c>
      <c r="D634" s="6" t="s">
        <v>2221</v>
      </c>
      <c r="E634" s="6" t="s">
        <v>272</v>
      </c>
      <c r="F634" s="6" t="s">
        <v>730</v>
      </c>
      <c r="G634" s="6" t="s">
        <v>276</v>
      </c>
      <c r="H634" s="6"/>
      <c r="I634" s="26" t="n">
        <v>1</v>
      </c>
      <c r="J634" s="26" t="n">
        <f aca="false">COUNTIFS('Control Library'!$A$5:$A$50,"AI-CTRL-013",'Control Library'!$R$5:$R$50,"Implemented")</f>
        <v>0</v>
      </c>
      <c r="K634" s="43" t="str">
        <f aca="false">IF(I634=0,"No wiki control",IF(J634=I634,"Fully covered",IF(J634=0,"Not covered","Partly covered")))</f>
        <v>Not covered</v>
      </c>
      <c r="L634" s="9" t="s">
        <v>2132</v>
      </c>
    </row>
    <row r="635" customFormat="false" ht="23.85" hidden="false" customHeight="false" outlineLevel="0" collapsed="false">
      <c r="A635" s="53" t="s">
        <v>600</v>
      </c>
      <c r="B635" s="53" t="s">
        <v>598</v>
      </c>
      <c r="C635" s="5" t="s">
        <v>2222</v>
      </c>
      <c r="D635" s="6"/>
      <c r="E635" s="6"/>
      <c r="F635" s="6" t="s">
        <v>640</v>
      </c>
      <c r="G635" s="6"/>
      <c r="H635" s="6"/>
      <c r="I635" s="26" t="n">
        <v>0</v>
      </c>
      <c r="J635" s="26" t="n">
        <f aca="false">0</f>
        <v>0</v>
      </c>
      <c r="K635" s="43" t="str">
        <f aca="false">IF(I635=0,"No wiki control",IF(J635=I635,"Fully covered",IF(J635=0,"Not covered","Partly covered")))</f>
        <v>No wiki control</v>
      </c>
      <c r="L635" s="9" t="s">
        <v>2132</v>
      </c>
    </row>
    <row r="636" customFormat="false" ht="23.85" hidden="false" customHeight="false" outlineLevel="0" collapsed="false">
      <c r="A636" s="53" t="s">
        <v>600</v>
      </c>
      <c r="B636" s="53" t="s">
        <v>598</v>
      </c>
      <c r="C636" s="5" t="s">
        <v>2223</v>
      </c>
      <c r="D636" s="6" t="s">
        <v>2224</v>
      </c>
      <c r="E636" s="6" t="s">
        <v>272</v>
      </c>
      <c r="F636" s="6" t="s">
        <v>730</v>
      </c>
      <c r="G636" s="6" t="s">
        <v>276</v>
      </c>
      <c r="H636" s="6"/>
      <c r="I636" s="26" t="n">
        <v>1</v>
      </c>
      <c r="J636" s="26" t="n">
        <f aca="false">COUNTIFS('Control Library'!$A$5:$A$50,"AI-CTRL-013",'Control Library'!$R$5:$R$50,"Implemented")</f>
        <v>0</v>
      </c>
      <c r="K636" s="43" t="str">
        <f aca="false">IF(I636=0,"No wiki control",IF(J636=I636,"Fully covered",IF(J636=0,"Not covered","Partly covered")))</f>
        <v>Not covered</v>
      </c>
      <c r="L636" s="9" t="s">
        <v>2132</v>
      </c>
    </row>
    <row r="637" customFormat="false" ht="23.85" hidden="false" customHeight="false" outlineLevel="0" collapsed="false">
      <c r="A637" s="53" t="s">
        <v>600</v>
      </c>
      <c r="B637" s="53" t="s">
        <v>598</v>
      </c>
      <c r="C637" s="5" t="s">
        <v>2225</v>
      </c>
      <c r="D637" s="6" t="s">
        <v>2226</v>
      </c>
      <c r="E637" s="6" t="s">
        <v>2227</v>
      </c>
      <c r="F637" s="6" t="s">
        <v>730</v>
      </c>
      <c r="G637" s="6" t="s">
        <v>276</v>
      </c>
      <c r="H637" s="6"/>
      <c r="I637" s="26" t="n">
        <v>2</v>
      </c>
      <c r="J637" s="26" t="n">
        <f aca="false">COUNTIFS('Control Library'!$A$5:$A$50,"AI-CTRL-007",'Control Library'!$R$5:$R$50,"Implemented")+COUNTIFS('Control Library'!$A$5:$A$50,"AI-CTRL-013",'Control Library'!$R$5:$R$50,"Implemented")</f>
        <v>0</v>
      </c>
      <c r="K637" s="43" t="str">
        <f aca="false">IF(I637=0,"No wiki control",IF(J637=I637,"Fully covered",IF(J637=0,"Not covered","Partly covered")))</f>
        <v>Not covered</v>
      </c>
      <c r="L637" s="9" t="s">
        <v>2132</v>
      </c>
    </row>
    <row r="638" customFormat="false" ht="23.85" hidden="false" customHeight="false" outlineLevel="0" collapsed="false">
      <c r="A638" s="53" t="s">
        <v>600</v>
      </c>
      <c r="B638" s="53" t="s">
        <v>598</v>
      </c>
      <c r="C638" s="5" t="s">
        <v>2228</v>
      </c>
      <c r="D638" s="6"/>
      <c r="E638" s="6"/>
      <c r="F638" s="6" t="s">
        <v>640</v>
      </c>
      <c r="G638" s="6"/>
      <c r="H638" s="6"/>
      <c r="I638" s="26" t="n">
        <v>0</v>
      </c>
      <c r="J638" s="26" t="n">
        <f aca="false">0</f>
        <v>0</v>
      </c>
      <c r="K638" s="43" t="str">
        <f aca="false">IF(I638=0,"No wiki control",IF(J638=I638,"Fully covered",IF(J638=0,"Not covered","Partly covered")))</f>
        <v>No wiki control</v>
      </c>
      <c r="L638" s="9" t="s">
        <v>2132</v>
      </c>
    </row>
    <row r="639" customFormat="false" ht="23.85" hidden="false" customHeight="false" outlineLevel="0" collapsed="false">
      <c r="A639" s="53" t="s">
        <v>600</v>
      </c>
      <c r="B639" s="53" t="s">
        <v>598</v>
      </c>
      <c r="C639" s="5" t="s">
        <v>2229</v>
      </c>
      <c r="D639" s="6" t="s">
        <v>2230</v>
      </c>
      <c r="E639" s="6" t="s">
        <v>272</v>
      </c>
      <c r="F639" s="6" t="s">
        <v>730</v>
      </c>
      <c r="G639" s="6" t="s">
        <v>276</v>
      </c>
      <c r="H639" s="6"/>
      <c r="I639" s="26" t="n">
        <v>1</v>
      </c>
      <c r="J639" s="26" t="n">
        <f aca="false">COUNTIFS('Control Library'!$A$5:$A$50,"AI-CTRL-013",'Control Library'!$R$5:$R$50,"Implemented")</f>
        <v>0</v>
      </c>
      <c r="K639" s="43" t="str">
        <f aca="false">IF(I639=0,"No wiki control",IF(J639=I639,"Fully covered",IF(J639=0,"Not covered","Partly covered")))</f>
        <v>Not covered</v>
      </c>
      <c r="L639" s="9" t="s">
        <v>2132</v>
      </c>
    </row>
    <row r="640" customFormat="false" ht="23.85" hidden="false" customHeight="false" outlineLevel="0" collapsed="false">
      <c r="A640" s="53" t="s">
        <v>600</v>
      </c>
      <c r="B640" s="53" t="s">
        <v>598</v>
      </c>
      <c r="C640" s="5" t="s">
        <v>2231</v>
      </c>
      <c r="D640" s="6"/>
      <c r="E640" s="6"/>
      <c r="F640" s="6" t="s">
        <v>640</v>
      </c>
      <c r="G640" s="6"/>
      <c r="H640" s="6"/>
      <c r="I640" s="26" t="n">
        <v>0</v>
      </c>
      <c r="J640" s="26" t="n">
        <f aca="false">0</f>
        <v>0</v>
      </c>
      <c r="K640" s="43" t="str">
        <f aca="false">IF(I640=0,"No wiki control",IF(J640=I640,"Fully covered",IF(J640=0,"Not covered","Partly covered")))</f>
        <v>No wiki control</v>
      </c>
      <c r="L640" s="9" t="s">
        <v>2132</v>
      </c>
    </row>
    <row r="641" customFormat="false" ht="23.85" hidden="false" customHeight="false" outlineLevel="0" collapsed="false">
      <c r="A641" s="53" t="s">
        <v>600</v>
      </c>
      <c r="B641" s="53" t="s">
        <v>598</v>
      </c>
      <c r="C641" s="5" t="s">
        <v>2232</v>
      </c>
      <c r="D641" s="6"/>
      <c r="E641" s="6"/>
      <c r="F641" s="6" t="s">
        <v>640</v>
      </c>
      <c r="G641" s="6"/>
      <c r="H641" s="6"/>
      <c r="I641" s="26" t="n">
        <v>0</v>
      </c>
      <c r="J641" s="26" t="n">
        <f aca="false">0</f>
        <v>0</v>
      </c>
      <c r="K641" s="43" t="str">
        <f aca="false">IF(I641=0,"No wiki control",IF(J641=I641,"Fully covered",IF(J641=0,"Not covered","Partly covered")))</f>
        <v>No wiki control</v>
      </c>
      <c r="L641" s="9" t="s">
        <v>2132</v>
      </c>
    </row>
    <row r="642" customFormat="false" ht="23.85" hidden="false" customHeight="false" outlineLevel="0" collapsed="false">
      <c r="A642" s="53" t="s">
        <v>600</v>
      </c>
      <c r="B642" s="53" t="s">
        <v>598</v>
      </c>
      <c r="C642" s="5" t="s">
        <v>2233</v>
      </c>
      <c r="D642" s="6"/>
      <c r="E642" s="6"/>
      <c r="F642" s="6" t="s">
        <v>640</v>
      </c>
      <c r="G642" s="6"/>
      <c r="H642" s="6"/>
      <c r="I642" s="26" t="n">
        <v>0</v>
      </c>
      <c r="J642" s="26" t="n">
        <f aca="false">0</f>
        <v>0</v>
      </c>
      <c r="K642" s="43" t="str">
        <f aca="false">IF(I642=0,"No wiki control",IF(J642=I642,"Fully covered",IF(J642=0,"Not covered","Partly covered")))</f>
        <v>No wiki control</v>
      </c>
      <c r="L642" s="9" t="s">
        <v>2132</v>
      </c>
    </row>
    <row r="643" customFormat="false" ht="23.85" hidden="false" customHeight="false" outlineLevel="0" collapsed="false">
      <c r="A643" s="53" t="s">
        <v>600</v>
      </c>
      <c r="B643" s="53" t="s">
        <v>598</v>
      </c>
      <c r="C643" s="5" t="s">
        <v>2234</v>
      </c>
      <c r="D643" s="6"/>
      <c r="E643" s="6"/>
      <c r="F643" s="6" t="s">
        <v>640</v>
      </c>
      <c r="G643" s="6"/>
      <c r="H643" s="6"/>
      <c r="I643" s="26" t="n">
        <v>0</v>
      </c>
      <c r="J643" s="26" t="n">
        <f aca="false">0</f>
        <v>0</v>
      </c>
      <c r="K643" s="43" t="str">
        <f aca="false">IF(I643=0,"No wiki control",IF(J643=I643,"Fully covered",IF(J643=0,"Not covered","Partly covered")))</f>
        <v>No wiki control</v>
      </c>
      <c r="L643" s="9" t="s">
        <v>2132</v>
      </c>
    </row>
    <row r="644" customFormat="false" ht="23.85" hidden="false" customHeight="false" outlineLevel="0" collapsed="false">
      <c r="A644" s="53" t="s">
        <v>600</v>
      </c>
      <c r="B644" s="53" t="s">
        <v>598</v>
      </c>
      <c r="C644" s="5" t="s">
        <v>2235</v>
      </c>
      <c r="D644" s="6"/>
      <c r="E644" s="6"/>
      <c r="F644" s="6" t="s">
        <v>640</v>
      </c>
      <c r="G644" s="6"/>
      <c r="H644" s="6"/>
      <c r="I644" s="26" t="n">
        <v>0</v>
      </c>
      <c r="J644" s="26" t="n">
        <f aca="false">0</f>
        <v>0</v>
      </c>
      <c r="K644" s="43" t="str">
        <f aca="false">IF(I644=0,"No wiki control",IF(J644=I644,"Fully covered",IF(J644=0,"Not covered","Partly covered")))</f>
        <v>No wiki control</v>
      </c>
      <c r="L644" s="9" t="s">
        <v>2132</v>
      </c>
    </row>
    <row r="645" customFormat="false" ht="23.85" hidden="false" customHeight="false" outlineLevel="0" collapsed="false">
      <c r="A645" s="53" t="s">
        <v>600</v>
      </c>
      <c r="B645" s="53" t="s">
        <v>598</v>
      </c>
      <c r="C645" s="5" t="s">
        <v>2236</v>
      </c>
      <c r="D645" s="6"/>
      <c r="E645" s="6"/>
      <c r="F645" s="6" t="s">
        <v>640</v>
      </c>
      <c r="G645" s="6"/>
      <c r="H645" s="6"/>
      <c r="I645" s="26" t="n">
        <v>0</v>
      </c>
      <c r="J645" s="26" t="n">
        <f aca="false">0</f>
        <v>0</v>
      </c>
      <c r="K645" s="43" t="str">
        <f aca="false">IF(I645=0,"No wiki control",IF(J645=I645,"Fully covered",IF(J645=0,"Not covered","Partly covered")))</f>
        <v>No wiki control</v>
      </c>
      <c r="L645" s="9" t="s">
        <v>2132</v>
      </c>
    </row>
    <row r="646" customFormat="false" ht="23.85" hidden="false" customHeight="false" outlineLevel="0" collapsed="false">
      <c r="A646" s="53" t="s">
        <v>600</v>
      </c>
      <c r="B646" s="53" t="s">
        <v>598</v>
      </c>
      <c r="C646" s="5" t="s">
        <v>2237</v>
      </c>
      <c r="D646" s="6"/>
      <c r="E646" s="6"/>
      <c r="F646" s="6" t="s">
        <v>640</v>
      </c>
      <c r="G646" s="6"/>
      <c r="H646" s="6"/>
      <c r="I646" s="26" t="n">
        <v>0</v>
      </c>
      <c r="J646" s="26" t="n">
        <f aca="false">0</f>
        <v>0</v>
      </c>
      <c r="K646" s="43" t="str">
        <f aca="false">IF(I646=0,"No wiki control",IF(J646=I646,"Fully covered",IF(J646=0,"Not covered","Partly covered")))</f>
        <v>No wiki control</v>
      </c>
      <c r="L646" s="9" t="s">
        <v>2132</v>
      </c>
    </row>
    <row r="647" customFormat="false" ht="23.85" hidden="false" customHeight="false" outlineLevel="0" collapsed="false">
      <c r="A647" s="53" t="s">
        <v>600</v>
      </c>
      <c r="B647" s="53" t="s">
        <v>598</v>
      </c>
      <c r="C647" s="5" t="s">
        <v>2238</v>
      </c>
      <c r="D647" s="6"/>
      <c r="E647" s="6"/>
      <c r="F647" s="6" t="s">
        <v>640</v>
      </c>
      <c r="G647" s="6"/>
      <c r="H647" s="6"/>
      <c r="I647" s="26" t="n">
        <v>0</v>
      </c>
      <c r="J647" s="26" t="n">
        <f aca="false">0</f>
        <v>0</v>
      </c>
      <c r="K647" s="43" t="str">
        <f aca="false">IF(I647=0,"No wiki control",IF(J647=I647,"Fully covered",IF(J647=0,"Not covered","Partly covered")))</f>
        <v>No wiki control</v>
      </c>
      <c r="L647" s="9" t="s">
        <v>2132</v>
      </c>
    </row>
    <row r="648" customFormat="false" ht="23.85" hidden="false" customHeight="false" outlineLevel="0" collapsed="false">
      <c r="A648" s="53" t="s">
        <v>600</v>
      </c>
      <c r="B648" s="53" t="s">
        <v>598</v>
      </c>
      <c r="C648" s="5" t="s">
        <v>2239</v>
      </c>
      <c r="D648" s="6"/>
      <c r="E648" s="6"/>
      <c r="F648" s="6" t="s">
        <v>640</v>
      </c>
      <c r="G648" s="6"/>
      <c r="H648" s="6"/>
      <c r="I648" s="26" t="n">
        <v>0</v>
      </c>
      <c r="J648" s="26" t="n">
        <f aca="false">0</f>
        <v>0</v>
      </c>
      <c r="K648" s="43" t="str">
        <f aca="false">IF(I648=0,"No wiki control",IF(J648=I648,"Fully covered",IF(J648=0,"Not covered","Partly covered")))</f>
        <v>No wiki control</v>
      </c>
      <c r="L648" s="9" t="s">
        <v>2132</v>
      </c>
    </row>
    <row r="649" customFormat="false" ht="23.85" hidden="false" customHeight="false" outlineLevel="0" collapsed="false">
      <c r="A649" s="53" t="s">
        <v>600</v>
      </c>
      <c r="B649" s="53" t="s">
        <v>598</v>
      </c>
      <c r="C649" s="5" t="s">
        <v>2240</v>
      </c>
      <c r="D649" s="6"/>
      <c r="E649" s="6"/>
      <c r="F649" s="6" t="s">
        <v>640</v>
      </c>
      <c r="G649" s="6"/>
      <c r="H649" s="6"/>
      <c r="I649" s="26" t="n">
        <v>0</v>
      </c>
      <c r="J649" s="26" t="n">
        <f aca="false">0</f>
        <v>0</v>
      </c>
      <c r="K649" s="43" t="str">
        <f aca="false">IF(I649=0,"No wiki control",IF(J649=I649,"Fully covered",IF(J649=0,"Not covered","Partly covered")))</f>
        <v>No wiki control</v>
      </c>
      <c r="L649" s="9" t="s">
        <v>2132</v>
      </c>
    </row>
    <row r="650" customFormat="false" ht="23.85" hidden="false" customHeight="false" outlineLevel="0" collapsed="false">
      <c r="A650" s="53" t="s">
        <v>600</v>
      </c>
      <c r="B650" s="53" t="s">
        <v>598</v>
      </c>
      <c r="C650" s="5" t="s">
        <v>2241</v>
      </c>
      <c r="D650" s="6"/>
      <c r="E650" s="6"/>
      <c r="F650" s="6" t="s">
        <v>640</v>
      </c>
      <c r="G650" s="6"/>
      <c r="H650" s="6"/>
      <c r="I650" s="26" t="n">
        <v>0</v>
      </c>
      <c r="J650" s="26" t="n">
        <f aca="false">0</f>
        <v>0</v>
      </c>
      <c r="K650" s="43" t="str">
        <f aca="false">IF(I650=0,"No wiki control",IF(J650=I650,"Fully covered",IF(J650=0,"Not covered","Partly covered")))</f>
        <v>No wiki control</v>
      </c>
      <c r="L650" s="9" t="s">
        <v>2132</v>
      </c>
    </row>
    <row r="651" customFormat="false" ht="23.85" hidden="false" customHeight="false" outlineLevel="0" collapsed="false">
      <c r="A651" s="53" t="s">
        <v>600</v>
      </c>
      <c r="B651" s="53" t="s">
        <v>598</v>
      </c>
      <c r="C651" s="5" t="s">
        <v>2242</v>
      </c>
      <c r="D651" s="6" t="s">
        <v>2243</v>
      </c>
      <c r="E651" s="6" t="s">
        <v>876</v>
      </c>
      <c r="F651" s="6" t="s">
        <v>730</v>
      </c>
      <c r="G651" s="6" t="s">
        <v>327</v>
      </c>
      <c r="H651" s="6"/>
      <c r="I651" s="26" t="n">
        <v>2</v>
      </c>
      <c r="J651" s="26" t="n">
        <f aca="false">COUNTIFS('Control Library'!$A$5:$A$50,"AI-CTRL-019",'Control Library'!$R$5:$R$50,"Implemented")+COUNTIFS('Control Library'!$A$5:$A$50,"AI-CTRL-029",'Control Library'!$R$5:$R$50,"Implemented")</f>
        <v>0</v>
      </c>
      <c r="K651" s="43" t="str">
        <f aca="false">IF(I651=0,"No wiki control",IF(J651=I651,"Fully covered",IF(J651=0,"Not covered","Partly covered")))</f>
        <v>Not covered</v>
      </c>
      <c r="L651" s="9" t="s">
        <v>2132</v>
      </c>
    </row>
    <row r="652" customFormat="false" ht="23.85" hidden="false" customHeight="false" outlineLevel="0" collapsed="false">
      <c r="A652" s="53" t="s">
        <v>600</v>
      </c>
      <c r="B652" s="53" t="s">
        <v>598</v>
      </c>
      <c r="C652" s="5" t="s">
        <v>2244</v>
      </c>
      <c r="D652" s="6" t="s">
        <v>2245</v>
      </c>
      <c r="E652" s="6" t="s">
        <v>486</v>
      </c>
      <c r="F652" s="6" t="s">
        <v>730</v>
      </c>
      <c r="G652" s="6" t="s">
        <v>490</v>
      </c>
      <c r="H652" s="6"/>
      <c r="I652" s="26" t="n">
        <v>1</v>
      </c>
      <c r="J652" s="26" t="n">
        <f aca="false">COUNTIFS('Control Library'!$A$5:$A$50,"AI-CTRL-039",'Control Library'!$R$5:$R$50,"Implemented")</f>
        <v>0</v>
      </c>
      <c r="K652" s="43" t="str">
        <f aca="false">IF(I652=0,"No wiki control",IF(J652=I652,"Fully covered",IF(J652=0,"Not covered","Partly covered")))</f>
        <v>Not covered</v>
      </c>
      <c r="L652" s="9" t="s">
        <v>2132</v>
      </c>
    </row>
    <row r="653" customFormat="false" ht="23.85" hidden="false" customHeight="false" outlineLevel="0" collapsed="false">
      <c r="A653" s="53" t="s">
        <v>600</v>
      </c>
      <c r="B653" s="53" t="s">
        <v>598</v>
      </c>
      <c r="C653" s="5" t="s">
        <v>2246</v>
      </c>
      <c r="D653" s="6" t="s">
        <v>2247</v>
      </c>
      <c r="E653" s="6" t="s">
        <v>2248</v>
      </c>
      <c r="F653" s="6" t="s">
        <v>730</v>
      </c>
      <c r="G653" s="6" t="s">
        <v>2249</v>
      </c>
      <c r="H653" s="6"/>
      <c r="I653" s="26" t="n">
        <v>2</v>
      </c>
      <c r="J653" s="26" t="n">
        <f aca="false">COUNTIFS('Control Library'!$A$5:$A$50,"AI-CTRL-020",'Control Library'!$R$5:$R$50,"Implemented")+COUNTIFS('Control Library'!$A$5:$A$50,"AI-CTRL-039",'Control Library'!$R$5:$R$50,"Implemented")</f>
        <v>0</v>
      </c>
      <c r="K653" s="43" t="str">
        <f aca="false">IF(I653=0,"No wiki control",IF(J653=I653,"Fully covered",IF(J653=0,"Not covered","Partly covered")))</f>
        <v>Not covered</v>
      </c>
      <c r="L653" s="9" t="s">
        <v>2132</v>
      </c>
    </row>
    <row r="654" customFormat="false" ht="23.85" hidden="false" customHeight="false" outlineLevel="0" collapsed="false">
      <c r="A654" s="53" t="s">
        <v>600</v>
      </c>
      <c r="B654" s="53" t="s">
        <v>598</v>
      </c>
      <c r="C654" s="5" t="s">
        <v>2250</v>
      </c>
      <c r="D654" s="6" t="s">
        <v>2251</v>
      </c>
      <c r="E654" s="6" t="s">
        <v>380</v>
      </c>
      <c r="F654" s="6" t="s">
        <v>730</v>
      </c>
      <c r="G654" s="6" t="s">
        <v>383</v>
      </c>
      <c r="H654" s="6"/>
      <c r="I654" s="26" t="n">
        <v>1</v>
      </c>
      <c r="J654" s="26" t="n">
        <f aca="false">COUNTIFS('Control Library'!$A$5:$A$50,"AI-CTRL-026",'Control Library'!$R$5:$R$50,"Implemented")</f>
        <v>0</v>
      </c>
      <c r="K654" s="43" t="str">
        <f aca="false">IF(I654=0,"No wiki control",IF(J654=I654,"Fully covered",IF(J654=0,"Not covered","Partly covered")))</f>
        <v>Not covered</v>
      </c>
      <c r="L654" s="9" t="s">
        <v>2132</v>
      </c>
    </row>
    <row r="655" customFormat="false" ht="46.25" hidden="false" customHeight="false" outlineLevel="0" collapsed="false">
      <c r="A655" s="53" t="s">
        <v>601</v>
      </c>
      <c r="B655" s="53" t="s">
        <v>598</v>
      </c>
      <c r="C655" s="5" t="s">
        <v>2252</v>
      </c>
      <c r="D655" s="6" t="s">
        <v>2253</v>
      </c>
      <c r="E655" s="6" t="s">
        <v>2254</v>
      </c>
      <c r="F655" s="6" t="s">
        <v>730</v>
      </c>
      <c r="G655" s="6" t="s">
        <v>2255</v>
      </c>
      <c r="H655" s="6" t="s">
        <v>642</v>
      </c>
      <c r="I655" s="26" t="n">
        <v>2</v>
      </c>
      <c r="J655" s="26" t="n">
        <f aca="false">COUNTIFS('Control Library'!$A$5:$A$50,"AI-CTRL-012",'Control Library'!$R$5:$R$50,"Implemented")+COUNTIFS('Control Library'!$A$5:$A$50,"AI-CTRL-033",'Control Library'!$R$5:$R$50,"Implemented")</f>
        <v>0</v>
      </c>
      <c r="K655" s="43" t="str">
        <f aca="false">IF(I655=0,"No wiki control",IF(J655=I655,"Fully covered",IF(J655=0,"Not covered","Partly covered")))</f>
        <v>Not covered</v>
      </c>
      <c r="L655" s="9" t="s">
        <v>2256</v>
      </c>
    </row>
    <row r="656" customFormat="false" ht="23.85" hidden="false" customHeight="false" outlineLevel="0" collapsed="false">
      <c r="A656" s="53" t="s">
        <v>601</v>
      </c>
      <c r="B656" s="53" t="s">
        <v>598</v>
      </c>
      <c r="C656" s="5" t="s">
        <v>2257</v>
      </c>
      <c r="D656" s="6" t="s">
        <v>2258</v>
      </c>
      <c r="E656" s="6" t="s">
        <v>973</v>
      </c>
      <c r="F656" s="6" t="s">
        <v>730</v>
      </c>
      <c r="G656" s="6" t="s">
        <v>266</v>
      </c>
      <c r="H656" s="6" t="s">
        <v>642</v>
      </c>
      <c r="I656" s="26" t="n">
        <v>2</v>
      </c>
      <c r="J656" s="26" t="n">
        <f aca="false">COUNTIFS('Control Library'!$A$5:$A$50,"AI-CTRL-012",'Control Library'!$R$5:$R$50,"Implemented")+COUNTIFS('Control Library'!$A$5:$A$50,"AI-CTRL-044",'Control Library'!$R$5:$R$50,"Implemented")</f>
        <v>0</v>
      </c>
      <c r="K656" s="43" t="str">
        <f aca="false">IF(I656=0,"No wiki control",IF(J656=I656,"Fully covered",IF(J656=0,"Not covered","Partly covered")))</f>
        <v>Not covered</v>
      </c>
      <c r="L656" s="9" t="s">
        <v>2256</v>
      </c>
    </row>
    <row r="657" customFormat="false" ht="23.85" hidden="false" customHeight="false" outlineLevel="0" collapsed="false">
      <c r="A657" s="53" t="s">
        <v>601</v>
      </c>
      <c r="B657" s="53" t="s">
        <v>598</v>
      </c>
      <c r="C657" s="5" t="s">
        <v>2259</v>
      </c>
      <c r="D657" s="6" t="s">
        <v>2260</v>
      </c>
      <c r="E657" s="6" t="s">
        <v>1812</v>
      </c>
      <c r="F657" s="6" t="s">
        <v>730</v>
      </c>
      <c r="G657" s="6" t="s">
        <v>1813</v>
      </c>
      <c r="H657" s="6" t="s">
        <v>642</v>
      </c>
      <c r="I657" s="26" t="n">
        <v>2</v>
      </c>
      <c r="J657" s="26" t="n">
        <f aca="false">COUNTIFS('Control Library'!$A$5:$A$50,"AI-CTRL-004",'Control Library'!$R$5:$R$50,"Implemented")+COUNTIFS('Control Library'!$A$5:$A$50,"AI-CTRL-030",'Control Library'!$R$5:$R$50,"Implemented")</f>
        <v>0</v>
      </c>
      <c r="K657" s="43" t="str">
        <f aca="false">IF(I657=0,"No wiki control",IF(J657=I657,"Fully covered",IF(J657=0,"Not covered","Partly covered")))</f>
        <v>Not covered</v>
      </c>
      <c r="L657" s="9" t="s">
        <v>2256</v>
      </c>
    </row>
    <row r="658" customFormat="false" ht="35.05" hidden="false" customHeight="false" outlineLevel="0" collapsed="false">
      <c r="A658" s="53" t="s">
        <v>601</v>
      </c>
      <c r="B658" s="53" t="s">
        <v>598</v>
      </c>
      <c r="C658" s="5" t="s">
        <v>2261</v>
      </c>
      <c r="D658" s="6" t="s">
        <v>2262</v>
      </c>
      <c r="E658" s="6" t="s">
        <v>759</v>
      </c>
      <c r="F658" s="6" t="s">
        <v>730</v>
      </c>
      <c r="G658" s="6" t="s">
        <v>760</v>
      </c>
      <c r="H658" s="6" t="s">
        <v>642</v>
      </c>
      <c r="I658" s="26" t="n">
        <v>2</v>
      </c>
      <c r="J658" s="26" t="n">
        <f aca="false">COUNTIFS('Control Library'!$A$5:$A$50,"AI-CTRL-033",'Control Library'!$R$5:$R$50,"Implemented")+COUNTIFS('Control Library'!$A$5:$A$50,"AI-CTRL-034",'Control Library'!$R$5:$R$50,"Implemented")</f>
        <v>0</v>
      </c>
      <c r="K658" s="43" t="str">
        <f aca="false">IF(I658=0,"No wiki control",IF(J658=I658,"Fully covered",IF(J658=0,"Not covered","Partly covered")))</f>
        <v>Not covered</v>
      </c>
      <c r="L658" s="9" t="s">
        <v>2256</v>
      </c>
    </row>
    <row r="659" customFormat="false" ht="35.05" hidden="false" customHeight="false" outlineLevel="0" collapsed="false">
      <c r="A659" s="53" t="s">
        <v>601</v>
      </c>
      <c r="B659" s="53" t="s">
        <v>598</v>
      </c>
      <c r="C659" s="5" t="s">
        <v>2263</v>
      </c>
      <c r="D659" s="6" t="s">
        <v>2264</v>
      </c>
      <c r="E659" s="6" t="s">
        <v>2265</v>
      </c>
      <c r="F659" s="6" t="s">
        <v>730</v>
      </c>
      <c r="G659" s="6" t="s">
        <v>2266</v>
      </c>
      <c r="H659" s="6" t="s">
        <v>642</v>
      </c>
      <c r="I659" s="26" t="n">
        <v>4</v>
      </c>
      <c r="J659" s="26" t="n">
        <f aca="false">COUNTIFS('Control Library'!$A$5:$A$50,"AI-CTRL-009",'Control Library'!$R$5:$R$50,"Implemented")+COUNTIFS('Control Library'!$A$5:$A$50,"AI-CTRL-016",'Control Library'!$R$5:$R$50,"Implemented")+COUNTIFS('Control Library'!$A$5:$A$50,"AI-CTRL-027",'Control Library'!$R$5:$R$50,"Implemented")+COUNTIFS('Control Library'!$A$5:$A$50,"AI-CTRL-030",'Control Library'!$R$5:$R$50,"Implemented")</f>
        <v>0</v>
      </c>
      <c r="K659" s="43" t="str">
        <f aca="false">IF(I659=0,"No wiki control",IF(J659=I659,"Fully covered",IF(J659=0,"Not covered","Partly covered")))</f>
        <v>Not covered</v>
      </c>
      <c r="L659" s="9" t="s">
        <v>2256</v>
      </c>
    </row>
    <row r="660" customFormat="false" ht="23.85" hidden="false" customHeight="false" outlineLevel="0" collapsed="false">
      <c r="A660" s="53" t="s">
        <v>601</v>
      </c>
      <c r="B660" s="53" t="s">
        <v>598</v>
      </c>
      <c r="C660" s="5" t="s">
        <v>2267</v>
      </c>
      <c r="D660" s="6" t="s">
        <v>2268</v>
      </c>
      <c r="E660" s="6" t="s">
        <v>1302</v>
      </c>
      <c r="F660" s="6" t="s">
        <v>730</v>
      </c>
      <c r="G660" s="6" t="s">
        <v>399</v>
      </c>
      <c r="H660" s="6" t="s">
        <v>642</v>
      </c>
      <c r="I660" s="26" t="n">
        <v>2</v>
      </c>
      <c r="J660" s="26" t="n">
        <f aca="false">COUNTIFS('Control Library'!$A$5:$A$50,"AI-CTRL-028",'Control Library'!$R$5:$R$50,"Implemented")+COUNTIFS('Control Library'!$A$5:$A$50,"AI-CTRL-030",'Control Library'!$R$5:$R$50,"Implemented")</f>
        <v>0</v>
      </c>
      <c r="K660" s="43" t="str">
        <f aca="false">IF(I660=0,"No wiki control",IF(J660=I660,"Fully covered",IF(J660=0,"Not covered","Partly covered")))</f>
        <v>Not covered</v>
      </c>
      <c r="L660" s="9" t="s">
        <v>2256</v>
      </c>
    </row>
    <row r="661" customFormat="false" ht="23.85" hidden="false" customHeight="false" outlineLevel="0" collapsed="false">
      <c r="A661" s="53" t="s">
        <v>601</v>
      </c>
      <c r="B661" s="53" t="s">
        <v>598</v>
      </c>
      <c r="C661" s="5" t="s">
        <v>2269</v>
      </c>
      <c r="D661" s="6" t="s">
        <v>2270</v>
      </c>
      <c r="E661" s="6" t="s">
        <v>2271</v>
      </c>
      <c r="F661" s="6" t="s">
        <v>730</v>
      </c>
      <c r="G661" s="6" t="s">
        <v>424</v>
      </c>
      <c r="H661" s="6" t="s">
        <v>642</v>
      </c>
      <c r="I661" s="26" t="n">
        <v>2</v>
      </c>
      <c r="J661" s="26" t="n">
        <f aca="false">COUNTIFS('Control Library'!$A$5:$A$50,"AI-CTRL-030",'Control Library'!$R$5:$R$50,"Implemented")+COUNTIFS('Control Library'!$A$5:$A$50,"AI-CTRL-031",'Control Library'!$R$5:$R$50,"Implemented")</f>
        <v>0</v>
      </c>
      <c r="K661" s="43" t="str">
        <f aca="false">IF(I661=0,"No wiki control",IF(J661=I661,"Fully covered",IF(J661=0,"Not covered","Partly covered")))</f>
        <v>Not covered</v>
      </c>
      <c r="L661" s="9" t="s">
        <v>2256</v>
      </c>
    </row>
    <row r="662" customFormat="false" ht="23.85" hidden="false" customHeight="false" outlineLevel="0" collapsed="false">
      <c r="A662" s="53" t="s">
        <v>601</v>
      </c>
      <c r="B662" s="53" t="s">
        <v>598</v>
      </c>
      <c r="C662" s="5" t="s">
        <v>2272</v>
      </c>
      <c r="D662" s="6" t="s">
        <v>2273</v>
      </c>
      <c r="E662" s="6" t="s">
        <v>2274</v>
      </c>
      <c r="F662" s="6" t="s">
        <v>730</v>
      </c>
      <c r="G662" s="6" t="s">
        <v>2275</v>
      </c>
      <c r="H662" s="6" t="s">
        <v>657</v>
      </c>
      <c r="I662" s="26" t="n">
        <v>2</v>
      </c>
      <c r="J662" s="26" t="n">
        <f aca="false">COUNTIFS('Control Library'!$A$5:$A$50,"AI-CTRL-008",'Control Library'!$R$5:$R$50,"Implemented")+COUNTIFS('Control Library'!$A$5:$A$50,"AI-CTRL-031",'Control Library'!$R$5:$R$50,"Implemented")</f>
        <v>0</v>
      </c>
      <c r="K662" s="43" t="str">
        <f aca="false">IF(I662=0,"No wiki control",IF(J662=I662,"Fully covered",IF(J662=0,"Not covered","Partly covered")))</f>
        <v>Not covered</v>
      </c>
      <c r="L662" s="9" t="s">
        <v>2256</v>
      </c>
    </row>
    <row r="663" customFormat="false" ht="35.05" hidden="false" customHeight="false" outlineLevel="0" collapsed="false">
      <c r="A663" s="53" t="s">
        <v>601</v>
      </c>
      <c r="B663" s="53" t="s">
        <v>598</v>
      </c>
      <c r="C663" s="5" t="s">
        <v>2276</v>
      </c>
      <c r="D663" s="6" t="s">
        <v>2277</v>
      </c>
      <c r="E663" s="6" t="s">
        <v>2278</v>
      </c>
      <c r="F663" s="6" t="s">
        <v>730</v>
      </c>
      <c r="G663" s="6" t="s">
        <v>2279</v>
      </c>
      <c r="H663" s="6" t="s">
        <v>642</v>
      </c>
      <c r="I663" s="26" t="n">
        <v>2</v>
      </c>
      <c r="J663" s="26" t="n">
        <f aca="false">COUNTIFS('Control Library'!$A$5:$A$50,"AI-CTRL-033",'Control Library'!$R$5:$R$50,"Implemented")+COUNTIFS('Control Library'!$A$5:$A$50,"AI-CTRL-037",'Control Library'!$R$5:$R$50,"Implemented")</f>
        <v>0</v>
      </c>
      <c r="K663" s="43" t="str">
        <f aca="false">IF(I663=0,"No wiki control",IF(J663=I663,"Fully covered",IF(J663=0,"Not covered","Partly covered")))</f>
        <v>Not covered</v>
      </c>
      <c r="L663" s="9" t="s">
        <v>2256</v>
      </c>
    </row>
    <row r="664" customFormat="false" ht="23.85" hidden="false" customHeight="false" outlineLevel="0" collapsed="false">
      <c r="A664" s="53" t="s">
        <v>601</v>
      </c>
      <c r="B664" s="53" t="s">
        <v>598</v>
      </c>
      <c r="C664" s="5" t="s">
        <v>2280</v>
      </c>
      <c r="D664" s="6" t="s">
        <v>2281</v>
      </c>
      <c r="E664" s="6" t="s">
        <v>435</v>
      </c>
      <c r="F664" s="6" t="s">
        <v>730</v>
      </c>
      <c r="G664" s="6" t="s">
        <v>439</v>
      </c>
      <c r="H664" s="6" t="s">
        <v>642</v>
      </c>
      <c r="I664" s="26" t="n">
        <v>1</v>
      </c>
      <c r="J664" s="26" t="n">
        <f aca="false">COUNTIFS('Control Library'!$A$5:$A$50,"AI-CTRL-033",'Control Library'!$R$5:$R$50,"Implemented")</f>
        <v>0</v>
      </c>
      <c r="K664" s="43" t="str">
        <f aca="false">IF(I664=0,"No wiki control",IF(J664=I664,"Fully covered",IF(J664=0,"Not covered","Partly covered")))</f>
        <v>Not covered</v>
      </c>
      <c r="L664" s="9" t="s">
        <v>2256</v>
      </c>
    </row>
    <row r="665" customFormat="false" ht="35.05" hidden="false" customHeight="false" outlineLevel="0" collapsed="false">
      <c r="A665" s="53" t="s">
        <v>601</v>
      </c>
      <c r="B665" s="53" t="s">
        <v>598</v>
      </c>
      <c r="C665" s="5" t="s">
        <v>2282</v>
      </c>
      <c r="D665" s="6" t="s">
        <v>2283</v>
      </c>
      <c r="E665" s="6" t="s">
        <v>876</v>
      </c>
      <c r="F665" s="6" t="s">
        <v>730</v>
      </c>
      <c r="G665" s="6" t="s">
        <v>327</v>
      </c>
      <c r="H665" s="6" t="s">
        <v>642</v>
      </c>
      <c r="I665" s="26" t="n">
        <v>2</v>
      </c>
      <c r="J665" s="26" t="n">
        <f aca="false">COUNTIFS('Control Library'!$A$5:$A$50,"AI-CTRL-019",'Control Library'!$R$5:$R$50,"Implemented")+COUNTIFS('Control Library'!$A$5:$A$50,"AI-CTRL-029",'Control Library'!$R$5:$R$50,"Implemented")</f>
        <v>0</v>
      </c>
      <c r="K665" s="43" t="str">
        <f aca="false">IF(I665=0,"No wiki control",IF(J665=I665,"Fully covered",IF(J665=0,"Not covered","Partly covered")))</f>
        <v>Not covered</v>
      </c>
      <c r="L665" s="9" t="s">
        <v>2256</v>
      </c>
    </row>
    <row r="666" customFormat="false" ht="23.85" hidden="false" customHeight="false" outlineLevel="0" collapsed="false">
      <c r="A666" s="53" t="s">
        <v>601</v>
      </c>
      <c r="B666" s="53" t="s">
        <v>598</v>
      </c>
      <c r="C666" s="5" t="s">
        <v>2284</v>
      </c>
      <c r="D666" s="6" t="s">
        <v>2285</v>
      </c>
      <c r="E666" s="6" t="s">
        <v>2007</v>
      </c>
      <c r="F666" s="6" t="s">
        <v>730</v>
      </c>
      <c r="G666" s="6" t="s">
        <v>1444</v>
      </c>
      <c r="H666" s="6" t="s">
        <v>642</v>
      </c>
      <c r="I666" s="26" t="n">
        <v>2</v>
      </c>
      <c r="J666" s="26" t="n">
        <f aca="false">COUNTIFS('Control Library'!$A$5:$A$50,"AI-CTRL-014",'Control Library'!$R$5:$R$50,"Implemented")+COUNTIFS('Control Library'!$A$5:$A$50,"AI-CTRL-031",'Control Library'!$R$5:$R$50,"Implemented")</f>
        <v>0</v>
      </c>
      <c r="K666" s="43" t="str">
        <f aca="false">IF(I666=0,"No wiki control",IF(J666=I666,"Fully covered",IF(J666=0,"Not covered","Partly covered")))</f>
        <v>Not covered</v>
      </c>
      <c r="L666" s="9" t="s">
        <v>2256</v>
      </c>
    </row>
    <row r="667" customFormat="false" ht="23.85" hidden="false" customHeight="false" outlineLevel="0" collapsed="false">
      <c r="A667" s="53" t="s">
        <v>601</v>
      </c>
      <c r="B667" s="53" t="s">
        <v>598</v>
      </c>
      <c r="C667" s="5" t="s">
        <v>2286</v>
      </c>
      <c r="D667" s="6" t="s">
        <v>2287</v>
      </c>
      <c r="E667" s="6" t="s">
        <v>1876</v>
      </c>
      <c r="F667" s="6" t="s">
        <v>730</v>
      </c>
      <c r="G667" s="6" t="s">
        <v>1877</v>
      </c>
      <c r="H667" s="6" t="s">
        <v>642</v>
      </c>
      <c r="I667" s="26" t="n">
        <v>2</v>
      </c>
      <c r="J667" s="26" t="n">
        <f aca="false">COUNTIFS('Control Library'!$A$5:$A$50,"AI-CTRL-004",'Control Library'!$R$5:$R$50,"Implemented")+COUNTIFS('Control Library'!$A$5:$A$50,"AI-CTRL-020",'Control Library'!$R$5:$R$50,"Implemented")</f>
        <v>0</v>
      </c>
      <c r="K667" s="43" t="str">
        <f aca="false">IF(I667=0,"No wiki control",IF(J667=I667,"Fully covered",IF(J667=0,"Not covered","Partly covered")))</f>
        <v>Not covered</v>
      </c>
      <c r="L667" s="9" t="s">
        <v>2256</v>
      </c>
    </row>
    <row r="668" customFormat="false" ht="23.85" hidden="false" customHeight="false" outlineLevel="0" collapsed="false">
      <c r="A668" s="53" t="s">
        <v>601</v>
      </c>
      <c r="B668" s="53" t="s">
        <v>598</v>
      </c>
      <c r="C668" s="5" t="s">
        <v>2288</v>
      </c>
      <c r="D668" s="6" t="s">
        <v>2289</v>
      </c>
      <c r="E668" s="6" t="s">
        <v>413</v>
      </c>
      <c r="F668" s="6" t="s">
        <v>730</v>
      </c>
      <c r="G668" s="6" t="s">
        <v>399</v>
      </c>
      <c r="H668" s="6" t="s">
        <v>657</v>
      </c>
      <c r="I668" s="26" t="n">
        <v>1</v>
      </c>
      <c r="J668" s="26" t="n">
        <f aca="false">COUNTIFS('Control Library'!$A$5:$A$50,"AI-CTRL-030",'Control Library'!$R$5:$R$50,"Implemented")</f>
        <v>0</v>
      </c>
      <c r="K668" s="43" t="str">
        <f aca="false">IF(I668=0,"No wiki control",IF(J668=I668,"Fully covered",IF(J668=0,"Not covered","Partly covered")))</f>
        <v>Not covered</v>
      </c>
      <c r="L668" s="9" t="s">
        <v>2256</v>
      </c>
    </row>
    <row r="669" customFormat="false" ht="35.05" hidden="false" customHeight="false" outlineLevel="0" collapsed="false">
      <c r="A669" s="53" t="s">
        <v>601</v>
      </c>
      <c r="B669" s="53" t="s">
        <v>598</v>
      </c>
      <c r="C669" s="5" t="s">
        <v>2290</v>
      </c>
      <c r="D669" s="6" t="s">
        <v>2291</v>
      </c>
      <c r="E669" s="6" t="s">
        <v>2292</v>
      </c>
      <c r="F669" s="6" t="s">
        <v>730</v>
      </c>
      <c r="G669" s="6" t="s">
        <v>2293</v>
      </c>
      <c r="H669" s="6" t="s">
        <v>642</v>
      </c>
      <c r="I669" s="26" t="n">
        <v>2</v>
      </c>
      <c r="J669" s="26" t="n">
        <f aca="false">COUNTIFS('Control Library'!$A$5:$A$50,"AI-CTRL-031",'Control Library'!$R$5:$R$50,"Implemented")+COUNTIFS('Control Library'!$A$5:$A$50,"AI-CTRL-033",'Control Library'!$R$5:$R$50,"Implemented")</f>
        <v>0</v>
      </c>
      <c r="K669" s="43" t="str">
        <f aca="false">IF(I669=0,"No wiki control",IF(J669=I669,"Fully covered",IF(J669=0,"Not covered","Partly covered")))</f>
        <v>Not covered</v>
      </c>
      <c r="L669" s="9" t="s">
        <v>2256</v>
      </c>
    </row>
    <row r="670" customFormat="false" ht="23.85" hidden="false" customHeight="false" outlineLevel="0" collapsed="false">
      <c r="A670" s="53" t="s">
        <v>601</v>
      </c>
      <c r="B670" s="53" t="s">
        <v>598</v>
      </c>
      <c r="C670" s="5" t="s">
        <v>2294</v>
      </c>
      <c r="D670" s="6" t="s">
        <v>2295</v>
      </c>
      <c r="E670" s="6" t="s">
        <v>444</v>
      </c>
      <c r="F670" s="6" t="s">
        <v>730</v>
      </c>
      <c r="G670" s="6" t="s">
        <v>447</v>
      </c>
      <c r="H670" s="6" t="s">
        <v>642</v>
      </c>
      <c r="I670" s="26" t="n">
        <v>1</v>
      </c>
      <c r="J670" s="26" t="n">
        <f aca="false">COUNTIFS('Control Library'!$A$5:$A$50,"AI-CTRL-034",'Control Library'!$R$5:$R$50,"Implemented")</f>
        <v>0</v>
      </c>
      <c r="K670" s="43" t="str">
        <f aca="false">IF(I670=0,"No wiki control",IF(J670=I670,"Fully covered",IF(J670=0,"Not covered","Partly covered")))</f>
        <v>Not covered</v>
      </c>
      <c r="L670" s="9" t="s">
        <v>2256</v>
      </c>
    </row>
    <row r="671" customFormat="false" ht="23.85" hidden="false" customHeight="false" outlineLevel="0" collapsed="false">
      <c r="A671" s="53" t="s">
        <v>601</v>
      </c>
      <c r="B671" s="53" t="s">
        <v>598</v>
      </c>
      <c r="C671" s="5" t="s">
        <v>2296</v>
      </c>
      <c r="D671" s="6" t="s">
        <v>2297</v>
      </c>
      <c r="E671" s="6" t="s">
        <v>2298</v>
      </c>
      <c r="F671" s="6" t="s">
        <v>730</v>
      </c>
      <c r="G671" s="6" t="s">
        <v>2299</v>
      </c>
      <c r="H671" s="6" t="s">
        <v>657</v>
      </c>
      <c r="I671" s="26" t="n">
        <v>2</v>
      </c>
      <c r="J671" s="26" t="n">
        <f aca="false">COUNTIFS('Control Library'!$A$5:$A$50,"AI-CTRL-005",'Control Library'!$R$5:$R$50,"Implemented")+COUNTIFS('Control Library'!$A$5:$A$50,"AI-CTRL-032",'Control Library'!$R$5:$R$50,"Implemented")</f>
        <v>0</v>
      </c>
      <c r="K671" s="43" t="str">
        <f aca="false">IF(I671=0,"No wiki control",IF(J671=I671,"Fully covered",IF(J671=0,"Not covered","Partly covered")))</f>
        <v>Not covered</v>
      </c>
      <c r="L671" s="9" t="s">
        <v>2256</v>
      </c>
    </row>
    <row r="672" customFormat="false" ht="23.85" hidden="false" customHeight="false" outlineLevel="0" collapsed="false">
      <c r="A672" s="53" t="s">
        <v>601</v>
      </c>
      <c r="B672" s="53" t="s">
        <v>598</v>
      </c>
      <c r="C672" s="5" t="s">
        <v>2300</v>
      </c>
      <c r="D672" s="6" t="s">
        <v>2301</v>
      </c>
      <c r="E672" s="6" t="s">
        <v>2302</v>
      </c>
      <c r="F672" s="6" t="s">
        <v>730</v>
      </c>
      <c r="G672" s="6" t="s">
        <v>1032</v>
      </c>
      <c r="H672" s="6" t="s">
        <v>642</v>
      </c>
      <c r="I672" s="26" t="n">
        <v>2</v>
      </c>
      <c r="J672" s="26" t="n">
        <f aca="false">COUNTIFS('Control Library'!$A$5:$A$50,"AI-CTRL-009",'Control Library'!$R$5:$R$50,"Implemented")+COUNTIFS('Control Library'!$A$5:$A$50,"AI-CTRL-034",'Control Library'!$R$5:$R$50,"Implemented")</f>
        <v>0</v>
      </c>
      <c r="K672" s="43" t="str">
        <f aca="false">IF(I672=0,"No wiki control",IF(J672=I672,"Fully covered",IF(J672=0,"Not covered","Partly covered")))</f>
        <v>Not covered</v>
      </c>
      <c r="L672" s="9" t="s">
        <v>2256</v>
      </c>
    </row>
    <row r="673" customFormat="false" ht="23.85" hidden="false" customHeight="false" outlineLevel="0" collapsed="false">
      <c r="A673" s="53" t="s">
        <v>601</v>
      </c>
      <c r="B673" s="53" t="s">
        <v>598</v>
      </c>
      <c r="C673" s="5" t="s">
        <v>2303</v>
      </c>
      <c r="D673" s="6" t="s">
        <v>2304</v>
      </c>
      <c r="E673" s="6" t="s">
        <v>2305</v>
      </c>
      <c r="F673" s="6" t="s">
        <v>730</v>
      </c>
      <c r="G673" s="6" t="s">
        <v>2306</v>
      </c>
      <c r="H673" s="6" t="s">
        <v>642</v>
      </c>
      <c r="I673" s="26" t="n">
        <v>2</v>
      </c>
      <c r="J673" s="26" t="n">
        <f aca="false">COUNTIFS('Control Library'!$A$5:$A$50,"AI-CTRL-035",'Control Library'!$R$5:$R$50,"Implemented")+COUNTIFS('Control Library'!$A$5:$A$50,"AI-CTRL-037",'Control Library'!$R$5:$R$50,"Implemented")</f>
        <v>0</v>
      </c>
      <c r="K673" s="43" t="str">
        <f aca="false">IF(I673=0,"No wiki control",IF(J673=I673,"Fully covered",IF(J673=0,"Not covered","Partly covered")))</f>
        <v>Not covered</v>
      </c>
      <c r="L673" s="9" t="s">
        <v>2256</v>
      </c>
    </row>
    <row r="674" customFormat="false" ht="23.85" hidden="false" customHeight="false" outlineLevel="0" collapsed="false">
      <c r="A674" s="53" t="s">
        <v>601</v>
      </c>
      <c r="B674" s="53" t="s">
        <v>598</v>
      </c>
      <c r="C674" s="5" t="s">
        <v>2307</v>
      </c>
      <c r="D674" s="6" t="s">
        <v>2308</v>
      </c>
      <c r="E674" s="6" t="s">
        <v>453</v>
      </c>
      <c r="F674" s="6" t="s">
        <v>730</v>
      </c>
      <c r="G674" s="6" t="s">
        <v>456</v>
      </c>
      <c r="H674" s="6" t="s">
        <v>642</v>
      </c>
      <c r="I674" s="26" t="n">
        <v>1</v>
      </c>
      <c r="J674" s="26" t="n">
        <f aca="false">COUNTIFS('Control Library'!$A$5:$A$50,"AI-CTRL-035",'Control Library'!$R$5:$R$50,"Implemented")</f>
        <v>0</v>
      </c>
      <c r="K674" s="43" t="str">
        <f aca="false">IF(I674=0,"No wiki control",IF(J674=I674,"Fully covered",IF(J674=0,"Not covered","Partly covered")))</f>
        <v>Not covered</v>
      </c>
      <c r="L674" s="9" t="s">
        <v>2256</v>
      </c>
    </row>
    <row r="675" customFormat="false" ht="46.25" hidden="false" customHeight="false" outlineLevel="0" collapsed="false">
      <c r="A675" s="53" t="s">
        <v>602</v>
      </c>
      <c r="B675" s="53" t="s">
        <v>598</v>
      </c>
      <c r="C675" s="5" t="s">
        <v>2309</v>
      </c>
      <c r="D675" s="6" t="s">
        <v>2310</v>
      </c>
      <c r="E675" s="6" t="s">
        <v>2311</v>
      </c>
      <c r="F675" s="6" t="s">
        <v>730</v>
      </c>
      <c r="G675" s="6" t="s">
        <v>2312</v>
      </c>
      <c r="H675" s="6" t="s">
        <v>642</v>
      </c>
      <c r="I675" s="26" t="n">
        <v>2</v>
      </c>
      <c r="J675" s="26" t="n">
        <f aca="false">COUNTIFS('Control Library'!$A$5:$A$50,"AI-CTRL-011",'Control Library'!$R$5:$R$50,"Implemented")+COUNTIFS('Control Library'!$A$5:$A$50,"AI-CTRL-017",'Control Library'!$R$5:$R$50,"Implemented")</f>
        <v>0</v>
      </c>
      <c r="K675" s="43" t="str">
        <f aca="false">IF(I675=0,"No wiki control",IF(J675=I675,"Fully covered",IF(J675=0,"Not covered","Partly covered")))</f>
        <v>Not covered</v>
      </c>
      <c r="L675" s="9" t="s">
        <v>2313</v>
      </c>
    </row>
    <row r="676" customFormat="false" ht="46.25" hidden="false" customHeight="false" outlineLevel="0" collapsed="false">
      <c r="A676" s="53" t="s">
        <v>602</v>
      </c>
      <c r="B676" s="53" t="s">
        <v>598</v>
      </c>
      <c r="C676" s="5" t="s">
        <v>2314</v>
      </c>
      <c r="D676" s="6" t="s">
        <v>2315</v>
      </c>
      <c r="E676" s="6" t="s">
        <v>2316</v>
      </c>
      <c r="F676" s="6" t="s">
        <v>730</v>
      </c>
      <c r="G676" s="6" t="s">
        <v>2317</v>
      </c>
      <c r="H676" s="6" t="s">
        <v>642</v>
      </c>
      <c r="I676" s="26" t="n">
        <v>3</v>
      </c>
      <c r="J676" s="26" t="n">
        <f aca="false">COUNTIFS('Control Library'!$A$5:$A$50,"AI-CTRL-004",'Control Library'!$R$5:$R$50,"Implemented")+COUNTIFS('Control Library'!$A$5:$A$50,"AI-CTRL-033",'Control Library'!$R$5:$R$50,"Implemented")+COUNTIFS('Control Library'!$A$5:$A$50,"AI-CTRL-034",'Control Library'!$R$5:$R$50,"Implemented")</f>
        <v>0</v>
      </c>
      <c r="K676" s="43" t="str">
        <f aca="false">IF(I676=0,"No wiki control",IF(J676=I676,"Fully covered",IF(J676=0,"Not covered","Partly covered")))</f>
        <v>Not covered</v>
      </c>
      <c r="L676" s="9" t="s">
        <v>2313</v>
      </c>
    </row>
    <row r="677" customFormat="false" ht="46.25" hidden="false" customHeight="false" outlineLevel="0" collapsed="false">
      <c r="A677" s="53" t="s">
        <v>602</v>
      </c>
      <c r="B677" s="53" t="s">
        <v>598</v>
      </c>
      <c r="C677" s="5" t="s">
        <v>2318</v>
      </c>
      <c r="D677" s="6" t="s">
        <v>2319</v>
      </c>
      <c r="E677" s="6" t="s">
        <v>2320</v>
      </c>
      <c r="F677" s="6" t="s">
        <v>730</v>
      </c>
      <c r="G677" s="6" t="s">
        <v>2321</v>
      </c>
      <c r="H677" s="6" t="s">
        <v>642</v>
      </c>
      <c r="I677" s="26" t="n">
        <v>3</v>
      </c>
      <c r="J677" s="26" t="n">
        <f aca="false">COUNTIFS('Control Library'!$A$5:$A$50,"AI-CTRL-022",'Control Library'!$R$5:$R$50,"Implemented")+COUNTIFS('Control Library'!$A$5:$A$50,"AI-CTRL-025",'Control Library'!$R$5:$R$50,"Implemented")+COUNTIFS('Control Library'!$A$5:$A$50,"AI-CTRL-033",'Control Library'!$R$5:$R$50,"Implemented")</f>
        <v>0</v>
      </c>
      <c r="K677" s="43" t="str">
        <f aca="false">IF(I677=0,"No wiki control",IF(J677=I677,"Fully covered",IF(J677=0,"Not covered","Partly covered")))</f>
        <v>Not covered</v>
      </c>
      <c r="L677" s="9" t="s">
        <v>2313</v>
      </c>
    </row>
    <row r="678" customFormat="false" ht="46.25" hidden="false" customHeight="false" outlineLevel="0" collapsed="false">
      <c r="A678" s="53" t="s">
        <v>602</v>
      </c>
      <c r="B678" s="53" t="s">
        <v>598</v>
      </c>
      <c r="C678" s="5" t="s">
        <v>2322</v>
      </c>
      <c r="D678" s="6" t="s">
        <v>2323</v>
      </c>
      <c r="E678" s="6" t="s">
        <v>801</v>
      </c>
      <c r="F678" s="6" t="s">
        <v>730</v>
      </c>
      <c r="G678" s="6" t="s">
        <v>802</v>
      </c>
      <c r="H678" s="6" t="s">
        <v>642</v>
      </c>
      <c r="I678" s="26" t="n">
        <v>2</v>
      </c>
      <c r="J678" s="26" t="n">
        <f aca="false">COUNTIFS('Control Library'!$A$5:$A$50,"AI-CTRL-015",'Control Library'!$R$5:$R$50,"Implemented")+COUNTIFS('Control Library'!$A$5:$A$50,"AI-CTRL-016",'Control Library'!$R$5:$R$50,"Implemented")</f>
        <v>0</v>
      </c>
      <c r="K678" s="43" t="str">
        <f aca="false">IF(I678=0,"No wiki control",IF(J678=I678,"Fully covered",IF(J678=0,"Not covered","Partly covered")))</f>
        <v>Not covered</v>
      </c>
      <c r="L678" s="9" t="s">
        <v>2313</v>
      </c>
    </row>
    <row r="679" customFormat="false" ht="35.05" hidden="false" customHeight="false" outlineLevel="0" collapsed="false">
      <c r="A679" s="53" t="s">
        <v>602</v>
      </c>
      <c r="B679" s="53" t="s">
        <v>598</v>
      </c>
      <c r="C679" s="5" t="s">
        <v>2324</v>
      </c>
      <c r="D679" s="6" t="s">
        <v>2325</v>
      </c>
      <c r="E679" s="6" t="s">
        <v>2326</v>
      </c>
      <c r="F679" s="6" t="s">
        <v>730</v>
      </c>
      <c r="G679" s="6" t="s">
        <v>1710</v>
      </c>
      <c r="H679" s="6" t="s">
        <v>642</v>
      </c>
      <c r="I679" s="26" t="n">
        <v>2</v>
      </c>
      <c r="J679" s="26" t="n">
        <f aca="false">COUNTIFS('Control Library'!$A$5:$A$50,"AI-CTRL-011",'Control Library'!$R$5:$R$50,"Implemented")+COUNTIFS('Control Library'!$A$5:$A$50,"AI-CTRL-031",'Control Library'!$R$5:$R$50,"Implemented")</f>
        <v>0</v>
      </c>
      <c r="K679" s="43" t="str">
        <f aca="false">IF(I679=0,"No wiki control",IF(J679=I679,"Fully covered",IF(J679=0,"Not covered","Partly covered")))</f>
        <v>Not covered</v>
      </c>
      <c r="L679" s="9" t="s">
        <v>2313</v>
      </c>
    </row>
    <row r="680" customFormat="false" ht="23.85" hidden="false" customHeight="false" outlineLevel="0" collapsed="false">
      <c r="A680" s="53" t="s">
        <v>602</v>
      </c>
      <c r="B680" s="53" t="s">
        <v>598</v>
      </c>
      <c r="C680" s="5" t="s">
        <v>2327</v>
      </c>
      <c r="D680" s="6" t="s">
        <v>2328</v>
      </c>
      <c r="E680" s="6" t="s">
        <v>2311</v>
      </c>
      <c r="F680" s="6" t="s">
        <v>730</v>
      </c>
      <c r="G680" s="6" t="s">
        <v>2312</v>
      </c>
      <c r="H680" s="6" t="s">
        <v>642</v>
      </c>
      <c r="I680" s="26" t="n">
        <v>2</v>
      </c>
      <c r="J680" s="26" t="n">
        <f aca="false">COUNTIFS('Control Library'!$A$5:$A$50,"AI-CTRL-011",'Control Library'!$R$5:$R$50,"Implemented")+COUNTIFS('Control Library'!$A$5:$A$50,"AI-CTRL-017",'Control Library'!$R$5:$R$50,"Implemented")</f>
        <v>0</v>
      </c>
      <c r="K680" s="43" t="str">
        <f aca="false">IF(I680=0,"No wiki control",IF(J680=I680,"Fully covered",IF(J680=0,"Not covered","Partly covered")))</f>
        <v>Not covered</v>
      </c>
      <c r="L680" s="9" t="s">
        <v>2313</v>
      </c>
    </row>
    <row r="681" customFormat="false" ht="35.05" hidden="false" customHeight="false" outlineLevel="0" collapsed="false">
      <c r="A681" s="53" t="s">
        <v>602</v>
      </c>
      <c r="B681" s="53" t="s">
        <v>598</v>
      </c>
      <c r="C681" s="5" t="s">
        <v>2329</v>
      </c>
      <c r="D681" s="6" t="s">
        <v>2330</v>
      </c>
      <c r="E681" s="6" t="s">
        <v>282</v>
      </c>
      <c r="F681" s="6" t="s">
        <v>730</v>
      </c>
      <c r="G681" s="6" t="s">
        <v>286</v>
      </c>
      <c r="H681" s="6" t="s">
        <v>642</v>
      </c>
      <c r="I681" s="26" t="n">
        <v>1</v>
      </c>
      <c r="J681" s="26" t="n">
        <f aca="false">COUNTIFS('Control Library'!$A$5:$A$50,"AI-CTRL-014",'Control Library'!$R$5:$R$50,"Implemented")</f>
        <v>0</v>
      </c>
      <c r="K681" s="43" t="str">
        <f aca="false">IF(I681=0,"No wiki control",IF(J681=I681,"Fully covered",IF(J681=0,"Not covered","Partly covered")))</f>
        <v>Not covered</v>
      </c>
      <c r="L681" s="9" t="s">
        <v>2313</v>
      </c>
    </row>
    <row r="682" customFormat="false" ht="46.25" hidden="false" customHeight="false" outlineLevel="0" collapsed="false">
      <c r="A682" s="53" t="s">
        <v>602</v>
      </c>
      <c r="B682" s="53" t="s">
        <v>598</v>
      </c>
      <c r="C682" s="5" t="s">
        <v>2331</v>
      </c>
      <c r="D682" s="6" t="s">
        <v>2332</v>
      </c>
      <c r="E682" s="6" t="s">
        <v>453</v>
      </c>
      <c r="F682" s="6" t="s">
        <v>730</v>
      </c>
      <c r="G682" s="6" t="s">
        <v>456</v>
      </c>
      <c r="H682" s="6" t="s">
        <v>642</v>
      </c>
      <c r="I682" s="26" t="n">
        <v>1</v>
      </c>
      <c r="J682" s="26" t="n">
        <f aca="false">COUNTIFS('Control Library'!$A$5:$A$50,"AI-CTRL-035",'Control Library'!$R$5:$R$50,"Implemented")</f>
        <v>0</v>
      </c>
      <c r="K682" s="43" t="str">
        <f aca="false">IF(I682=0,"No wiki control",IF(J682=I682,"Fully covered",IF(J682=0,"Not covered","Partly covered")))</f>
        <v>Not covered</v>
      </c>
      <c r="L682" s="9" t="s">
        <v>2313</v>
      </c>
    </row>
    <row r="683" customFormat="false" ht="46.25" hidden="false" customHeight="false" outlineLevel="0" collapsed="false">
      <c r="A683" s="53" t="s">
        <v>602</v>
      </c>
      <c r="B683" s="53" t="s">
        <v>598</v>
      </c>
      <c r="C683" s="5" t="s">
        <v>2333</v>
      </c>
      <c r="D683" s="6" t="s">
        <v>2334</v>
      </c>
      <c r="E683" s="6" t="s">
        <v>230</v>
      </c>
      <c r="F683" s="6" t="s">
        <v>730</v>
      </c>
      <c r="G683" s="6" t="s">
        <v>234</v>
      </c>
      <c r="H683" s="6" t="s">
        <v>642</v>
      </c>
      <c r="I683" s="26" t="n">
        <v>1</v>
      </c>
      <c r="J683" s="26" t="n">
        <f aca="false">COUNTIFS('Control Library'!$A$5:$A$50,"AI-CTRL-008",'Control Library'!$R$5:$R$50,"Implemented")</f>
        <v>0</v>
      </c>
      <c r="K683" s="43" t="str">
        <f aca="false">IF(I683=0,"No wiki control",IF(J683=I683,"Fully covered",IF(J683=0,"Not covered","Partly covered")))</f>
        <v>Not covered</v>
      </c>
      <c r="L683" s="9" t="s">
        <v>2313</v>
      </c>
    </row>
    <row r="684" customFormat="false" ht="35.05" hidden="false" customHeight="false" outlineLevel="0" collapsed="false">
      <c r="A684" s="53" t="s">
        <v>602</v>
      </c>
      <c r="B684" s="53" t="s">
        <v>598</v>
      </c>
      <c r="C684" s="5" t="s">
        <v>2335</v>
      </c>
      <c r="D684" s="6" t="s">
        <v>2336</v>
      </c>
      <c r="E684" s="6" t="s">
        <v>2007</v>
      </c>
      <c r="F684" s="6" t="s">
        <v>730</v>
      </c>
      <c r="G684" s="6" t="s">
        <v>1444</v>
      </c>
      <c r="H684" s="6" t="s">
        <v>642</v>
      </c>
      <c r="I684" s="26" t="n">
        <v>2</v>
      </c>
      <c r="J684" s="26" t="n">
        <f aca="false">COUNTIFS('Control Library'!$A$5:$A$50,"AI-CTRL-014",'Control Library'!$R$5:$R$50,"Implemented")+COUNTIFS('Control Library'!$A$5:$A$50,"AI-CTRL-031",'Control Library'!$R$5:$R$50,"Implemented")</f>
        <v>0</v>
      </c>
      <c r="K684" s="43" t="str">
        <f aca="false">IF(I684=0,"No wiki control",IF(J684=I684,"Fully covered",IF(J684=0,"Not covered","Partly covered")))</f>
        <v>Not covered</v>
      </c>
      <c r="L684" s="9" t="s">
        <v>2313</v>
      </c>
    </row>
    <row r="685" customFormat="false" ht="35.05" hidden="false" customHeight="false" outlineLevel="0" collapsed="false">
      <c r="A685" s="53" t="s">
        <v>602</v>
      </c>
      <c r="B685" s="53" t="s">
        <v>598</v>
      </c>
      <c r="C685" s="5" t="s">
        <v>2337</v>
      </c>
      <c r="D685" s="6" t="s">
        <v>2338</v>
      </c>
      <c r="E685" s="6" t="s">
        <v>2339</v>
      </c>
      <c r="F685" s="6" t="s">
        <v>730</v>
      </c>
      <c r="G685" s="6" t="s">
        <v>2340</v>
      </c>
      <c r="H685" s="6" t="s">
        <v>657</v>
      </c>
      <c r="I685" s="26" t="n">
        <v>2</v>
      </c>
      <c r="J685" s="26" t="n">
        <f aca="false">COUNTIFS('Control Library'!$A$5:$A$50,"AI-CTRL-027",'Control Library'!$R$5:$R$50,"Implemented")+COUNTIFS('Control Library'!$A$5:$A$50,"AI-CTRL-034",'Control Library'!$R$5:$R$50,"Implemented")</f>
        <v>0</v>
      </c>
      <c r="K685" s="43" t="str">
        <f aca="false">IF(I685=0,"No wiki control",IF(J685=I685,"Fully covered",IF(J685=0,"Not covered","Partly covered")))</f>
        <v>Not covered</v>
      </c>
      <c r="L685" s="9" t="s">
        <v>2313</v>
      </c>
    </row>
    <row r="686" customFormat="false" ht="57.45" hidden="false" customHeight="false" outlineLevel="0" collapsed="false">
      <c r="A686" s="53" t="s">
        <v>602</v>
      </c>
      <c r="B686" s="53" t="s">
        <v>598</v>
      </c>
      <c r="C686" s="5" t="s">
        <v>2341</v>
      </c>
      <c r="D686" s="6" t="s">
        <v>2342</v>
      </c>
      <c r="E686" s="6" t="s">
        <v>2343</v>
      </c>
      <c r="F686" s="6" t="s">
        <v>730</v>
      </c>
      <c r="G686" s="6" t="s">
        <v>731</v>
      </c>
      <c r="H686" s="6" t="s">
        <v>642</v>
      </c>
      <c r="I686" s="26" t="n">
        <v>2</v>
      </c>
      <c r="J686" s="26" t="n">
        <f aca="false">COUNTIFS('Control Library'!$A$5:$A$50,"AI-CTRL-002",'Control Library'!$R$5:$R$50,"Implemented")+COUNTIFS('Control Library'!$A$5:$A$50,"AI-CTRL-017",'Control Library'!$R$5:$R$50,"Implemented")</f>
        <v>0</v>
      </c>
      <c r="K686" s="43" t="str">
        <f aca="false">IF(I686=0,"No wiki control",IF(J686=I686,"Fully covered",IF(J686=0,"Not covered","Partly covered")))</f>
        <v>Not covered</v>
      </c>
      <c r="L686" s="9" t="s">
        <v>2313</v>
      </c>
    </row>
    <row r="687" customFormat="false" ht="46.25" hidden="false" customHeight="false" outlineLevel="0" collapsed="false">
      <c r="A687" s="53" t="s">
        <v>602</v>
      </c>
      <c r="B687" s="53" t="s">
        <v>598</v>
      </c>
      <c r="C687" s="5" t="s">
        <v>2344</v>
      </c>
      <c r="D687" s="6" t="s">
        <v>2345</v>
      </c>
      <c r="E687" s="6" t="s">
        <v>2346</v>
      </c>
      <c r="F687" s="6" t="s">
        <v>730</v>
      </c>
      <c r="G687" s="6" t="s">
        <v>2347</v>
      </c>
      <c r="H687" s="6" t="s">
        <v>642</v>
      </c>
      <c r="I687" s="26" t="n">
        <v>3</v>
      </c>
      <c r="J687" s="26" t="n">
        <f aca="false">COUNTIFS('Control Library'!$A$5:$A$50,"AI-CTRL-031",'Control Library'!$R$5:$R$50,"Implemented")+COUNTIFS('Control Library'!$A$5:$A$50,"AI-CTRL-034",'Control Library'!$R$5:$R$50,"Implemented")+COUNTIFS('Control Library'!$A$5:$A$50,"AI-CTRL-037",'Control Library'!$R$5:$R$50,"Implemented")</f>
        <v>0</v>
      </c>
      <c r="K687" s="43" t="str">
        <f aca="false">IF(I687=0,"No wiki control",IF(J687=I687,"Fully covered",IF(J687=0,"Not covered","Partly covered")))</f>
        <v>Not covered</v>
      </c>
      <c r="L687" s="9" t="s">
        <v>2313</v>
      </c>
    </row>
    <row r="688" customFormat="false" ht="35.05" hidden="false" customHeight="false" outlineLevel="0" collapsed="false">
      <c r="A688" s="53" t="s">
        <v>602</v>
      </c>
      <c r="B688" s="53" t="s">
        <v>598</v>
      </c>
      <c r="C688" s="5" t="s">
        <v>2348</v>
      </c>
      <c r="D688" s="6" t="s">
        <v>2349</v>
      </c>
      <c r="E688" s="6" t="s">
        <v>470</v>
      </c>
      <c r="F688" s="6" t="s">
        <v>730</v>
      </c>
      <c r="G688" s="6" t="s">
        <v>2350</v>
      </c>
      <c r="H688" s="6" t="s">
        <v>657</v>
      </c>
      <c r="I688" s="26" t="n">
        <v>1</v>
      </c>
      <c r="J688" s="26" t="n">
        <f aca="false">COUNTIFS('Control Library'!$A$5:$A$50,"AI-CTRL-037",'Control Library'!$R$5:$R$50,"Implemented")</f>
        <v>0</v>
      </c>
      <c r="K688" s="43" t="str">
        <f aca="false">IF(I688=0,"No wiki control",IF(J688=I688,"Fully covered",IF(J688=0,"Not covered","Partly covered")))</f>
        <v>Not covered</v>
      </c>
      <c r="L688" s="9" t="s">
        <v>2313</v>
      </c>
    </row>
    <row r="689" customFormat="false" ht="68.65" hidden="false" customHeight="false" outlineLevel="0" collapsed="false">
      <c r="A689" s="53" t="s">
        <v>603</v>
      </c>
      <c r="B689" s="53" t="s">
        <v>598</v>
      </c>
      <c r="C689" s="5" t="s">
        <v>2351</v>
      </c>
      <c r="D689" s="6" t="s">
        <v>2352</v>
      </c>
      <c r="E689" s="6" t="s">
        <v>2353</v>
      </c>
      <c r="F689" s="6" t="s">
        <v>730</v>
      </c>
      <c r="G689" s="6" t="s">
        <v>2354</v>
      </c>
      <c r="H689" s="6" t="s">
        <v>657</v>
      </c>
      <c r="I689" s="26" t="n">
        <v>2</v>
      </c>
      <c r="J689" s="26" t="n">
        <f aca="false">COUNTIFS('Control Library'!$A$5:$A$50,"AI-CTRL-015",'Control Library'!$R$5:$R$50,"Implemented")+COUNTIFS('Control Library'!$A$5:$A$50,"AI-CTRL-045",'Control Library'!$R$5:$R$50,"Implemented")</f>
        <v>0</v>
      </c>
      <c r="K689" s="43" t="str">
        <f aca="false">IF(I689=0,"No wiki control",IF(J689=I689,"Fully covered",IF(J689=0,"Not covered","Partly covered")))</f>
        <v>Not covered</v>
      </c>
      <c r="L689" s="9" t="s">
        <v>2313</v>
      </c>
    </row>
    <row r="690" customFormat="false" ht="46.25" hidden="false" customHeight="false" outlineLevel="0" collapsed="false">
      <c r="A690" s="53" t="s">
        <v>603</v>
      </c>
      <c r="B690" s="53" t="s">
        <v>598</v>
      </c>
      <c r="C690" s="5" t="s">
        <v>2355</v>
      </c>
      <c r="D690" s="6" t="s">
        <v>2356</v>
      </c>
      <c r="E690" s="6" t="s">
        <v>2326</v>
      </c>
      <c r="F690" s="6" t="s">
        <v>730</v>
      </c>
      <c r="G690" s="6" t="s">
        <v>1710</v>
      </c>
      <c r="H690" s="6" t="s">
        <v>642</v>
      </c>
      <c r="I690" s="26" t="n">
        <v>2</v>
      </c>
      <c r="J690" s="26" t="n">
        <f aca="false">COUNTIFS('Control Library'!$A$5:$A$50,"AI-CTRL-011",'Control Library'!$R$5:$R$50,"Implemented")+COUNTIFS('Control Library'!$A$5:$A$50,"AI-CTRL-031",'Control Library'!$R$5:$R$50,"Implemented")</f>
        <v>0</v>
      </c>
      <c r="K690" s="43" t="str">
        <f aca="false">IF(I690=0,"No wiki control",IF(J690=I690,"Fully covered",IF(J690=0,"Not covered","Partly covered")))</f>
        <v>Not covered</v>
      </c>
      <c r="L690" s="9" t="s">
        <v>2313</v>
      </c>
    </row>
    <row r="691" customFormat="false" ht="35.05" hidden="false" customHeight="false" outlineLevel="0" collapsed="false">
      <c r="A691" s="53" t="s">
        <v>603</v>
      </c>
      <c r="B691" s="53" t="s">
        <v>598</v>
      </c>
      <c r="C691" s="5" t="s">
        <v>2357</v>
      </c>
      <c r="D691" s="6" t="s">
        <v>2358</v>
      </c>
      <c r="E691" s="6" t="s">
        <v>2359</v>
      </c>
      <c r="F691" s="6" t="s">
        <v>730</v>
      </c>
      <c r="G691" s="6" t="s">
        <v>2360</v>
      </c>
      <c r="H691" s="6" t="s">
        <v>642</v>
      </c>
      <c r="I691" s="26" t="n">
        <v>2</v>
      </c>
      <c r="J691" s="26" t="n">
        <f aca="false">COUNTIFS('Control Library'!$A$5:$A$50,"AI-CTRL-004",'Control Library'!$R$5:$R$50,"Implemented")+COUNTIFS('Control Library'!$A$5:$A$50,"AI-CTRL-031",'Control Library'!$R$5:$R$50,"Implemented")</f>
        <v>0</v>
      </c>
      <c r="K691" s="43" t="str">
        <f aca="false">IF(I691=0,"No wiki control",IF(J691=I691,"Fully covered",IF(J691=0,"Not covered","Partly covered")))</f>
        <v>Not covered</v>
      </c>
      <c r="L691" s="9" t="s">
        <v>2313</v>
      </c>
    </row>
    <row r="692" customFormat="false" ht="35.05" hidden="false" customHeight="false" outlineLevel="0" collapsed="false">
      <c r="A692" s="53" t="s">
        <v>603</v>
      </c>
      <c r="B692" s="53" t="s">
        <v>598</v>
      </c>
      <c r="C692" s="5" t="s">
        <v>2361</v>
      </c>
      <c r="D692" s="6" t="s">
        <v>2362</v>
      </c>
      <c r="E692" s="6" t="s">
        <v>1224</v>
      </c>
      <c r="F692" s="6" t="s">
        <v>730</v>
      </c>
      <c r="G692" s="6" t="s">
        <v>1225</v>
      </c>
      <c r="H692" s="6" t="s">
        <v>642</v>
      </c>
      <c r="I692" s="26" t="n">
        <v>2</v>
      </c>
      <c r="J692" s="26" t="n">
        <f aca="false">COUNTIFS('Control Library'!$A$5:$A$50,"AI-CTRL-005",'Control Library'!$R$5:$R$50,"Implemented")+COUNTIFS('Control Library'!$A$5:$A$50,"AI-CTRL-034",'Control Library'!$R$5:$R$50,"Implemented")</f>
        <v>0</v>
      </c>
      <c r="K692" s="43" t="str">
        <f aca="false">IF(I692=0,"No wiki control",IF(J692=I692,"Fully covered",IF(J692=0,"Not covered","Partly covered")))</f>
        <v>Not covered</v>
      </c>
      <c r="L692" s="9" t="s">
        <v>2313</v>
      </c>
    </row>
    <row r="693" customFormat="false" ht="35.05" hidden="false" customHeight="false" outlineLevel="0" collapsed="false">
      <c r="A693" s="53" t="s">
        <v>603</v>
      </c>
      <c r="B693" s="53" t="s">
        <v>598</v>
      </c>
      <c r="C693" s="5" t="s">
        <v>2363</v>
      </c>
      <c r="D693" s="6" t="s">
        <v>2364</v>
      </c>
      <c r="E693" s="6" t="s">
        <v>2365</v>
      </c>
      <c r="F693" s="6" t="s">
        <v>730</v>
      </c>
      <c r="G693" s="6" t="s">
        <v>266</v>
      </c>
      <c r="H693" s="6" t="s">
        <v>642</v>
      </c>
      <c r="I693" s="26" t="n">
        <v>2</v>
      </c>
      <c r="J693" s="26" t="n">
        <f aca="false">COUNTIFS('Control Library'!$A$5:$A$50,"AI-CTRL-011",'Control Library'!$R$5:$R$50,"Implemented")+COUNTIFS('Control Library'!$A$5:$A$50,"AI-CTRL-012",'Control Library'!$R$5:$R$50,"Implemented")</f>
        <v>0</v>
      </c>
      <c r="K693" s="43" t="str">
        <f aca="false">IF(I693=0,"No wiki control",IF(J693=I693,"Fully covered",IF(J693=0,"Not covered","Partly covered")))</f>
        <v>Not covered</v>
      </c>
      <c r="L693" s="9" t="s">
        <v>2313</v>
      </c>
    </row>
    <row r="694" customFormat="false" ht="35.05" hidden="false" customHeight="false" outlineLevel="0" collapsed="false">
      <c r="A694" s="53" t="s">
        <v>603</v>
      </c>
      <c r="B694" s="53" t="s">
        <v>598</v>
      </c>
      <c r="C694" s="5" t="s">
        <v>2366</v>
      </c>
      <c r="D694" s="6" t="s">
        <v>2367</v>
      </c>
      <c r="E694" s="6" t="s">
        <v>2368</v>
      </c>
      <c r="F694" s="6" t="s">
        <v>730</v>
      </c>
      <c r="G694" s="6" t="s">
        <v>2369</v>
      </c>
      <c r="H694" s="6" t="s">
        <v>657</v>
      </c>
      <c r="I694" s="26" t="n">
        <v>2</v>
      </c>
      <c r="J694" s="26" t="n">
        <f aca="false">COUNTIFS('Control Library'!$A$5:$A$50,"AI-CTRL-021",'Control Library'!$R$5:$R$50,"Implemented")+COUNTIFS('Control Library'!$A$5:$A$50,"AI-CTRL-044",'Control Library'!$R$5:$R$50,"Implemented")</f>
        <v>0</v>
      </c>
      <c r="K694" s="43" t="str">
        <f aca="false">IF(I694=0,"No wiki control",IF(J694=I694,"Fully covered",IF(J694=0,"Not covered","Partly covered")))</f>
        <v>Not covered</v>
      </c>
      <c r="L694" s="9" t="s">
        <v>2313</v>
      </c>
    </row>
    <row r="695" customFormat="false" ht="23.85" hidden="false" customHeight="false" outlineLevel="0" collapsed="false">
      <c r="A695" s="53" t="s">
        <v>603</v>
      </c>
      <c r="B695" s="53" t="s">
        <v>598</v>
      </c>
      <c r="C695" s="5" t="s">
        <v>2370</v>
      </c>
      <c r="D695" s="6" t="s">
        <v>2371</v>
      </c>
      <c r="E695" s="6" t="s">
        <v>339</v>
      </c>
      <c r="F695" s="6" t="s">
        <v>730</v>
      </c>
      <c r="G695" s="6" t="s">
        <v>343</v>
      </c>
      <c r="H695" s="6" t="s">
        <v>1170</v>
      </c>
      <c r="I695" s="26" t="n">
        <v>1</v>
      </c>
      <c r="J695" s="26" t="n">
        <f aca="false">COUNTIFS('Control Library'!$A$5:$A$50,"AI-CTRL-021",'Control Library'!$R$5:$R$50,"Implemented")</f>
        <v>0</v>
      </c>
      <c r="K695" s="43" t="str">
        <f aca="false">IF(I695=0,"No wiki control",IF(J695=I695,"Fully covered",IF(J695=0,"Not covered","Partly covered")))</f>
        <v>Not covered</v>
      </c>
      <c r="L695" s="9" t="s">
        <v>2313</v>
      </c>
    </row>
    <row r="696" customFormat="false" ht="35.05" hidden="false" customHeight="false" outlineLevel="0" collapsed="false">
      <c r="A696" s="53" t="s">
        <v>603</v>
      </c>
      <c r="B696" s="53" t="s">
        <v>598</v>
      </c>
      <c r="C696" s="5" t="s">
        <v>2372</v>
      </c>
      <c r="D696" s="6" t="s">
        <v>2373</v>
      </c>
      <c r="E696" s="6" t="s">
        <v>2374</v>
      </c>
      <c r="F696" s="6" t="s">
        <v>730</v>
      </c>
      <c r="G696" s="6" t="s">
        <v>2375</v>
      </c>
      <c r="H696" s="6" t="s">
        <v>642</v>
      </c>
      <c r="I696" s="26" t="n">
        <v>2</v>
      </c>
      <c r="J696" s="26" t="n">
        <f aca="false">COUNTIFS('Control Library'!$A$5:$A$50,"AI-CTRL-016",'Control Library'!$R$5:$R$50,"Implemented")+COUNTIFS('Control Library'!$A$5:$A$50,"AI-CTRL-027",'Control Library'!$R$5:$R$50,"Implemented")</f>
        <v>0</v>
      </c>
      <c r="K696" s="43" t="str">
        <f aca="false">IF(I696=0,"No wiki control",IF(J696=I696,"Fully covered",IF(J696=0,"Not covered","Partly covered")))</f>
        <v>Not covered</v>
      </c>
      <c r="L696" s="9" t="s">
        <v>2313</v>
      </c>
    </row>
    <row r="697" customFormat="false" ht="46.25" hidden="false" customHeight="false" outlineLevel="0" collapsed="false">
      <c r="A697" s="53" t="s">
        <v>603</v>
      </c>
      <c r="B697" s="53" t="s">
        <v>598</v>
      </c>
      <c r="C697" s="5" t="s">
        <v>2376</v>
      </c>
      <c r="D697" s="6" t="s">
        <v>2377</v>
      </c>
      <c r="E697" s="6" t="s">
        <v>2378</v>
      </c>
      <c r="F697" s="6" t="s">
        <v>730</v>
      </c>
      <c r="G697" s="6" t="s">
        <v>2379</v>
      </c>
      <c r="H697" s="6" t="s">
        <v>642</v>
      </c>
      <c r="I697" s="26" t="n">
        <v>2</v>
      </c>
      <c r="J697" s="26" t="n">
        <f aca="false">COUNTIFS('Control Library'!$A$5:$A$50,"AI-CTRL-017",'Control Library'!$R$5:$R$50,"Implemented")+COUNTIFS('Control Library'!$A$5:$A$50,"AI-CTRL-027",'Control Library'!$R$5:$R$50,"Implemented")</f>
        <v>0</v>
      </c>
      <c r="K697" s="43" t="str">
        <f aca="false">IF(I697=0,"No wiki control",IF(J697=I697,"Fully covered",IF(J697=0,"Not covered","Partly covered")))</f>
        <v>Not covered</v>
      </c>
      <c r="L697" s="9" t="s">
        <v>2313</v>
      </c>
    </row>
    <row r="698" customFormat="false" ht="46.25" hidden="false" customHeight="false" outlineLevel="0" collapsed="false">
      <c r="A698" s="53" t="s">
        <v>603</v>
      </c>
      <c r="B698" s="53" t="s">
        <v>598</v>
      </c>
      <c r="C698" s="5" t="s">
        <v>2380</v>
      </c>
      <c r="D698" s="6" t="s">
        <v>2381</v>
      </c>
      <c r="E698" s="6" t="s">
        <v>2382</v>
      </c>
      <c r="F698" s="6" t="s">
        <v>730</v>
      </c>
      <c r="G698" s="6" t="s">
        <v>2383</v>
      </c>
      <c r="H698" s="6" t="s">
        <v>642</v>
      </c>
      <c r="I698" s="26" t="n">
        <v>3</v>
      </c>
      <c r="J698" s="26" t="n">
        <f aca="false">COUNTIFS('Control Library'!$A$5:$A$50,"AI-CTRL-029",'Control Library'!$R$5:$R$50,"Implemented")+COUNTIFS('Control Library'!$A$5:$A$50,"AI-CTRL-031",'Control Library'!$R$5:$R$50,"Implemented")+COUNTIFS('Control Library'!$A$5:$A$50,"AI-CTRL-042",'Control Library'!$R$5:$R$50,"Implemented")</f>
        <v>0</v>
      </c>
      <c r="K698" s="43" t="str">
        <f aca="false">IF(I698=0,"No wiki control",IF(J698=I698,"Fully covered",IF(J698=0,"Not covered","Partly covered")))</f>
        <v>Not covered</v>
      </c>
      <c r="L698" s="9" t="s">
        <v>2313</v>
      </c>
    </row>
    <row r="699" customFormat="false" ht="46.25" hidden="false" customHeight="false" outlineLevel="0" collapsed="false">
      <c r="A699" s="53" t="s">
        <v>603</v>
      </c>
      <c r="B699" s="53" t="s">
        <v>598</v>
      </c>
      <c r="C699" s="5" t="s">
        <v>2384</v>
      </c>
      <c r="D699" s="6" t="s">
        <v>2385</v>
      </c>
      <c r="E699" s="6" t="s">
        <v>826</v>
      </c>
      <c r="F699" s="6" t="s">
        <v>730</v>
      </c>
      <c r="G699" s="6" t="s">
        <v>473</v>
      </c>
      <c r="H699" s="6" t="s">
        <v>642</v>
      </c>
      <c r="I699" s="26" t="n">
        <v>2</v>
      </c>
      <c r="J699" s="26" t="n">
        <f aca="false">COUNTIFS('Control Library'!$A$5:$A$50,"AI-CTRL-011",'Control Library'!$R$5:$R$50,"Implemented")+COUNTIFS('Control Library'!$A$5:$A$50,"AI-CTRL-037",'Control Library'!$R$5:$R$50,"Implemented")</f>
        <v>0</v>
      </c>
      <c r="K699" s="43" t="str">
        <f aca="false">IF(I699=0,"No wiki control",IF(J699=I699,"Fully covered",IF(J699=0,"Not covered","Partly covered")))</f>
        <v>Not covered</v>
      </c>
      <c r="L699" s="9" t="s">
        <v>2313</v>
      </c>
    </row>
    <row r="700" customFormat="false" ht="57.45" hidden="false" customHeight="false" outlineLevel="0" collapsed="false">
      <c r="A700" s="53" t="s">
        <v>603</v>
      </c>
      <c r="B700" s="53" t="s">
        <v>598</v>
      </c>
      <c r="C700" s="5" t="s">
        <v>2386</v>
      </c>
      <c r="D700" s="6" t="s">
        <v>2387</v>
      </c>
      <c r="E700" s="6" t="s">
        <v>2388</v>
      </c>
      <c r="F700" s="6" t="s">
        <v>730</v>
      </c>
      <c r="G700" s="6" t="s">
        <v>2389</v>
      </c>
      <c r="H700" s="6" t="s">
        <v>642</v>
      </c>
      <c r="I700" s="26" t="n">
        <v>3</v>
      </c>
      <c r="J700" s="26" t="n">
        <f aca="false">COUNTIFS('Control Library'!$A$5:$A$50,"AI-CTRL-017",'Control Library'!$R$5:$R$50,"Implemented")+COUNTIFS('Control Library'!$A$5:$A$50,"AI-CTRL-023",'Control Library'!$R$5:$R$50,"Implemented")+COUNTIFS('Control Library'!$A$5:$A$50,"AI-CTRL-025",'Control Library'!$R$5:$R$50,"Implemented")</f>
        <v>0</v>
      </c>
      <c r="K700" s="43" t="str">
        <f aca="false">IF(I700=0,"No wiki control",IF(J700=I700,"Fully covered",IF(J700=0,"Not covered","Partly covered")))</f>
        <v>Not covered</v>
      </c>
      <c r="L700" s="9" t="s">
        <v>2313</v>
      </c>
    </row>
    <row r="701" customFormat="false" ht="35.05" hidden="false" customHeight="false" outlineLevel="0" collapsed="false">
      <c r="A701" s="53" t="s">
        <v>603</v>
      </c>
      <c r="B701" s="53" t="s">
        <v>598</v>
      </c>
      <c r="C701" s="5" t="s">
        <v>2390</v>
      </c>
      <c r="D701" s="6" t="s">
        <v>2391</v>
      </c>
      <c r="E701" s="6" t="s">
        <v>2392</v>
      </c>
      <c r="F701" s="6" t="s">
        <v>730</v>
      </c>
      <c r="G701" s="6" t="s">
        <v>2393</v>
      </c>
      <c r="H701" s="6" t="s">
        <v>657</v>
      </c>
      <c r="I701" s="26" t="n">
        <v>2</v>
      </c>
      <c r="J701" s="26" t="n">
        <f aca="false">COUNTIFS('Control Library'!$A$5:$A$50,"AI-CTRL-022",'Control Library'!$R$5:$R$50,"Implemented")+COUNTIFS('Control Library'!$A$5:$A$50,"AI-CTRL-027",'Control Library'!$R$5:$R$50,"Implemented")</f>
        <v>0</v>
      </c>
      <c r="K701" s="43" t="str">
        <f aca="false">IF(I701=0,"No wiki control",IF(J701=I701,"Fully covered",IF(J701=0,"Not covered","Partly covered")))</f>
        <v>Not covered</v>
      </c>
      <c r="L701" s="9" t="s">
        <v>2313</v>
      </c>
    </row>
    <row r="702" customFormat="false" ht="35.05" hidden="false" customHeight="false" outlineLevel="0" collapsed="false">
      <c r="A702" s="53" t="s">
        <v>603</v>
      </c>
      <c r="B702" s="53" t="s">
        <v>598</v>
      </c>
      <c r="C702" s="5" t="s">
        <v>2394</v>
      </c>
      <c r="D702" s="6" t="s">
        <v>2395</v>
      </c>
      <c r="E702" s="6" t="s">
        <v>2278</v>
      </c>
      <c r="F702" s="6" t="s">
        <v>730</v>
      </c>
      <c r="G702" s="6" t="s">
        <v>2350</v>
      </c>
      <c r="H702" s="6" t="s">
        <v>657</v>
      </c>
      <c r="I702" s="26" t="n">
        <v>2</v>
      </c>
      <c r="J702" s="26" t="n">
        <f aca="false">COUNTIFS('Control Library'!$A$5:$A$50,"AI-CTRL-033",'Control Library'!$R$5:$R$50,"Implemented")+COUNTIFS('Control Library'!$A$5:$A$50,"AI-CTRL-037",'Control Library'!$R$5:$R$50,"Implemented")</f>
        <v>0</v>
      </c>
      <c r="K702" s="43" t="str">
        <f aca="false">IF(I702=0,"No wiki control",IF(J702=I702,"Fully covered",IF(J702=0,"Not covered","Partly covered")))</f>
        <v>Not covered</v>
      </c>
      <c r="L702" s="9" t="s">
        <v>2313</v>
      </c>
    </row>
    <row r="703" customFormat="false" ht="46.25" hidden="false" customHeight="false" outlineLevel="0" collapsed="false">
      <c r="A703" s="53" t="s">
        <v>603</v>
      </c>
      <c r="B703" s="53" t="s">
        <v>598</v>
      </c>
      <c r="C703" s="5" t="s">
        <v>2396</v>
      </c>
      <c r="D703" s="6" t="s">
        <v>2397</v>
      </c>
      <c r="E703" s="6" t="s">
        <v>788</v>
      </c>
      <c r="F703" s="6" t="s">
        <v>730</v>
      </c>
      <c r="G703" s="6" t="s">
        <v>789</v>
      </c>
      <c r="H703" s="6" t="s">
        <v>642</v>
      </c>
      <c r="I703" s="26" t="n">
        <v>2</v>
      </c>
      <c r="J703" s="26" t="n">
        <f aca="false">COUNTIFS('Control Library'!$A$5:$A$50,"AI-CTRL-016",'Control Library'!$R$5:$R$50,"Implemented")+COUNTIFS('Control Library'!$A$5:$A$50,"AI-CTRL-022",'Control Library'!$R$5:$R$50,"Implemented")</f>
        <v>0</v>
      </c>
      <c r="K703" s="43" t="str">
        <f aca="false">IF(I703=0,"No wiki control",IF(J703=I703,"Fully covered",IF(J703=0,"Not covered","Partly covered")))</f>
        <v>Not covered</v>
      </c>
      <c r="L703" s="9" t="s">
        <v>2313</v>
      </c>
    </row>
    <row r="704" customFormat="false" ht="46.25" hidden="false" customHeight="false" outlineLevel="0" collapsed="false">
      <c r="A704" s="53" t="s">
        <v>603</v>
      </c>
      <c r="B704" s="53" t="s">
        <v>598</v>
      </c>
      <c r="C704" s="5" t="s">
        <v>2398</v>
      </c>
      <c r="D704" s="6" t="s">
        <v>2399</v>
      </c>
      <c r="E704" s="6" t="s">
        <v>300</v>
      </c>
      <c r="F704" s="6" t="s">
        <v>730</v>
      </c>
      <c r="G704" s="6" t="s">
        <v>303</v>
      </c>
      <c r="H704" s="6" t="s">
        <v>642</v>
      </c>
      <c r="I704" s="26" t="n">
        <v>1</v>
      </c>
      <c r="J704" s="26" t="n">
        <f aca="false">COUNTIFS('Control Library'!$A$5:$A$50,"AI-CTRL-016",'Control Library'!$R$5:$R$50,"Implemented")</f>
        <v>0</v>
      </c>
      <c r="K704" s="43" t="str">
        <f aca="false">IF(I704=0,"No wiki control",IF(J704=I704,"Fully covered",IF(J704=0,"Not covered","Partly covered")))</f>
        <v>Not covered</v>
      </c>
      <c r="L704" s="9" t="s">
        <v>2313</v>
      </c>
    </row>
    <row r="705" customFormat="false" ht="35.05" hidden="false" customHeight="false" outlineLevel="0" collapsed="false">
      <c r="A705" s="53" t="s">
        <v>603</v>
      </c>
      <c r="B705" s="53" t="s">
        <v>598</v>
      </c>
      <c r="C705" s="5" t="s">
        <v>2400</v>
      </c>
      <c r="D705" s="6" t="s">
        <v>2401</v>
      </c>
      <c r="E705" s="6" t="s">
        <v>759</v>
      </c>
      <c r="F705" s="6" t="s">
        <v>730</v>
      </c>
      <c r="G705" s="6" t="s">
        <v>760</v>
      </c>
      <c r="H705" s="6" t="s">
        <v>642</v>
      </c>
      <c r="I705" s="26" t="n">
        <v>2</v>
      </c>
      <c r="J705" s="26" t="n">
        <f aca="false">COUNTIFS('Control Library'!$A$5:$A$50,"AI-CTRL-033",'Control Library'!$R$5:$R$50,"Implemented")+COUNTIFS('Control Library'!$A$5:$A$50,"AI-CTRL-034",'Control Library'!$R$5:$R$50,"Implemented")</f>
        <v>0</v>
      </c>
      <c r="K705" s="43" t="str">
        <f aca="false">IF(I705=0,"No wiki control",IF(J705=I705,"Fully covered",IF(J705=0,"Not covered","Partly covered")))</f>
        <v>Not covered</v>
      </c>
      <c r="L705" s="9" t="s">
        <v>2313</v>
      </c>
    </row>
    <row r="706" customFormat="false" ht="46.25" hidden="false" customHeight="false" outlineLevel="0" collapsed="false">
      <c r="A706" s="53" t="s">
        <v>603</v>
      </c>
      <c r="B706" s="53" t="s">
        <v>598</v>
      </c>
      <c r="C706" s="5" t="s">
        <v>2402</v>
      </c>
      <c r="D706" s="6" t="s">
        <v>2403</v>
      </c>
      <c r="E706" s="6" t="s">
        <v>2404</v>
      </c>
      <c r="F706" s="6" t="s">
        <v>730</v>
      </c>
      <c r="G706" s="6" t="s">
        <v>2405</v>
      </c>
      <c r="H706" s="6" t="s">
        <v>642</v>
      </c>
      <c r="I706" s="26" t="n">
        <v>2</v>
      </c>
      <c r="J706" s="26" t="n">
        <f aca="false">COUNTIFS('Control Library'!$A$5:$A$50,"AI-CTRL-016",'Control Library'!$R$5:$R$50,"Implemented")+COUNTIFS('Control Library'!$A$5:$A$50,"AI-CTRL-017",'Control Library'!$R$5:$R$50,"Implemented")</f>
        <v>0</v>
      </c>
      <c r="K706" s="43" t="str">
        <f aca="false">IF(I706=0,"No wiki control",IF(J706=I706,"Fully covered",IF(J706=0,"Not covered","Partly covered")))</f>
        <v>Not covered</v>
      </c>
      <c r="L706" s="9" t="s">
        <v>2313</v>
      </c>
    </row>
    <row r="707" customFormat="false" ht="35.05" hidden="false" customHeight="false" outlineLevel="0" collapsed="false">
      <c r="A707" s="53" t="s">
        <v>603</v>
      </c>
      <c r="B707" s="53" t="s">
        <v>598</v>
      </c>
      <c r="C707" s="5" t="s">
        <v>2406</v>
      </c>
      <c r="D707" s="6" t="s">
        <v>2407</v>
      </c>
      <c r="E707" s="6" t="s">
        <v>1957</v>
      </c>
      <c r="F707" s="6" t="s">
        <v>730</v>
      </c>
      <c r="G707" s="6" t="s">
        <v>1958</v>
      </c>
      <c r="H707" s="6" t="s">
        <v>642</v>
      </c>
      <c r="I707" s="26" t="n">
        <v>3</v>
      </c>
      <c r="J707" s="26" t="n">
        <f aca="false">COUNTIFS('Control Library'!$A$5:$A$50,"AI-CTRL-023",'Control Library'!$R$5:$R$50,"Implemented")+COUNTIFS('Control Library'!$A$5:$A$50,"AI-CTRL-025",'Control Library'!$R$5:$R$50,"Implemented")+COUNTIFS('Control Library'!$A$5:$A$50,"AI-CTRL-045",'Control Library'!$R$5:$R$50,"Implemented")</f>
        <v>0</v>
      </c>
      <c r="K707" s="43" t="str">
        <f aca="false">IF(I707=0,"No wiki control",IF(J707=I707,"Fully covered",IF(J707=0,"Not covered","Partly covered")))</f>
        <v>Not covered</v>
      </c>
      <c r="L707" s="9" t="s">
        <v>2313</v>
      </c>
    </row>
    <row r="708" customFormat="false" ht="35.05" hidden="false" customHeight="false" outlineLevel="0" collapsed="false">
      <c r="A708" s="53" t="s">
        <v>603</v>
      </c>
      <c r="B708" s="53" t="s">
        <v>598</v>
      </c>
      <c r="C708" s="5" t="s">
        <v>2408</v>
      </c>
      <c r="D708" s="6" t="s">
        <v>2409</v>
      </c>
      <c r="E708" s="6" t="s">
        <v>2410</v>
      </c>
      <c r="F708" s="6" t="s">
        <v>730</v>
      </c>
      <c r="G708" s="6" t="s">
        <v>1563</v>
      </c>
      <c r="H708" s="6" t="s">
        <v>642</v>
      </c>
      <c r="I708" s="26" t="n">
        <v>2</v>
      </c>
      <c r="J708" s="26" t="n">
        <f aca="false">COUNTIFS('Control Library'!$A$5:$A$50,"AI-CTRL-017",'Control Library'!$R$5:$R$50,"Implemented")+COUNTIFS('Control Library'!$A$5:$A$50,"AI-CTRL-020",'Control Library'!$R$5:$R$50,"Implemented")</f>
        <v>0</v>
      </c>
      <c r="K708" s="43" t="str">
        <f aca="false">IF(I708=0,"No wiki control",IF(J708=I708,"Fully covered",IF(J708=0,"Not covered","Partly covered")))</f>
        <v>Not covered</v>
      </c>
      <c r="L708" s="9" t="s">
        <v>2313</v>
      </c>
    </row>
    <row r="709" customFormat="false" ht="35.05" hidden="false" customHeight="false" outlineLevel="0" collapsed="false">
      <c r="A709" s="53" t="s">
        <v>603</v>
      </c>
      <c r="B709" s="53" t="s">
        <v>598</v>
      </c>
      <c r="C709" s="5" t="s">
        <v>2411</v>
      </c>
      <c r="D709" s="6" t="s">
        <v>2412</v>
      </c>
      <c r="E709" s="6" t="s">
        <v>2413</v>
      </c>
      <c r="F709" s="6" t="s">
        <v>730</v>
      </c>
      <c r="G709" s="6" t="s">
        <v>286</v>
      </c>
      <c r="H709" s="6" t="s">
        <v>642</v>
      </c>
      <c r="I709" s="26" t="n">
        <v>2</v>
      </c>
      <c r="J709" s="26" t="n">
        <f aca="false">COUNTIFS('Control Library'!$A$5:$A$50,"AI-CTRL-007",'Control Library'!$R$5:$R$50,"Implemented")+COUNTIFS('Control Library'!$A$5:$A$50,"AI-CTRL-014",'Control Library'!$R$5:$R$50,"Implemented")</f>
        <v>0</v>
      </c>
      <c r="K709" s="43" t="str">
        <f aca="false">IF(I709=0,"No wiki control",IF(J709=I709,"Fully covered",IF(J709=0,"Not covered","Partly covered")))</f>
        <v>Not covered</v>
      </c>
      <c r="L709" s="9" t="s">
        <v>2313</v>
      </c>
    </row>
    <row r="710" customFormat="false" ht="35.05" hidden="false" customHeight="false" outlineLevel="0" collapsed="false">
      <c r="A710" s="53" t="s">
        <v>603</v>
      </c>
      <c r="B710" s="53" t="s">
        <v>598</v>
      </c>
      <c r="C710" s="5" t="s">
        <v>2414</v>
      </c>
      <c r="D710" s="6" t="s">
        <v>2415</v>
      </c>
      <c r="E710" s="6" t="s">
        <v>1378</v>
      </c>
      <c r="F710" s="6" t="s">
        <v>730</v>
      </c>
      <c r="G710" s="6" t="s">
        <v>310</v>
      </c>
      <c r="H710" s="6" t="s">
        <v>657</v>
      </c>
      <c r="I710" s="26" t="n">
        <v>2</v>
      </c>
      <c r="J710" s="26" t="n">
        <f aca="false">COUNTIFS('Control Library'!$A$5:$A$50,"AI-CTRL-017",'Control Library'!$R$5:$R$50,"Implemented")+COUNTIFS('Control Library'!$A$5:$A$50,"AI-CTRL-018",'Control Library'!$R$5:$R$50,"Implemented")</f>
        <v>0</v>
      </c>
      <c r="K710" s="43" t="str">
        <f aca="false">IF(I710=0,"No wiki control",IF(J710=I710,"Fully covered",IF(J710=0,"Not covered","Partly covered")))</f>
        <v>Not covered</v>
      </c>
      <c r="L710" s="9" t="s">
        <v>2313</v>
      </c>
    </row>
    <row r="711" customFormat="false" ht="46.25" hidden="false" customHeight="false" outlineLevel="0" collapsed="false">
      <c r="A711" s="53" t="s">
        <v>603</v>
      </c>
      <c r="B711" s="53" t="s">
        <v>598</v>
      </c>
      <c r="C711" s="5" t="s">
        <v>2416</v>
      </c>
      <c r="D711" s="6" t="s">
        <v>2417</v>
      </c>
      <c r="E711" s="6" t="s">
        <v>2418</v>
      </c>
      <c r="F711" s="6" t="s">
        <v>730</v>
      </c>
      <c r="G711" s="6" t="s">
        <v>2419</v>
      </c>
      <c r="H711" s="6" t="s">
        <v>642</v>
      </c>
      <c r="I711" s="26" t="n">
        <v>4</v>
      </c>
      <c r="J711" s="26" t="n">
        <f aca="false">COUNTIFS('Control Library'!$A$5:$A$50,"AI-CTRL-015",'Control Library'!$R$5:$R$50,"Implemented")+COUNTIFS('Control Library'!$A$5:$A$50,"AI-CTRL-016",'Control Library'!$R$5:$R$50,"Implemented")+COUNTIFS('Control Library'!$A$5:$A$50,"AI-CTRL-017",'Control Library'!$R$5:$R$50,"Implemented")+COUNTIFS('Control Library'!$A$5:$A$50,"AI-CTRL-045",'Control Library'!$R$5:$R$50,"Implemented")</f>
        <v>0</v>
      </c>
      <c r="K711" s="43" t="str">
        <f aca="false">IF(I711=0,"No wiki control",IF(J711=I711,"Fully covered",IF(J711=0,"Not covered","Partly covered")))</f>
        <v>Not covered</v>
      </c>
      <c r="L711" s="9" t="s">
        <v>2313</v>
      </c>
    </row>
    <row r="712" customFormat="false" ht="23.85" hidden="false" customHeight="false" outlineLevel="0" collapsed="false">
      <c r="A712" s="53" t="s">
        <v>603</v>
      </c>
      <c r="B712" s="53" t="s">
        <v>598</v>
      </c>
      <c r="C712" s="5" t="s">
        <v>2420</v>
      </c>
      <c r="D712" s="6" t="s">
        <v>2421</v>
      </c>
      <c r="E712" s="6" t="s">
        <v>2422</v>
      </c>
      <c r="F712" s="6" t="s">
        <v>730</v>
      </c>
      <c r="G712" s="6" t="s">
        <v>2180</v>
      </c>
      <c r="H712" s="6" t="s">
        <v>642</v>
      </c>
      <c r="I712" s="26" t="n">
        <v>2</v>
      </c>
      <c r="J712" s="26" t="n">
        <f aca="false">COUNTIFS('Control Library'!$A$5:$A$50,"AI-CTRL-025",'Control Library'!$R$5:$R$50,"Implemented")+COUNTIFS('Control Library'!$A$5:$A$50,"AI-CTRL-027",'Control Library'!$R$5:$R$50,"Implemented")</f>
        <v>0</v>
      </c>
      <c r="K712" s="43" t="str">
        <f aca="false">IF(I712=0,"No wiki control",IF(J712=I712,"Fully covered",IF(J712=0,"Not covered","Partly covered")))</f>
        <v>Not covered</v>
      </c>
      <c r="L712" s="9" t="s">
        <v>2313</v>
      </c>
    </row>
    <row r="713" customFormat="false" ht="35.05" hidden="false" customHeight="false" outlineLevel="0" collapsed="false">
      <c r="A713" s="53" t="s">
        <v>603</v>
      </c>
      <c r="B713" s="53" t="s">
        <v>598</v>
      </c>
      <c r="C713" s="5" t="s">
        <v>2423</v>
      </c>
      <c r="D713" s="6" t="s">
        <v>2424</v>
      </c>
      <c r="E713" s="6" t="s">
        <v>2425</v>
      </c>
      <c r="F713" s="6" t="s">
        <v>730</v>
      </c>
      <c r="G713" s="6" t="s">
        <v>2426</v>
      </c>
      <c r="H713" s="6" t="s">
        <v>657</v>
      </c>
      <c r="I713" s="26" t="n">
        <v>3</v>
      </c>
      <c r="J713" s="26" t="n">
        <f aca="false">COUNTIFS('Control Library'!$A$5:$A$50,"AI-CTRL-006",'Control Library'!$R$5:$R$50,"Implemented")+COUNTIFS('Control Library'!$A$5:$A$50,"AI-CTRL-015",'Control Library'!$R$5:$R$50,"Implemented")+COUNTIFS('Control Library'!$A$5:$A$50,"AI-CTRL-022",'Control Library'!$R$5:$R$50,"Implemented")</f>
        <v>0</v>
      </c>
      <c r="K713" s="43" t="str">
        <f aca="false">IF(I713=0,"No wiki control",IF(J713=I713,"Fully covered",IF(J713=0,"Not covered","Partly covered")))</f>
        <v>Not covered</v>
      </c>
      <c r="L713" s="9" t="s">
        <v>2313</v>
      </c>
    </row>
    <row r="714" customFormat="false" ht="46.25" hidden="false" customHeight="false" outlineLevel="0" collapsed="false">
      <c r="A714" s="53" t="s">
        <v>603</v>
      </c>
      <c r="B714" s="53" t="s">
        <v>598</v>
      </c>
      <c r="C714" s="5" t="s">
        <v>2427</v>
      </c>
      <c r="D714" s="6" t="s">
        <v>2428</v>
      </c>
      <c r="E714" s="6" t="s">
        <v>2429</v>
      </c>
      <c r="F714" s="6" t="s">
        <v>730</v>
      </c>
      <c r="G714" s="6" t="s">
        <v>2430</v>
      </c>
      <c r="H714" s="6" t="s">
        <v>642</v>
      </c>
      <c r="I714" s="26" t="n">
        <v>3</v>
      </c>
      <c r="J714" s="26" t="n">
        <f aca="false">COUNTIFS('Control Library'!$A$5:$A$50,"AI-CTRL-020",'Control Library'!$R$5:$R$50,"Implemented")+COUNTIFS('Control Library'!$A$5:$A$50,"AI-CTRL-039",'Control Library'!$R$5:$R$50,"Implemented")+COUNTIFS('Control Library'!$A$5:$A$50,"AI-CTRL-045",'Control Library'!$R$5:$R$50,"Implemented")</f>
        <v>0</v>
      </c>
      <c r="K714" s="43" t="str">
        <f aca="false">IF(I714=0,"No wiki control",IF(J714=I714,"Fully covered",IF(J714=0,"Not covered","Partly covered")))</f>
        <v>Not covered</v>
      </c>
      <c r="L714" s="9" t="s">
        <v>2313</v>
      </c>
    </row>
    <row r="715" customFormat="false" ht="35.05" hidden="false" customHeight="false" outlineLevel="0" collapsed="false">
      <c r="A715" s="53" t="s">
        <v>603</v>
      </c>
      <c r="B715" s="53" t="s">
        <v>598</v>
      </c>
      <c r="C715" s="5" t="s">
        <v>2431</v>
      </c>
      <c r="D715" s="6" t="s">
        <v>2432</v>
      </c>
      <c r="E715" s="6" t="s">
        <v>2433</v>
      </c>
      <c r="F715" s="6" t="s">
        <v>730</v>
      </c>
      <c r="G715" s="6" t="s">
        <v>2434</v>
      </c>
      <c r="H715" s="6" t="s">
        <v>642</v>
      </c>
      <c r="I715" s="26" t="n">
        <v>2</v>
      </c>
      <c r="J715" s="26" t="n">
        <f aca="false">COUNTIFS('Control Library'!$A$5:$A$50,"AI-CTRL-011",'Control Library'!$R$5:$R$50,"Implemented")+COUNTIFS('Control Library'!$A$5:$A$50,"AI-CTRL-033",'Control Library'!$R$5:$R$50,"Implemented")</f>
        <v>0</v>
      </c>
      <c r="K715" s="43" t="str">
        <f aca="false">IF(I715=0,"No wiki control",IF(J715=I715,"Fully covered",IF(J715=0,"Not covered","Partly covered")))</f>
        <v>Not covered</v>
      </c>
      <c r="L715" s="9" t="s">
        <v>2313</v>
      </c>
    </row>
    <row r="716" customFormat="false" ht="35.05" hidden="false" customHeight="false" outlineLevel="0" collapsed="false">
      <c r="A716" s="53" t="s">
        <v>603</v>
      </c>
      <c r="B716" s="53" t="s">
        <v>598</v>
      </c>
      <c r="C716" s="5" t="s">
        <v>2435</v>
      </c>
      <c r="D716" s="6" t="s">
        <v>2436</v>
      </c>
      <c r="E716" s="6" t="s">
        <v>1860</v>
      </c>
      <c r="F716" s="6" t="s">
        <v>730</v>
      </c>
      <c r="G716" s="6" t="s">
        <v>251</v>
      </c>
      <c r="H716" s="6" t="s">
        <v>642</v>
      </c>
      <c r="I716" s="26" t="n">
        <v>2</v>
      </c>
      <c r="J716" s="26" t="n">
        <f aca="false">COUNTIFS('Control Library'!$A$5:$A$50,"AI-CTRL-001",'Control Library'!$R$5:$R$50,"Implemented")+COUNTIFS('Control Library'!$A$5:$A$50,"AI-CTRL-010",'Control Library'!$R$5:$R$50,"Implemented")</f>
        <v>0</v>
      </c>
      <c r="K716" s="43" t="str">
        <f aca="false">IF(I716=0,"No wiki control",IF(J716=I716,"Fully covered",IF(J716=0,"Not covered","Partly covered")))</f>
        <v>Not covered</v>
      </c>
      <c r="L716" s="9" t="s">
        <v>2313</v>
      </c>
    </row>
    <row r="717" customFormat="false" ht="23.85" hidden="false" customHeight="false" outlineLevel="0" collapsed="false">
      <c r="A717" s="53" t="s">
        <v>603</v>
      </c>
      <c r="B717" s="53" t="s">
        <v>598</v>
      </c>
      <c r="C717" s="5" t="s">
        <v>2437</v>
      </c>
      <c r="D717" s="6" t="s">
        <v>2438</v>
      </c>
      <c r="E717" s="6" t="s">
        <v>444</v>
      </c>
      <c r="F717" s="6" t="s">
        <v>730</v>
      </c>
      <c r="G717" s="6" t="s">
        <v>447</v>
      </c>
      <c r="H717" s="6" t="s">
        <v>642</v>
      </c>
      <c r="I717" s="26" t="n">
        <v>1</v>
      </c>
      <c r="J717" s="26" t="n">
        <f aca="false">COUNTIFS('Control Library'!$A$5:$A$50,"AI-CTRL-034",'Control Library'!$R$5:$R$50,"Implemented")</f>
        <v>0</v>
      </c>
      <c r="K717" s="43" t="str">
        <f aca="false">IF(I717=0,"No wiki control",IF(J717=I717,"Fully covered",IF(J717=0,"Not covered","Partly covered")))</f>
        <v>Not covered</v>
      </c>
      <c r="L717" s="9" t="s">
        <v>2313</v>
      </c>
    </row>
    <row r="718" customFormat="false" ht="23.85" hidden="false" customHeight="false" outlineLevel="0" collapsed="false">
      <c r="A718" s="55" t="s">
        <v>604</v>
      </c>
      <c r="B718" s="55" t="s">
        <v>605</v>
      </c>
      <c r="C718" s="5" t="s">
        <v>2439</v>
      </c>
      <c r="D718" s="6" t="s">
        <v>2440</v>
      </c>
      <c r="E718" s="6" t="s">
        <v>255</v>
      </c>
      <c r="F718" s="6" t="s">
        <v>730</v>
      </c>
      <c r="G718" s="6" t="s">
        <v>258</v>
      </c>
      <c r="H718" s="6" t="s">
        <v>1023</v>
      </c>
      <c r="I718" s="26" t="n">
        <v>1</v>
      </c>
      <c r="J718" s="26" t="n">
        <f aca="false">COUNTIFS('Control Library'!$A$5:$A$50,"AI-CTRL-011",'Control Library'!$R$5:$R$50,"Implemented")</f>
        <v>0</v>
      </c>
      <c r="K718" s="43" t="str">
        <f aca="false">IF(I718=0,"No wiki control",IF(J718=I718,"Fully covered",IF(J718=0,"Not covered","Partly covered")))</f>
        <v>Not covered</v>
      </c>
      <c r="L718" s="9" t="s">
        <v>2441</v>
      </c>
    </row>
    <row r="719" customFormat="false" ht="35.05" hidden="false" customHeight="false" outlineLevel="0" collapsed="false">
      <c r="A719" s="55" t="s">
        <v>604</v>
      </c>
      <c r="B719" s="55" t="s">
        <v>605</v>
      </c>
      <c r="C719" s="5" t="s">
        <v>2442</v>
      </c>
      <c r="D719" s="6" t="s">
        <v>2443</v>
      </c>
      <c r="E719" s="6" t="s">
        <v>2444</v>
      </c>
      <c r="F719" s="6" t="s">
        <v>730</v>
      </c>
      <c r="G719" s="6" t="s">
        <v>2445</v>
      </c>
      <c r="H719" s="6" t="s">
        <v>657</v>
      </c>
      <c r="I719" s="26" t="n">
        <v>4</v>
      </c>
      <c r="J719" s="26" t="n">
        <f aca="false">COUNTIFS('Control Library'!$A$5:$A$50,"AI-CTRL-013",'Control Library'!$R$5:$R$50,"Implemented")+COUNTIFS('Control Library'!$A$5:$A$50,"AI-CTRL-041",'Control Library'!$R$5:$R$50,"Implemented")+COUNTIFS('Control Library'!$A$5:$A$50,"AI-CTRL-042",'Control Library'!$R$5:$R$50,"Implemented")+COUNTIFS('Control Library'!$A$5:$A$50,"AI-CTRL-045",'Control Library'!$R$5:$R$50,"Implemented")</f>
        <v>0</v>
      </c>
      <c r="K719" s="43" t="str">
        <f aca="false">IF(I719=0,"No wiki control",IF(J719=I719,"Fully covered",IF(J719=0,"Not covered","Partly covered")))</f>
        <v>Not covered</v>
      </c>
      <c r="L719" s="9" t="s">
        <v>2441</v>
      </c>
    </row>
    <row r="720" customFormat="false" ht="35.05" hidden="false" customHeight="false" outlineLevel="0" collapsed="false">
      <c r="A720" s="55" t="s">
        <v>604</v>
      </c>
      <c r="B720" s="55" t="s">
        <v>605</v>
      </c>
      <c r="C720" s="5" t="s">
        <v>2446</v>
      </c>
      <c r="D720" s="6" t="s">
        <v>2447</v>
      </c>
      <c r="E720" s="6" t="s">
        <v>2448</v>
      </c>
      <c r="F720" s="6" t="s">
        <v>730</v>
      </c>
      <c r="G720" s="6" t="s">
        <v>2449</v>
      </c>
      <c r="H720" s="6" t="s">
        <v>657</v>
      </c>
      <c r="I720" s="26" t="n">
        <v>3</v>
      </c>
      <c r="J720" s="26" t="n">
        <f aca="false">COUNTIFS('Control Library'!$A$5:$A$50,"AI-CTRL-013",'Control Library'!$R$5:$R$50,"Implemented")+COUNTIFS('Control Library'!$A$5:$A$50,"AI-CTRL-039",'Control Library'!$R$5:$R$50,"Implemented")+COUNTIFS('Control Library'!$A$5:$A$50,"AI-CTRL-041",'Control Library'!$R$5:$R$50,"Implemented")</f>
        <v>0</v>
      </c>
      <c r="K720" s="43" t="str">
        <f aca="false">IF(I720=0,"No wiki control",IF(J720=I720,"Fully covered",IF(J720=0,"Not covered","Partly covered")))</f>
        <v>Not covered</v>
      </c>
      <c r="L720" s="9" t="s">
        <v>2441</v>
      </c>
    </row>
    <row r="721" customFormat="false" ht="46.25" hidden="false" customHeight="false" outlineLevel="0" collapsed="false">
      <c r="A721" s="55" t="s">
        <v>604</v>
      </c>
      <c r="B721" s="55" t="s">
        <v>605</v>
      </c>
      <c r="C721" s="5" t="s">
        <v>2450</v>
      </c>
      <c r="D721" s="6" t="s">
        <v>2451</v>
      </c>
      <c r="E721" s="6" t="s">
        <v>2452</v>
      </c>
      <c r="F721" s="6" t="s">
        <v>730</v>
      </c>
      <c r="G721" s="6" t="s">
        <v>2453</v>
      </c>
      <c r="H721" s="6" t="s">
        <v>642</v>
      </c>
      <c r="I721" s="26" t="n">
        <v>5</v>
      </c>
      <c r="J721" s="26" t="n">
        <f aca="false">COUNTIFS('Control Library'!$A$5:$A$50,"AI-CTRL-005",'Control Library'!$R$5:$R$50,"Implemented")+COUNTIFS('Control Library'!$A$5:$A$50,"AI-CTRL-025",'Control Library'!$R$5:$R$50,"Implemented")+COUNTIFS('Control Library'!$A$5:$A$50,"AI-CTRL-028",'Control Library'!$R$5:$R$50,"Implemented")+COUNTIFS('Control Library'!$A$5:$A$50,"AI-CTRL-034",'Control Library'!$R$5:$R$50,"Implemented")+COUNTIFS('Control Library'!$A$5:$A$50,"AI-CTRL-040",'Control Library'!$R$5:$R$50,"Implemented")</f>
        <v>0</v>
      </c>
      <c r="K721" s="43" t="str">
        <f aca="false">IF(I721=0,"No wiki control",IF(J721=I721,"Fully covered",IF(J721=0,"Not covered","Partly covered")))</f>
        <v>Not covered</v>
      </c>
      <c r="L721" s="9" t="s">
        <v>2441</v>
      </c>
    </row>
    <row r="722" customFormat="false" ht="35.05" hidden="false" customHeight="false" outlineLevel="0" collapsed="false">
      <c r="A722" s="55" t="s">
        <v>604</v>
      </c>
      <c r="B722" s="55" t="s">
        <v>605</v>
      </c>
      <c r="C722" s="5" t="s">
        <v>2454</v>
      </c>
      <c r="D722" s="6" t="s">
        <v>2455</v>
      </c>
      <c r="E722" s="6" t="s">
        <v>2456</v>
      </c>
      <c r="F722" s="6" t="s">
        <v>730</v>
      </c>
      <c r="G722" s="6" t="s">
        <v>2457</v>
      </c>
      <c r="H722" s="6" t="s">
        <v>642</v>
      </c>
      <c r="I722" s="26" t="n">
        <v>5</v>
      </c>
      <c r="J722" s="26" t="n">
        <f aca="false">COUNTIFS('Control Library'!$A$5:$A$50,"AI-CTRL-008",'Control Library'!$R$5:$R$50,"Implemented")+COUNTIFS('Control Library'!$A$5:$A$50,"AI-CTRL-011",'Control Library'!$R$5:$R$50,"Implemented")+COUNTIFS('Control Library'!$A$5:$A$50,"AI-CTRL-012",'Control Library'!$R$5:$R$50,"Implemented")+COUNTIFS('Control Library'!$A$5:$A$50,"AI-CTRL-037",'Control Library'!$R$5:$R$50,"Implemented")+COUNTIFS('Control Library'!$A$5:$A$50,"AI-CTRL-038",'Control Library'!$R$5:$R$50,"Implemented")</f>
        <v>0</v>
      </c>
      <c r="K722" s="43" t="str">
        <f aca="false">IF(I722=0,"No wiki control",IF(J722=I722,"Fully covered",IF(J722=0,"Not covered","Partly covered")))</f>
        <v>Not covered</v>
      </c>
      <c r="L722" s="9" t="s">
        <v>2441</v>
      </c>
    </row>
    <row r="723" customFormat="false" ht="35.05" hidden="false" customHeight="false" outlineLevel="0" collapsed="false">
      <c r="A723" s="55" t="s">
        <v>606</v>
      </c>
      <c r="B723" s="55" t="s">
        <v>605</v>
      </c>
      <c r="C723" s="5" t="s">
        <v>2455</v>
      </c>
      <c r="D723" s="6" t="s">
        <v>2455</v>
      </c>
      <c r="E723" s="6" t="s">
        <v>2458</v>
      </c>
      <c r="F723" s="6" t="s">
        <v>730</v>
      </c>
      <c r="G723" s="6" t="s">
        <v>2457</v>
      </c>
      <c r="H723" s="6" t="s">
        <v>642</v>
      </c>
      <c r="I723" s="26" t="n">
        <v>4</v>
      </c>
      <c r="J723" s="26" t="n">
        <f aca="false">COUNTIFS('Control Library'!$A$5:$A$50,"AI-CTRL-008",'Control Library'!$R$5:$R$50,"Implemented")+COUNTIFS('Control Library'!$A$5:$A$50,"AI-CTRL-012",'Control Library'!$R$5:$R$50,"Implemented")+COUNTIFS('Control Library'!$A$5:$A$50,"AI-CTRL-037",'Control Library'!$R$5:$R$50,"Implemented")+COUNTIFS('Control Library'!$A$5:$A$50,"AI-CTRL-038",'Control Library'!$R$5:$R$50,"Implemented")</f>
        <v>0</v>
      </c>
      <c r="K723" s="43" t="str">
        <f aca="false">IF(I723=0,"No wiki control",IF(J723=I723,"Fully covered",IF(J723=0,"Not covered","Partly covered")))</f>
        <v>Not covered</v>
      </c>
      <c r="L723" s="9" t="s">
        <v>2459</v>
      </c>
    </row>
    <row r="724" customFormat="false" ht="35.05" hidden="false" customHeight="false" outlineLevel="0" collapsed="false">
      <c r="A724" s="55" t="s">
        <v>606</v>
      </c>
      <c r="B724" s="55" t="s">
        <v>605</v>
      </c>
      <c r="C724" s="5" t="s">
        <v>2460</v>
      </c>
      <c r="D724" s="6" t="s">
        <v>2460</v>
      </c>
      <c r="E724" s="6" t="s">
        <v>504</v>
      </c>
      <c r="F724" s="6" t="s">
        <v>730</v>
      </c>
      <c r="G724" s="6" t="s">
        <v>507</v>
      </c>
      <c r="H724" s="6" t="s">
        <v>657</v>
      </c>
      <c r="I724" s="26" t="n">
        <v>1</v>
      </c>
      <c r="J724" s="26" t="n">
        <f aca="false">COUNTIFS('Control Library'!$A$5:$A$50,"AI-CTRL-041",'Control Library'!$R$5:$R$50,"Implemented")</f>
        <v>0</v>
      </c>
      <c r="K724" s="43" t="str">
        <f aca="false">IF(I724=0,"No wiki control",IF(J724=I724,"Fully covered",IF(J724=0,"Not covered","Partly covered")))</f>
        <v>Not covered</v>
      </c>
      <c r="L724" s="9" t="s">
        <v>2459</v>
      </c>
    </row>
    <row r="725" customFormat="false" ht="35.05" hidden="false" customHeight="false" outlineLevel="0" collapsed="false">
      <c r="A725" s="55" t="s">
        <v>606</v>
      </c>
      <c r="B725" s="55" t="s">
        <v>605</v>
      </c>
      <c r="C725" s="5" t="s">
        <v>2461</v>
      </c>
      <c r="D725" s="6" t="s">
        <v>2461</v>
      </c>
      <c r="E725" s="6" t="s">
        <v>1957</v>
      </c>
      <c r="F725" s="6" t="s">
        <v>730</v>
      </c>
      <c r="G725" s="6" t="s">
        <v>1958</v>
      </c>
      <c r="H725" s="6" t="s">
        <v>642</v>
      </c>
      <c r="I725" s="26" t="n">
        <v>3</v>
      </c>
      <c r="J725" s="26" t="n">
        <f aca="false">COUNTIFS('Control Library'!$A$5:$A$50,"AI-CTRL-023",'Control Library'!$R$5:$R$50,"Implemented")+COUNTIFS('Control Library'!$A$5:$A$50,"AI-CTRL-025",'Control Library'!$R$5:$R$50,"Implemented")+COUNTIFS('Control Library'!$A$5:$A$50,"AI-CTRL-045",'Control Library'!$R$5:$R$50,"Implemented")</f>
        <v>0</v>
      </c>
      <c r="K725" s="43" t="str">
        <f aca="false">IF(I725=0,"No wiki control",IF(J725=I725,"Fully covered",IF(J725=0,"Not covered","Partly covered")))</f>
        <v>Not covered</v>
      </c>
      <c r="L725" s="9" t="s">
        <v>2459</v>
      </c>
    </row>
    <row r="726" customFormat="false" ht="35.05" hidden="false" customHeight="false" outlineLevel="0" collapsed="false">
      <c r="A726" s="55" t="s">
        <v>606</v>
      </c>
      <c r="B726" s="55" t="s">
        <v>605</v>
      </c>
      <c r="C726" s="5" t="s">
        <v>2462</v>
      </c>
      <c r="D726" s="6" t="s">
        <v>2462</v>
      </c>
      <c r="E726" s="6" t="s">
        <v>1939</v>
      </c>
      <c r="F726" s="6" t="s">
        <v>730</v>
      </c>
      <c r="G726" s="6" t="s">
        <v>1940</v>
      </c>
      <c r="H726" s="6" t="s">
        <v>642</v>
      </c>
      <c r="I726" s="26" t="n">
        <v>3</v>
      </c>
      <c r="J726" s="26" t="n">
        <f aca="false">COUNTIFS('Control Library'!$A$5:$A$50,"AI-CTRL-013",'Control Library'!$R$5:$R$50,"Implemented")+COUNTIFS('Control Library'!$A$5:$A$50,"AI-CTRL-017",'Control Library'!$R$5:$R$50,"Implemented")+COUNTIFS('Control Library'!$A$5:$A$50,"AI-CTRL-029",'Control Library'!$R$5:$R$50,"Implemented")</f>
        <v>0</v>
      </c>
      <c r="K726" s="43" t="str">
        <f aca="false">IF(I726=0,"No wiki control",IF(J726=I726,"Fully covered",IF(J726=0,"Not covered","Partly covered")))</f>
        <v>Not covered</v>
      </c>
      <c r="L726" s="9" t="s">
        <v>2459</v>
      </c>
    </row>
    <row r="727" customFormat="false" ht="35.05" hidden="false" customHeight="false" outlineLevel="0" collapsed="false">
      <c r="A727" s="55" t="s">
        <v>606</v>
      </c>
      <c r="B727" s="55" t="s">
        <v>605</v>
      </c>
      <c r="C727" s="5" t="s">
        <v>2463</v>
      </c>
      <c r="D727" s="6" t="s">
        <v>2463</v>
      </c>
      <c r="E727" s="6"/>
      <c r="F727" s="6" t="s">
        <v>640</v>
      </c>
      <c r="G727" s="6"/>
      <c r="H727" s="6" t="s">
        <v>1023</v>
      </c>
      <c r="I727" s="26" t="n">
        <v>0</v>
      </c>
      <c r="J727" s="26" t="n">
        <f aca="false">0</f>
        <v>0</v>
      </c>
      <c r="K727" s="43" t="str">
        <f aca="false">IF(I727=0,"No wiki control",IF(J727=I727,"Fully covered",IF(J727=0,"Not covered","Partly covered")))</f>
        <v>No wiki control</v>
      </c>
      <c r="L727" s="9" t="s">
        <v>2459</v>
      </c>
    </row>
    <row r="728" customFormat="false" ht="35.05" hidden="false" customHeight="false" outlineLevel="0" collapsed="false">
      <c r="A728" s="55" t="s">
        <v>606</v>
      </c>
      <c r="B728" s="55" t="s">
        <v>605</v>
      </c>
      <c r="C728" s="5" t="s">
        <v>2464</v>
      </c>
      <c r="D728" s="6" t="s">
        <v>2464</v>
      </c>
      <c r="E728" s="6" t="s">
        <v>2465</v>
      </c>
      <c r="F728" s="6" t="s">
        <v>730</v>
      </c>
      <c r="G728" s="6" t="s">
        <v>2466</v>
      </c>
      <c r="H728" s="6" t="s">
        <v>642</v>
      </c>
      <c r="I728" s="26" t="n">
        <v>4</v>
      </c>
      <c r="J728" s="26" t="n">
        <f aca="false">COUNTIFS('Control Library'!$A$5:$A$50,"AI-CTRL-005",'Control Library'!$R$5:$R$50,"Implemented")+COUNTIFS('Control Library'!$A$5:$A$50,"AI-CTRL-028",'Control Library'!$R$5:$R$50,"Implemented")+COUNTIFS('Control Library'!$A$5:$A$50,"AI-CTRL-034",'Control Library'!$R$5:$R$50,"Implemented")+COUNTIFS('Control Library'!$A$5:$A$50,"AI-CTRL-040",'Control Library'!$R$5:$R$50,"Implemented")</f>
        <v>0</v>
      </c>
      <c r="K728" s="43" t="str">
        <f aca="false">IF(I728=0,"No wiki control",IF(J728=I728,"Fully covered",IF(J728=0,"Not covered","Partly covered")))</f>
        <v>Not covered</v>
      </c>
      <c r="L728" s="9" t="s">
        <v>2459</v>
      </c>
    </row>
    <row r="729" customFormat="false" ht="23.85" hidden="false" customHeight="false" outlineLevel="0" collapsed="false">
      <c r="A729" s="55" t="s">
        <v>606</v>
      </c>
      <c r="B729" s="55" t="s">
        <v>605</v>
      </c>
      <c r="C729" s="5" t="s">
        <v>2467</v>
      </c>
      <c r="D729" s="6" t="s">
        <v>2467</v>
      </c>
      <c r="E729" s="6" t="s">
        <v>2468</v>
      </c>
      <c r="F729" s="6" t="s">
        <v>730</v>
      </c>
      <c r="G729" s="6" t="s">
        <v>1197</v>
      </c>
      <c r="H729" s="6" t="s">
        <v>657</v>
      </c>
      <c r="I729" s="26" t="n">
        <v>3</v>
      </c>
      <c r="J729" s="26" t="n">
        <f aca="false">COUNTIFS('Control Library'!$A$5:$A$50,"AI-CTRL-008",'Control Library'!$R$5:$R$50,"Implemented")+COUNTIFS('Control Library'!$A$5:$A$50,"AI-CTRL-039",'Control Library'!$R$5:$R$50,"Implemented")+COUNTIFS('Control Library'!$A$5:$A$50,"AI-CTRL-041",'Control Library'!$R$5:$R$50,"Implemented")</f>
        <v>0</v>
      </c>
      <c r="K729" s="43" t="str">
        <f aca="false">IF(I729=0,"No wiki control",IF(J729=I729,"Fully covered",IF(J729=0,"Not covered","Partly covered")))</f>
        <v>Not covered</v>
      </c>
      <c r="L729" s="9" t="s">
        <v>2459</v>
      </c>
    </row>
    <row r="730" customFormat="false" ht="23.85" hidden="false" customHeight="false" outlineLevel="0" collapsed="false">
      <c r="A730" s="55" t="s">
        <v>607</v>
      </c>
      <c r="B730" s="55" t="s">
        <v>605</v>
      </c>
      <c r="C730" s="5" t="s">
        <v>2469</v>
      </c>
      <c r="D730" s="6" t="s">
        <v>530</v>
      </c>
      <c r="E730" s="6" t="s">
        <v>530</v>
      </c>
      <c r="F730" s="6" t="s">
        <v>730</v>
      </c>
      <c r="G730" s="6" t="s">
        <v>533</v>
      </c>
      <c r="H730" s="6" t="s">
        <v>642</v>
      </c>
      <c r="I730" s="26" t="n">
        <v>1</v>
      </c>
      <c r="J730" s="26" t="n">
        <f aca="false">COUNTIFS('Control Library'!$A$5:$A$50,"AI-CTRL-044",'Control Library'!$R$5:$R$50,"Implemented")</f>
        <v>0</v>
      </c>
      <c r="K730" s="43" t="str">
        <f aca="false">IF(I730=0,"No wiki control",IF(J730=I730,"Fully covered",IF(J730=0,"Not covered","Partly covered")))</f>
        <v>Not covered</v>
      </c>
      <c r="L730" s="9" t="s">
        <v>2459</v>
      </c>
    </row>
    <row r="731" customFormat="false" ht="23.85" hidden="false" customHeight="false" outlineLevel="0" collapsed="false">
      <c r="A731" s="55" t="s">
        <v>607</v>
      </c>
      <c r="B731" s="55" t="s">
        <v>605</v>
      </c>
      <c r="C731" s="5" t="s">
        <v>2470</v>
      </c>
      <c r="D731" s="6" t="s">
        <v>504</v>
      </c>
      <c r="E731" s="6" t="s">
        <v>504</v>
      </c>
      <c r="F731" s="6" t="s">
        <v>730</v>
      </c>
      <c r="G731" s="6" t="s">
        <v>507</v>
      </c>
      <c r="H731" s="6" t="s">
        <v>657</v>
      </c>
      <c r="I731" s="26" t="n">
        <v>1</v>
      </c>
      <c r="J731" s="26" t="n">
        <f aca="false">COUNTIFS('Control Library'!$A$5:$A$50,"AI-CTRL-041",'Control Library'!$R$5:$R$50,"Implemented")</f>
        <v>0</v>
      </c>
      <c r="K731" s="43" t="str">
        <f aca="false">IF(I731=0,"No wiki control",IF(J731=I731,"Fully covered",IF(J731=0,"Not covered","Partly covered")))</f>
        <v>Not covered</v>
      </c>
      <c r="L731" s="9" t="s">
        <v>2459</v>
      </c>
    </row>
    <row r="732" customFormat="false" ht="23.85" hidden="false" customHeight="false" outlineLevel="0" collapsed="false">
      <c r="A732" s="55" t="s">
        <v>607</v>
      </c>
      <c r="B732" s="55" t="s">
        <v>605</v>
      </c>
      <c r="C732" s="5" t="s">
        <v>2471</v>
      </c>
      <c r="D732" s="6" t="s">
        <v>2472</v>
      </c>
      <c r="E732" s="6" t="s">
        <v>805</v>
      </c>
      <c r="F732" s="6" t="s">
        <v>730</v>
      </c>
      <c r="G732" s="6" t="s">
        <v>542</v>
      </c>
      <c r="H732" s="6" t="s">
        <v>642</v>
      </c>
      <c r="I732" s="26" t="n">
        <v>2</v>
      </c>
      <c r="J732" s="26" t="n">
        <f aca="false">COUNTIFS('Control Library'!$A$5:$A$50,"AI-CTRL-023",'Control Library'!$R$5:$R$50,"Implemented")+COUNTIFS('Control Library'!$A$5:$A$50,"AI-CTRL-045",'Control Library'!$R$5:$R$50,"Implemented")</f>
        <v>0</v>
      </c>
      <c r="K732" s="43" t="str">
        <f aca="false">IF(I732=0,"No wiki control",IF(J732=I732,"Fully covered",IF(J732=0,"Not covered","Partly covered")))</f>
        <v>Not covered</v>
      </c>
      <c r="L732" s="9" t="s">
        <v>2459</v>
      </c>
    </row>
    <row r="733" customFormat="false" ht="35.05" hidden="false" customHeight="false" outlineLevel="0" collapsed="false">
      <c r="A733" s="55" t="s">
        <v>607</v>
      </c>
      <c r="B733" s="55" t="s">
        <v>605</v>
      </c>
      <c r="C733" s="5" t="s">
        <v>2473</v>
      </c>
      <c r="D733" s="6" t="s">
        <v>2474</v>
      </c>
      <c r="E733" s="6" t="s">
        <v>2474</v>
      </c>
      <c r="F733" s="6" t="s">
        <v>730</v>
      </c>
      <c r="G733" s="6" t="s">
        <v>2475</v>
      </c>
      <c r="H733" s="6" t="s">
        <v>657</v>
      </c>
      <c r="I733" s="26" t="n">
        <v>2</v>
      </c>
      <c r="J733" s="26" t="n">
        <f aca="false">COUNTIFS('Control Library'!$A$5:$A$50,"AI-CTRL-012",'Control Library'!$R$5:$R$50,"Implemented")+COUNTIFS('Control Library'!$A$5:$A$50,"AI-CTRL-043",'Control Library'!$R$5:$R$50,"Implemented")</f>
        <v>0</v>
      </c>
      <c r="K733" s="43" t="str">
        <f aca="false">IF(I733=0,"No wiki control",IF(J733=I733,"Fully covered",IF(J733=0,"Not covered","Partly covered")))</f>
        <v>Not covered</v>
      </c>
      <c r="L733" s="9" t="s">
        <v>2459</v>
      </c>
    </row>
    <row r="734" customFormat="false" ht="23.85" hidden="false" customHeight="false" outlineLevel="0" collapsed="false">
      <c r="A734" s="55" t="s">
        <v>607</v>
      </c>
      <c r="B734" s="55" t="s">
        <v>605</v>
      </c>
      <c r="C734" s="5" t="s">
        <v>2476</v>
      </c>
      <c r="D734" s="6" t="s">
        <v>2477</v>
      </c>
      <c r="E734" s="6" t="s">
        <v>2477</v>
      </c>
      <c r="F734" s="6" t="s">
        <v>730</v>
      </c>
      <c r="G734" s="6" t="s">
        <v>2161</v>
      </c>
      <c r="H734" s="6" t="s">
        <v>657</v>
      </c>
      <c r="I734" s="26" t="n">
        <v>2</v>
      </c>
      <c r="J734" s="26" t="n">
        <f aca="false">COUNTIFS('Control Library'!$A$5:$A$50,"AI-CTRL-037",'Control Library'!$R$5:$R$50,"Implemented")+COUNTIFS('Control Library'!$A$5:$A$50,"AI-CTRL-042",'Control Library'!$R$5:$R$50,"Implemented")</f>
        <v>0</v>
      </c>
      <c r="K734" s="43" t="str">
        <f aca="false">IF(I734=0,"No wiki control",IF(J734=I734,"Fully covered",IF(J734=0,"Not covered","Partly covered")))</f>
        <v>Not covered</v>
      </c>
      <c r="L734" s="9" t="s">
        <v>2459</v>
      </c>
    </row>
    <row r="735" customFormat="false" ht="35.05" hidden="false" customHeight="false" outlineLevel="0" collapsed="false">
      <c r="A735" s="55" t="s">
        <v>607</v>
      </c>
      <c r="B735" s="55" t="s">
        <v>605</v>
      </c>
      <c r="C735" s="5" t="s">
        <v>2478</v>
      </c>
      <c r="D735" s="6" t="s">
        <v>2479</v>
      </c>
      <c r="E735" s="6" t="s">
        <v>2479</v>
      </c>
      <c r="F735" s="6" t="s">
        <v>730</v>
      </c>
      <c r="G735" s="6" t="s">
        <v>2480</v>
      </c>
      <c r="H735" s="6" t="s">
        <v>642</v>
      </c>
      <c r="I735" s="26" t="n">
        <v>2</v>
      </c>
      <c r="J735" s="26" t="n">
        <f aca="false">COUNTIFS('Control Library'!$A$5:$A$50,"AI-CTRL-012",'Control Library'!$R$5:$R$50,"Implemented")+COUNTIFS('Control Library'!$A$5:$A$50,"AI-CTRL-038",'Control Library'!$R$5:$R$50,"Implemented")</f>
        <v>0</v>
      </c>
      <c r="K735" s="43" t="str">
        <f aca="false">IF(I735=0,"No wiki control",IF(J735=I735,"Fully covered",IF(J735=0,"Not covered","Partly covered")))</f>
        <v>Not covered</v>
      </c>
      <c r="L735" s="9" t="s">
        <v>2459</v>
      </c>
    </row>
    <row r="736" customFormat="false" ht="23.85" hidden="false" customHeight="false" outlineLevel="0" collapsed="false">
      <c r="A736" s="55" t="s">
        <v>607</v>
      </c>
      <c r="B736" s="55" t="s">
        <v>605</v>
      </c>
      <c r="C736" s="5" t="s">
        <v>2481</v>
      </c>
      <c r="D736" s="6" t="s">
        <v>1950</v>
      </c>
      <c r="E736" s="6" t="s">
        <v>1950</v>
      </c>
      <c r="F736" s="6" t="s">
        <v>730</v>
      </c>
      <c r="G736" s="6" t="s">
        <v>1828</v>
      </c>
      <c r="H736" s="6" t="s">
        <v>642</v>
      </c>
      <c r="I736" s="26" t="n">
        <v>2</v>
      </c>
      <c r="J736" s="26" t="n">
        <f aca="false">COUNTIFS('Control Library'!$A$5:$A$50,"AI-CTRL-013",'Control Library'!$R$5:$R$50,"Implemented")+COUNTIFS('Control Library'!$A$5:$A$50,"AI-CTRL-017",'Control Library'!$R$5:$R$50,"Implemented")</f>
        <v>0</v>
      </c>
      <c r="K736" s="43" t="str">
        <f aca="false">IF(I736=0,"No wiki control",IF(J736=I736,"Fully covered",IF(J736=0,"Not covered","Partly covered")))</f>
        <v>Not covered</v>
      </c>
      <c r="L736" s="9" t="s">
        <v>2459</v>
      </c>
    </row>
    <row r="737" customFormat="false" ht="35.05" hidden="false" customHeight="false" outlineLevel="0" collapsed="false">
      <c r="A737" s="55" t="s">
        <v>607</v>
      </c>
      <c r="B737" s="55" t="s">
        <v>605</v>
      </c>
      <c r="C737" s="5" t="s">
        <v>2482</v>
      </c>
      <c r="D737" s="6" t="s">
        <v>2483</v>
      </c>
      <c r="E737" s="6" t="s">
        <v>2483</v>
      </c>
      <c r="F737" s="6" t="s">
        <v>730</v>
      </c>
      <c r="G737" s="6" t="s">
        <v>2484</v>
      </c>
      <c r="H737" s="6" t="s">
        <v>642</v>
      </c>
      <c r="I737" s="26" t="n">
        <v>3</v>
      </c>
      <c r="J737" s="26" t="n">
        <f aca="false">COUNTIFS('Control Library'!$A$5:$A$50,"AI-CTRL-005",'Control Library'!$R$5:$R$50,"Implemented")+COUNTIFS('Control Library'!$A$5:$A$50,"AI-CTRL-034",'Control Library'!$R$5:$R$50,"Implemented")+COUNTIFS('Control Library'!$A$5:$A$50,"AI-CTRL-040",'Control Library'!$R$5:$R$50,"Implemented")</f>
        <v>0</v>
      </c>
      <c r="K737" s="43" t="str">
        <f aca="false">IF(I737=0,"No wiki control",IF(J737=I737,"Fully covered",IF(J737=0,"Not covered","Partly covered")))</f>
        <v>Not covered</v>
      </c>
      <c r="L737" s="9" t="s">
        <v>2459</v>
      </c>
    </row>
    <row r="738" customFormat="false" ht="23.85" hidden="false" customHeight="false" outlineLevel="0" collapsed="false">
      <c r="A738" s="55" t="s">
        <v>607</v>
      </c>
      <c r="B738" s="55" t="s">
        <v>605</v>
      </c>
      <c r="C738" s="5" t="s">
        <v>2485</v>
      </c>
      <c r="D738" s="6" t="s">
        <v>1023</v>
      </c>
      <c r="E738" s="6"/>
      <c r="F738" s="6" t="s">
        <v>640</v>
      </c>
      <c r="G738" s="6"/>
      <c r="H738" s="6" t="s">
        <v>1023</v>
      </c>
      <c r="I738" s="26" t="n">
        <v>0</v>
      </c>
      <c r="J738" s="26" t="n">
        <f aca="false">0</f>
        <v>0</v>
      </c>
      <c r="K738" s="43" t="str">
        <f aca="false">IF(I738=0,"No wiki control",IF(J738=I738,"Fully covered",IF(J738=0,"Not covered","Partly covered")))</f>
        <v>No wiki control</v>
      </c>
      <c r="L738" s="9" t="s">
        <v>2459</v>
      </c>
    </row>
    <row r="739" customFormat="false" ht="23.85" hidden="false" customHeight="false" outlineLevel="0" collapsed="false">
      <c r="A739" s="55" t="s">
        <v>607</v>
      </c>
      <c r="B739" s="55" t="s">
        <v>605</v>
      </c>
      <c r="C739" s="5" t="s">
        <v>2447</v>
      </c>
      <c r="D739" s="6" t="s">
        <v>1652</v>
      </c>
      <c r="E739" s="6" t="s">
        <v>1652</v>
      </c>
      <c r="F739" s="6" t="s">
        <v>730</v>
      </c>
      <c r="G739" s="6" t="s">
        <v>1653</v>
      </c>
      <c r="H739" s="6" t="s">
        <v>657</v>
      </c>
      <c r="I739" s="26" t="n">
        <v>2</v>
      </c>
      <c r="J739" s="26" t="n">
        <f aca="false">COUNTIFS('Control Library'!$A$5:$A$50,"AI-CTRL-039",'Control Library'!$R$5:$R$50,"Implemented")+COUNTIFS('Control Library'!$A$5:$A$50,"AI-CTRL-041",'Control Library'!$R$5:$R$50,"Implemented")</f>
        <v>0</v>
      </c>
      <c r="K739" s="43" t="str">
        <f aca="false">IF(I739=0,"No wiki control",IF(J739=I739,"Fully covered",IF(J739=0,"Not covered","Partly covered")))</f>
        <v>Not covered</v>
      </c>
      <c r="L739" s="9" t="s">
        <v>2459</v>
      </c>
    </row>
    <row r="740" customFormat="false" ht="46.25" hidden="false" customHeight="false" outlineLevel="0" collapsed="false">
      <c r="A740" s="55" t="s">
        <v>608</v>
      </c>
      <c r="B740" s="55" t="s">
        <v>605</v>
      </c>
      <c r="C740" s="5" t="s">
        <v>2486</v>
      </c>
      <c r="D740" s="6" t="s">
        <v>2487</v>
      </c>
      <c r="E740" s="6" t="s">
        <v>2488</v>
      </c>
      <c r="F740" s="6" t="s">
        <v>730</v>
      </c>
      <c r="G740" s="6" t="s">
        <v>2489</v>
      </c>
      <c r="H740" s="6" t="s">
        <v>2490</v>
      </c>
      <c r="I740" s="26" t="n">
        <v>2</v>
      </c>
      <c r="J740" s="26" t="n">
        <f aca="false">COUNTIFS('Control Library'!$A$5:$A$50,"AI-CTRL-033",'Control Library'!$R$5:$R$50,"Implemented")+COUNTIFS('Control Library'!$A$5:$A$50,"AI-CTRL-042",'Control Library'!$R$5:$R$50,"Implemented")</f>
        <v>0</v>
      </c>
      <c r="K740" s="43" t="str">
        <f aca="false">IF(I740=0,"No wiki control",IF(J740=I740,"Fully covered",IF(J740=0,"Not covered","Partly covered")))</f>
        <v>Not covered</v>
      </c>
      <c r="L740" s="9" t="s">
        <v>2459</v>
      </c>
    </row>
    <row r="741" customFormat="false" ht="135.8" hidden="false" customHeight="false" outlineLevel="0" collapsed="false">
      <c r="A741" s="55" t="s">
        <v>608</v>
      </c>
      <c r="B741" s="55" t="s">
        <v>605</v>
      </c>
      <c r="C741" s="5" t="s">
        <v>2491</v>
      </c>
      <c r="D741" s="6" t="s">
        <v>2492</v>
      </c>
      <c r="E741" s="6" t="s">
        <v>2493</v>
      </c>
      <c r="F741" s="6" t="s">
        <v>730</v>
      </c>
      <c r="G741" s="6" t="s">
        <v>1197</v>
      </c>
      <c r="H741" s="6" t="s">
        <v>2494</v>
      </c>
      <c r="I741" s="26" t="n">
        <v>4</v>
      </c>
      <c r="J741" s="26" t="n">
        <f aca="false">COUNTIFS('Control Library'!$A$5:$A$50,"AI-CTRL-008",'Control Library'!$R$5:$R$50,"Implemented")+COUNTIFS('Control Library'!$A$5:$A$50,"AI-CTRL-035",'Control Library'!$R$5:$R$50,"Implemented")+COUNTIFS('Control Library'!$A$5:$A$50,"AI-CTRL-039",'Control Library'!$R$5:$R$50,"Implemented")+COUNTIFS('Control Library'!$A$5:$A$50,"AI-CTRL-041",'Control Library'!$R$5:$R$50,"Implemented")</f>
        <v>0</v>
      </c>
      <c r="K741" s="43" t="str">
        <f aca="false">IF(I741=0,"No wiki control",IF(J741=I741,"Fully covered",IF(J741=0,"Not covered","Partly covered")))</f>
        <v>Not covered</v>
      </c>
      <c r="L741" s="9" t="s">
        <v>2459</v>
      </c>
    </row>
    <row r="742" customFormat="false" ht="35.05" hidden="false" customHeight="false" outlineLevel="0" collapsed="false">
      <c r="A742" s="55" t="s">
        <v>608</v>
      </c>
      <c r="B742" s="55" t="s">
        <v>605</v>
      </c>
      <c r="C742" s="5" t="s">
        <v>2495</v>
      </c>
      <c r="D742" s="6" t="s">
        <v>2496</v>
      </c>
      <c r="E742" s="6" t="s">
        <v>2497</v>
      </c>
      <c r="F742" s="6" t="s">
        <v>730</v>
      </c>
      <c r="G742" s="6" t="s">
        <v>2498</v>
      </c>
      <c r="H742" s="6" t="s">
        <v>657</v>
      </c>
      <c r="I742" s="26" t="n">
        <v>3</v>
      </c>
      <c r="J742" s="26" t="n">
        <f aca="false">COUNTIFS('Control Library'!$A$5:$A$50,"AI-CTRL-013",'Control Library'!$R$5:$R$50,"Implemented")+COUNTIFS('Control Library'!$A$5:$A$50,"AI-CTRL-017",'Control Library'!$R$5:$R$50,"Implemented")+COUNTIFS('Control Library'!$A$5:$A$50,"AI-CTRL-042",'Control Library'!$R$5:$R$50,"Implemented")</f>
        <v>0</v>
      </c>
      <c r="K742" s="43" t="str">
        <f aca="false">IF(I742=0,"No wiki control",IF(J742=I742,"Fully covered",IF(J742=0,"Not covered","Partly covered")))</f>
        <v>Not covered</v>
      </c>
      <c r="L742" s="9" t="s">
        <v>2459</v>
      </c>
    </row>
    <row r="743" customFormat="false" ht="46.25" hidden="false" customHeight="false" outlineLevel="0" collapsed="false">
      <c r="A743" s="55" t="s">
        <v>608</v>
      </c>
      <c r="B743" s="55" t="s">
        <v>605</v>
      </c>
      <c r="C743" s="5" t="s">
        <v>2499</v>
      </c>
      <c r="D743" s="6" t="s">
        <v>2500</v>
      </c>
      <c r="E743" s="6" t="s">
        <v>504</v>
      </c>
      <c r="F743" s="6" t="s">
        <v>730</v>
      </c>
      <c r="G743" s="6" t="s">
        <v>507</v>
      </c>
      <c r="H743" s="6" t="s">
        <v>642</v>
      </c>
      <c r="I743" s="26" t="n">
        <v>1</v>
      </c>
      <c r="J743" s="26" t="n">
        <f aca="false">COUNTIFS('Control Library'!$A$5:$A$50,"AI-CTRL-041",'Control Library'!$R$5:$R$50,"Implemented")</f>
        <v>0</v>
      </c>
      <c r="K743" s="43" t="str">
        <f aca="false">IF(I743=0,"No wiki control",IF(J743=I743,"Fully covered",IF(J743=0,"Not covered","Partly covered")))</f>
        <v>Not covered</v>
      </c>
      <c r="L743" s="9" t="s">
        <v>2459</v>
      </c>
    </row>
    <row r="744" customFormat="false" ht="35.05" hidden="false" customHeight="false" outlineLevel="0" collapsed="false">
      <c r="A744" s="55" t="s">
        <v>608</v>
      </c>
      <c r="B744" s="55" t="s">
        <v>605</v>
      </c>
      <c r="C744" s="5" t="s">
        <v>2501</v>
      </c>
      <c r="D744" s="6" t="s">
        <v>2502</v>
      </c>
      <c r="E744" s="6"/>
      <c r="F744" s="6" t="s">
        <v>640</v>
      </c>
      <c r="G744" s="6"/>
      <c r="H744" s="6" t="s">
        <v>1023</v>
      </c>
      <c r="I744" s="26" t="n">
        <v>0</v>
      </c>
      <c r="J744" s="26" t="n">
        <f aca="false">0</f>
        <v>0</v>
      </c>
      <c r="K744" s="43" t="str">
        <f aca="false">IF(I744=0,"No wiki control",IF(J744=I744,"Fully covered",IF(J744=0,"Not covered","Partly covered")))</f>
        <v>No wiki control</v>
      </c>
      <c r="L744" s="9" t="s">
        <v>2459</v>
      </c>
    </row>
    <row r="745" customFormat="false" ht="23.85" hidden="false" customHeight="false" outlineLevel="0" collapsed="false">
      <c r="A745" s="39" t="s">
        <v>609</v>
      </c>
      <c r="B745" s="39" t="s">
        <v>610</v>
      </c>
      <c r="C745" s="5" t="s">
        <v>2503</v>
      </c>
      <c r="D745" s="6" t="s">
        <v>2504</v>
      </c>
      <c r="E745" s="6" t="s">
        <v>539</v>
      </c>
      <c r="F745" s="6" t="s">
        <v>730</v>
      </c>
      <c r="G745" s="6" t="s">
        <v>542</v>
      </c>
      <c r="H745" s="6"/>
      <c r="I745" s="26" t="n">
        <v>1</v>
      </c>
      <c r="J745" s="26" t="n">
        <f aca="false">COUNTIFS('Control Library'!$A$5:$A$50,"AI-CTRL-045",'Control Library'!$R$5:$R$50,"Implemented")</f>
        <v>0</v>
      </c>
      <c r="K745" s="43" t="str">
        <f aca="false">IF(I745=0,"No wiki control",IF(J745=I745,"Fully covered",IF(J745=0,"Not covered","Partly covered")))</f>
        <v>Not covered</v>
      </c>
      <c r="L745" s="9" t="s">
        <v>2505</v>
      </c>
    </row>
    <row r="746" customFormat="false" ht="23.85" hidden="false" customHeight="false" outlineLevel="0" collapsed="false">
      <c r="A746" s="39" t="s">
        <v>609</v>
      </c>
      <c r="B746" s="39" t="s">
        <v>610</v>
      </c>
      <c r="C746" s="5" t="s">
        <v>2506</v>
      </c>
      <c r="D746" s="6" t="s">
        <v>2507</v>
      </c>
      <c r="E746" s="6" t="s">
        <v>2508</v>
      </c>
      <c r="F746" s="6" t="s">
        <v>730</v>
      </c>
      <c r="G746" s="6" t="s">
        <v>2509</v>
      </c>
      <c r="H746" s="6"/>
      <c r="I746" s="26" t="n">
        <v>2</v>
      </c>
      <c r="J746" s="26" t="n">
        <f aca="false">COUNTIFS('Control Library'!$A$5:$A$50,"AI-CTRL-042",'Control Library'!$R$5:$R$50,"Implemented")+COUNTIFS('Control Library'!$A$5:$A$50,"AI-CTRL-045",'Control Library'!$R$5:$R$50,"Implemented")</f>
        <v>0</v>
      </c>
      <c r="K746" s="43" t="str">
        <f aca="false">IF(I746=0,"No wiki control",IF(J746=I746,"Fully covered",IF(J746=0,"Not covered","Partly covered")))</f>
        <v>Not covered</v>
      </c>
      <c r="L746" s="9" t="s">
        <v>2505</v>
      </c>
    </row>
    <row r="747" customFormat="false" ht="23.85" hidden="false" customHeight="false" outlineLevel="0" collapsed="false">
      <c r="A747" s="39" t="s">
        <v>609</v>
      </c>
      <c r="B747" s="39" t="s">
        <v>610</v>
      </c>
      <c r="C747" s="5" t="s">
        <v>2510</v>
      </c>
      <c r="D747" s="6" t="s">
        <v>2511</v>
      </c>
      <c r="E747" s="6" t="s">
        <v>1140</v>
      </c>
      <c r="F747" s="6" t="s">
        <v>730</v>
      </c>
      <c r="G747" s="6" t="s">
        <v>2512</v>
      </c>
      <c r="H747" s="6"/>
      <c r="I747" s="26" t="n">
        <v>2</v>
      </c>
      <c r="J747" s="26" t="n">
        <f aca="false">COUNTIFS('Control Library'!$A$5:$A$50,"AI-CTRL-039",'Control Library'!$R$5:$R$50,"Implemented")+COUNTIFS('Control Library'!$A$5:$A$50,"AI-CTRL-045",'Control Library'!$R$5:$R$50,"Implemented")</f>
        <v>0</v>
      </c>
      <c r="K747" s="43" t="str">
        <f aca="false">IF(I747=0,"No wiki control",IF(J747=I747,"Fully covered",IF(J747=0,"Not covered","Partly covered")))</f>
        <v>Not covered</v>
      </c>
      <c r="L747" s="9" t="s">
        <v>2505</v>
      </c>
    </row>
    <row r="748" customFormat="false" ht="35.05" hidden="false" customHeight="false" outlineLevel="0" collapsed="false">
      <c r="A748" s="39" t="s">
        <v>609</v>
      </c>
      <c r="B748" s="39" t="s">
        <v>610</v>
      </c>
      <c r="C748" s="5" t="s">
        <v>2513</v>
      </c>
      <c r="D748" s="6" t="s">
        <v>2514</v>
      </c>
      <c r="E748" s="6" t="s">
        <v>2515</v>
      </c>
      <c r="F748" s="6" t="s">
        <v>730</v>
      </c>
      <c r="G748" s="6" t="s">
        <v>2516</v>
      </c>
      <c r="H748" s="6"/>
      <c r="I748" s="26" t="n">
        <v>3</v>
      </c>
      <c r="J748" s="26" t="n">
        <f aca="false">COUNTIFS('Control Library'!$A$5:$A$50,"AI-CTRL-008",'Control Library'!$R$5:$R$50,"Implemented")+COUNTIFS('Control Library'!$A$5:$A$50,"AI-CTRL-012",'Control Library'!$R$5:$R$50,"Implemented")+COUNTIFS('Control Library'!$A$5:$A$50,"AI-CTRL-038",'Control Library'!$R$5:$R$50,"Implemented")</f>
        <v>0</v>
      </c>
      <c r="K748" s="43" t="str">
        <f aca="false">IF(I748=0,"No wiki control",IF(J748=I748,"Fully covered",IF(J748=0,"Not covered","Partly covered")))</f>
        <v>Not covered</v>
      </c>
      <c r="L748" s="9" t="s">
        <v>2505</v>
      </c>
    </row>
    <row r="749" customFormat="false" ht="23.85" hidden="false" customHeight="false" outlineLevel="0" collapsed="false">
      <c r="A749" s="39" t="s">
        <v>609</v>
      </c>
      <c r="B749" s="39" t="s">
        <v>610</v>
      </c>
      <c r="C749" s="5" t="s">
        <v>2517</v>
      </c>
      <c r="D749" s="6" t="s">
        <v>2518</v>
      </c>
      <c r="E749" s="6" t="s">
        <v>504</v>
      </c>
      <c r="F749" s="6" t="s">
        <v>730</v>
      </c>
      <c r="G749" s="6" t="s">
        <v>507</v>
      </c>
      <c r="H749" s="6"/>
      <c r="I749" s="26" t="n">
        <v>1</v>
      </c>
      <c r="J749" s="26" t="n">
        <f aca="false">COUNTIFS('Control Library'!$A$5:$A$50,"AI-CTRL-041",'Control Library'!$R$5:$R$50,"Implemented")</f>
        <v>0</v>
      </c>
      <c r="K749" s="43" t="str">
        <f aca="false">IF(I749=0,"No wiki control",IF(J749=I749,"Fully covered",IF(J749=0,"Not covered","Partly covered")))</f>
        <v>Not covered</v>
      </c>
      <c r="L749" s="9" t="s">
        <v>2505</v>
      </c>
    </row>
    <row r="750" customFormat="false" ht="23.85" hidden="false" customHeight="false" outlineLevel="0" collapsed="false">
      <c r="A750" s="39" t="s">
        <v>609</v>
      </c>
      <c r="B750" s="39" t="s">
        <v>610</v>
      </c>
      <c r="C750" s="5" t="s">
        <v>2519</v>
      </c>
      <c r="D750" s="6" t="s">
        <v>2520</v>
      </c>
      <c r="E750" s="6" t="s">
        <v>1950</v>
      </c>
      <c r="F750" s="6" t="s">
        <v>730</v>
      </c>
      <c r="G750" s="6" t="s">
        <v>1828</v>
      </c>
      <c r="H750" s="6"/>
      <c r="I750" s="26" t="n">
        <v>2</v>
      </c>
      <c r="J750" s="26" t="n">
        <f aca="false">COUNTIFS('Control Library'!$A$5:$A$50,"AI-CTRL-013",'Control Library'!$R$5:$R$50,"Implemented")+COUNTIFS('Control Library'!$A$5:$A$50,"AI-CTRL-017",'Control Library'!$R$5:$R$50,"Implemented")</f>
        <v>0</v>
      </c>
      <c r="K750" s="43" t="str">
        <f aca="false">IF(I750=0,"No wiki control",IF(J750=I750,"Fully covered",IF(J750=0,"Not covered","Partly covered")))</f>
        <v>Not covered</v>
      </c>
      <c r="L750" s="9" t="s">
        <v>2505</v>
      </c>
    </row>
    <row r="751" customFormat="false" ht="35.05" hidden="false" customHeight="false" outlineLevel="0" collapsed="false">
      <c r="A751" s="39" t="s">
        <v>609</v>
      </c>
      <c r="B751" s="39" t="s">
        <v>610</v>
      </c>
      <c r="C751" s="5" t="s">
        <v>2521</v>
      </c>
      <c r="D751" s="6" t="s">
        <v>2522</v>
      </c>
      <c r="E751" s="6" t="s">
        <v>2523</v>
      </c>
      <c r="F751" s="6" t="s">
        <v>730</v>
      </c>
      <c r="G751" s="6" t="s">
        <v>2524</v>
      </c>
      <c r="H751" s="6"/>
      <c r="I751" s="26" t="n">
        <v>3</v>
      </c>
      <c r="J751" s="26" t="n">
        <f aca="false">COUNTIFS('Control Library'!$A$5:$A$50,"AI-CTRL-034",'Control Library'!$R$5:$R$50,"Implemented")+COUNTIFS('Control Library'!$A$5:$A$50,"AI-CTRL-039",'Control Library'!$R$5:$R$50,"Implemented")+COUNTIFS('Control Library'!$A$5:$A$50,"AI-CTRL-040",'Control Library'!$R$5:$R$50,"Implemented")</f>
        <v>0</v>
      </c>
      <c r="K751" s="43" t="str">
        <f aca="false">IF(I751=0,"No wiki control",IF(J751=I751,"Fully covered",IF(J751=0,"Not covered","Partly covered")))</f>
        <v>Not covered</v>
      </c>
      <c r="L751" s="9" t="s">
        <v>2505</v>
      </c>
    </row>
    <row r="752" customFormat="false" ht="23.85" hidden="false" customHeight="false" outlineLevel="0" collapsed="false">
      <c r="A752" s="39" t="s">
        <v>609</v>
      </c>
      <c r="B752" s="39" t="s">
        <v>610</v>
      </c>
      <c r="C752" s="5" t="s">
        <v>2525</v>
      </c>
      <c r="D752" s="6" t="s">
        <v>2526</v>
      </c>
      <c r="E752" s="6"/>
      <c r="F752" s="6" t="s">
        <v>640</v>
      </c>
      <c r="G752" s="6"/>
      <c r="H752" s="6"/>
      <c r="I752" s="26" t="n">
        <v>0</v>
      </c>
      <c r="J752" s="26" t="n">
        <f aca="false">0</f>
        <v>0</v>
      </c>
      <c r="K752" s="43" t="str">
        <f aca="false">IF(I752=0,"No wiki control",IF(J752=I752,"Fully covered",IF(J752=0,"Not covered","Partly covered")))</f>
        <v>No wiki control</v>
      </c>
      <c r="L752" s="9" t="s">
        <v>2505</v>
      </c>
    </row>
    <row r="753" customFormat="false" ht="23.85" hidden="false" customHeight="false" outlineLevel="0" collapsed="false">
      <c r="A753" s="39" t="s">
        <v>609</v>
      </c>
      <c r="B753" s="39" t="s">
        <v>610</v>
      </c>
      <c r="C753" s="5" t="s">
        <v>2527</v>
      </c>
      <c r="D753" s="6" t="s">
        <v>2528</v>
      </c>
      <c r="E753" s="6" t="s">
        <v>2477</v>
      </c>
      <c r="F753" s="6" t="s">
        <v>730</v>
      </c>
      <c r="G753" s="6" t="s">
        <v>2161</v>
      </c>
      <c r="H753" s="6"/>
      <c r="I753" s="26" t="n">
        <v>2</v>
      </c>
      <c r="J753" s="26" t="n">
        <f aca="false">COUNTIFS('Control Library'!$A$5:$A$50,"AI-CTRL-037",'Control Library'!$R$5:$R$50,"Implemented")+COUNTIFS('Control Library'!$A$5:$A$50,"AI-CTRL-042",'Control Library'!$R$5:$R$50,"Implemented")</f>
        <v>0</v>
      </c>
      <c r="K753" s="43" t="str">
        <f aca="false">IF(I753=0,"No wiki control",IF(J753=I753,"Fully covered",IF(J753=0,"Not covered","Partly covered")))</f>
        <v>Not covered</v>
      </c>
      <c r="L753" s="9" t="s">
        <v>2505</v>
      </c>
    </row>
    <row r="754" customFormat="false" ht="23.85" hidden="false" customHeight="false" outlineLevel="0" collapsed="false">
      <c r="A754" s="39" t="s">
        <v>609</v>
      </c>
      <c r="B754" s="39" t="s">
        <v>610</v>
      </c>
      <c r="C754" s="5" t="s">
        <v>2529</v>
      </c>
      <c r="D754" s="6" t="s">
        <v>2530</v>
      </c>
      <c r="E754" s="6"/>
      <c r="F754" s="6" t="s">
        <v>640</v>
      </c>
      <c r="G754" s="6"/>
      <c r="H754" s="6"/>
      <c r="I754" s="26" t="n">
        <v>0</v>
      </c>
      <c r="J754" s="26" t="n">
        <f aca="false">0</f>
        <v>0</v>
      </c>
      <c r="K754" s="43" t="str">
        <f aca="false">IF(I754=0,"No wiki control",IF(J754=I754,"Fully covered",IF(J754=0,"Not covered","Partly covered")))</f>
        <v>No wiki control</v>
      </c>
      <c r="L754" s="9" t="s">
        <v>2505</v>
      </c>
    </row>
    <row r="755" customFormat="false" ht="23.85" hidden="false" customHeight="false" outlineLevel="0" collapsed="false">
      <c r="A755" s="39" t="s">
        <v>609</v>
      </c>
      <c r="B755" s="39" t="s">
        <v>610</v>
      </c>
      <c r="C755" s="5" t="s">
        <v>2531</v>
      </c>
      <c r="D755" s="6" t="s">
        <v>2532</v>
      </c>
      <c r="E755" s="6" t="s">
        <v>530</v>
      </c>
      <c r="F755" s="6" t="s">
        <v>730</v>
      </c>
      <c r="G755" s="6" t="s">
        <v>533</v>
      </c>
      <c r="H755" s="6"/>
      <c r="I755" s="26" t="n">
        <v>1</v>
      </c>
      <c r="J755" s="26" t="n">
        <f aca="false">COUNTIFS('Control Library'!$A$5:$A$50,"AI-CTRL-044",'Control Library'!$R$5:$R$50,"Implemented")</f>
        <v>0</v>
      </c>
      <c r="K755" s="43" t="str">
        <f aca="false">IF(I755=0,"No wiki control",IF(J755=I755,"Fully covered",IF(J755=0,"Not covered","Partly covered")))</f>
        <v>Not covered</v>
      </c>
      <c r="L755" s="9" t="s">
        <v>2505</v>
      </c>
    </row>
    <row r="756" customFormat="false" ht="23.85" hidden="false" customHeight="false" outlineLevel="0" collapsed="false">
      <c r="A756" s="39" t="s">
        <v>609</v>
      </c>
      <c r="B756" s="39" t="s">
        <v>610</v>
      </c>
      <c r="C756" s="5" t="s">
        <v>2533</v>
      </c>
      <c r="D756" s="6" t="s">
        <v>2534</v>
      </c>
      <c r="E756" s="6" t="s">
        <v>522</v>
      </c>
      <c r="F756" s="6" t="s">
        <v>730</v>
      </c>
      <c r="G756" s="6" t="s">
        <v>525</v>
      </c>
      <c r="H756" s="6"/>
      <c r="I756" s="26" t="n">
        <v>1</v>
      </c>
      <c r="J756" s="26" t="n">
        <f aca="false">COUNTIFS('Control Library'!$A$5:$A$50,"AI-CTRL-043",'Control Library'!$R$5:$R$50,"Implemented")</f>
        <v>0</v>
      </c>
      <c r="K756" s="43" t="str">
        <f aca="false">IF(I756=0,"No wiki control",IF(J756=I756,"Fully covered",IF(J756=0,"Not covered","Partly covered")))</f>
        <v>Not covered</v>
      </c>
      <c r="L756" s="9" t="s">
        <v>2505</v>
      </c>
    </row>
    <row r="757" customFormat="false" ht="46.25" hidden="false" customHeight="false" outlineLevel="0" collapsed="false">
      <c r="A757" s="39" t="s">
        <v>611</v>
      </c>
      <c r="B757" s="39" t="s">
        <v>610</v>
      </c>
      <c r="C757" s="5" t="s">
        <v>2535</v>
      </c>
      <c r="D757" s="6" t="s">
        <v>2536</v>
      </c>
      <c r="E757" s="6" t="s">
        <v>2537</v>
      </c>
      <c r="F757" s="6" t="s">
        <v>730</v>
      </c>
      <c r="G757" s="6" t="s">
        <v>2538</v>
      </c>
      <c r="H757" s="6"/>
      <c r="I757" s="26" t="n">
        <v>3</v>
      </c>
      <c r="J757" s="26" t="n">
        <f aca="false">COUNTIFS('Control Library'!$A$5:$A$50,"AI-CTRL-033",'Control Library'!$R$5:$R$50,"Implemented")+COUNTIFS('Control Library'!$A$5:$A$50,"AI-CTRL-034",'Control Library'!$R$5:$R$50,"Implemented")+COUNTIFS('Control Library'!$A$5:$A$50,"AI-CTRL-037",'Control Library'!$R$5:$R$50,"Implemented")</f>
        <v>0</v>
      </c>
      <c r="K757" s="43" t="str">
        <f aca="false">IF(I757=0,"No wiki control",IF(J757=I757,"Fully covered",IF(J757=0,"Not covered","Partly covered")))</f>
        <v>Not covered</v>
      </c>
      <c r="L757" s="9" t="s">
        <v>2505</v>
      </c>
    </row>
    <row r="758" customFormat="false" ht="23.85" hidden="false" customHeight="false" outlineLevel="0" collapsed="false">
      <c r="A758" s="39" t="s">
        <v>611</v>
      </c>
      <c r="B758" s="39" t="s">
        <v>610</v>
      </c>
      <c r="C758" s="5" t="s">
        <v>2539</v>
      </c>
      <c r="D758" s="6" t="s">
        <v>2540</v>
      </c>
      <c r="E758" s="6" t="s">
        <v>2541</v>
      </c>
      <c r="F758" s="6" t="s">
        <v>730</v>
      </c>
      <c r="G758" s="6" t="s">
        <v>2542</v>
      </c>
      <c r="H758" s="6"/>
      <c r="I758" s="26" t="n">
        <v>3</v>
      </c>
      <c r="J758" s="26" t="n">
        <f aca="false">COUNTIFS('Control Library'!$A$5:$A$50,"AI-CTRL-034",'Control Library'!$R$5:$R$50,"Implemented")+COUNTIFS('Control Library'!$A$5:$A$50,"AI-CTRL-035",'Control Library'!$R$5:$R$50,"Implemented")+COUNTIFS('Control Library'!$A$5:$A$50,"AI-CTRL-036",'Control Library'!$R$5:$R$50,"Implemented")</f>
        <v>0</v>
      </c>
      <c r="K758" s="43" t="str">
        <f aca="false">IF(I758=0,"No wiki control",IF(J758=I758,"Fully covered",IF(J758=0,"Not covered","Partly covered")))</f>
        <v>Not covered</v>
      </c>
      <c r="L758" s="9" t="s">
        <v>2505</v>
      </c>
    </row>
    <row r="759" customFormat="false" ht="23.85" hidden="false" customHeight="false" outlineLevel="0" collapsed="false">
      <c r="A759" s="39" t="s">
        <v>611</v>
      </c>
      <c r="B759" s="39" t="s">
        <v>610</v>
      </c>
      <c r="C759" s="5" t="s">
        <v>2543</v>
      </c>
      <c r="D759" s="6" t="s">
        <v>2544</v>
      </c>
      <c r="E759" s="6" t="s">
        <v>486</v>
      </c>
      <c r="F759" s="6" t="s">
        <v>730</v>
      </c>
      <c r="G759" s="6" t="s">
        <v>490</v>
      </c>
      <c r="H759" s="6"/>
      <c r="I759" s="26" t="n">
        <v>1</v>
      </c>
      <c r="J759" s="26" t="n">
        <f aca="false">COUNTIFS('Control Library'!$A$5:$A$50,"AI-CTRL-039",'Control Library'!$R$5:$R$50,"Implemented")</f>
        <v>0</v>
      </c>
      <c r="K759" s="43" t="str">
        <f aca="false">IF(I759=0,"No wiki control",IF(J759=I759,"Fully covered",IF(J759=0,"Not covered","Partly covered")))</f>
        <v>Not covered</v>
      </c>
      <c r="L759" s="9" t="s">
        <v>2505</v>
      </c>
    </row>
    <row r="760" customFormat="false" ht="23.85" hidden="false" customHeight="false" outlineLevel="0" collapsed="false">
      <c r="A760" s="39" t="s">
        <v>611</v>
      </c>
      <c r="B760" s="39" t="s">
        <v>610</v>
      </c>
      <c r="C760" s="5" t="s">
        <v>2545</v>
      </c>
      <c r="D760" s="6" t="s">
        <v>2546</v>
      </c>
      <c r="E760" s="6" t="s">
        <v>1656</v>
      </c>
      <c r="F760" s="6" t="s">
        <v>730</v>
      </c>
      <c r="G760" s="6" t="s">
        <v>1657</v>
      </c>
      <c r="H760" s="6"/>
      <c r="I760" s="26" t="n">
        <v>2</v>
      </c>
      <c r="J760" s="26" t="n">
        <f aca="false">COUNTIFS('Control Library'!$A$5:$A$50,"AI-CTRL-035",'Control Library'!$R$5:$R$50,"Implemented")+COUNTIFS('Control Library'!$A$5:$A$50,"AI-CTRL-043",'Control Library'!$R$5:$R$50,"Implemented")</f>
        <v>0</v>
      </c>
      <c r="K760" s="43" t="str">
        <f aca="false">IF(I760=0,"No wiki control",IF(J760=I760,"Fully covered",IF(J760=0,"Not covered","Partly covered")))</f>
        <v>Not covered</v>
      </c>
      <c r="L760" s="9" t="s">
        <v>2505</v>
      </c>
    </row>
    <row r="761" customFormat="false" ht="23.85" hidden="false" customHeight="false" outlineLevel="0" collapsed="false">
      <c r="A761" s="39" t="s">
        <v>611</v>
      </c>
      <c r="B761" s="39" t="s">
        <v>610</v>
      </c>
      <c r="C761" s="5" t="s">
        <v>2547</v>
      </c>
      <c r="D761" s="6" t="s">
        <v>2548</v>
      </c>
      <c r="E761" s="6" t="s">
        <v>2549</v>
      </c>
      <c r="F761" s="6" t="s">
        <v>730</v>
      </c>
      <c r="G761" s="6" t="s">
        <v>2550</v>
      </c>
      <c r="H761" s="6"/>
      <c r="I761" s="26" t="n">
        <v>2</v>
      </c>
      <c r="J761" s="26" t="n">
        <f aca="false">COUNTIFS('Control Library'!$A$5:$A$50,"AI-CTRL-012",'Control Library'!$R$5:$R$50,"Implemented")+COUNTIFS('Control Library'!$A$5:$A$50,"AI-CTRL-037",'Control Library'!$R$5:$R$50,"Implemented")</f>
        <v>0</v>
      </c>
      <c r="K761" s="43" t="str">
        <f aca="false">IF(I761=0,"No wiki control",IF(J761=I761,"Fully covered",IF(J761=0,"Not covered","Partly covered")))</f>
        <v>Not covered</v>
      </c>
      <c r="L761" s="9" t="s">
        <v>2505</v>
      </c>
    </row>
    <row r="762" customFormat="false" ht="23.85" hidden="false" customHeight="false" outlineLevel="0" collapsed="false">
      <c r="A762" s="39" t="s">
        <v>611</v>
      </c>
      <c r="B762" s="39" t="s">
        <v>610</v>
      </c>
      <c r="C762" s="5" t="s">
        <v>2551</v>
      </c>
      <c r="D762" s="6" t="s">
        <v>2552</v>
      </c>
      <c r="E762" s="6" t="s">
        <v>2553</v>
      </c>
      <c r="F762" s="6" t="s">
        <v>730</v>
      </c>
      <c r="G762" s="6" t="s">
        <v>431</v>
      </c>
      <c r="H762" s="6"/>
      <c r="I762" s="26" t="n">
        <v>3</v>
      </c>
      <c r="J762" s="26" t="n">
        <f aca="false">COUNTIFS('Control Library'!$A$5:$A$50,"AI-CTRL-028",'Control Library'!$R$5:$R$50,"Implemented")+COUNTIFS('Control Library'!$A$5:$A$50,"AI-CTRL-030",'Control Library'!$R$5:$R$50,"Implemented")+COUNTIFS('Control Library'!$A$5:$A$50,"AI-CTRL-032",'Control Library'!$R$5:$R$50,"Implemented")</f>
        <v>0</v>
      </c>
      <c r="K762" s="43" t="str">
        <f aca="false">IF(I762=0,"No wiki control",IF(J762=I762,"Fully covered",IF(J762=0,"Not covered","Partly covered")))</f>
        <v>Not covered</v>
      </c>
      <c r="L762" s="9" t="s">
        <v>2505</v>
      </c>
    </row>
    <row r="763" customFormat="false" ht="23.85" hidden="false" customHeight="false" outlineLevel="0" collapsed="false">
      <c r="A763" s="39" t="s">
        <v>611</v>
      </c>
      <c r="B763" s="39" t="s">
        <v>610</v>
      </c>
      <c r="C763" s="5" t="s">
        <v>2554</v>
      </c>
      <c r="D763" s="6" t="s">
        <v>2555</v>
      </c>
      <c r="E763" s="6" t="s">
        <v>486</v>
      </c>
      <c r="F763" s="6" t="s">
        <v>730</v>
      </c>
      <c r="G763" s="6" t="s">
        <v>490</v>
      </c>
      <c r="H763" s="6"/>
      <c r="I763" s="26" t="n">
        <v>1</v>
      </c>
      <c r="J763" s="26" t="n">
        <f aca="false">COUNTIFS('Control Library'!$A$5:$A$50,"AI-CTRL-039",'Control Library'!$R$5:$R$50,"Implemented")</f>
        <v>0</v>
      </c>
      <c r="K763" s="43" t="str">
        <f aca="false">IF(I763=0,"No wiki control",IF(J763=I763,"Fully covered",IF(J763=0,"Not covered","Partly covered")))</f>
        <v>Not covered</v>
      </c>
      <c r="L763" s="9" t="s">
        <v>2505</v>
      </c>
    </row>
    <row r="764" customFormat="false" ht="23.85" hidden="false" customHeight="false" outlineLevel="0" collapsed="false">
      <c r="A764" s="39" t="s">
        <v>611</v>
      </c>
      <c r="B764" s="39" t="s">
        <v>610</v>
      </c>
      <c r="C764" s="5" t="s">
        <v>2556</v>
      </c>
      <c r="D764" s="6" t="s">
        <v>2557</v>
      </c>
      <c r="E764" s="6"/>
      <c r="F764" s="6" t="s">
        <v>640</v>
      </c>
      <c r="G764" s="6"/>
      <c r="H764" s="6"/>
      <c r="I764" s="26" t="n">
        <v>0</v>
      </c>
      <c r="J764" s="26" t="n">
        <f aca="false">0</f>
        <v>0</v>
      </c>
      <c r="K764" s="43" t="str">
        <f aca="false">IF(I764=0,"No wiki control",IF(J764=I764,"Fully covered",IF(J764=0,"Not covered","Partly covered")))</f>
        <v>No wiki control</v>
      </c>
      <c r="L764" s="9" t="s">
        <v>2505</v>
      </c>
    </row>
    <row r="765" customFormat="false" ht="23.85" hidden="false" customHeight="false" outlineLevel="0" collapsed="false">
      <c r="A765" s="39" t="s">
        <v>611</v>
      </c>
      <c r="B765" s="39" t="s">
        <v>610</v>
      </c>
      <c r="C765" s="5" t="s">
        <v>2558</v>
      </c>
      <c r="D765" s="6" t="s">
        <v>2559</v>
      </c>
      <c r="E765" s="6"/>
      <c r="F765" s="6" t="s">
        <v>640</v>
      </c>
      <c r="G765" s="6"/>
      <c r="H765" s="6"/>
      <c r="I765" s="26" t="n">
        <v>0</v>
      </c>
      <c r="J765" s="26" t="n">
        <f aca="false">0</f>
        <v>0</v>
      </c>
      <c r="K765" s="43" t="str">
        <f aca="false">IF(I765=0,"No wiki control",IF(J765=I765,"Fully covered",IF(J765=0,"Not covered","Partly covered")))</f>
        <v>No wiki control</v>
      </c>
      <c r="L765" s="9" t="s">
        <v>2505</v>
      </c>
    </row>
    <row r="766" customFormat="false" ht="23.85" hidden="false" customHeight="false" outlineLevel="0" collapsed="false">
      <c r="A766" s="39" t="s">
        <v>611</v>
      </c>
      <c r="B766" s="39" t="s">
        <v>610</v>
      </c>
      <c r="C766" s="5" t="s">
        <v>2560</v>
      </c>
      <c r="D766" s="6" t="s">
        <v>2561</v>
      </c>
      <c r="E766" s="6"/>
      <c r="F766" s="6" t="s">
        <v>640</v>
      </c>
      <c r="G766" s="6"/>
      <c r="H766" s="6"/>
      <c r="I766" s="26" t="n">
        <v>0</v>
      </c>
      <c r="J766" s="26" t="n">
        <f aca="false">0</f>
        <v>0</v>
      </c>
      <c r="K766" s="43" t="str">
        <f aca="false">IF(I766=0,"No wiki control",IF(J766=I766,"Fully covered",IF(J766=0,"Not covered","Partly covered")))</f>
        <v>No wiki control</v>
      </c>
      <c r="L766" s="9" t="s">
        <v>2505</v>
      </c>
    </row>
    <row r="767" customFormat="false" ht="35.05" hidden="false" customHeight="false" outlineLevel="0" collapsed="false">
      <c r="A767" s="39" t="s">
        <v>611</v>
      </c>
      <c r="B767" s="39" t="s">
        <v>610</v>
      </c>
      <c r="C767" s="5" t="s">
        <v>2562</v>
      </c>
      <c r="D767" s="6" t="s">
        <v>2563</v>
      </c>
      <c r="E767" s="6" t="s">
        <v>2564</v>
      </c>
      <c r="F767" s="6" t="s">
        <v>730</v>
      </c>
      <c r="G767" s="6" t="s">
        <v>2565</v>
      </c>
      <c r="H767" s="6"/>
      <c r="I767" s="26" t="n">
        <v>3</v>
      </c>
      <c r="J767" s="26" t="n">
        <f aca="false">COUNTIFS('Control Library'!$A$5:$A$50,"AI-CTRL-013",'Control Library'!$R$5:$R$50,"Implemented")+COUNTIFS('Control Library'!$A$5:$A$50,"AI-CTRL-029",'Control Library'!$R$5:$R$50,"Implemented")+COUNTIFS('Control Library'!$A$5:$A$50,"AI-CTRL-046",'Control Library'!$R$5:$R$50,"Implemented")</f>
        <v>0</v>
      </c>
      <c r="K767" s="43" t="str">
        <f aca="false">IF(I767=0,"No wiki control",IF(J767=I767,"Fully covered",IF(J767=0,"Not covered","Partly covered")))</f>
        <v>Not covered</v>
      </c>
      <c r="L767" s="9" t="s">
        <v>2505</v>
      </c>
    </row>
    <row r="768" customFormat="false" ht="35.05" hidden="false" customHeight="false" outlineLevel="0" collapsed="false">
      <c r="A768" s="58" t="s">
        <v>612</v>
      </c>
      <c r="B768" s="58" t="s">
        <v>613</v>
      </c>
      <c r="C768" s="5" t="s">
        <v>2566</v>
      </c>
      <c r="D768" s="6" t="s">
        <v>2567</v>
      </c>
      <c r="E768" s="6" t="s">
        <v>2568</v>
      </c>
      <c r="F768" s="6" t="s">
        <v>730</v>
      </c>
      <c r="G768" s="6" t="s">
        <v>2445</v>
      </c>
      <c r="H768" s="6"/>
      <c r="I768" s="26" t="n">
        <v>4</v>
      </c>
      <c r="J768" s="26"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68" s="43" t="str">
        <f aca="false">IF(I768=0,"No wiki control",IF(J768=I768,"Fully covered",IF(J768=0,"Not covered","Partly covered")))</f>
        <v>Not covered</v>
      </c>
      <c r="L768" s="9" t="s">
        <v>2569</v>
      </c>
    </row>
    <row r="769" customFormat="false" ht="35.05" hidden="false" customHeight="false" outlineLevel="0" collapsed="false">
      <c r="A769" s="58" t="s">
        <v>612</v>
      </c>
      <c r="B769" s="58" t="s">
        <v>613</v>
      </c>
      <c r="C769" s="5" t="s">
        <v>2566</v>
      </c>
      <c r="D769" s="6" t="s">
        <v>2570</v>
      </c>
      <c r="E769" s="6" t="s">
        <v>2568</v>
      </c>
      <c r="F769" s="6" t="s">
        <v>730</v>
      </c>
      <c r="G769" s="6" t="s">
        <v>2445</v>
      </c>
      <c r="H769" s="6"/>
      <c r="I769" s="26" t="n">
        <v>4</v>
      </c>
      <c r="J769" s="26"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69" s="43" t="str">
        <f aca="false">IF(I769=0,"No wiki control",IF(J769=I769,"Fully covered",IF(J769=0,"Not covered","Partly covered")))</f>
        <v>Not covered</v>
      </c>
      <c r="L769" s="9" t="s">
        <v>2569</v>
      </c>
    </row>
    <row r="770" customFormat="false" ht="23.85" hidden="false" customHeight="false" outlineLevel="0" collapsed="false">
      <c r="A770" s="58" t="s">
        <v>612</v>
      </c>
      <c r="B770" s="58" t="s">
        <v>613</v>
      </c>
      <c r="C770" s="5" t="s">
        <v>2571</v>
      </c>
      <c r="D770" s="6" t="s">
        <v>2572</v>
      </c>
      <c r="E770" s="6" t="s">
        <v>1656</v>
      </c>
      <c r="F770" s="6" t="s">
        <v>730</v>
      </c>
      <c r="G770" s="6" t="s">
        <v>1657</v>
      </c>
      <c r="H770" s="6"/>
      <c r="I770" s="26" t="n">
        <v>2</v>
      </c>
      <c r="J770" s="26" t="n">
        <f aca="false">COUNTIFS('Control Library'!$A$5:$A$50,"AI-CTRL-035",'Control Library'!$R$5:$R$50,"Implemented")+COUNTIFS('Control Library'!$A$5:$A$50,"AI-CTRL-043",'Control Library'!$R$5:$R$50,"Implemented")</f>
        <v>0</v>
      </c>
      <c r="K770" s="43" t="str">
        <f aca="false">IF(I770=0,"No wiki control",IF(J770=I770,"Fully covered",IF(J770=0,"Not covered","Partly covered")))</f>
        <v>Not covered</v>
      </c>
      <c r="L770" s="9" t="s">
        <v>2569</v>
      </c>
    </row>
    <row r="771" customFormat="false" ht="35.05" hidden="false" customHeight="false" outlineLevel="0" collapsed="false">
      <c r="A771" s="58" t="s">
        <v>612</v>
      </c>
      <c r="B771" s="58" t="s">
        <v>613</v>
      </c>
      <c r="C771" s="5" t="s">
        <v>2571</v>
      </c>
      <c r="D771" s="6" t="s">
        <v>2573</v>
      </c>
      <c r="E771" s="6" t="s">
        <v>1656</v>
      </c>
      <c r="F771" s="6" t="s">
        <v>730</v>
      </c>
      <c r="G771" s="6" t="s">
        <v>1657</v>
      </c>
      <c r="H771" s="6"/>
      <c r="I771" s="26" t="n">
        <v>2</v>
      </c>
      <c r="J771" s="26" t="n">
        <f aca="false">COUNTIFS('Control Library'!$A$5:$A$50,"AI-CTRL-035",'Control Library'!$R$5:$R$50,"Implemented")+COUNTIFS('Control Library'!$A$5:$A$50,"AI-CTRL-043",'Control Library'!$R$5:$R$50,"Implemented")</f>
        <v>0</v>
      </c>
      <c r="K771" s="43" t="str">
        <f aca="false">IF(I771=0,"No wiki control",IF(J771=I771,"Fully covered",IF(J771=0,"Not covered","Partly covered")))</f>
        <v>Not covered</v>
      </c>
      <c r="L771" s="9" t="s">
        <v>2569</v>
      </c>
    </row>
    <row r="772" customFormat="false" ht="35.05" hidden="false" customHeight="false" outlineLevel="0" collapsed="false">
      <c r="A772" s="58" t="s">
        <v>612</v>
      </c>
      <c r="B772" s="58" t="s">
        <v>613</v>
      </c>
      <c r="C772" s="5" t="s">
        <v>2574</v>
      </c>
      <c r="D772" s="6" t="s">
        <v>2575</v>
      </c>
      <c r="E772" s="6" t="s">
        <v>513</v>
      </c>
      <c r="F772" s="6" t="s">
        <v>730</v>
      </c>
      <c r="G772" s="6" t="s">
        <v>516</v>
      </c>
      <c r="H772" s="6"/>
      <c r="I772" s="26" t="n">
        <v>1</v>
      </c>
      <c r="J772" s="26" t="n">
        <f aca="false">COUNTIFS('Control Library'!$A$5:$A$50,"AI-CTRL-042",'Control Library'!$R$5:$R$50,"Implemented")</f>
        <v>0</v>
      </c>
      <c r="K772" s="43" t="str">
        <f aca="false">IF(I772=0,"No wiki control",IF(J772=I772,"Fully covered",IF(J772=0,"Not covered","Partly covered")))</f>
        <v>Not covered</v>
      </c>
      <c r="L772" s="9" t="s">
        <v>2569</v>
      </c>
    </row>
    <row r="773" customFormat="false" ht="35.05" hidden="false" customHeight="false" outlineLevel="0" collapsed="false">
      <c r="A773" s="58" t="s">
        <v>612</v>
      </c>
      <c r="B773" s="58" t="s">
        <v>613</v>
      </c>
      <c r="C773" s="5" t="s">
        <v>2574</v>
      </c>
      <c r="D773" s="6" t="s">
        <v>2576</v>
      </c>
      <c r="E773" s="6" t="s">
        <v>513</v>
      </c>
      <c r="F773" s="6" t="s">
        <v>730</v>
      </c>
      <c r="G773" s="6" t="s">
        <v>516</v>
      </c>
      <c r="H773" s="6"/>
      <c r="I773" s="26" t="n">
        <v>1</v>
      </c>
      <c r="J773" s="26" t="n">
        <f aca="false">COUNTIFS('Control Library'!$A$5:$A$50,"AI-CTRL-042",'Control Library'!$R$5:$R$50,"Implemented")</f>
        <v>0</v>
      </c>
      <c r="K773" s="43" t="str">
        <f aca="false">IF(I773=0,"No wiki control",IF(J773=I773,"Fully covered",IF(J773=0,"Not covered","Partly covered")))</f>
        <v>Not covered</v>
      </c>
      <c r="L773" s="9" t="s">
        <v>2569</v>
      </c>
    </row>
    <row r="774" customFormat="false" ht="23.85" hidden="false" customHeight="false" outlineLevel="0" collapsed="false">
      <c r="A774" s="58" t="s">
        <v>612</v>
      </c>
      <c r="B774" s="58" t="s">
        <v>613</v>
      </c>
      <c r="C774" s="5" t="s">
        <v>2577</v>
      </c>
      <c r="D774" s="6" t="s">
        <v>2578</v>
      </c>
      <c r="E774" s="6" t="s">
        <v>272</v>
      </c>
      <c r="F774" s="6" t="s">
        <v>730</v>
      </c>
      <c r="G774" s="6" t="s">
        <v>276</v>
      </c>
      <c r="H774" s="6"/>
      <c r="I774" s="26" t="n">
        <v>1</v>
      </c>
      <c r="J774" s="26" t="n">
        <f aca="false">COUNTIFS('Control Library'!$A$5:$A$50,"AI-CTRL-013",'Control Library'!$R$5:$R$50,"Implemented")</f>
        <v>0</v>
      </c>
      <c r="K774" s="43" t="str">
        <f aca="false">IF(I774=0,"No wiki control",IF(J774=I774,"Fully covered",IF(J774=0,"Not covered","Partly covered")))</f>
        <v>Not covered</v>
      </c>
      <c r="L774" s="9" t="s">
        <v>2569</v>
      </c>
    </row>
    <row r="775" customFormat="false" ht="23.85" hidden="false" customHeight="false" outlineLevel="0" collapsed="false">
      <c r="A775" s="58" t="s">
        <v>612</v>
      </c>
      <c r="B775" s="58" t="s">
        <v>613</v>
      </c>
      <c r="C775" s="5" t="s">
        <v>2577</v>
      </c>
      <c r="D775" s="6" t="s">
        <v>2579</v>
      </c>
      <c r="E775" s="6" t="s">
        <v>272</v>
      </c>
      <c r="F775" s="6" t="s">
        <v>730</v>
      </c>
      <c r="G775" s="6" t="s">
        <v>276</v>
      </c>
      <c r="H775" s="6"/>
      <c r="I775" s="26" t="n">
        <v>1</v>
      </c>
      <c r="J775" s="26" t="n">
        <f aca="false">COUNTIFS('Control Library'!$A$5:$A$50,"AI-CTRL-013",'Control Library'!$R$5:$R$50,"Implemented")</f>
        <v>0</v>
      </c>
      <c r="K775" s="43" t="str">
        <f aca="false">IF(I775=0,"No wiki control",IF(J775=I775,"Fully covered",IF(J775=0,"Not covered","Partly covered")))</f>
        <v>Not covered</v>
      </c>
      <c r="L775" s="9" t="s">
        <v>2569</v>
      </c>
    </row>
    <row r="776" customFormat="false" ht="23.85" hidden="false" customHeight="false" outlineLevel="0" collapsed="false">
      <c r="A776" s="58" t="s">
        <v>612</v>
      </c>
      <c r="B776" s="58" t="s">
        <v>613</v>
      </c>
      <c r="C776" s="5" t="s">
        <v>2580</v>
      </c>
      <c r="D776" s="6" t="s">
        <v>2581</v>
      </c>
      <c r="E776" s="6" t="s">
        <v>2143</v>
      </c>
      <c r="F776" s="6" t="s">
        <v>730</v>
      </c>
      <c r="G776" s="6" t="s">
        <v>2144</v>
      </c>
      <c r="H776" s="6"/>
      <c r="I776" s="26" t="n">
        <v>2</v>
      </c>
      <c r="J776" s="26" t="n">
        <f aca="false">COUNTIFS('Control Library'!$A$5:$A$50,"AI-CTRL-007",'Control Library'!$R$5:$R$50,"Implemented")+COUNTIFS('Control Library'!$A$5:$A$50,"AI-CTRL-017",'Control Library'!$R$5:$R$50,"Implemented")</f>
        <v>0</v>
      </c>
      <c r="K776" s="43" t="str">
        <f aca="false">IF(I776=0,"No wiki control",IF(J776=I776,"Fully covered",IF(J776=0,"Not covered","Partly covered")))</f>
        <v>Not covered</v>
      </c>
      <c r="L776" s="9" t="s">
        <v>2569</v>
      </c>
    </row>
    <row r="777" customFormat="false" ht="23.85" hidden="false" customHeight="false" outlineLevel="0" collapsed="false">
      <c r="A777" s="58" t="s">
        <v>612</v>
      </c>
      <c r="B777" s="58" t="s">
        <v>613</v>
      </c>
      <c r="C777" s="5" t="s">
        <v>2580</v>
      </c>
      <c r="D777" s="6" t="s">
        <v>2582</v>
      </c>
      <c r="E777" s="6" t="s">
        <v>2143</v>
      </c>
      <c r="F777" s="6" t="s">
        <v>730</v>
      </c>
      <c r="G777" s="6" t="s">
        <v>2144</v>
      </c>
      <c r="H777" s="6"/>
      <c r="I777" s="26" t="n">
        <v>2</v>
      </c>
      <c r="J777" s="26" t="n">
        <f aca="false">COUNTIFS('Control Library'!$A$5:$A$50,"AI-CTRL-007",'Control Library'!$R$5:$R$50,"Implemented")+COUNTIFS('Control Library'!$A$5:$A$50,"AI-CTRL-017",'Control Library'!$R$5:$R$50,"Implemented")</f>
        <v>0</v>
      </c>
      <c r="K777" s="43" t="str">
        <f aca="false">IF(I777=0,"No wiki control",IF(J777=I777,"Fully covered",IF(J777=0,"Not covered","Partly covered")))</f>
        <v>Not covered</v>
      </c>
      <c r="L777" s="9" t="s">
        <v>2569</v>
      </c>
    </row>
    <row r="778" customFormat="false" ht="23.85" hidden="false" customHeight="false" outlineLevel="0" collapsed="false">
      <c r="A778" s="58" t="s">
        <v>612</v>
      </c>
      <c r="B778" s="58" t="s">
        <v>613</v>
      </c>
      <c r="C778" s="5" t="s">
        <v>2583</v>
      </c>
      <c r="D778" s="6" t="s">
        <v>2584</v>
      </c>
      <c r="E778" s="6" t="s">
        <v>219</v>
      </c>
      <c r="F778" s="6" t="s">
        <v>730</v>
      </c>
      <c r="G778" s="6" t="s">
        <v>224</v>
      </c>
      <c r="H778" s="6"/>
      <c r="I778" s="26" t="n">
        <v>1</v>
      </c>
      <c r="J778" s="26" t="n">
        <f aca="false">COUNTIFS('Control Library'!$A$5:$A$50,"AI-CTRL-007",'Control Library'!$R$5:$R$50,"Implemented")</f>
        <v>0</v>
      </c>
      <c r="K778" s="43" t="str">
        <f aca="false">IF(I778=0,"No wiki control",IF(J778=I778,"Fully covered",IF(J778=0,"Not covered","Partly covered")))</f>
        <v>Not covered</v>
      </c>
      <c r="L778" s="9" t="s">
        <v>2569</v>
      </c>
    </row>
    <row r="779" customFormat="false" ht="23.85" hidden="false" customHeight="false" outlineLevel="0" collapsed="false">
      <c r="A779" s="58" t="s">
        <v>612</v>
      </c>
      <c r="B779" s="58" t="s">
        <v>613</v>
      </c>
      <c r="C779" s="5" t="s">
        <v>2583</v>
      </c>
      <c r="D779" s="6" t="s">
        <v>2585</v>
      </c>
      <c r="E779" s="6" t="s">
        <v>219</v>
      </c>
      <c r="F779" s="6" t="s">
        <v>730</v>
      </c>
      <c r="G779" s="6" t="s">
        <v>224</v>
      </c>
      <c r="H779" s="6"/>
      <c r="I779" s="26" t="n">
        <v>1</v>
      </c>
      <c r="J779" s="26" t="n">
        <f aca="false">COUNTIFS('Control Library'!$A$5:$A$50,"AI-CTRL-007",'Control Library'!$R$5:$R$50,"Implemented")</f>
        <v>0</v>
      </c>
      <c r="K779" s="43" t="str">
        <f aca="false">IF(I779=0,"No wiki control",IF(J779=I779,"Fully covered",IF(J779=0,"Not covered","Partly covered")))</f>
        <v>Not covered</v>
      </c>
      <c r="L779" s="9" t="s">
        <v>2569</v>
      </c>
    </row>
    <row r="780" customFormat="false" ht="23.85" hidden="false" customHeight="false" outlineLevel="0" collapsed="false">
      <c r="A780" s="58" t="s">
        <v>612</v>
      </c>
      <c r="B780" s="58" t="s">
        <v>613</v>
      </c>
      <c r="C780" s="5" t="s">
        <v>2586</v>
      </c>
      <c r="D780" s="6" t="s">
        <v>2587</v>
      </c>
      <c r="E780" s="6" t="s">
        <v>282</v>
      </c>
      <c r="F780" s="6" t="s">
        <v>730</v>
      </c>
      <c r="G780" s="6" t="s">
        <v>286</v>
      </c>
      <c r="H780" s="6"/>
      <c r="I780" s="26" t="n">
        <v>1</v>
      </c>
      <c r="J780" s="26" t="n">
        <f aca="false">COUNTIFS('Control Library'!$A$5:$A$50,"AI-CTRL-014",'Control Library'!$R$5:$R$50,"Implemented")</f>
        <v>0</v>
      </c>
      <c r="K780" s="43" t="str">
        <f aca="false">IF(I780=0,"No wiki control",IF(J780=I780,"Fully covered",IF(J780=0,"Not covered","Partly covered")))</f>
        <v>Not covered</v>
      </c>
      <c r="L780" s="9" t="s">
        <v>2569</v>
      </c>
    </row>
    <row r="781" customFormat="false" ht="23.85" hidden="false" customHeight="false" outlineLevel="0" collapsed="false">
      <c r="A781" s="58" t="s">
        <v>612</v>
      </c>
      <c r="B781" s="58" t="s">
        <v>613</v>
      </c>
      <c r="C781" s="5" t="s">
        <v>2586</v>
      </c>
      <c r="D781" s="6" t="s">
        <v>2588</v>
      </c>
      <c r="E781" s="6" t="s">
        <v>282</v>
      </c>
      <c r="F781" s="6" t="s">
        <v>730</v>
      </c>
      <c r="G781" s="6" t="s">
        <v>286</v>
      </c>
      <c r="H781" s="6"/>
      <c r="I781" s="26" t="n">
        <v>1</v>
      </c>
      <c r="J781" s="26" t="n">
        <f aca="false">COUNTIFS('Control Library'!$A$5:$A$50,"AI-CTRL-014",'Control Library'!$R$5:$R$50,"Implemented")</f>
        <v>0</v>
      </c>
      <c r="K781" s="43" t="str">
        <f aca="false">IF(I781=0,"No wiki control",IF(J781=I781,"Fully covered",IF(J781=0,"Not covered","Partly covered")))</f>
        <v>Not covered</v>
      </c>
      <c r="L781" s="9" t="s">
        <v>2569</v>
      </c>
    </row>
    <row r="782" customFormat="false" ht="23.85" hidden="false" customHeight="false" outlineLevel="0" collapsed="false">
      <c r="A782" s="58" t="s">
        <v>614</v>
      </c>
      <c r="B782" s="58" t="s">
        <v>613</v>
      </c>
      <c r="C782" s="5" t="s">
        <v>2589</v>
      </c>
      <c r="D782" s="6" t="s">
        <v>2590</v>
      </c>
      <c r="E782" s="6" t="s">
        <v>272</v>
      </c>
      <c r="F782" s="6" t="s">
        <v>730</v>
      </c>
      <c r="G782" s="6" t="s">
        <v>276</v>
      </c>
      <c r="H782" s="6"/>
      <c r="I782" s="26" t="n">
        <v>1</v>
      </c>
      <c r="J782" s="26" t="n">
        <f aca="false">COUNTIFS('Control Library'!$A$5:$A$50,"AI-CTRL-013",'Control Library'!$R$5:$R$50,"Implemented")</f>
        <v>0</v>
      </c>
      <c r="K782" s="43" t="str">
        <f aca="false">IF(I782=0,"No wiki control",IF(J782=I782,"Fully covered",IF(J782=0,"Not covered","Partly covered")))</f>
        <v>Not covered</v>
      </c>
      <c r="L782" s="9" t="s">
        <v>2591</v>
      </c>
    </row>
    <row r="783" customFormat="false" ht="23.85" hidden="false" customHeight="false" outlineLevel="0" collapsed="false">
      <c r="A783" s="58" t="s">
        <v>614</v>
      </c>
      <c r="B783" s="58" t="s">
        <v>613</v>
      </c>
      <c r="C783" s="5" t="s">
        <v>2592</v>
      </c>
      <c r="D783" s="6" t="s">
        <v>2593</v>
      </c>
      <c r="E783" s="6" t="s">
        <v>263</v>
      </c>
      <c r="F783" s="6" t="s">
        <v>730</v>
      </c>
      <c r="G783" s="6" t="s">
        <v>266</v>
      </c>
      <c r="H783" s="6"/>
      <c r="I783" s="26" t="n">
        <v>1</v>
      </c>
      <c r="J783" s="26" t="n">
        <f aca="false">COUNTIFS('Control Library'!$A$5:$A$50,"AI-CTRL-012",'Control Library'!$R$5:$R$50,"Implemented")</f>
        <v>0</v>
      </c>
      <c r="K783" s="43" t="str">
        <f aca="false">IF(I783=0,"No wiki control",IF(J783=I783,"Fully covered",IF(J783=0,"Not covered","Partly covered")))</f>
        <v>Not covered</v>
      </c>
      <c r="L783" s="9" t="s">
        <v>2591</v>
      </c>
    </row>
    <row r="784" customFormat="false" ht="23.85" hidden="false" customHeight="false" outlineLevel="0" collapsed="false">
      <c r="A784" s="58" t="s">
        <v>614</v>
      </c>
      <c r="B784" s="58" t="s">
        <v>613</v>
      </c>
      <c r="C784" s="5" t="s">
        <v>2594</v>
      </c>
      <c r="D784" s="6" t="s">
        <v>2595</v>
      </c>
      <c r="E784" s="6"/>
      <c r="F784" s="6" t="s">
        <v>640</v>
      </c>
      <c r="G784" s="6"/>
      <c r="H784" s="6"/>
      <c r="I784" s="26" t="n">
        <v>0</v>
      </c>
      <c r="J784" s="26" t="n">
        <f aca="false">0</f>
        <v>0</v>
      </c>
      <c r="K784" s="43" t="str">
        <f aca="false">IF(I784=0,"No wiki control",IF(J784=I784,"Fully covered",IF(J784=0,"Not covered","Partly covered")))</f>
        <v>No wiki control</v>
      </c>
      <c r="L784" s="9" t="s">
        <v>2591</v>
      </c>
    </row>
    <row r="785" customFormat="false" ht="23.85" hidden="false" customHeight="false" outlineLevel="0" collapsed="false">
      <c r="A785" s="58" t="s">
        <v>614</v>
      </c>
      <c r="B785" s="58" t="s">
        <v>613</v>
      </c>
      <c r="C785" s="5" t="s">
        <v>2596</v>
      </c>
      <c r="D785" s="6" t="s">
        <v>2597</v>
      </c>
      <c r="E785" s="6" t="s">
        <v>356</v>
      </c>
      <c r="F785" s="6" t="s">
        <v>730</v>
      </c>
      <c r="G785" s="6" t="s">
        <v>359</v>
      </c>
      <c r="H785" s="6"/>
      <c r="I785" s="26" t="n">
        <v>1</v>
      </c>
      <c r="J785" s="26" t="n">
        <f aca="false">COUNTIFS('Control Library'!$A$5:$A$50,"AI-CTRL-023",'Control Library'!$R$5:$R$50,"Implemented")</f>
        <v>0</v>
      </c>
      <c r="K785" s="43" t="str">
        <f aca="false">IF(I785=0,"No wiki control",IF(J785=I785,"Fully covered",IF(J785=0,"Not covered","Partly covered")))</f>
        <v>Not covered</v>
      </c>
      <c r="L785" s="9" t="s">
        <v>2591</v>
      </c>
    </row>
    <row r="786" customFormat="false" ht="23.85" hidden="false" customHeight="false" outlineLevel="0" collapsed="false">
      <c r="A786" s="58" t="s">
        <v>614</v>
      </c>
      <c r="B786" s="58" t="s">
        <v>613</v>
      </c>
      <c r="C786" s="5" t="s">
        <v>2598</v>
      </c>
      <c r="D786" s="6" t="s">
        <v>2599</v>
      </c>
      <c r="E786" s="6"/>
      <c r="F786" s="6" t="s">
        <v>640</v>
      </c>
      <c r="G786" s="6"/>
      <c r="H786" s="6"/>
      <c r="I786" s="26" t="n">
        <v>0</v>
      </c>
      <c r="J786" s="26" t="n">
        <f aca="false">0</f>
        <v>0</v>
      </c>
      <c r="K786" s="43" t="str">
        <f aca="false">IF(I786=0,"No wiki control",IF(J786=I786,"Fully covered",IF(J786=0,"Not covered","Partly covered")))</f>
        <v>No wiki control</v>
      </c>
      <c r="L786" s="9" t="s">
        <v>2591</v>
      </c>
    </row>
    <row r="787" customFormat="false" ht="23.85" hidden="false" customHeight="false" outlineLevel="0" collapsed="false">
      <c r="A787" s="58" t="s">
        <v>614</v>
      </c>
      <c r="B787" s="58" t="s">
        <v>613</v>
      </c>
      <c r="C787" s="5" t="s">
        <v>2600</v>
      </c>
      <c r="D787" s="6" t="s">
        <v>2601</v>
      </c>
      <c r="E787" s="6" t="s">
        <v>2602</v>
      </c>
      <c r="F787" s="6" t="s">
        <v>730</v>
      </c>
      <c r="G787" s="6" t="s">
        <v>2603</v>
      </c>
      <c r="H787" s="6"/>
      <c r="I787" s="26" t="n">
        <v>3</v>
      </c>
      <c r="J787" s="26" t="n">
        <f aca="false">COUNTIFS('Control Library'!$A$5:$A$50,"AI-CTRL-011",'Control Library'!$R$5:$R$50,"Implemented")+COUNTIFS('Control Library'!$A$5:$A$50,"AI-CTRL-037",'Control Library'!$R$5:$R$50,"Implemented")+COUNTIFS('Control Library'!$A$5:$A$50,"AI-CTRL-038",'Control Library'!$R$5:$R$50,"Implemented")</f>
        <v>0</v>
      </c>
      <c r="K787" s="43" t="str">
        <f aca="false">IF(I787=0,"No wiki control",IF(J787=I787,"Fully covered",IF(J787=0,"Not covered","Partly covered")))</f>
        <v>Not covered</v>
      </c>
      <c r="L787" s="9" t="s">
        <v>2591</v>
      </c>
    </row>
    <row r="788" customFormat="false" ht="23.85" hidden="false" customHeight="false" outlineLevel="0" collapsed="false">
      <c r="A788" s="58" t="s">
        <v>614</v>
      </c>
      <c r="B788" s="58" t="s">
        <v>613</v>
      </c>
      <c r="C788" s="5" t="s">
        <v>2604</v>
      </c>
      <c r="D788" s="6" t="s">
        <v>2605</v>
      </c>
      <c r="E788" s="6" t="s">
        <v>272</v>
      </c>
      <c r="F788" s="6" t="s">
        <v>730</v>
      </c>
      <c r="G788" s="6" t="s">
        <v>276</v>
      </c>
      <c r="H788" s="6"/>
      <c r="I788" s="26" t="n">
        <v>1</v>
      </c>
      <c r="J788" s="26" t="n">
        <f aca="false">COUNTIFS('Control Library'!$A$5:$A$50,"AI-CTRL-013",'Control Library'!$R$5:$R$50,"Implemented")</f>
        <v>0</v>
      </c>
      <c r="K788" s="43" t="str">
        <f aca="false">IF(I788=0,"No wiki control",IF(J788=I788,"Fully covered",IF(J788=0,"Not covered","Partly covered")))</f>
        <v>Not covered</v>
      </c>
      <c r="L788" s="9" t="s">
        <v>2591</v>
      </c>
    </row>
    <row r="789" customFormat="false" ht="23.85" hidden="false" customHeight="false" outlineLevel="0" collapsed="false">
      <c r="A789" s="58" t="s">
        <v>614</v>
      </c>
      <c r="B789" s="58" t="s">
        <v>613</v>
      </c>
      <c r="C789" s="5" t="s">
        <v>2606</v>
      </c>
      <c r="D789" s="6" t="s">
        <v>2607</v>
      </c>
      <c r="E789" s="6" t="s">
        <v>1827</v>
      </c>
      <c r="F789" s="6" t="s">
        <v>730</v>
      </c>
      <c r="G789" s="6" t="s">
        <v>1828</v>
      </c>
      <c r="H789" s="6"/>
      <c r="I789" s="26" t="n">
        <v>3</v>
      </c>
      <c r="J789" s="26" t="n">
        <f aca="false">COUNTIFS('Control Library'!$A$5:$A$50,"AI-CTRL-007",'Control Library'!$R$5:$R$50,"Implemented")+COUNTIFS('Control Library'!$A$5:$A$50,"AI-CTRL-013",'Control Library'!$R$5:$R$50,"Implemented")+COUNTIFS('Control Library'!$A$5:$A$50,"AI-CTRL-017",'Control Library'!$R$5:$R$50,"Implemented")</f>
        <v>0</v>
      </c>
      <c r="K789" s="43" t="str">
        <f aca="false">IF(I789=0,"No wiki control",IF(J789=I789,"Fully covered",IF(J789=0,"Not covered","Partly covered")))</f>
        <v>Not covered</v>
      </c>
      <c r="L789" s="9" t="s">
        <v>2591</v>
      </c>
    </row>
    <row r="790" customFormat="false" ht="23.85" hidden="false" customHeight="false" outlineLevel="0" collapsed="false">
      <c r="A790" s="58" t="s">
        <v>614</v>
      </c>
      <c r="B790" s="58" t="s">
        <v>613</v>
      </c>
      <c r="C790" s="5" t="s">
        <v>2608</v>
      </c>
      <c r="D790" s="6" t="s">
        <v>2609</v>
      </c>
      <c r="E790" s="6"/>
      <c r="F790" s="6" t="s">
        <v>640</v>
      </c>
      <c r="G790" s="6"/>
      <c r="H790" s="6"/>
      <c r="I790" s="26" t="n">
        <v>0</v>
      </c>
      <c r="J790" s="26" t="n">
        <f aca="false">0</f>
        <v>0</v>
      </c>
      <c r="K790" s="43" t="str">
        <f aca="false">IF(I790=0,"No wiki control",IF(J790=I790,"Fully covered",IF(J790=0,"Not covered","Partly covered")))</f>
        <v>No wiki control</v>
      </c>
      <c r="L790" s="9" t="s">
        <v>2591</v>
      </c>
    </row>
    <row r="791" customFormat="false" ht="35.05" hidden="false" customHeight="false" outlineLevel="0" collapsed="false">
      <c r="A791" s="58" t="s">
        <v>614</v>
      </c>
      <c r="B791" s="58" t="s">
        <v>613</v>
      </c>
      <c r="C791" s="5" t="s">
        <v>2610</v>
      </c>
      <c r="D791" s="6" t="s">
        <v>2611</v>
      </c>
      <c r="E791" s="6" t="s">
        <v>2612</v>
      </c>
      <c r="F791" s="6" t="s">
        <v>730</v>
      </c>
      <c r="G791" s="6" t="s">
        <v>2613</v>
      </c>
      <c r="H791" s="6"/>
      <c r="I791" s="26" t="n">
        <v>3</v>
      </c>
      <c r="J791" s="26" t="n">
        <f aca="false">COUNTIFS('Control Library'!$A$5:$A$50,"AI-CTRL-012",'Control Library'!$R$5:$R$50,"Implemented")+COUNTIFS('Control Library'!$A$5:$A$50,"AI-CTRL-039",'Control Library'!$R$5:$R$50,"Implemented")+COUNTIFS('Control Library'!$A$5:$A$50,"AI-CTRL-041",'Control Library'!$R$5:$R$50,"Implemented")</f>
        <v>0</v>
      </c>
      <c r="K791" s="43" t="str">
        <f aca="false">IF(I791=0,"No wiki control",IF(J791=I791,"Fully covered",IF(J791=0,"Not covered","Partly covered")))</f>
        <v>Not covered</v>
      </c>
      <c r="L791" s="9" t="s">
        <v>2591</v>
      </c>
    </row>
    <row r="792" customFormat="false" ht="46.25" hidden="false" customHeight="false" outlineLevel="0" collapsed="false">
      <c r="A792" s="58" t="s">
        <v>614</v>
      </c>
      <c r="B792" s="58" t="s">
        <v>613</v>
      </c>
      <c r="C792" s="5" t="s">
        <v>2614</v>
      </c>
      <c r="D792" s="6" t="s">
        <v>2615</v>
      </c>
      <c r="E792" s="6" t="s">
        <v>2616</v>
      </c>
      <c r="F792" s="6" t="s">
        <v>730</v>
      </c>
      <c r="G792" s="6" t="s">
        <v>2617</v>
      </c>
      <c r="H792" s="6"/>
      <c r="I792" s="26" t="n">
        <v>4</v>
      </c>
      <c r="J792" s="26" t="n">
        <f aca="false">COUNTIFS('Control Library'!$A$5:$A$50,"AI-CTRL-011",'Control Library'!$R$5:$R$50,"Implemented")+COUNTIFS('Control Library'!$A$5:$A$50,"AI-CTRL-023",'Control Library'!$R$5:$R$50,"Implemented")+COUNTIFS('Control Library'!$A$5:$A$50,"AI-CTRL-033",'Control Library'!$R$5:$R$50,"Implemented")+COUNTIFS('Control Library'!$A$5:$A$50,"AI-CTRL-041",'Control Library'!$R$5:$R$50,"Implemented")</f>
        <v>0</v>
      </c>
      <c r="K792" s="43" t="str">
        <f aca="false">IF(I792=0,"No wiki control",IF(J792=I792,"Fully covered",IF(J792=0,"Not covered","Partly covered")))</f>
        <v>Not covered</v>
      </c>
      <c r="L792" s="9" t="s">
        <v>2591</v>
      </c>
    </row>
    <row r="793" customFormat="false" ht="23.85" hidden="false" customHeight="false" outlineLevel="0" collapsed="false">
      <c r="A793" s="58" t="s">
        <v>614</v>
      </c>
      <c r="B793" s="58" t="s">
        <v>613</v>
      </c>
      <c r="C793" s="5" t="s">
        <v>2618</v>
      </c>
      <c r="D793" s="6" t="s">
        <v>2619</v>
      </c>
      <c r="E793" s="6" t="s">
        <v>1827</v>
      </c>
      <c r="F793" s="6" t="s">
        <v>730</v>
      </c>
      <c r="G793" s="6" t="s">
        <v>1828</v>
      </c>
      <c r="H793" s="6"/>
      <c r="I793" s="26" t="n">
        <v>3</v>
      </c>
      <c r="J793" s="26" t="n">
        <f aca="false">COUNTIFS('Control Library'!$A$5:$A$50,"AI-CTRL-007",'Control Library'!$R$5:$R$50,"Implemented")+COUNTIFS('Control Library'!$A$5:$A$50,"AI-CTRL-013",'Control Library'!$R$5:$R$50,"Implemented")+COUNTIFS('Control Library'!$A$5:$A$50,"AI-CTRL-017",'Control Library'!$R$5:$R$50,"Implemented")</f>
        <v>0</v>
      </c>
      <c r="K793" s="43" t="str">
        <f aca="false">IF(I793=0,"No wiki control",IF(J793=I793,"Fully covered",IF(J793=0,"Not covered","Partly covered")))</f>
        <v>Not covered</v>
      </c>
      <c r="L793" s="9" t="s">
        <v>2591</v>
      </c>
    </row>
    <row r="794" customFormat="false" ht="35.05" hidden="false" customHeight="false" outlineLevel="0" collapsed="false">
      <c r="A794" s="58" t="s">
        <v>614</v>
      </c>
      <c r="B794" s="58" t="s">
        <v>613</v>
      </c>
      <c r="C794" s="5" t="s">
        <v>2620</v>
      </c>
      <c r="D794" s="6" t="s">
        <v>2621</v>
      </c>
      <c r="E794" s="6" t="s">
        <v>2612</v>
      </c>
      <c r="F794" s="6" t="s">
        <v>730</v>
      </c>
      <c r="G794" s="6" t="s">
        <v>2613</v>
      </c>
      <c r="H794" s="6"/>
      <c r="I794" s="26" t="n">
        <v>3</v>
      </c>
      <c r="J794" s="26" t="n">
        <f aca="false">COUNTIFS('Control Library'!$A$5:$A$50,"AI-CTRL-012",'Control Library'!$R$5:$R$50,"Implemented")+COUNTIFS('Control Library'!$A$5:$A$50,"AI-CTRL-039",'Control Library'!$R$5:$R$50,"Implemented")+COUNTIFS('Control Library'!$A$5:$A$50,"AI-CTRL-041",'Control Library'!$R$5:$R$50,"Implemented")</f>
        <v>0</v>
      </c>
      <c r="K794" s="43" t="str">
        <f aca="false">IF(I794=0,"No wiki control",IF(J794=I794,"Fully covered",IF(J794=0,"Not covered","Partly covered")))</f>
        <v>Not covered</v>
      </c>
      <c r="L794" s="9" t="s">
        <v>2591</v>
      </c>
    </row>
    <row r="795" customFormat="false" ht="23.85" hidden="false" customHeight="false" outlineLevel="0" collapsed="false">
      <c r="A795" s="58" t="s">
        <v>614</v>
      </c>
      <c r="B795" s="58" t="s">
        <v>613</v>
      </c>
      <c r="C795" s="5" t="s">
        <v>2622</v>
      </c>
      <c r="D795" s="6" t="s">
        <v>2623</v>
      </c>
      <c r="E795" s="6" t="s">
        <v>2624</v>
      </c>
      <c r="F795" s="6" t="s">
        <v>730</v>
      </c>
      <c r="G795" s="6" t="s">
        <v>1012</v>
      </c>
      <c r="H795" s="6"/>
      <c r="I795" s="26" t="n">
        <v>3</v>
      </c>
      <c r="J795" s="26" t="n">
        <f aca="false">COUNTIFS('Control Library'!$A$5:$A$50,"AI-CTRL-002",'Control Library'!$R$5:$R$50,"Implemented")+COUNTIFS('Control Library'!$A$5:$A$50,"AI-CTRL-010",'Control Library'!$R$5:$R$50,"Implemented")+COUNTIFS('Control Library'!$A$5:$A$50,"AI-CTRL-012",'Control Library'!$R$5:$R$50,"Implemented")</f>
        <v>0</v>
      </c>
      <c r="K795" s="43" t="str">
        <f aca="false">IF(I795=0,"No wiki control",IF(J795=I795,"Fully covered",IF(J795=0,"Not covered","Partly covered")))</f>
        <v>Not covered</v>
      </c>
      <c r="L795" s="9" t="s">
        <v>2591</v>
      </c>
    </row>
    <row r="796" customFormat="false" ht="23.85" hidden="false" customHeight="false" outlineLevel="0" collapsed="false">
      <c r="A796" s="58" t="s">
        <v>614</v>
      </c>
      <c r="B796" s="58" t="s">
        <v>613</v>
      </c>
      <c r="C796" s="5" t="s">
        <v>2625</v>
      </c>
      <c r="D796" s="6" t="s">
        <v>2626</v>
      </c>
      <c r="E796" s="6"/>
      <c r="F796" s="6" t="s">
        <v>640</v>
      </c>
      <c r="G796" s="6"/>
      <c r="H796" s="6"/>
      <c r="I796" s="26" t="n">
        <v>0</v>
      </c>
      <c r="J796" s="26" t="n">
        <f aca="false">0</f>
        <v>0</v>
      </c>
      <c r="K796" s="43" t="str">
        <f aca="false">IF(I796=0,"No wiki control",IF(J796=I796,"Fully covered",IF(J796=0,"Not covered","Partly covered")))</f>
        <v>No wiki control</v>
      </c>
      <c r="L796" s="9" t="s">
        <v>2591</v>
      </c>
    </row>
    <row r="797" customFormat="false" ht="23.85" hidden="false" customHeight="false" outlineLevel="0" collapsed="false">
      <c r="A797" s="58" t="s">
        <v>614</v>
      </c>
      <c r="B797" s="58" t="s">
        <v>613</v>
      </c>
      <c r="C797" s="5" t="s">
        <v>2627</v>
      </c>
      <c r="D797" s="6" t="s">
        <v>2628</v>
      </c>
      <c r="E797" s="6" t="s">
        <v>470</v>
      </c>
      <c r="F797" s="6" t="s">
        <v>730</v>
      </c>
      <c r="G797" s="6" t="s">
        <v>473</v>
      </c>
      <c r="H797" s="6"/>
      <c r="I797" s="26" t="n">
        <v>1</v>
      </c>
      <c r="J797" s="26" t="n">
        <f aca="false">COUNTIFS('Control Library'!$A$5:$A$50,"AI-CTRL-037",'Control Library'!$R$5:$R$50,"Implemented")</f>
        <v>0</v>
      </c>
      <c r="K797" s="43" t="str">
        <f aca="false">IF(I797=0,"No wiki control",IF(J797=I797,"Fully covered",IF(J797=0,"Not covered","Partly covered")))</f>
        <v>Not covered</v>
      </c>
      <c r="L797" s="9" t="s">
        <v>2591</v>
      </c>
    </row>
    <row r="798" customFormat="false" ht="35.05" hidden="false" customHeight="false" outlineLevel="0" collapsed="false">
      <c r="A798" s="58" t="s">
        <v>614</v>
      </c>
      <c r="B798" s="58" t="s">
        <v>613</v>
      </c>
      <c r="C798" s="5" t="s">
        <v>2629</v>
      </c>
      <c r="D798" s="6" t="s">
        <v>2630</v>
      </c>
      <c r="E798" s="6" t="s">
        <v>2631</v>
      </c>
      <c r="F798" s="6" t="s">
        <v>730</v>
      </c>
      <c r="G798" s="6" t="s">
        <v>2632</v>
      </c>
      <c r="H798" s="6"/>
      <c r="I798" s="26" t="n">
        <v>3</v>
      </c>
      <c r="J798" s="26" t="n">
        <f aca="false">COUNTIFS('Control Library'!$A$5:$A$50,"AI-CTRL-005",'Control Library'!$R$5:$R$50,"Implemented")+COUNTIFS('Control Library'!$A$5:$A$50,"AI-CTRL-008",'Control Library'!$R$5:$R$50,"Implemented")+COUNTIFS('Control Library'!$A$5:$A$50,"AI-CTRL-032",'Control Library'!$R$5:$R$50,"Implemented")</f>
        <v>0</v>
      </c>
      <c r="K798" s="43" t="str">
        <f aca="false">IF(I798=0,"No wiki control",IF(J798=I798,"Fully covered",IF(J798=0,"Not covered","Partly covered")))</f>
        <v>Not covered</v>
      </c>
      <c r="L798" s="9" t="s">
        <v>2591</v>
      </c>
    </row>
    <row r="799" customFormat="false" ht="35.05" hidden="false" customHeight="false" outlineLevel="0" collapsed="false">
      <c r="A799" s="58" t="s">
        <v>614</v>
      </c>
      <c r="B799" s="58" t="s">
        <v>613</v>
      </c>
      <c r="C799" s="5" t="s">
        <v>2633</v>
      </c>
      <c r="D799" s="6" t="s">
        <v>2634</v>
      </c>
      <c r="E799" s="6" t="s">
        <v>2631</v>
      </c>
      <c r="F799" s="6" t="s">
        <v>730</v>
      </c>
      <c r="G799" s="6" t="s">
        <v>2632</v>
      </c>
      <c r="H799" s="6"/>
      <c r="I799" s="26" t="n">
        <v>3</v>
      </c>
      <c r="J799" s="26" t="n">
        <f aca="false">COUNTIFS('Control Library'!$A$5:$A$50,"AI-CTRL-005",'Control Library'!$R$5:$R$50,"Implemented")+COUNTIFS('Control Library'!$A$5:$A$50,"AI-CTRL-008",'Control Library'!$R$5:$R$50,"Implemented")+COUNTIFS('Control Library'!$A$5:$A$50,"AI-CTRL-032",'Control Library'!$R$5:$R$50,"Implemented")</f>
        <v>0</v>
      </c>
      <c r="K799" s="43" t="str">
        <f aca="false">IF(I799=0,"No wiki control",IF(J799=I799,"Fully covered",IF(J799=0,"Not covered","Partly covered")))</f>
        <v>Not covered</v>
      </c>
      <c r="L799" s="9" t="s">
        <v>2591</v>
      </c>
    </row>
    <row r="800" customFormat="false" ht="23.85" hidden="false" customHeight="false" outlineLevel="0" collapsed="false">
      <c r="A800" s="58" t="s">
        <v>614</v>
      </c>
      <c r="B800" s="58" t="s">
        <v>613</v>
      </c>
      <c r="C800" s="5" t="s">
        <v>2635</v>
      </c>
      <c r="D800" s="6" t="s">
        <v>2636</v>
      </c>
      <c r="E800" s="6"/>
      <c r="F800" s="6" t="s">
        <v>640</v>
      </c>
      <c r="G800" s="6"/>
      <c r="H800" s="6"/>
      <c r="I800" s="26" t="n">
        <v>0</v>
      </c>
      <c r="J800" s="26" t="n">
        <f aca="false">0</f>
        <v>0</v>
      </c>
      <c r="K800" s="43" t="str">
        <f aca="false">IF(I800=0,"No wiki control",IF(J800=I800,"Fully covered",IF(J800=0,"Not covered","Partly covered")))</f>
        <v>No wiki control</v>
      </c>
      <c r="L800" s="9" t="s">
        <v>2591</v>
      </c>
    </row>
    <row r="801" customFormat="false" ht="23.85" hidden="false" customHeight="false" outlineLevel="0" collapsed="false">
      <c r="A801" s="58" t="s">
        <v>614</v>
      </c>
      <c r="B801" s="58" t="s">
        <v>613</v>
      </c>
      <c r="C801" s="5" t="s">
        <v>2637</v>
      </c>
      <c r="D801" s="6" t="s">
        <v>2638</v>
      </c>
      <c r="E801" s="6" t="s">
        <v>404</v>
      </c>
      <c r="F801" s="6" t="s">
        <v>730</v>
      </c>
      <c r="G801" s="6" t="s">
        <v>399</v>
      </c>
      <c r="H801" s="6"/>
      <c r="I801" s="26" t="n">
        <v>1</v>
      </c>
      <c r="J801" s="26" t="n">
        <f aca="false">COUNTIFS('Control Library'!$A$5:$A$50,"AI-CTRL-029",'Control Library'!$R$5:$R$50,"Implemented")</f>
        <v>0</v>
      </c>
      <c r="K801" s="43" t="str">
        <f aca="false">IF(I801=0,"No wiki control",IF(J801=I801,"Fully covered",IF(J801=0,"Not covered","Partly covered")))</f>
        <v>Not covered</v>
      </c>
      <c r="L801" s="9" t="s">
        <v>2591</v>
      </c>
    </row>
    <row r="802" customFormat="false" ht="23.85" hidden="false" customHeight="false" outlineLevel="0" collapsed="false">
      <c r="A802" s="58" t="s">
        <v>614</v>
      </c>
      <c r="B802" s="58" t="s">
        <v>613</v>
      </c>
      <c r="C802" s="5" t="s">
        <v>2639</v>
      </c>
      <c r="D802" s="6" t="s">
        <v>2640</v>
      </c>
      <c r="E802" s="6" t="s">
        <v>219</v>
      </c>
      <c r="F802" s="6" t="s">
        <v>730</v>
      </c>
      <c r="G802" s="6" t="s">
        <v>224</v>
      </c>
      <c r="H802" s="6"/>
      <c r="I802" s="26" t="n">
        <v>1</v>
      </c>
      <c r="J802" s="26" t="n">
        <f aca="false">COUNTIFS('Control Library'!$A$5:$A$50,"AI-CTRL-007",'Control Library'!$R$5:$R$50,"Implemented")</f>
        <v>0</v>
      </c>
      <c r="K802" s="43" t="str">
        <f aca="false">IF(I802=0,"No wiki control",IF(J802=I802,"Fully covered",IF(J802=0,"Not covered","Partly covered")))</f>
        <v>Not covered</v>
      </c>
      <c r="L802" s="9" t="s">
        <v>2591</v>
      </c>
    </row>
    <row r="803" customFormat="false" ht="35.05" hidden="false" customHeight="false" outlineLevel="0" collapsed="false">
      <c r="A803" s="58" t="s">
        <v>614</v>
      </c>
      <c r="B803" s="58" t="s">
        <v>613</v>
      </c>
      <c r="C803" s="5" t="s">
        <v>2641</v>
      </c>
      <c r="D803" s="6" t="s">
        <v>2642</v>
      </c>
      <c r="E803" s="6" t="s">
        <v>2643</v>
      </c>
      <c r="F803" s="6" t="s">
        <v>730</v>
      </c>
      <c r="G803" s="6" t="s">
        <v>2644</v>
      </c>
      <c r="H803" s="6"/>
      <c r="I803" s="26" t="n">
        <v>4</v>
      </c>
      <c r="J803"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03" s="43" t="str">
        <f aca="false">IF(I803=0,"No wiki control",IF(J803=I803,"Fully covered",IF(J803=0,"Not covered","Partly covered")))</f>
        <v>Not covered</v>
      </c>
      <c r="L803" s="9" t="s">
        <v>2591</v>
      </c>
    </row>
    <row r="804" customFormat="false" ht="23.85" hidden="false" customHeight="false" outlineLevel="0" collapsed="false">
      <c r="A804" s="58" t="s">
        <v>614</v>
      </c>
      <c r="B804" s="58" t="s">
        <v>613</v>
      </c>
      <c r="C804" s="5" t="s">
        <v>2645</v>
      </c>
      <c r="D804" s="6" t="s">
        <v>2646</v>
      </c>
      <c r="E804" s="6" t="s">
        <v>2647</v>
      </c>
      <c r="F804" s="6" t="s">
        <v>730</v>
      </c>
      <c r="G804" s="6" t="s">
        <v>2648</v>
      </c>
      <c r="H804" s="6"/>
      <c r="I804" s="26" t="n">
        <v>3</v>
      </c>
      <c r="J804" s="26" t="n">
        <f aca="false">COUNTIFS('Control Library'!$A$5:$A$50,"AI-CTRL-005",'Control Library'!$R$5:$R$50,"Implemented")+COUNTIFS('Control Library'!$A$5:$A$50,"AI-CTRL-028",'Control Library'!$R$5:$R$50,"Implemented")+COUNTIFS('Control Library'!$A$5:$A$50,"AI-CTRL-035",'Control Library'!$R$5:$R$50,"Implemented")</f>
        <v>0</v>
      </c>
      <c r="K804" s="43" t="str">
        <f aca="false">IF(I804=0,"No wiki control",IF(J804=I804,"Fully covered",IF(J804=0,"Not covered","Partly covered")))</f>
        <v>Not covered</v>
      </c>
      <c r="L804" s="9" t="s">
        <v>2591</v>
      </c>
    </row>
    <row r="805" customFormat="false" ht="35.05" hidden="false" customHeight="false" outlineLevel="0" collapsed="false">
      <c r="A805" s="58" t="s">
        <v>614</v>
      </c>
      <c r="B805" s="58" t="s">
        <v>613</v>
      </c>
      <c r="C805" s="5" t="s">
        <v>2649</v>
      </c>
      <c r="D805" s="6" t="s">
        <v>2650</v>
      </c>
      <c r="E805" s="6" t="s">
        <v>2651</v>
      </c>
      <c r="F805" s="6" t="s">
        <v>730</v>
      </c>
      <c r="G805" s="6" t="s">
        <v>2652</v>
      </c>
      <c r="H805" s="6"/>
      <c r="I805" s="26" t="n">
        <v>3</v>
      </c>
      <c r="J805" s="26" t="n">
        <f aca="false">COUNTIFS('Control Library'!$A$5:$A$50,"AI-CTRL-012",'Control Library'!$R$5:$R$50,"Implemented")+COUNTIFS('Control Library'!$A$5:$A$50,"AI-CTRL-023",'Control Library'!$R$5:$R$50,"Implemented")+COUNTIFS('Control Library'!$A$5:$A$50,"AI-CTRL-039",'Control Library'!$R$5:$R$50,"Implemented")</f>
        <v>0</v>
      </c>
      <c r="K805" s="43" t="str">
        <f aca="false">IF(I805=0,"No wiki control",IF(J805=I805,"Fully covered",IF(J805=0,"Not covered","Partly covered")))</f>
        <v>Not covered</v>
      </c>
      <c r="L805" s="9" t="s">
        <v>2591</v>
      </c>
    </row>
    <row r="806" customFormat="false" ht="35.05" hidden="false" customHeight="false" outlineLevel="0" collapsed="false">
      <c r="A806" s="58" t="s">
        <v>614</v>
      </c>
      <c r="B806" s="58" t="s">
        <v>613</v>
      </c>
      <c r="C806" s="5" t="s">
        <v>2653</v>
      </c>
      <c r="D806" s="6" t="s">
        <v>2654</v>
      </c>
      <c r="E806" s="6" t="s">
        <v>2612</v>
      </c>
      <c r="F806" s="6" t="s">
        <v>730</v>
      </c>
      <c r="G806" s="6" t="s">
        <v>2613</v>
      </c>
      <c r="H806" s="6"/>
      <c r="I806" s="26" t="n">
        <v>3</v>
      </c>
      <c r="J806" s="26" t="n">
        <f aca="false">COUNTIFS('Control Library'!$A$5:$A$50,"AI-CTRL-012",'Control Library'!$R$5:$R$50,"Implemented")+COUNTIFS('Control Library'!$A$5:$A$50,"AI-CTRL-039",'Control Library'!$R$5:$R$50,"Implemented")+COUNTIFS('Control Library'!$A$5:$A$50,"AI-CTRL-041",'Control Library'!$R$5:$R$50,"Implemented")</f>
        <v>0</v>
      </c>
      <c r="K806" s="43" t="str">
        <f aca="false">IF(I806=0,"No wiki control",IF(J806=I806,"Fully covered",IF(J806=0,"Not covered","Partly covered")))</f>
        <v>Not covered</v>
      </c>
      <c r="L806" s="9" t="s">
        <v>2591</v>
      </c>
    </row>
    <row r="807" customFormat="false" ht="23.85" hidden="false" customHeight="false" outlineLevel="0" collapsed="false">
      <c r="A807" s="58" t="s">
        <v>614</v>
      </c>
      <c r="B807" s="58" t="s">
        <v>613</v>
      </c>
      <c r="C807" s="5" t="s">
        <v>2655</v>
      </c>
      <c r="D807" s="6" t="s">
        <v>2656</v>
      </c>
      <c r="E807" s="6" t="s">
        <v>2657</v>
      </c>
      <c r="F807" s="6" t="s">
        <v>730</v>
      </c>
      <c r="G807" s="6" t="s">
        <v>2658</v>
      </c>
      <c r="H807" s="6"/>
      <c r="I807" s="26" t="n">
        <v>2</v>
      </c>
      <c r="J807" s="26" t="n">
        <f aca="false">COUNTIFS('Control Library'!$A$5:$A$50,"AI-CTRL-013",'Control Library'!$R$5:$R$50,"Implemented")+COUNTIFS('Control Library'!$A$5:$A$50,"AI-CTRL-038",'Control Library'!$R$5:$R$50,"Implemented")</f>
        <v>0</v>
      </c>
      <c r="K807" s="43" t="str">
        <f aca="false">IF(I807=0,"No wiki control",IF(J807=I807,"Fully covered",IF(J807=0,"Not covered","Partly covered")))</f>
        <v>Not covered</v>
      </c>
      <c r="L807" s="9" t="s">
        <v>2591</v>
      </c>
    </row>
    <row r="808" customFormat="false" ht="46.25" hidden="false" customHeight="false" outlineLevel="0" collapsed="false">
      <c r="A808" s="58" t="s">
        <v>614</v>
      </c>
      <c r="B808" s="58" t="s">
        <v>613</v>
      </c>
      <c r="C808" s="5" t="s">
        <v>2659</v>
      </c>
      <c r="D808" s="6" t="s">
        <v>2660</v>
      </c>
      <c r="E808" s="6" t="s">
        <v>2661</v>
      </c>
      <c r="F808" s="6" t="s">
        <v>730</v>
      </c>
      <c r="G808" s="6" t="s">
        <v>2662</v>
      </c>
      <c r="H808" s="6"/>
      <c r="I808" s="26" t="n">
        <v>4</v>
      </c>
      <c r="J808" s="26" t="n">
        <f aca="false">COUNTIFS('Control Library'!$A$5:$A$50,"AI-CTRL-011",'Control Library'!$R$5:$R$50,"Implemented")+COUNTIFS('Control Library'!$A$5:$A$50,"AI-CTRL-013",'Control Library'!$R$5:$R$50,"Implemented")+COUNTIFS('Control Library'!$A$5:$A$50,"AI-CTRL-023",'Control Library'!$R$5:$R$50,"Implemented")+COUNTIFS('Control Library'!$A$5:$A$50,"AI-CTRL-041",'Control Library'!$R$5:$R$50,"Implemented")</f>
        <v>0</v>
      </c>
      <c r="K808" s="43" t="str">
        <f aca="false">IF(I808=0,"No wiki control",IF(J808=I808,"Fully covered",IF(J808=0,"Not covered","Partly covered")))</f>
        <v>Not covered</v>
      </c>
      <c r="L808" s="9" t="s">
        <v>2591</v>
      </c>
    </row>
    <row r="809" customFormat="false" ht="23.85" hidden="false" customHeight="false" outlineLevel="0" collapsed="false">
      <c r="A809" s="58" t="s">
        <v>614</v>
      </c>
      <c r="B809" s="58" t="s">
        <v>613</v>
      </c>
      <c r="C809" s="5" t="s">
        <v>2663</v>
      </c>
      <c r="D809" s="6" t="s">
        <v>2664</v>
      </c>
      <c r="E809" s="6" t="s">
        <v>2227</v>
      </c>
      <c r="F809" s="6" t="s">
        <v>730</v>
      </c>
      <c r="G809" s="6" t="s">
        <v>276</v>
      </c>
      <c r="H809" s="6"/>
      <c r="I809" s="26" t="n">
        <v>2</v>
      </c>
      <c r="J809" s="26" t="n">
        <f aca="false">COUNTIFS('Control Library'!$A$5:$A$50,"AI-CTRL-007",'Control Library'!$R$5:$R$50,"Implemented")+COUNTIFS('Control Library'!$A$5:$A$50,"AI-CTRL-013",'Control Library'!$R$5:$R$50,"Implemented")</f>
        <v>0</v>
      </c>
      <c r="K809" s="43" t="str">
        <f aca="false">IF(I809=0,"No wiki control",IF(J809=I809,"Fully covered",IF(J809=0,"Not covered","Partly covered")))</f>
        <v>Not covered</v>
      </c>
      <c r="L809" s="9" t="s">
        <v>2591</v>
      </c>
    </row>
    <row r="810" customFormat="false" ht="23.85" hidden="false" customHeight="false" outlineLevel="0" collapsed="false">
      <c r="A810" s="58" t="s">
        <v>614</v>
      </c>
      <c r="B810" s="58" t="s">
        <v>613</v>
      </c>
      <c r="C810" s="5" t="s">
        <v>2665</v>
      </c>
      <c r="D810" s="6" t="s">
        <v>2666</v>
      </c>
      <c r="E810" s="6"/>
      <c r="F810" s="6" t="s">
        <v>640</v>
      </c>
      <c r="G810" s="6"/>
      <c r="H810" s="6"/>
      <c r="I810" s="26" t="n">
        <v>0</v>
      </c>
      <c r="J810" s="26" t="n">
        <f aca="false">0</f>
        <v>0</v>
      </c>
      <c r="K810" s="43" t="str">
        <f aca="false">IF(I810=0,"No wiki control",IF(J810=I810,"Fully covered",IF(J810=0,"Not covered","Partly covered")))</f>
        <v>No wiki control</v>
      </c>
      <c r="L810" s="9" t="s">
        <v>2591</v>
      </c>
    </row>
    <row r="811" customFormat="false" ht="46.25" hidden="false" customHeight="false" outlineLevel="0" collapsed="false">
      <c r="A811" s="58" t="s">
        <v>614</v>
      </c>
      <c r="B811" s="58" t="s">
        <v>613</v>
      </c>
      <c r="C811" s="5" t="s">
        <v>2667</v>
      </c>
      <c r="D811" s="6" t="s">
        <v>2668</v>
      </c>
      <c r="E811" s="6" t="s">
        <v>2669</v>
      </c>
      <c r="F811" s="6" t="s">
        <v>730</v>
      </c>
      <c r="G811" s="6" t="s">
        <v>2670</v>
      </c>
      <c r="H811" s="6"/>
      <c r="I811" s="26" t="n">
        <v>5</v>
      </c>
      <c r="J811" s="26" t="n">
        <f aca="false">COUNTIFS('Control Library'!$A$5:$A$50,"AI-CTRL-011",'Control Library'!$R$5:$R$50,"Implemented")+COUNTIFS('Control Library'!$A$5:$A$50,"AI-CTRL-014",'Control Library'!$R$5:$R$50,"Implemented")+COUNTIFS('Control Library'!$A$5:$A$50,"AI-CTRL-023",'Control Library'!$R$5:$R$50,"Implemented")+COUNTIFS('Control Library'!$A$5:$A$50,"AI-CTRL-025",'Control Library'!$R$5:$R$50,"Implemented")+COUNTIFS('Control Library'!$A$5:$A$50,"AI-CTRL-041",'Control Library'!$R$5:$R$50,"Implemented")</f>
        <v>0</v>
      </c>
      <c r="K811" s="43" t="str">
        <f aca="false">IF(I811=0,"No wiki control",IF(J811=I811,"Fully covered",IF(J811=0,"Not covered","Partly covered")))</f>
        <v>Not covered</v>
      </c>
      <c r="L811" s="9" t="s">
        <v>2591</v>
      </c>
    </row>
    <row r="812" customFormat="false" ht="23.85" hidden="false" customHeight="false" outlineLevel="0" collapsed="false">
      <c r="A812" s="58" t="s">
        <v>614</v>
      </c>
      <c r="B812" s="58" t="s">
        <v>613</v>
      </c>
      <c r="C812" s="5" t="s">
        <v>2671</v>
      </c>
      <c r="D812" s="6" t="s">
        <v>2672</v>
      </c>
      <c r="E812" s="6"/>
      <c r="F812" s="6" t="s">
        <v>640</v>
      </c>
      <c r="G812" s="6"/>
      <c r="H812" s="6"/>
      <c r="I812" s="26" t="n">
        <v>0</v>
      </c>
      <c r="J812" s="26" t="n">
        <f aca="false">0</f>
        <v>0</v>
      </c>
      <c r="K812" s="43" t="str">
        <f aca="false">IF(I812=0,"No wiki control",IF(J812=I812,"Fully covered",IF(J812=0,"Not covered","Partly covered")))</f>
        <v>No wiki control</v>
      </c>
      <c r="L812" s="9" t="s">
        <v>2591</v>
      </c>
    </row>
    <row r="813" customFormat="false" ht="35.05" hidden="false" customHeight="false" outlineLevel="0" collapsed="false">
      <c r="A813" s="58" t="s">
        <v>614</v>
      </c>
      <c r="B813" s="58" t="s">
        <v>613</v>
      </c>
      <c r="C813" s="5" t="s">
        <v>2673</v>
      </c>
      <c r="D813" s="6" t="s">
        <v>2674</v>
      </c>
      <c r="E813" s="6" t="s">
        <v>2675</v>
      </c>
      <c r="F813" s="6" t="s">
        <v>730</v>
      </c>
      <c r="G813" s="6" t="s">
        <v>2632</v>
      </c>
      <c r="H813" s="6"/>
      <c r="I813" s="26" t="n">
        <v>4</v>
      </c>
      <c r="J813" s="26" t="n">
        <f aca="false">COUNTIFS('Control Library'!$A$5:$A$50,"AI-CTRL-005",'Control Library'!$R$5:$R$50,"Implemented")+COUNTIFS('Control Library'!$A$5:$A$50,"AI-CTRL-008",'Control Library'!$R$5:$R$50,"Implemented")+COUNTIFS('Control Library'!$A$5:$A$50,"AI-CTRL-009",'Control Library'!$R$5:$R$50,"Implemented")+COUNTIFS('Control Library'!$A$5:$A$50,"AI-CTRL-032",'Control Library'!$R$5:$R$50,"Implemented")</f>
        <v>0</v>
      </c>
      <c r="K813" s="43" t="str">
        <f aca="false">IF(I813=0,"No wiki control",IF(J813=I813,"Fully covered",IF(J813=0,"Not covered","Partly covered")))</f>
        <v>Not covered</v>
      </c>
      <c r="L813" s="9" t="s">
        <v>2591</v>
      </c>
    </row>
    <row r="814" customFormat="false" ht="35.05" hidden="false" customHeight="false" outlineLevel="0" collapsed="false">
      <c r="A814" s="58" t="s">
        <v>614</v>
      </c>
      <c r="B814" s="58" t="s">
        <v>613</v>
      </c>
      <c r="C814" s="5" t="s">
        <v>2676</v>
      </c>
      <c r="D814" s="6" t="s">
        <v>2677</v>
      </c>
      <c r="E814" s="6" t="s">
        <v>2479</v>
      </c>
      <c r="F814" s="6" t="s">
        <v>730</v>
      </c>
      <c r="G814" s="6" t="s">
        <v>2480</v>
      </c>
      <c r="H814" s="6"/>
      <c r="I814" s="26" t="n">
        <v>2</v>
      </c>
      <c r="J814" s="26" t="n">
        <f aca="false">COUNTIFS('Control Library'!$A$5:$A$50,"AI-CTRL-012",'Control Library'!$R$5:$R$50,"Implemented")+COUNTIFS('Control Library'!$A$5:$A$50,"AI-CTRL-038",'Control Library'!$R$5:$R$50,"Implemented")</f>
        <v>0</v>
      </c>
      <c r="K814" s="43" t="str">
        <f aca="false">IF(I814=0,"No wiki control",IF(J814=I814,"Fully covered",IF(J814=0,"Not covered","Partly covered")))</f>
        <v>Not covered</v>
      </c>
      <c r="L814" s="9" t="s">
        <v>2591</v>
      </c>
    </row>
    <row r="815" customFormat="false" ht="35.05" hidden="false" customHeight="false" outlineLevel="0" collapsed="false">
      <c r="A815" s="58" t="s">
        <v>615</v>
      </c>
      <c r="B815" s="58" t="s">
        <v>613</v>
      </c>
      <c r="C815" s="5" t="s">
        <v>2678</v>
      </c>
      <c r="D815" s="6" t="s">
        <v>2679</v>
      </c>
      <c r="E815" s="6"/>
      <c r="F815" s="6" t="s">
        <v>640</v>
      </c>
      <c r="G815" s="6"/>
      <c r="H815" s="6"/>
      <c r="I815" s="26" t="n">
        <v>0</v>
      </c>
      <c r="J815" s="26" t="n">
        <f aca="false">0</f>
        <v>0</v>
      </c>
      <c r="K815" s="43" t="str">
        <f aca="false">IF(I815=0,"No wiki control",IF(J815=I815,"Fully covered",IF(J815=0,"Not covered","Partly covered")))</f>
        <v>No wiki control</v>
      </c>
      <c r="L815" s="9" t="s">
        <v>2680</v>
      </c>
    </row>
    <row r="816" customFormat="false" ht="23.85" hidden="false" customHeight="false" outlineLevel="0" collapsed="false">
      <c r="A816" s="58" t="s">
        <v>615</v>
      </c>
      <c r="B816" s="58" t="s">
        <v>613</v>
      </c>
      <c r="C816" s="5" t="s">
        <v>2681</v>
      </c>
      <c r="D816" s="6" t="s">
        <v>2682</v>
      </c>
      <c r="E816" s="6" t="s">
        <v>2365</v>
      </c>
      <c r="F816" s="6" t="s">
        <v>730</v>
      </c>
      <c r="G816" s="6" t="s">
        <v>266</v>
      </c>
      <c r="H816" s="6"/>
      <c r="I816" s="26" t="n">
        <v>2</v>
      </c>
      <c r="J816" s="26" t="n">
        <f aca="false">COUNTIFS('Control Library'!$A$5:$A$50,"AI-CTRL-011",'Control Library'!$R$5:$R$50,"Implemented")+COUNTIFS('Control Library'!$A$5:$A$50,"AI-CTRL-012",'Control Library'!$R$5:$R$50,"Implemented")</f>
        <v>0</v>
      </c>
      <c r="K816" s="43" t="str">
        <f aca="false">IF(I816=0,"No wiki control",IF(J816=I816,"Fully covered",IF(J816=0,"Not covered","Partly covered")))</f>
        <v>Not covered</v>
      </c>
      <c r="L816" s="9" t="s">
        <v>2680</v>
      </c>
    </row>
    <row r="817" customFormat="false" ht="23.85" hidden="false" customHeight="false" outlineLevel="0" collapsed="false">
      <c r="A817" s="58" t="s">
        <v>615</v>
      </c>
      <c r="B817" s="58" t="s">
        <v>613</v>
      </c>
      <c r="C817" s="5" t="s">
        <v>2683</v>
      </c>
      <c r="D817" s="6" t="s">
        <v>2684</v>
      </c>
      <c r="E817" s="6" t="s">
        <v>263</v>
      </c>
      <c r="F817" s="6" t="s">
        <v>730</v>
      </c>
      <c r="G817" s="6" t="s">
        <v>266</v>
      </c>
      <c r="H817" s="6"/>
      <c r="I817" s="26" t="n">
        <v>1</v>
      </c>
      <c r="J817" s="26" t="n">
        <f aca="false">COUNTIFS('Control Library'!$A$5:$A$50,"AI-CTRL-012",'Control Library'!$R$5:$R$50,"Implemented")</f>
        <v>0</v>
      </c>
      <c r="K817" s="43" t="str">
        <f aca="false">IF(I817=0,"No wiki control",IF(J817=I817,"Fully covered",IF(J817=0,"Not covered","Partly covered")))</f>
        <v>Not covered</v>
      </c>
      <c r="L817" s="9" t="s">
        <v>2680</v>
      </c>
    </row>
    <row r="818" customFormat="false" ht="68.65" hidden="false" customHeight="false" outlineLevel="0" collapsed="false">
      <c r="A818" s="58" t="s">
        <v>615</v>
      </c>
      <c r="B818" s="58" t="s">
        <v>613</v>
      </c>
      <c r="C818" s="5" t="s">
        <v>2685</v>
      </c>
      <c r="D818" s="6" t="s">
        <v>2686</v>
      </c>
      <c r="E818" s="6" t="s">
        <v>2687</v>
      </c>
      <c r="F818" s="6" t="s">
        <v>730</v>
      </c>
      <c r="G818" s="6" t="s">
        <v>2688</v>
      </c>
      <c r="H818" s="6"/>
      <c r="I818" s="26" t="n">
        <v>8</v>
      </c>
      <c r="J818" s="26" t="n">
        <f aca="false">COUNTIFS('Control Library'!$A$5:$A$50,"AI-CTRL-008",'Control Library'!$R$5:$R$50,"Implemented")+COUNTIFS('Control Library'!$A$5:$A$50,"AI-CTRL-013",'Control Library'!$R$5:$R$50,"Implemented")+COUNTIFS('Control Library'!$A$5:$A$50,"AI-CTRL-023",'Control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f>
        <v>0</v>
      </c>
      <c r="K818" s="43" t="str">
        <f aca="false">IF(I818=0,"No wiki control",IF(J818=I818,"Fully covered",IF(J818=0,"Not covered","Partly covered")))</f>
        <v>Not covered</v>
      </c>
      <c r="L818" s="9" t="s">
        <v>2680</v>
      </c>
    </row>
    <row r="819" customFormat="false" ht="23.85" hidden="false" customHeight="false" outlineLevel="0" collapsed="false">
      <c r="A819" s="58" t="s">
        <v>615</v>
      </c>
      <c r="B819" s="58" t="s">
        <v>613</v>
      </c>
      <c r="C819" s="5" t="s">
        <v>2689</v>
      </c>
      <c r="D819" s="6" t="s">
        <v>2690</v>
      </c>
      <c r="E819" s="6" t="s">
        <v>486</v>
      </c>
      <c r="F819" s="6" t="s">
        <v>730</v>
      </c>
      <c r="G819" s="6" t="s">
        <v>490</v>
      </c>
      <c r="H819" s="6"/>
      <c r="I819" s="26" t="n">
        <v>1</v>
      </c>
      <c r="J819" s="26" t="n">
        <f aca="false">COUNTIFS('Control Library'!$A$5:$A$50,"AI-CTRL-039",'Control Library'!$R$5:$R$50,"Implemented")</f>
        <v>0</v>
      </c>
      <c r="K819" s="43" t="str">
        <f aca="false">IF(I819=0,"No wiki control",IF(J819=I819,"Fully covered",IF(J819=0,"Not covered","Partly covered")))</f>
        <v>Not covered</v>
      </c>
      <c r="L819" s="9" t="s">
        <v>2680</v>
      </c>
    </row>
    <row r="820" customFormat="false" ht="23.85" hidden="false" customHeight="false" outlineLevel="0" collapsed="false">
      <c r="A820" s="58" t="s">
        <v>615</v>
      </c>
      <c r="B820" s="58" t="s">
        <v>613</v>
      </c>
      <c r="C820" s="5" t="s">
        <v>2691</v>
      </c>
      <c r="D820" s="6" t="s">
        <v>2692</v>
      </c>
      <c r="E820" s="6" t="s">
        <v>2693</v>
      </c>
      <c r="F820" s="6" t="s">
        <v>730</v>
      </c>
      <c r="G820" s="6" t="s">
        <v>286</v>
      </c>
      <c r="H820" s="6"/>
      <c r="I820" s="26" t="n">
        <v>3</v>
      </c>
      <c r="J820" s="26" t="n">
        <f aca="false">COUNTIFS('Control Library'!$A$5:$A$50,"AI-CTRL-014",'Control Library'!$R$5:$R$50,"Implemented")+COUNTIFS('Control Library'!$A$5:$A$50,"AI-CTRL-028",'Control Library'!$R$5:$R$50,"Implemented")+COUNTIFS('Control Library'!$A$5:$A$50,"AI-CTRL-029",'Control Library'!$R$5:$R$50,"Implemented")</f>
        <v>0</v>
      </c>
      <c r="K820" s="43" t="str">
        <f aca="false">IF(I820=0,"No wiki control",IF(J820=I820,"Fully covered",IF(J820=0,"Not covered","Partly covered")))</f>
        <v>Not covered</v>
      </c>
      <c r="L820" s="9" t="s">
        <v>2680</v>
      </c>
    </row>
    <row r="821" customFormat="false" ht="35.05" hidden="false" customHeight="false" outlineLevel="0" collapsed="false">
      <c r="A821" s="58" t="s">
        <v>615</v>
      </c>
      <c r="B821" s="58" t="s">
        <v>613</v>
      </c>
      <c r="C821" s="5" t="s">
        <v>2694</v>
      </c>
      <c r="D821" s="6" t="s">
        <v>2695</v>
      </c>
      <c r="E821" s="6" t="s">
        <v>2643</v>
      </c>
      <c r="F821" s="6" t="s">
        <v>730</v>
      </c>
      <c r="G821" s="6" t="s">
        <v>2644</v>
      </c>
      <c r="H821" s="6"/>
      <c r="I821" s="26" t="n">
        <v>4</v>
      </c>
      <c r="J821"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21" s="43" t="str">
        <f aca="false">IF(I821=0,"No wiki control",IF(J821=I821,"Fully covered",IF(J821=0,"Not covered","Partly covered")))</f>
        <v>Not covered</v>
      </c>
      <c r="L821" s="9" t="s">
        <v>2680</v>
      </c>
    </row>
    <row r="822" customFormat="false" ht="23.85" hidden="false" customHeight="false" outlineLevel="0" collapsed="false">
      <c r="A822" s="58" t="s">
        <v>615</v>
      </c>
      <c r="B822" s="58" t="s">
        <v>613</v>
      </c>
      <c r="C822" s="5" t="s">
        <v>2696</v>
      </c>
      <c r="D822" s="6" t="s">
        <v>2697</v>
      </c>
      <c r="E822" s="6" t="s">
        <v>272</v>
      </c>
      <c r="F822" s="6" t="s">
        <v>730</v>
      </c>
      <c r="G822" s="6" t="s">
        <v>276</v>
      </c>
      <c r="H822" s="6"/>
      <c r="I822" s="26" t="n">
        <v>1</v>
      </c>
      <c r="J822" s="26" t="n">
        <f aca="false">COUNTIFS('Control Library'!$A$5:$A$50,"AI-CTRL-013",'Control Library'!$R$5:$R$50,"Implemented")</f>
        <v>0</v>
      </c>
      <c r="K822" s="43" t="str">
        <f aca="false">IF(I822=0,"No wiki control",IF(J822=I822,"Fully covered",IF(J822=0,"Not covered","Partly covered")))</f>
        <v>Not covered</v>
      </c>
      <c r="L822" s="9" t="s">
        <v>2680</v>
      </c>
    </row>
    <row r="823" customFormat="false" ht="23.85" hidden="false" customHeight="false" outlineLevel="0" collapsed="false">
      <c r="A823" s="58" t="s">
        <v>615</v>
      </c>
      <c r="B823" s="58" t="s">
        <v>613</v>
      </c>
      <c r="C823" s="5" t="s">
        <v>2698</v>
      </c>
      <c r="D823" s="6" t="s">
        <v>2699</v>
      </c>
      <c r="E823" s="6" t="s">
        <v>272</v>
      </c>
      <c r="F823" s="6" t="s">
        <v>730</v>
      </c>
      <c r="G823" s="6" t="s">
        <v>276</v>
      </c>
      <c r="H823" s="6"/>
      <c r="I823" s="26" t="n">
        <v>1</v>
      </c>
      <c r="J823" s="26" t="n">
        <f aca="false">COUNTIFS('Control Library'!$A$5:$A$50,"AI-CTRL-013",'Control Library'!$R$5:$R$50,"Implemented")</f>
        <v>0</v>
      </c>
      <c r="K823" s="43" t="str">
        <f aca="false">IF(I823=0,"No wiki control",IF(J823=I823,"Fully covered",IF(J823=0,"Not covered","Partly covered")))</f>
        <v>Not covered</v>
      </c>
      <c r="L823" s="9" t="s">
        <v>2680</v>
      </c>
    </row>
    <row r="824" customFormat="false" ht="23.85" hidden="false" customHeight="false" outlineLevel="0" collapsed="false">
      <c r="A824" s="58" t="s">
        <v>615</v>
      </c>
      <c r="B824" s="58" t="s">
        <v>613</v>
      </c>
      <c r="C824" s="5" t="s">
        <v>2700</v>
      </c>
      <c r="D824" s="6" t="s">
        <v>2701</v>
      </c>
      <c r="E824" s="6" t="s">
        <v>2702</v>
      </c>
      <c r="F824" s="6" t="s">
        <v>730</v>
      </c>
      <c r="G824" s="6" t="s">
        <v>2703</v>
      </c>
      <c r="H824" s="6"/>
      <c r="I824" s="26" t="n">
        <v>2</v>
      </c>
      <c r="J824" s="26" t="n">
        <f aca="false">COUNTIFS('Control Library'!$A$5:$A$50,"AI-CTRL-005",'Control Library'!$R$5:$R$50,"Implemented")+COUNTIFS('Control Library'!$A$5:$A$50,"AI-CTRL-035",'Control Library'!$R$5:$R$50,"Implemented")</f>
        <v>0</v>
      </c>
      <c r="K824" s="43" t="str">
        <f aca="false">IF(I824=0,"No wiki control",IF(J824=I824,"Fully covered",IF(J824=0,"Not covered","Partly covered")))</f>
        <v>Not covered</v>
      </c>
      <c r="L824" s="9" t="s">
        <v>2680</v>
      </c>
    </row>
    <row r="825" customFormat="false" ht="23.85" hidden="false" customHeight="false" outlineLevel="0" collapsed="false">
      <c r="A825" s="58" t="s">
        <v>615</v>
      </c>
      <c r="B825" s="58" t="s">
        <v>613</v>
      </c>
      <c r="C825" s="5" t="s">
        <v>2704</v>
      </c>
      <c r="D825" s="6" t="s">
        <v>2705</v>
      </c>
      <c r="E825" s="6" t="s">
        <v>2706</v>
      </c>
      <c r="F825" s="6" t="s">
        <v>730</v>
      </c>
      <c r="G825" s="6" t="s">
        <v>2707</v>
      </c>
      <c r="H825" s="6"/>
      <c r="I825" s="26" t="n">
        <v>2</v>
      </c>
      <c r="J825" s="26" t="n">
        <f aca="false">COUNTIFS('Control Library'!$A$5:$A$50,"AI-CTRL-014",'Control Library'!$R$5:$R$50,"Implemented")+COUNTIFS('Control Library'!$A$5:$A$50,"AI-CTRL-035",'Control Library'!$R$5:$R$50,"Implemented")</f>
        <v>0</v>
      </c>
      <c r="K825" s="43" t="str">
        <f aca="false">IF(I825=0,"No wiki control",IF(J825=I825,"Fully covered",IF(J825=0,"Not covered","Partly covered")))</f>
        <v>Not covered</v>
      </c>
      <c r="L825" s="9" t="s">
        <v>2680</v>
      </c>
    </row>
    <row r="826" customFormat="false" ht="23.85" hidden="false" customHeight="false" outlineLevel="0" collapsed="false">
      <c r="A826" s="58" t="s">
        <v>615</v>
      </c>
      <c r="B826" s="58" t="s">
        <v>613</v>
      </c>
      <c r="C826" s="5" t="s">
        <v>2708</v>
      </c>
      <c r="D826" s="6" t="s">
        <v>2709</v>
      </c>
      <c r="E826" s="6" t="s">
        <v>2710</v>
      </c>
      <c r="F826" s="6" t="s">
        <v>730</v>
      </c>
      <c r="G826" s="6" t="s">
        <v>2711</v>
      </c>
      <c r="H826" s="6"/>
      <c r="I826" s="26" t="n">
        <v>2</v>
      </c>
      <c r="J826" s="26" t="n">
        <f aca="false">COUNTIFS('Control Library'!$A$5:$A$50,"AI-CTRL-005",'Control Library'!$R$5:$R$50,"Implemented")+COUNTIFS('Control Library'!$A$5:$A$50,"AI-CTRL-008",'Control Library'!$R$5:$R$50,"Implemented")</f>
        <v>0</v>
      </c>
      <c r="K826" s="43" t="str">
        <f aca="false">IF(I826=0,"No wiki control",IF(J826=I826,"Fully covered",IF(J826=0,"Not covered","Partly covered")))</f>
        <v>Not covered</v>
      </c>
      <c r="L826" s="9" t="s">
        <v>2680</v>
      </c>
    </row>
    <row r="827" customFormat="false" ht="23.85" hidden="false" customHeight="false" outlineLevel="0" collapsed="false">
      <c r="A827" s="58" t="s">
        <v>615</v>
      </c>
      <c r="B827" s="58" t="s">
        <v>613</v>
      </c>
      <c r="C827" s="5" t="s">
        <v>2712</v>
      </c>
      <c r="D827" s="6" t="s">
        <v>2713</v>
      </c>
      <c r="E827" s="6" t="s">
        <v>470</v>
      </c>
      <c r="F827" s="6" t="s">
        <v>730</v>
      </c>
      <c r="G827" s="6" t="s">
        <v>473</v>
      </c>
      <c r="H827" s="6"/>
      <c r="I827" s="26" t="n">
        <v>1</v>
      </c>
      <c r="J827" s="26" t="n">
        <f aca="false">COUNTIFS('Control Library'!$A$5:$A$50,"AI-CTRL-037",'Control Library'!$R$5:$R$50,"Implemented")</f>
        <v>0</v>
      </c>
      <c r="K827" s="43" t="str">
        <f aca="false">IF(I827=0,"No wiki control",IF(J827=I827,"Fully covered",IF(J827=0,"Not covered","Partly covered")))</f>
        <v>Not covered</v>
      </c>
      <c r="L827" s="9" t="s">
        <v>2680</v>
      </c>
    </row>
    <row r="828" customFormat="false" ht="23.85" hidden="false" customHeight="false" outlineLevel="0" collapsed="false">
      <c r="A828" s="58" t="s">
        <v>615</v>
      </c>
      <c r="B828" s="58" t="s">
        <v>613</v>
      </c>
      <c r="C828" s="5" t="s">
        <v>2714</v>
      </c>
      <c r="D828" s="6" t="s">
        <v>2715</v>
      </c>
      <c r="E828" s="6" t="s">
        <v>2413</v>
      </c>
      <c r="F828" s="6" t="s">
        <v>730</v>
      </c>
      <c r="G828" s="6" t="s">
        <v>286</v>
      </c>
      <c r="H828" s="6"/>
      <c r="I828" s="26" t="n">
        <v>2</v>
      </c>
      <c r="J828" s="26" t="n">
        <f aca="false">COUNTIFS('Control Library'!$A$5:$A$50,"AI-CTRL-007",'Control Library'!$R$5:$R$50,"Implemented")+COUNTIFS('Control Library'!$A$5:$A$50,"AI-CTRL-014",'Control Library'!$R$5:$R$50,"Implemented")</f>
        <v>0</v>
      </c>
      <c r="K828" s="43" t="str">
        <f aca="false">IF(I828=0,"No wiki control",IF(J828=I828,"Fully covered",IF(J828=0,"Not covered","Partly covered")))</f>
        <v>Not covered</v>
      </c>
      <c r="L828" s="9" t="s">
        <v>2680</v>
      </c>
    </row>
    <row r="829" customFormat="false" ht="23.85" hidden="false" customHeight="false" outlineLevel="0" collapsed="false">
      <c r="A829" s="58" t="s">
        <v>615</v>
      </c>
      <c r="B829" s="58" t="s">
        <v>613</v>
      </c>
      <c r="C829" s="5" t="s">
        <v>2716</v>
      </c>
      <c r="D829" s="6" t="s">
        <v>2717</v>
      </c>
      <c r="E829" s="6" t="s">
        <v>486</v>
      </c>
      <c r="F829" s="6" t="s">
        <v>730</v>
      </c>
      <c r="G829" s="6" t="s">
        <v>490</v>
      </c>
      <c r="H829" s="6"/>
      <c r="I829" s="26" t="n">
        <v>1</v>
      </c>
      <c r="J829" s="26" t="n">
        <f aca="false">COUNTIFS('Control Library'!$A$5:$A$50,"AI-CTRL-039",'Control Library'!$R$5:$R$50,"Implemented")</f>
        <v>0</v>
      </c>
      <c r="K829" s="43" t="str">
        <f aca="false">IF(I829=0,"No wiki control",IF(J829=I829,"Fully covered",IF(J829=0,"Not covered","Partly covered")))</f>
        <v>Not covered</v>
      </c>
      <c r="L829" s="9" t="s">
        <v>2680</v>
      </c>
    </row>
    <row r="830" customFormat="false" ht="23.85" hidden="false" customHeight="false" outlineLevel="0" collapsed="false">
      <c r="A830" s="58" t="s">
        <v>615</v>
      </c>
      <c r="B830" s="58" t="s">
        <v>613</v>
      </c>
      <c r="C830" s="5" t="s">
        <v>2718</v>
      </c>
      <c r="D830" s="6" t="s">
        <v>2719</v>
      </c>
      <c r="E830" s="6" t="s">
        <v>404</v>
      </c>
      <c r="F830" s="6" t="s">
        <v>730</v>
      </c>
      <c r="G830" s="6" t="s">
        <v>399</v>
      </c>
      <c r="H830" s="6"/>
      <c r="I830" s="26" t="n">
        <v>1</v>
      </c>
      <c r="J830" s="26" t="n">
        <f aca="false">COUNTIFS('Control Library'!$A$5:$A$50,"AI-CTRL-029",'Control Library'!$R$5:$R$50,"Implemented")</f>
        <v>0</v>
      </c>
      <c r="K830" s="43" t="str">
        <f aca="false">IF(I830=0,"No wiki control",IF(J830=I830,"Fully covered",IF(J830=0,"Not covered","Partly covered")))</f>
        <v>Not covered</v>
      </c>
      <c r="L830" s="9" t="s">
        <v>2680</v>
      </c>
    </row>
    <row r="831" customFormat="false" ht="23.85" hidden="false" customHeight="false" outlineLevel="0" collapsed="false">
      <c r="A831" s="58" t="s">
        <v>615</v>
      </c>
      <c r="B831" s="58" t="s">
        <v>613</v>
      </c>
      <c r="C831" s="5" t="s">
        <v>2720</v>
      </c>
      <c r="D831" s="6" t="s">
        <v>2721</v>
      </c>
      <c r="E831" s="6" t="s">
        <v>263</v>
      </c>
      <c r="F831" s="6" t="s">
        <v>730</v>
      </c>
      <c r="G831" s="6" t="s">
        <v>266</v>
      </c>
      <c r="H831" s="6"/>
      <c r="I831" s="26" t="n">
        <v>1</v>
      </c>
      <c r="J831" s="26" t="n">
        <f aca="false">COUNTIFS('Control Library'!$A$5:$A$50,"AI-CTRL-012",'Control Library'!$R$5:$R$50,"Implemented")</f>
        <v>0</v>
      </c>
      <c r="K831" s="43" t="str">
        <f aca="false">IF(I831=0,"No wiki control",IF(J831=I831,"Fully covered",IF(J831=0,"Not covered","Partly covered")))</f>
        <v>Not covered</v>
      </c>
      <c r="L831" s="9" t="s">
        <v>2680</v>
      </c>
    </row>
    <row r="832" customFormat="false" ht="23.85" hidden="false" customHeight="false" outlineLevel="0" collapsed="false">
      <c r="A832" s="58" t="s">
        <v>615</v>
      </c>
      <c r="B832" s="58" t="s">
        <v>613</v>
      </c>
      <c r="C832" s="5" t="s">
        <v>2722</v>
      </c>
      <c r="D832" s="6" t="s">
        <v>2723</v>
      </c>
      <c r="E832" s="6" t="s">
        <v>282</v>
      </c>
      <c r="F832" s="6" t="s">
        <v>730</v>
      </c>
      <c r="G832" s="6" t="s">
        <v>286</v>
      </c>
      <c r="H832" s="6"/>
      <c r="I832" s="26" t="n">
        <v>1</v>
      </c>
      <c r="J832" s="26" t="n">
        <f aca="false">COUNTIFS('Control Library'!$A$5:$A$50,"AI-CTRL-014",'Control Library'!$R$5:$R$50,"Implemented")</f>
        <v>0</v>
      </c>
      <c r="K832" s="43" t="str">
        <f aca="false">IF(I832=0,"No wiki control",IF(J832=I832,"Fully covered",IF(J832=0,"Not covered","Partly covered")))</f>
        <v>Not covered</v>
      </c>
      <c r="L832" s="9" t="s">
        <v>2680</v>
      </c>
    </row>
    <row r="833" customFormat="false" ht="23.85" hidden="false" customHeight="false" outlineLevel="0" collapsed="false">
      <c r="A833" s="58" t="s">
        <v>615</v>
      </c>
      <c r="B833" s="58" t="s">
        <v>613</v>
      </c>
      <c r="C833" s="5" t="s">
        <v>2724</v>
      </c>
      <c r="D833" s="6" t="s">
        <v>2725</v>
      </c>
      <c r="E833" s="6" t="s">
        <v>255</v>
      </c>
      <c r="F833" s="6" t="s">
        <v>730</v>
      </c>
      <c r="G833" s="6" t="s">
        <v>258</v>
      </c>
      <c r="H833" s="6"/>
      <c r="I833" s="26" t="n">
        <v>1</v>
      </c>
      <c r="J833" s="26" t="n">
        <f aca="false">COUNTIFS('Control Library'!$A$5:$A$50,"AI-CTRL-011",'Control Library'!$R$5:$R$50,"Implemented")</f>
        <v>0</v>
      </c>
      <c r="K833" s="43" t="str">
        <f aca="false">IF(I833=0,"No wiki control",IF(J833=I833,"Fully covered",IF(J833=0,"Not covered","Partly covered")))</f>
        <v>Not covered</v>
      </c>
      <c r="L833" s="9" t="s">
        <v>2680</v>
      </c>
    </row>
    <row r="834" customFormat="false" ht="23.85" hidden="false" customHeight="false" outlineLevel="0" collapsed="false">
      <c r="A834" s="58" t="s">
        <v>615</v>
      </c>
      <c r="B834" s="58" t="s">
        <v>613</v>
      </c>
      <c r="C834" s="5" t="s">
        <v>2726</v>
      </c>
      <c r="D834" s="6" t="s">
        <v>2727</v>
      </c>
      <c r="E834" s="6" t="s">
        <v>282</v>
      </c>
      <c r="F834" s="6" t="s">
        <v>730</v>
      </c>
      <c r="G834" s="6" t="s">
        <v>286</v>
      </c>
      <c r="H834" s="6"/>
      <c r="I834" s="26" t="n">
        <v>1</v>
      </c>
      <c r="J834" s="26" t="n">
        <f aca="false">COUNTIFS('Control Library'!$A$5:$A$50,"AI-CTRL-014",'Control Library'!$R$5:$R$50,"Implemented")</f>
        <v>0</v>
      </c>
      <c r="K834" s="43" t="str">
        <f aca="false">IF(I834=0,"No wiki control",IF(J834=I834,"Fully covered",IF(J834=0,"Not covered","Partly covered")))</f>
        <v>Not covered</v>
      </c>
      <c r="L834" s="9" t="s">
        <v>2680</v>
      </c>
    </row>
    <row r="835" customFormat="false" ht="23.85" hidden="false" customHeight="false" outlineLevel="0" collapsed="false">
      <c r="A835" s="58" t="s">
        <v>615</v>
      </c>
      <c r="B835" s="58" t="s">
        <v>613</v>
      </c>
      <c r="C835" s="5" t="s">
        <v>2728</v>
      </c>
      <c r="D835" s="6" t="s">
        <v>2729</v>
      </c>
      <c r="E835" s="6" t="s">
        <v>486</v>
      </c>
      <c r="F835" s="6" t="s">
        <v>730</v>
      </c>
      <c r="G835" s="6" t="s">
        <v>490</v>
      </c>
      <c r="H835" s="6"/>
      <c r="I835" s="26" t="n">
        <v>1</v>
      </c>
      <c r="J835" s="26" t="n">
        <f aca="false">COUNTIFS('Control Library'!$A$5:$A$50,"AI-CTRL-039",'Control Library'!$R$5:$R$50,"Implemented")</f>
        <v>0</v>
      </c>
      <c r="K835" s="43" t="str">
        <f aca="false">IF(I835=0,"No wiki control",IF(J835=I835,"Fully covered",IF(J835=0,"Not covered","Partly covered")))</f>
        <v>Not covered</v>
      </c>
      <c r="L835" s="9" t="s">
        <v>2680</v>
      </c>
    </row>
    <row r="836" customFormat="false" ht="46.25" hidden="false" customHeight="false" outlineLevel="0" collapsed="false">
      <c r="A836" s="58" t="s">
        <v>615</v>
      </c>
      <c r="B836" s="58" t="s">
        <v>613</v>
      </c>
      <c r="C836" s="5" t="s">
        <v>2730</v>
      </c>
      <c r="D836" s="6" t="s">
        <v>2731</v>
      </c>
      <c r="E836" s="6" t="s">
        <v>2732</v>
      </c>
      <c r="F836" s="6" t="s">
        <v>730</v>
      </c>
      <c r="G836" s="6" t="s">
        <v>2733</v>
      </c>
      <c r="H836" s="6"/>
      <c r="I836" s="26" t="n">
        <v>4</v>
      </c>
      <c r="J836" s="26" t="n">
        <f aca="false">COUNTIFS('Control Library'!$A$5:$A$50,"AI-CTRL-005",'Control Library'!$R$5:$R$50,"Implemented")+COUNTIFS('Control Library'!$A$5:$A$50,"AI-CTRL-012",'Control Library'!$R$5:$R$50,"Implemented")+COUNTIFS('Control Library'!$A$5:$A$50,"AI-CTRL-013",'Control Library'!$R$5:$R$50,"Implemented")+COUNTIFS('Control Library'!$A$5:$A$50,"AI-CTRL-037",'Control Library'!$R$5:$R$50,"Implemented")</f>
        <v>0</v>
      </c>
      <c r="K836" s="43" t="str">
        <f aca="false">IF(I836=0,"No wiki control",IF(J836=I836,"Fully covered",IF(J836=0,"Not covered","Partly covered")))</f>
        <v>Not covered</v>
      </c>
      <c r="L836" s="9" t="s">
        <v>2680</v>
      </c>
    </row>
    <row r="837" customFormat="false" ht="23.85" hidden="false" customHeight="false" outlineLevel="0" collapsed="false">
      <c r="A837" s="58" t="s">
        <v>615</v>
      </c>
      <c r="B837" s="58" t="s">
        <v>613</v>
      </c>
      <c r="C837" s="5" t="s">
        <v>2734</v>
      </c>
      <c r="D837" s="6" t="s">
        <v>2735</v>
      </c>
      <c r="E837" s="6"/>
      <c r="F837" s="6" t="s">
        <v>640</v>
      </c>
      <c r="G837" s="6"/>
      <c r="H837" s="6"/>
      <c r="I837" s="26" t="n">
        <v>0</v>
      </c>
      <c r="J837" s="26" t="n">
        <f aca="false">0</f>
        <v>0</v>
      </c>
      <c r="K837" s="43" t="str">
        <f aca="false">IF(I837=0,"No wiki control",IF(J837=I837,"Fully covered",IF(J837=0,"Not covered","Partly covered")))</f>
        <v>No wiki control</v>
      </c>
      <c r="L837" s="9" t="s">
        <v>2680</v>
      </c>
    </row>
    <row r="838" customFormat="false" ht="35.05" hidden="false" customHeight="false" outlineLevel="0" collapsed="false">
      <c r="A838" s="58" t="s">
        <v>616</v>
      </c>
      <c r="B838" s="58" t="s">
        <v>613</v>
      </c>
      <c r="C838" s="5" t="s">
        <v>2736</v>
      </c>
      <c r="D838" s="6" t="s">
        <v>2737</v>
      </c>
      <c r="E838" s="6" t="s">
        <v>2612</v>
      </c>
      <c r="F838" s="6" t="s">
        <v>730</v>
      </c>
      <c r="G838" s="6" t="s">
        <v>2613</v>
      </c>
      <c r="H838" s="6"/>
      <c r="I838" s="26" t="n">
        <v>3</v>
      </c>
      <c r="J838" s="26" t="n">
        <f aca="false">COUNTIFS('Control Library'!$A$5:$A$50,"AI-CTRL-012",'Control Library'!$R$5:$R$50,"Implemented")+COUNTIFS('Control Library'!$A$5:$A$50,"AI-CTRL-039",'Control Library'!$R$5:$R$50,"Implemented")+COUNTIFS('Control Library'!$A$5:$A$50,"AI-CTRL-041",'Control Library'!$R$5:$R$50,"Implemented")</f>
        <v>0</v>
      </c>
      <c r="K838" s="43" t="str">
        <f aca="false">IF(I838=0,"No wiki control",IF(J838=I838,"Fully covered",IF(J838=0,"Not covered","Partly covered")))</f>
        <v>Not covered</v>
      </c>
      <c r="L838" s="9" t="s">
        <v>2738</v>
      </c>
    </row>
    <row r="839" customFormat="false" ht="35.05" hidden="false" customHeight="false" outlineLevel="0" collapsed="false">
      <c r="A839" s="58" t="s">
        <v>616</v>
      </c>
      <c r="B839" s="58" t="s">
        <v>613</v>
      </c>
      <c r="C839" s="5" t="s">
        <v>2739</v>
      </c>
      <c r="D839" s="6" t="s">
        <v>2740</v>
      </c>
      <c r="E839" s="6" t="s">
        <v>2643</v>
      </c>
      <c r="F839" s="6" t="s">
        <v>730</v>
      </c>
      <c r="G839" s="6" t="s">
        <v>2644</v>
      </c>
      <c r="H839" s="6"/>
      <c r="I839" s="26" t="n">
        <v>4</v>
      </c>
      <c r="J839"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39" s="43" t="str">
        <f aca="false">IF(I839=0,"No wiki control",IF(J839=I839,"Fully covered",IF(J839=0,"Not covered","Partly covered")))</f>
        <v>Not covered</v>
      </c>
      <c r="L839" s="9" t="s">
        <v>2738</v>
      </c>
    </row>
    <row r="840" customFormat="false" ht="35.05" hidden="false" customHeight="false" outlineLevel="0" collapsed="false">
      <c r="A840" s="58" t="s">
        <v>616</v>
      </c>
      <c r="B840" s="58" t="s">
        <v>613</v>
      </c>
      <c r="C840" s="5" t="s">
        <v>2741</v>
      </c>
      <c r="D840" s="6" t="s">
        <v>2742</v>
      </c>
      <c r="E840" s="6" t="s">
        <v>2743</v>
      </c>
      <c r="F840" s="6" t="s">
        <v>730</v>
      </c>
      <c r="G840" s="6" t="s">
        <v>2744</v>
      </c>
      <c r="H840" s="6"/>
      <c r="I840" s="26" t="n">
        <v>3</v>
      </c>
      <c r="J840" s="26" t="n">
        <f aca="false">COUNTIFS('Control Library'!$A$5:$A$50,"AI-CTRL-013",'Control Library'!$R$5:$R$50,"Implemented")+COUNTIFS('Control Library'!$A$5:$A$50,"AI-CTRL-023",'Control Library'!$R$5:$R$50,"Implemented")+COUNTIFS('Control Library'!$A$5:$A$50,"AI-CTRL-041",'Control Library'!$R$5:$R$50,"Implemented")</f>
        <v>0</v>
      </c>
      <c r="K840" s="43" t="str">
        <f aca="false">IF(I840=0,"No wiki control",IF(J840=I840,"Fully covered",IF(J840=0,"Not covered","Partly covered")))</f>
        <v>Not covered</v>
      </c>
      <c r="L840" s="9" t="s">
        <v>2738</v>
      </c>
    </row>
    <row r="841" customFormat="false" ht="23.85" hidden="false" customHeight="false" outlineLevel="0" collapsed="false">
      <c r="A841" s="58" t="s">
        <v>616</v>
      </c>
      <c r="B841" s="58" t="s">
        <v>613</v>
      </c>
      <c r="C841" s="5" t="s">
        <v>2745</v>
      </c>
      <c r="D841" s="6" t="s">
        <v>2746</v>
      </c>
      <c r="E841" s="6" t="s">
        <v>2747</v>
      </c>
      <c r="F841" s="6" t="s">
        <v>730</v>
      </c>
      <c r="G841" s="6" t="s">
        <v>1097</v>
      </c>
      <c r="H841" s="6"/>
      <c r="I841" s="26" t="n">
        <v>2</v>
      </c>
      <c r="J841" s="26" t="n">
        <f aca="false">COUNTIFS('Control Library'!$A$5:$A$50,"AI-CTRL-013",'Control Library'!$R$5:$R$50,"Implemented")+COUNTIFS('Control Library'!$A$5:$A$50,"AI-CTRL-041",'Control Library'!$R$5:$R$50,"Implemented")</f>
        <v>0</v>
      </c>
      <c r="K841" s="43" t="str">
        <f aca="false">IF(I841=0,"No wiki control",IF(J841=I841,"Fully covered",IF(J841=0,"Not covered","Partly covered")))</f>
        <v>Not covered</v>
      </c>
      <c r="L841" s="9" t="s">
        <v>2738</v>
      </c>
    </row>
    <row r="842" customFormat="false" ht="35.05" hidden="false" customHeight="false" outlineLevel="0" collapsed="false">
      <c r="A842" s="58" t="s">
        <v>616</v>
      </c>
      <c r="B842" s="58" t="s">
        <v>613</v>
      </c>
      <c r="C842" s="5" t="s">
        <v>2748</v>
      </c>
      <c r="D842" s="6" t="s">
        <v>2749</v>
      </c>
      <c r="E842" s="6" t="s">
        <v>2750</v>
      </c>
      <c r="F842" s="6" t="s">
        <v>730</v>
      </c>
      <c r="G842" s="6" t="s">
        <v>2751</v>
      </c>
      <c r="H842" s="6"/>
      <c r="I842" s="26" t="n">
        <v>3</v>
      </c>
      <c r="J842" s="26" t="n">
        <f aca="false">COUNTIFS('Control Library'!$A$5:$A$50,"AI-CTRL-012",'Control Library'!$R$5:$R$50,"Implemented")+COUNTIFS('Control Library'!$A$5:$A$50,"AI-CTRL-023",'Control Library'!$R$5:$R$50,"Implemented")+COUNTIFS('Control Library'!$A$5:$A$50,"AI-CTRL-037",'Control Library'!$R$5:$R$50,"Implemented")</f>
        <v>0</v>
      </c>
      <c r="K842" s="43" t="str">
        <f aca="false">IF(I842=0,"No wiki control",IF(J842=I842,"Fully covered",IF(J842=0,"Not covered","Partly covered")))</f>
        <v>Not covered</v>
      </c>
      <c r="L842" s="9" t="s">
        <v>2738</v>
      </c>
    </row>
    <row r="843" customFormat="false" ht="23.85" hidden="false" customHeight="false" outlineLevel="0" collapsed="false">
      <c r="A843" s="58" t="s">
        <v>616</v>
      </c>
      <c r="B843" s="58" t="s">
        <v>613</v>
      </c>
      <c r="C843" s="5" t="s">
        <v>2752</v>
      </c>
      <c r="D843" s="6" t="s">
        <v>2753</v>
      </c>
      <c r="E843" s="6" t="s">
        <v>2602</v>
      </c>
      <c r="F843" s="6" t="s">
        <v>730</v>
      </c>
      <c r="G843" s="6" t="s">
        <v>2603</v>
      </c>
      <c r="H843" s="6"/>
      <c r="I843" s="26" t="n">
        <v>3</v>
      </c>
      <c r="J843" s="26" t="n">
        <f aca="false">COUNTIFS('Control Library'!$A$5:$A$50,"AI-CTRL-011",'Control Library'!$R$5:$R$50,"Implemented")+COUNTIFS('Control Library'!$A$5:$A$50,"AI-CTRL-037",'Control Library'!$R$5:$R$50,"Implemented")+COUNTIFS('Control Library'!$A$5:$A$50,"AI-CTRL-038",'Control Library'!$R$5:$R$50,"Implemented")</f>
        <v>0</v>
      </c>
      <c r="K843" s="43" t="str">
        <f aca="false">IF(I843=0,"No wiki control",IF(J843=I843,"Fully covered",IF(J843=0,"Not covered","Partly covered")))</f>
        <v>Not covered</v>
      </c>
      <c r="L843" s="9" t="s">
        <v>2738</v>
      </c>
    </row>
    <row r="844" customFormat="false" ht="23.85" hidden="false" customHeight="false" outlineLevel="0" collapsed="false">
      <c r="A844" s="58" t="s">
        <v>616</v>
      </c>
      <c r="B844" s="58" t="s">
        <v>613</v>
      </c>
      <c r="C844" s="5" t="s">
        <v>2754</v>
      </c>
      <c r="D844" s="6" t="s">
        <v>2755</v>
      </c>
      <c r="E844" s="6" t="s">
        <v>486</v>
      </c>
      <c r="F844" s="6" t="s">
        <v>730</v>
      </c>
      <c r="G844" s="6" t="s">
        <v>490</v>
      </c>
      <c r="H844" s="6"/>
      <c r="I844" s="26" t="n">
        <v>1</v>
      </c>
      <c r="J844" s="26" t="n">
        <f aca="false">COUNTIFS('Control Library'!$A$5:$A$50,"AI-CTRL-039",'Control Library'!$R$5:$R$50,"Implemented")</f>
        <v>0</v>
      </c>
      <c r="K844" s="43" t="str">
        <f aca="false">IF(I844=0,"No wiki control",IF(J844=I844,"Fully covered",IF(J844=0,"Not covered","Partly covered")))</f>
        <v>Not covered</v>
      </c>
      <c r="L844" s="9" t="s">
        <v>2738</v>
      </c>
    </row>
    <row r="845" customFormat="false" ht="23.85" hidden="false" customHeight="false" outlineLevel="0" collapsed="false">
      <c r="A845" s="58" t="s">
        <v>616</v>
      </c>
      <c r="B845" s="58" t="s">
        <v>613</v>
      </c>
      <c r="C845" s="5" t="s">
        <v>2756</v>
      </c>
      <c r="D845" s="6" t="s">
        <v>2757</v>
      </c>
      <c r="E845" s="6" t="s">
        <v>404</v>
      </c>
      <c r="F845" s="6" t="s">
        <v>730</v>
      </c>
      <c r="G845" s="6" t="s">
        <v>399</v>
      </c>
      <c r="H845" s="6"/>
      <c r="I845" s="26" t="n">
        <v>1</v>
      </c>
      <c r="J845" s="26" t="n">
        <f aca="false">COUNTIFS('Control Library'!$A$5:$A$50,"AI-CTRL-029",'Control Library'!$R$5:$R$50,"Implemented")</f>
        <v>0</v>
      </c>
      <c r="K845" s="43" t="str">
        <f aca="false">IF(I845=0,"No wiki control",IF(J845=I845,"Fully covered",IF(J845=0,"Not covered","Partly covered")))</f>
        <v>Not covered</v>
      </c>
      <c r="L845" s="9" t="s">
        <v>2738</v>
      </c>
    </row>
    <row r="846" customFormat="false" ht="23.85" hidden="false" customHeight="false" outlineLevel="0" collapsed="false">
      <c r="A846" s="58" t="s">
        <v>616</v>
      </c>
      <c r="B846" s="58" t="s">
        <v>613</v>
      </c>
      <c r="C846" s="5" t="s">
        <v>2758</v>
      </c>
      <c r="D846" s="6" t="s">
        <v>2759</v>
      </c>
      <c r="E846" s="6"/>
      <c r="F846" s="6" t="s">
        <v>640</v>
      </c>
      <c r="G846" s="6"/>
      <c r="H846" s="6"/>
      <c r="I846" s="26" t="n">
        <v>0</v>
      </c>
      <c r="J846" s="26" t="n">
        <f aca="false">0</f>
        <v>0</v>
      </c>
      <c r="K846" s="43" t="str">
        <f aca="false">IF(I846=0,"No wiki control",IF(J846=I846,"Fully covered",IF(J846=0,"Not covered","Partly covered")))</f>
        <v>No wiki control</v>
      </c>
      <c r="L846" s="9" t="s">
        <v>2738</v>
      </c>
    </row>
    <row r="847" customFormat="false" ht="35.05" hidden="false" customHeight="false" outlineLevel="0" collapsed="false">
      <c r="A847" s="58" t="s">
        <v>616</v>
      </c>
      <c r="B847" s="58" t="s">
        <v>613</v>
      </c>
      <c r="C847" s="5" t="s">
        <v>2760</v>
      </c>
      <c r="D847" s="6" t="s">
        <v>2761</v>
      </c>
      <c r="E847" s="6" t="s">
        <v>2710</v>
      </c>
      <c r="F847" s="6" t="s">
        <v>730</v>
      </c>
      <c r="G847" s="6" t="s">
        <v>2711</v>
      </c>
      <c r="H847" s="6"/>
      <c r="I847" s="26" t="n">
        <v>2</v>
      </c>
      <c r="J847" s="26" t="n">
        <f aca="false">COUNTIFS('Control Library'!$A$5:$A$50,"AI-CTRL-005",'Control Library'!$R$5:$R$50,"Implemented")+COUNTIFS('Control Library'!$A$5:$A$50,"AI-CTRL-008",'Control Library'!$R$5:$R$50,"Implemented")</f>
        <v>0</v>
      </c>
      <c r="K847" s="43" t="str">
        <f aca="false">IF(I847=0,"No wiki control",IF(J847=I847,"Fully covered",IF(J847=0,"Not covered","Partly covered")))</f>
        <v>Not covered</v>
      </c>
      <c r="L847" s="9" t="s">
        <v>2738</v>
      </c>
    </row>
    <row r="848" customFormat="false" ht="23.85" hidden="false" customHeight="false" outlineLevel="0" collapsed="false">
      <c r="A848" s="58" t="s">
        <v>616</v>
      </c>
      <c r="B848" s="58" t="s">
        <v>613</v>
      </c>
      <c r="C848" s="5" t="s">
        <v>2762</v>
      </c>
      <c r="D848" s="6" t="s">
        <v>2763</v>
      </c>
      <c r="E848" s="6" t="s">
        <v>2764</v>
      </c>
      <c r="F848" s="6" t="s">
        <v>730</v>
      </c>
      <c r="G848" s="6" t="s">
        <v>2765</v>
      </c>
      <c r="H848" s="6"/>
      <c r="I848" s="26" t="n">
        <v>2</v>
      </c>
      <c r="J848" s="26" t="n">
        <f aca="false">COUNTIFS('Control Library'!$A$5:$A$50,"AI-CTRL-011",'Control Library'!$R$5:$R$50,"Implemented")+COUNTIFS('Control Library'!$A$5:$A$50,"AI-CTRL-039",'Control Library'!$R$5:$R$50,"Implemented")</f>
        <v>0</v>
      </c>
      <c r="K848" s="43" t="str">
        <f aca="false">IF(I848=0,"No wiki control",IF(J848=I848,"Fully covered",IF(J848=0,"Not covered","Partly covered")))</f>
        <v>Not covered</v>
      </c>
      <c r="L848" s="9" t="s">
        <v>2738</v>
      </c>
    </row>
    <row r="849" customFormat="false" ht="23.85" hidden="false" customHeight="false" outlineLevel="0" collapsed="false">
      <c r="A849" s="58" t="s">
        <v>616</v>
      </c>
      <c r="B849" s="58" t="s">
        <v>613</v>
      </c>
      <c r="C849" s="5" t="s">
        <v>2766</v>
      </c>
      <c r="D849" s="6" t="s">
        <v>2767</v>
      </c>
      <c r="E849" s="6" t="s">
        <v>504</v>
      </c>
      <c r="F849" s="6" t="s">
        <v>730</v>
      </c>
      <c r="G849" s="6" t="s">
        <v>507</v>
      </c>
      <c r="H849" s="6"/>
      <c r="I849" s="26" t="n">
        <v>1</v>
      </c>
      <c r="J849" s="26" t="n">
        <f aca="false">COUNTIFS('Control Library'!$A$5:$A$50,"AI-CTRL-041",'Control Library'!$R$5:$R$50,"Implemented")</f>
        <v>0</v>
      </c>
      <c r="K849" s="43" t="str">
        <f aca="false">IF(I849=0,"No wiki control",IF(J849=I849,"Fully covered",IF(J849=0,"Not covered","Partly covered")))</f>
        <v>Not covered</v>
      </c>
      <c r="L849" s="9" t="s">
        <v>2738</v>
      </c>
    </row>
    <row r="850" customFormat="false" ht="46.25" hidden="false" customHeight="false" outlineLevel="0" collapsed="false">
      <c r="A850" s="58" t="s">
        <v>616</v>
      </c>
      <c r="B850" s="58" t="s">
        <v>613</v>
      </c>
      <c r="C850" s="5" t="s">
        <v>2768</v>
      </c>
      <c r="D850" s="6" t="s">
        <v>2769</v>
      </c>
      <c r="E850" s="6" t="s">
        <v>2770</v>
      </c>
      <c r="F850" s="6" t="s">
        <v>730</v>
      </c>
      <c r="G850" s="6" t="s">
        <v>2771</v>
      </c>
      <c r="H850" s="6"/>
      <c r="I850" s="26" t="n">
        <v>5</v>
      </c>
      <c r="J850" s="26" t="n">
        <f aca="false">COUNTIFS('Control Library'!$A$5:$A$50,"AI-CTRL-011",'Control Library'!$R$5:$R$50,"Implemented")+COUNTIFS('Control Library'!$A$5:$A$50,"AI-CTRL-012",'Control Library'!$R$5:$R$50,"Implemented")+COUNTIFS('Control Library'!$A$5:$A$50,"AI-CTRL-037",'Control Library'!$R$5:$R$50,"Implemented")+COUNTIFS('Control Library'!$A$5:$A$50,"AI-CTRL-041",'Control Library'!$R$5:$R$50,"Implemented")+COUNTIFS('Control Library'!$A$5:$A$50,"AI-CTRL-042",'Control Library'!$R$5:$R$50,"Implemented")</f>
        <v>0</v>
      </c>
      <c r="K850" s="43" t="str">
        <f aca="false">IF(I850=0,"No wiki control",IF(J850=I850,"Fully covered",IF(J850=0,"Not covered","Partly covered")))</f>
        <v>Not covered</v>
      </c>
      <c r="L850" s="9" t="s">
        <v>2738</v>
      </c>
    </row>
    <row r="851" customFormat="false" ht="23.85" hidden="false" customHeight="false" outlineLevel="0" collapsed="false">
      <c r="A851" s="58" t="s">
        <v>617</v>
      </c>
      <c r="B851" s="58" t="s">
        <v>613</v>
      </c>
      <c r="C851" s="5" t="s">
        <v>2772</v>
      </c>
      <c r="D851" s="6" t="s">
        <v>2773</v>
      </c>
      <c r="E851" s="6"/>
      <c r="F851" s="6" t="s">
        <v>640</v>
      </c>
      <c r="G851" s="6"/>
      <c r="H851" s="6"/>
      <c r="I851" s="26" t="n">
        <v>0</v>
      </c>
      <c r="J851" s="26" t="n">
        <f aca="false">0</f>
        <v>0</v>
      </c>
      <c r="K851" s="43" t="str">
        <f aca="false">IF(I851=0,"No wiki control",IF(J851=I851,"Fully covered",IF(J851=0,"Not covered","Partly covered")))</f>
        <v>No wiki control</v>
      </c>
      <c r="L851" s="9" t="s">
        <v>2774</v>
      </c>
    </row>
    <row r="852" customFormat="false" ht="23.85" hidden="false" customHeight="false" outlineLevel="0" collapsed="false">
      <c r="A852" s="58" t="s">
        <v>617</v>
      </c>
      <c r="B852" s="58" t="s">
        <v>613</v>
      </c>
      <c r="C852" s="5" t="s">
        <v>2775</v>
      </c>
      <c r="D852" s="6" t="s">
        <v>2776</v>
      </c>
      <c r="E852" s="6"/>
      <c r="F852" s="6" t="s">
        <v>640</v>
      </c>
      <c r="G852" s="6"/>
      <c r="H852" s="6"/>
      <c r="I852" s="26" t="n">
        <v>0</v>
      </c>
      <c r="J852" s="26" t="n">
        <f aca="false">0</f>
        <v>0</v>
      </c>
      <c r="K852" s="43" t="str">
        <f aca="false">IF(I852=0,"No wiki control",IF(J852=I852,"Fully covered",IF(J852=0,"Not covered","Partly covered")))</f>
        <v>No wiki control</v>
      </c>
      <c r="L852" s="9" t="s">
        <v>2774</v>
      </c>
    </row>
    <row r="853" customFormat="false" ht="23.85" hidden="false" customHeight="false" outlineLevel="0" collapsed="false">
      <c r="A853" s="58" t="s">
        <v>617</v>
      </c>
      <c r="B853" s="58" t="s">
        <v>613</v>
      </c>
      <c r="C853" s="5" t="s">
        <v>2777</v>
      </c>
      <c r="D853" s="6" t="s">
        <v>2778</v>
      </c>
      <c r="E853" s="6" t="s">
        <v>199</v>
      </c>
      <c r="F853" s="6" t="s">
        <v>730</v>
      </c>
      <c r="G853" s="6" t="s">
        <v>203</v>
      </c>
      <c r="H853" s="6"/>
      <c r="I853" s="26" t="n">
        <v>1</v>
      </c>
      <c r="J853" s="26" t="n">
        <f aca="false">COUNTIFS('Control Library'!$A$5:$A$50,"AI-CTRL-005",'Control Library'!$R$5:$R$50,"Implemented")</f>
        <v>0</v>
      </c>
      <c r="K853" s="43" t="str">
        <f aca="false">IF(I853=0,"No wiki control",IF(J853=I853,"Fully covered",IF(J853=0,"Not covered","Partly covered")))</f>
        <v>Not covered</v>
      </c>
      <c r="L853" s="9" t="s">
        <v>2774</v>
      </c>
    </row>
    <row r="854" customFormat="false" ht="23.85" hidden="false" customHeight="false" outlineLevel="0" collapsed="false">
      <c r="A854" s="58" t="s">
        <v>617</v>
      </c>
      <c r="B854" s="58" t="s">
        <v>613</v>
      </c>
      <c r="C854" s="5" t="s">
        <v>2779</v>
      </c>
      <c r="D854" s="6" t="s">
        <v>2780</v>
      </c>
      <c r="E854" s="6"/>
      <c r="F854" s="6" t="s">
        <v>640</v>
      </c>
      <c r="G854" s="6"/>
      <c r="H854" s="6"/>
      <c r="I854" s="26" t="n">
        <v>0</v>
      </c>
      <c r="J854" s="26" t="n">
        <f aca="false">0</f>
        <v>0</v>
      </c>
      <c r="K854" s="43" t="str">
        <f aca="false">IF(I854=0,"No wiki control",IF(J854=I854,"Fully covered",IF(J854=0,"Not covered","Partly covered")))</f>
        <v>No wiki control</v>
      </c>
      <c r="L854" s="9" t="s">
        <v>2774</v>
      </c>
    </row>
    <row r="855" customFormat="false" ht="35.05" hidden="false" customHeight="false" outlineLevel="0" collapsed="false">
      <c r="A855" s="58" t="s">
        <v>617</v>
      </c>
      <c r="B855" s="58" t="s">
        <v>613</v>
      </c>
      <c r="C855" s="5" t="s">
        <v>2781</v>
      </c>
      <c r="D855" s="6" t="s">
        <v>2782</v>
      </c>
      <c r="E855" s="6" t="s">
        <v>2783</v>
      </c>
      <c r="F855" s="6" t="s">
        <v>730</v>
      </c>
      <c r="G855" s="6" t="s">
        <v>2784</v>
      </c>
      <c r="H855" s="6"/>
      <c r="I855" s="26" t="n">
        <v>3</v>
      </c>
      <c r="J855" s="26" t="n">
        <f aca="false">COUNTIFS('Control Library'!$A$5:$A$50,"AI-CTRL-013",'Control Library'!$R$5:$R$50,"Implemented")+COUNTIFS('Control Library'!$A$5:$A$50,"AI-CTRL-037",'Control Library'!$R$5:$R$50,"Implemented")+COUNTIFS('Control Library'!$A$5:$A$50,"AI-CTRL-041",'Control Library'!$R$5:$R$50,"Implemented")</f>
        <v>0</v>
      </c>
      <c r="K855" s="43" t="str">
        <f aca="false">IF(I855=0,"No wiki control",IF(J855=I855,"Fully covered",IF(J855=0,"Not covered","Partly covered")))</f>
        <v>Not covered</v>
      </c>
      <c r="L855" s="9" t="s">
        <v>2774</v>
      </c>
    </row>
    <row r="856" customFormat="false" ht="23.85" hidden="false" customHeight="false" outlineLevel="0" collapsed="false">
      <c r="A856" s="58" t="s">
        <v>617</v>
      </c>
      <c r="B856" s="58" t="s">
        <v>613</v>
      </c>
      <c r="C856" s="5" t="s">
        <v>2785</v>
      </c>
      <c r="D856" s="6" t="s">
        <v>2786</v>
      </c>
      <c r="E856" s="6" t="s">
        <v>2787</v>
      </c>
      <c r="F856" s="6" t="s">
        <v>730</v>
      </c>
      <c r="G856" s="6" t="s">
        <v>2788</v>
      </c>
      <c r="H856" s="6"/>
      <c r="I856" s="26" t="n">
        <v>3</v>
      </c>
      <c r="J856" s="26" t="n">
        <f aca="false">COUNTIFS('Control Library'!$A$5:$A$50,"AI-CTRL-011",'Control Library'!$R$5:$R$50,"Implemented")+COUNTIFS('Control Library'!$A$5:$A$50,"AI-CTRL-029",'Control Library'!$R$5:$R$50,"Implemented")+COUNTIFS('Control Library'!$A$5:$A$50,"AI-CTRL-038",'Control Library'!$R$5:$R$50,"Implemented")</f>
        <v>0</v>
      </c>
      <c r="K856" s="43" t="str">
        <f aca="false">IF(I856=0,"No wiki control",IF(J856=I856,"Fully covered",IF(J856=0,"Not covered","Partly covered")))</f>
        <v>Not covered</v>
      </c>
      <c r="L856" s="9" t="s">
        <v>2774</v>
      </c>
    </row>
    <row r="857" customFormat="false" ht="23.85" hidden="false" customHeight="false" outlineLevel="0" collapsed="false">
      <c r="A857" s="58" t="s">
        <v>617</v>
      </c>
      <c r="B857" s="58" t="s">
        <v>613</v>
      </c>
      <c r="C857" s="5" t="s">
        <v>2789</v>
      </c>
      <c r="D857" s="6" t="s">
        <v>2790</v>
      </c>
      <c r="E857" s="6" t="s">
        <v>486</v>
      </c>
      <c r="F857" s="6" t="s">
        <v>730</v>
      </c>
      <c r="G857" s="6" t="s">
        <v>490</v>
      </c>
      <c r="H857" s="6"/>
      <c r="I857" s="26" t="n">
        <v>1</v>
      </c>
      <c r="J857" s="26" t="n">
        <f aca="false">COUNTIFS('Control Library'!$A$5:$A$50,"AI-CTRL-039",'Control Library'!$R$5:$R$50,"Implemented")</f>
        <v>0</v>
      </c>
      <c r="K857" s="43" t="str">
        <f aca="false">IF(I857=0,"No wiki control",IF(J857=I857,"Fully covered",IF(J857=0,"Not covered","Partly covered")))</f>
        <v>Not covered</v>
      </c>
      <c r="L857" s="9" t="s">
        <v>2774</v>
      </c>
    </row>
    <row r="858" customFormat="false" ht="46.25" hidden="false" customHeight="false" outlineLevel="0" collapsed="false">
      <c r="A858" s="58" t="s">
        <v>617</v>
      </c>
      <c r="B858" s="58" t="s">
        <v>613</v>
      </c>
      <c r="C858" s="5" t="s">
        <v>2791</v>
      </c>
      <c r="D858" s="6" t="s">
        <v>2792</v>
      </c>
      <c r="E858" s="6" t="s">
        <v>2793</v>
      </c>
      <c r="F858" s="6" t="s">
        <v>730</v>
      </c>
      <c r="G858" s="6" t="s">
        <v>2794</v>
      </c>
      <c r="H858" s="6"/>
      <c r="I858" s="26" t="n">
        <v>4</v>
      </c>
      <c r="J858" s="26" t="n">
        <f aca="false">COUNTIFS('Control Library'!$A$5:$A$50,"AI-CTRL-013",'Control Library'!$R$5:$R$50,"Implemented")+COUNTIFS('Control Library'!$A$5:$A$50,"AI-CTRL-023",'Control Library'!$R$5:$R$50,"Implemented")+COUNTIFS('Control Library'!$A$5:$A$50,"AI-CTRL-037",'Control Library'!$R$5:$R$50,"Implemented")+COUNTIFS('Control Library'!$A$5:$A$50,"AI-CTRL-041",'Control Library'!$R$5:$R$50,"Implemented")</f>
        <v>0</v>
      </c>
      <c r="K858" s="43" t="str">
        <f aca="false">IF(I858=0,"No wiki control",IF(J858=I858,"Fully covered",IF(J858=0,"Not covered","Partly covered")))</f>
        <v>Not covered</v>
      </c>
      <c r="L858" s="9" t="s">
        <v>2774</v>
      </c>
    </row>
    <row r="859" customFormat="false" ht="23.85" hidden="false" customHeight="false" outlineLevel="0" collapsed="false">
      <c r="A859" s="58" t="s">
        <v>617</v>
      </c>
      <c r="B859" s="58" t="s">
        <v>613</v>
      </c>
      <c r="C859" s="5" t="s">
        <v>2795</v>
      </c>
      <c r="D859" s="6" t="s">
        <v>2796</v>
      </c>
      <c r="E859" s="6" t="s">
        <v>2797</v>
      </c>
      <c r="F859" s="6" t="s">
        <v>730</v>
      </c>
      <c r="G859" s="6" t="s">
        <v>2798</v>
      </c>
      <c r="H859" s="6"/>
      <c r="I859" s="26" t="n">
        <v>2</v>
      </c>
      <c r="J859" s="26" t="n">
        <f aca="false">COUNTIFS('Control Library'!$A$5:$A$50,"AI-CTRL-012",'Control Library'!$R$5:$R$50,"Implemented")+COUNTIFS('Control Library'!$A$5:$A$50,"AI-CTRL-013",'Control Library'!$R$5:$R$50,"Implemented")</f>
        <v>0</v>
      </c>
      <c r="K859" s="43" t="str">
        <f aca="false">IF(I859=0,"No wiki control",IF(J859=I859,"Fully covered",IF(J859=0,"Not covered","Partly covered")))</f>
        <v>Not covered</v>
      </c>
      <c r="L859" s="9" t="s">
        <v>2774</v>
      </c>
    </row>
    <row r="860" customFormat="false" ht="23.85" hidden="false" customHeight="false" outlineLevel="0" collapsed="false">
      <c r="A860" s="58" t="s">
        <v>617</v>
      </c>
      <c r="B860" s="58" t="s">
        <v>613</v>
      </c>
      <c r="C860" s="5" t="s">
        <v>2799</v>
      </c>
      <c r="D860" s="6" t="s">
        <v>2800</v>
      </c>
      <c r="E860" s="6" t="s">
        <v>2801</v>
      </c>
      <c r="F860" s="6" t="s">
        <v>730</v>
      </c>
      <c r="G860" s="6" t="s">
        <v>2802</v>
      </c>
      <c r="H860" s="6"/>
      <c r="I860" s="26" t="n">
        <v>2</v>
      </c>
      <c r="J860" s="26" t="n">
        <f aca="false">COUNTIFS('Control Library'!$A$5:$A$50,"AI-CTRL-023",'Control Library'!$R$5:$R$50,"Implemented")+COUNTIFS('Control Library'!$A$5:$A$50,"AI-CTRL-041",'Control Library'!$R$5:$R$50,"Implemented")</f>
        <v>0</v>
      </c>
      <c r="K860" s="43" t="str">
        <f aca="false">IF(I860=0,"No wiki control",IF(J860=I860,"Fully covered",IF(J860=0,"Not covered","Partly covered")))</f>
        <v>Not covered</v>
      </c>
      <c r="L860" s="9" t="s">
        <v>2774</v>
      </c>
    </row>
    <row r="861" customFormat="false" ht="23.85" hidden="false" customHeight="false" outlineLevel="0" collapsed="false">
      <c r="A861" s="58" t="s">
        <v>617</v>
      </c>
      <c r="B861" s="58" t="s">
        <v>613</v>
      </c>
      <c r="C861" s="5" t="s">
        <v>2803</v>
      </c>
      <c r="D861" s="6" t="s">
        <v>2804</v>
      </c>
      <c r="E861" s="6" t="s">
        <v>1652</v>
      </c>
      <c r="F861" s="6" t="s">
        <v>730</v>
      </c>
      <c r="G861" s="6" t="s">
        <v>1653</v>
      </c>
      <c r="H861" s="6"/>
      <c r="I861" s="26" t="n">
        <v>2</v>
      </c>
      <c r="J861" s="26" t="n">
        <f aca="false">COUNTIFS('Control Library'!$A$5:$A$50,"AI-CTRL-039",'Control Library'!$R$5:$R$50,"Implemented")+COUNTIFS('Control Library'!$A$5:$A$50,"AI-CTRL-041",'Control Library'!$R$5:$R$50,"Implemented")</f>
        <v>0</v>
      </c>
      <c r="K861" s="43" t="str">
        <f aca="false">IF(I861=0,"No wiki control",IF(J861=I861,"Fully covered",IF(J861=0,"Not covered","Partly covered")))</f>
        <v>Not covered</v>
      </c>
      <c r="L861" s="9" t="s">
        <v>2774</v>
      </c>
    </row>
    <row r="862" customFormat="false" ht="57.45" hidden="false" customHeight="false" outlineLevel="0" collapsed="false">
      <c r="A862" s="58" t="s">
        <v>617</v>
      </c>
      <c r="B862" s="58" t="s">
        <v>613</v>
      </c>
      <c r="C862" s="5" t="s">
        <v>2805</v>
      </c>
      <c r="D862" s="6" t="s">
        <v>2806</v>
      </c>
      <c r="E862" s="6" t="s">
        <v>2807</v>
      </c>
      <c r="F862" s="6" t="s">
        <v>730</v>
      </c>
      <c r="G862" s="6" t="s">
        <v>2808</v>
      </c>
      <c r="H862" s="6"/>
      <c r="I862" s="26" t="n">
        <v>3</v>
      </c>
      <c r="J862" s="26" t="n">
        <f aca="false">COUNTIFS('Control Library'!$A$5:$A$50,"AI-CTRL-012",'Control Library'!$R$5:$R$50,"Implemented")+COUNTIFS('Control Library'!$A$5:$A$50,"AI-CTRL-037",'Control Library'!$R$5:$R$50,"Implemented")+COUNTIFS('Control Library'!$A$5:$A$50,"AI-CTRL-041",'Control Library'!$R$5:$R$50,"Implemented")</f>
        <v>0</v>
      </c>
      <c r="K862" s="43" t="str">
        <f aca="false">IF(I862=0,"No wiki control",IF(J862=I862,"Fully covered",IF(J862=0,"Not covered","Partly covered")))</f>
        <v>Not covered</v>
      </c>
      <c r="L862" s="9" t="s">
        <v>2774</v>
      </c>
    </row>
    <row r="863" customFormat="false" ht="23.85" hidden="false" customHeight="false" outlineLevel="0" collapsed="false">
      <c r="A863" s="58" t="s">
        <v>617</v>
      </c>
      <c r="B863" s="58" t="s">
        <v>613</v>
      </c>
      <c r="C863" s="5" t="s">
        <v>2809</v>
      </c>
      <c r="D863" s="6" t="s">
        <v>2810</v>
      </c>
      <c r="E863" s="6"/>
      <c r="F863" s="6" t="s">
        <v>640</v>
      </c>
      <c r="G863" s="6"/>
      <c r="H863" s="6"/>
      <c r="I863" s="26" t="n">
        <v>0</v>
      </c>
      <c r="J863" s="26" t="n">
        <f aca="false">0</f>
        <v>0</v>
      </c>
      <c r="K863" s="43" t="str">
        <f aca="false">IF(I863=0,"No wiki control",IF(J863=I863,"Fully covered",IF(J863=0,"Not covered","Partly covered")))</f>
        <v>No wiki control</v>
      </c>
      <c r="L863" s="9" t="s">
        <v>2774</v>
      </c>
    </row>
    <row r="864" customFormat="false" ht="46.25" hidden="false" customHeight="false" outlineLevel="0" collapsed="false">
      <c r="A864" s="58" t="s">
        <v>617</v>
      </c>
      <c r="B864" s="58" t="s">
        <v>613</v>
      </c>
      <c r="C864" s="5" t="s">
        <v>2811</v>
      </c>
      <c r="D864" s="6" t="s">
        <v>2812</v>
      </c>
      <c r="E864" s="6" t="s">
        <v>2813</v>
      </c>
      <c r="F864" s="6" t="s">
        <v>730</v>
      </c>
      <c r="G864" s="6" t="s">
        <v>2814</v>
      </c>
      <c r="H864" s="6"/>
      <c r="I864" s="26" t="n">
        <v>4</v>
      </c>
      <c r="J864" s="26" t="n">
        <f aca="false">COUNTIFS('Control Library'!$A$5:$A$50,"AI-CTRL-012",'Control Library'!$R$5:$R$50,"Implemented")+COUNTIFS('Control Library'!$A$5:$A$50,"AI-CTRL-029",'Control Library'!$R$5:$R$50,"Implemented")+COUNTIFS('Control Library'!$A$5:$A$50,"AI-CTRL-038",'Control Library'!$R$5:$R$50,"Implemented")+COUNTIFS('Control Library'!$A$5:$A$50,"AI-CTRL-039",'Control Library'!$R$5:$R$50,"Implemented")</f>
        <v>0</v>
      </c>
      <c r="K864" s="43" t="str">
        <f aca="false">IF(I864=0,"No wiki control",IF(J864=I864,"Fully covered",IF(J864=0,"Not covered","Partly covered")))</f>
        <v>Not covered</v>
      </c>
      <c r="L864" s="9" t="s">
        <v>2774</v>
      </c>
    </row>
    <row r="865" customFormat="false" ht="46.25" hidden="false" customHeight="false" outlineLevel="0" collapsed="false">
      <c r="A865" s="58" t="s">
        <v>617</v>
      </c>
      <c r="B865" s="58" t="s">
        <v>613</v>
      </c>
      <c r="C865" s="5" t="s">
        <v>2815</v>
      </c>
      <c r="D865" s="6" t="s">
        <v>2816</v>
      </c>
      <c r="E865" s="6" t="s">
        <v>2817</v>
      </c>
      <c r="F865" s="6" t="s">
        <v>730</v>
      </c>
      <c r="G865" s="6" t="s">
        <v>2818</v>
      </c>
      <c r="H865" s="6"/>
      <c r="I865" s="26" t="n">
        <v>5</v>
      </c>
      <c r="J865" s="26" t="n">
        <f aca="false">COUNTIFS('Control Library'!$A$5:$A$50,"AI-CTRL-012",'Control Library'!$R$5:$R$50,"Implemented")+COUNTIFS('Control Library'!$A$5:$A$50,"AI-CTRL-014",'Control Library'!$R$5:$R$50,"Implemented")+COUNTIFS('Control Library'!$A$5:$A$50,"AI-CTRL-037",'Control Library'!$R$5:$R$50,"Implemented")+COUNTIFS('Control Library'!$A$5:$A$50,"AI-CTRL-038",'Control Library'!$R$5:$R$50,"Implemented")+COUNTIFS('Control Library'!$A$5:$A$50,"AI-CTRL-041",'Control Library'!$R$5:$R$50,"Implemented")</f>
        <v>0</v>
      </c>
      <c r="K865" s="43" t="str">
        <f aca="false">IF(I865=0,"No wiki control",IF(J865=I865,"Fully covered",IF(J865=0,"Not covered","Partly covered")))</f>
        <v>Not covered</v>
      </c>
      <c r="L865" s="9" t="s">
        <v>2774</v>
      </c>
    </row>
    <row r="866" customFormat="false" ht="35.05" hidden="false" customHeight="false" outlineLevel="0" collapsed="false">
      <c r="A866" s="58" t="s">
        <v>617</v>
      </c>
      <c r="B866" s="58" t="s">
        <v>613</v>
      </c>
      <c r="C866" s="5" t="s">
        <v>2819</v>
      </c>
      <c r="D866" s="6" t="s">
        <v>2820</v>
      </c>
      <c r="E866" s="6" t="s">
        <v>2821</v>
      </c>
      <c r="F866" s="6" t="s">
        <v>730</v>
      </c>
      <c r="G866" s="6" t="s">
        <v>2822</v>
      </c>
      <c r="H866" s="6"/>
      <c r="I866" s="26" t="n">
        <v>4</v>
      </c>
      <c r="J866" s="26" t="n">
        <f aca="false">COUNTIFS('Control Library'!$A$5:$A$50,"AI-CTRL-014",'Control Library'!$R$5:$R$50,"Implemented")+COUNTIFS('Control Library'!$A$5:$A$50,"AI-CTRL-029",'Control Library'!$R$5:$R$50,"Implemented")+COUNTIFS('Control Library'!$A$5:$A$50,"AI-CTRL-037",'Control Library'!$R$5:$R$50,"Implemented")+COUNTIFS('Control Library'!$A$5:$A$50,"AI-CTRL-041",'Control Library'!$R$5:$R$50,"Implemented")</f>
        <v>0</v>
      </c>
      <c r="K866" s="43" t="str">
        <f aca="false">IF(I866=0,"No wiki control",IF(J866=I866,"Fully covered",IF(J866=0,"Not covered","Partly covered")))</f>
        <v>Not covered</v>
      </c>
      <c r="L866" s="9" t="s">
        <v>2774</v>
      </c>
    </row>
    <row r="867" customFormat="false" ht="46.25" hidden="false" customHeight="false" outlineLevel="0" collapsed="false">
      <c r="A867" s="58" t="s">
        <v>617</v>
      </c>
      <c r="B867" s="58" t="s">
        <v>613</v>
      </c>
      <c r="C867" s="5" t="s">
        <v>2823</v>
      </c>
      <c r="D867" s="6" t="s">
        <v>2824</v>
      </c>
      <c r="E867" s="6" t="s">
        <v>2825</v>
      </c>
      <c r="F867" s="6" t="s">
        <v>730</v>
      </c>
      <c r="G867" s="6" t="s">
        <v>2826</v>
      </c>
      <c r="H867" s="6"/>
      <c r="I867" s="26" t="n">
        <v>4</v>
      </c>
      <c r="J867" s="26" t="n">
        <f aca="false">COUNTIFS('Control Library'!$A$5:$A$50,"AI-CTRL-013",'Control Library'!$R$5:$R$50,"Implemented")+COUNTIFS('Control Library'!$A$5:$A$50,"AI-CTRL-014",'Control Library'!$R$5:$R$50,"Implemented")+COUNTIFS('Control Library'!$A$5:$A$50,"AI-CTRL-017",'Control Library'!$R$5:$R$50,"Implemented")+COUNTIFS('Control Library'!$A$5:$A$50,"AI-CTRL-035",'Control Library'!$R$5:$R$50,"Implemented")</f>
        <v>0</v>
      </c>
      <c r="K867" s="43" t="str">
        <f aca="false">IF(I867=0,"No wiki control",IF(J867=I867,"Fully covered",IF(J867=0,"Not covered","Partly covered")))</f>
        <v>Not covered</v>
      </c>
      <c r="L867" s="9" t="s">
        <v>2774</v>
      </c>
    </row>
    <row r="868" customFormat="false" ht="23.85" hidden="false" customHeight="false" outlineLevel="0" collapsed="false">
      <c r="A868" s="58" t="s">
        <v>618</v>
      </c>
      <c r="B868" s="58" t="s">
        <v>613</v>
      </c>
      <c r="C868" s="5" t="s">
        <v>2827</v>
      </c>
      <c r="D868" s="6" t="s">
        <v>2828</v>
      </c>
      <c r="E868" s="6" t="s">
        <v>263</v>
      </c>
      <c r="F868" s="6" t="s">
        <v>730</v>
      </c>
      <c r="G868" s="6" t="s">
        <v>266</v>
      </c>
      <c r="H868" s="6"/>
      <c r="I868" s="26" t="n">
        <v>1</v>
      </c>
      <c r="J868" s="26" t="n">
        <f aca="false">COUNTIFS('Control Library'!$A$5:$A$50,"AI-CTRL-012",'Control Library'!$R$5:$R$50,"Implemented")</f>
        <v>0</v>
      </c>
      <c r="K868" s="43" t="str">
        <f aca="false">IF(I868=0,"No wiki control",IF(J868=I868,"Fully covered",IF(J868=0,"Not covered","Partly covered")))</f>
        <v>Not covered</v>
      </c>
      <c r="L868" s="9" t="s">
        <v>2829</v>
      </c>
    </row>
    <row r="869" customFormat="false" ht="35.05" hidden="false" customHeight="false" outlineLevel="0" collapsed="false">
      <c r="A869" s="58" t="s">
        <v>618</v>
      </c>
      <c r="B869" s="58" t="s">
        <v>613</v>
      </c>
      <c r="C869" s="5" t="s">
        <v>2830</v>
      </c>
      <c r="D869" s="6" t="s">
        <v>2831</v>
      </c>
      <c r="E869" s="6" t="s">
        <v>2448</v>
      </c>
      <c r="F869" s="6" t="s">
        <v>730</v>
      </c>
      <c r="G869" s="6" t="s">
        <v>2449</v>
      </c>
      <c r="H869" s="6"/>
      <c r="I869" s="26" t="n">
        <v>3</v>
      </c>
      <c r="J869" s="26" t="n">
        <f aca="false">COUNTIFS('Control Library'!$A$5:$A$50,"AI-CTRL-013",'Control Library'!$R$5:$R$50,"Implemented")+COUNTIFS('Control Library'!$A$5:$A$50,"AI-CTRL-039",'Control Library'!$R$5:$R$50,"Implemented")+COUNTIFS('Control Library'!$A$5:$A$50,"AI-CTRL-041",'Control Library'!$R$5:$R$50,"Implemented")</f>
        <v>0</v>
      </c>
      <c r="K869" s="43" t="str">
        <f aca="false">IF(I869=0,"No wiki control",IF(J869=I869,"Fully covered",IF(J869=0,"Not covered","Partly covered")))</f>
        <v>Not covered</v>
      </c>
      <c r="L869" s="9" t="s">
        <v>2829</v>
      </c>
    </row>
    <row r="870" customFormat="false" ht="23.85" hidden="false" customHeight="false" outlineLevel="0" collapsed="false">
      <c r="A870" s="58" t="s">
        <v>618</v>
      </c>
      <c r="B870" s="58" t="s">
        <v>613</v>
      </c>
      <c r="C870" s="5" t="s">
        <v>2832</v>
      </c>
      <c r="D870" s="6" t="s">
        <v>2833</v>
      </c>
      <c r="E870" s="6" t="s">
        <v>2834</v>
      </c>
      <c r="F870" s="6" t="s">
        <v>730</v>
      </c>
      <c r="G870" s="6" t="s">
        <v>2835</v>
      </c>
      <c r="H870" s="6"/>
      <c r="I870" s="26" t="n">
        <v>2</v>
      </c>
      <c r="J870" s="26" t="n">
        <f aca="false">COUNTIFS('Control Library'!$A$5:$A$50,"AI-CTRL-013",'Control Library'!$R$5:$R$50,"Implemented")+COUNTIFS('Control Library'!$A$5:$A$50,"AI-CTRL-035",'Control Library'!$R$5:$R$50,"Implemented")</f>
        <v>0</v>
      </c>
      <c r="K870" s="43" t="str">
        <f aca="false">IF(I870=0,"No wiki control",IF(J870=I870,"Fully covered",IF(J870=0,"Not covered","Partly covered")))</f>
        <v>Not covered</v>
      </c>
      <c r="L870" s="9" t="s">
        <v>2829</v>
      </c>
    </row>
    <row r="871" customFormat="false" ht="23.85" hidden="false" customHeight="false" outlineLevel="0" collapsed="false">
      <c r="A871" s="58" t="s">
        <v>618</v>
      </c>
      <c r="B871" s="58" t="s">
        <v>613</v>
      </c>
      <c r="C871" s="5" t="s">
        <v>2836</v>
      </c>
      <c r="D871" s="6" t="s">
        <v>2837</v>
      </c>
      <c r="E871" s="6" t="s">
        <v>2834</v>
      </c>
      <c r="F871" s="6" t="s">
        <v>730</v>
      </c>
      <c r="G871" s="6" t="s">
        <v>2835</v>
      </c>
      <c r="H871" s="6"/>
      <c r="I871" s="26" t="n">
        <v>2</v>
      </c>
      <c r="J871" s="26" t="n">
        <f aca="false">COUNTIFS('Control Library'!$A$5:$A$50,"AI-CTRL-013",'Control Library'!$R$5:$R$50,"Implemented")+COUNTIFS('Control Library'!$A$5:$A$50,"AI-CTRL-035",'Control Library'!$R$5:$R$50,"Implemented")</f>
        <v>0</v>
      </c>
      <c r="K871" s="43" t="str">
        <f aca="false">IF(I871=0,"No wiki control",IF(J871=I871,"Fully covered",IF(J871=0,"Not covered","Partly covered")))</f>
        <v>Not covered</v>
      </c>
      <c r="L871" s="9" t="s">
        <v>2829</v>
      </c>
    </row>
    <row r="872" customFormat="false" ht="35.05" hidden="false" customHeight="false" outlineLevel="0" collapsed="false">
      <c r="A872" s="58" t="s">
        <v>618</v>
      </c>
      <c r="B872" s="58" t="s">
        <v>613</v>
      </c>
      <c r="C872" s="5" t="s">
        <v>2838</v>
      </c>
      <c r="D872" s="6" t="s">
        <v>2839</v>
      </c>
      <c r="E872" s="6" t="s">
        <v>2750</v>
      </c>
      <c r="F872" s="6" t="s">
        <v>730</v>
      </c>
      <c r="G872" s="6" t="s">
        <v>2751</v>
      </c>
      <c r="H872" s="6"/>
      <c r="I872" s="26" t="n">
        <v>3</v>
      </c>
      <c r="J872" s="26" t="n">
        <f aca="false">COUNTIFS('Control Library'!$A$5:$A$50,"AI-CTRL-012",'Control Library'!$R$5:$R$50,"Implemented")+COUNTIFS('Control Library'!$A$5:$A$50,"AI-CTRL-023",'Control Library'!$R$5:$R$50,"Implemented")+COUNTIFS('Control Library'!$A$5:$A$50,"AI-CTRL-037",'Control Library'!$R$5:$R$50,"Implemented")</f>
        <v>0</v>
      </c>
      <c r="K872" s="43" t="str">
        <f aca="false">IF(I872=0,"No wiki control",IF(J872=I872,"Fully covered",IF(J872=0,"Not covered","Partly covered")))</f>
        <v>Not covered</v>
      </c>
      <c r="L872" s="9" t="s">
        <v>2829</v>
      </c>
    </row>
    <row r="873" customFormat="false" ht="23.85" hidden="false" customHeight="false" outlineLevel="0" collapsed="false">
      <c r="A873" s="58" t="s">
        <v>618</v>
      </c>
      <c r="B873" s="58" t="s">
        <v>613</v>
      </c>
      <c r="C873" s="5" t="s">
        <v>2840</v>
      </c>
      <c r="D873" s="6" t="s">
        <v>2841</v>
      </c>
      <c r="E873" s="6"/>
      <c r="F873" s="6" t="s">
        <v>640</v>
      </c>
      <c r="G873" s="6"/>
      <c r="H873" s="6"/>
      <c r="I873" s="26" t="n">
        <v>0</v>
      </c>
      <c r="J873" s="26" t="n">
        <f aca="false">0</f>
        <v>0</v>
      </c>
      <c r="K873" s="43" t="str">
        <f aca="false">IF(I873=0,"No wiki control",IF(J873=I873,"Fully covered",IF(J873=0,"Not covered","Partly covered")))</f>
        <v>No wiki control</v>
      </c>
      <c r="L873" s="9" t="s">
        <v>2829</v>
      </c>
    </row>
    <row r="874" customFormat="false" ht="23.85" hidden="false" customHeight="false" outlineLevel="0" collapsed="false">
      <c r="A874" s="58" t="s">
        <v>618</v>
      </c>
      <c r="B874" s="58" t="s">
        <v>613</v>
      </c>
      <c r="C874" s="5" t="s">
        <v>2842</v>
      </c>
      <c r="D874" s="6" t="s">
        <v>2843</v>
      </c>
      <c r="E874" s="6" t="s">
        <v>1652</v>
      </c>
      <c r="F874" s="6" t="s">
        <v>730</v>
      </c>
      <c r="G874" s="6" t="s">
        <v>1653</v>
      </c>
      <c r="H874" s="6"/>
      <c r="I874" s="26" t="n">
        <v>2</v>
      </c>
      <c r="J874" s="26" t="n">
        <f aca="false">COUNTIFS('Control Library'!$A$5:$A$50,"AI-CTRL-039",'Control Library'!$R$5:$R$50,"Implemented")+COUNTIFS('Control Library'!$A$5:$A$50,"AI-CTRL-041",'Control Library'!$R$5:$R$50,"Implemented")</f>
        <v>0</v>
      </c>
      <c r="K874" s="43" t="str">
        <f aca="false">IF(I874=0,"No wiki control",IF(J874=I874,"Fully covered",IF(J874=0,"Not covered","Partly covered")))</f>
        <v>Not covered</v>
      </c>
      <c r="L874" s="9" t="s">
        <v>2829</v>
      </c>
    </row>
    <row r="875" customFormat="false" ht="23.85" hidden="false" customHeight="false" outlineLevel="0" collapsed="false">
      <c r="A875" s="58" t="s">
        <v>618</v>
      </c>
      <c r="B875" s="58" t="s">
        <v>613</v>
      </c>
      <c r="C875" s="5" t="s">
        <v>2844</v>
      </c>
      <c r="D875" s="6" t="s">
        <v>2845</v>
      </c>
      <c r="E875" s="6" t="s">
        <v>1652</v>
      </c>
      <c r="F875" s="6" t="s">
        <v>730</v>
      </c>
      <c r="G875" s="6" t="s">
        <v>1653</v>
      </c>
      <c r="H875" s="6"/>
      <c r="I875" s="26" t="n">
        <v>2</v>
      </c>
      <c r="J875" s="26" t="n">
        <f aca="false">COUNTIFS('Control Library'!$A$5:$A$50,"AI-CTRL-039",'Control Library'!$R$5:$R$50,"Implemented")+COUNTIFS('Control Library'!$A$5:$A$50,"AI-CTRL-041",'Control Library'!$R$5:$R$50,"Implemented")</f>
        <v>0</v>
      </c>
      <c r="K875" s="43" t="str">
        <f aca="false">IF(I875=0,"No wiki control",IF(J875=I875,"Fully covered",IF(J875=0,"Not covered","Partly covered")))</f>
        <v>Not covered</v>
      </c>
      <c r="L875" s="9" t="s">
        <v>2829</v>
      </c>
    </row>
    <row r="876" customFormat="false" ht="23.85" hidden="false" customHeight="false" outlineLevel="0" collapsed="false">
      <c r="A876" s="58" t="s">
        <v>618</v>
      </c>
      <c r="B876" s="58" t="s">
        <v>613</v>
      </c>
      <c r="C876" s="5" t="s">
        <v>2846</v>
      </c>
      <c r="D876" s="6" t="s">
        <v>2847</v>
      </c>
      <c r="E876" s="6" t="s">
        <v>263</v>
      </c>
      <c r="F876" s="6" t="s">
        <v>730</v>
      </c>
      <c r="G876" s="6" t="s">
        <v>266</v>
      </c>
      <c r="H876" s="6"/>
      <c r="I876" s="26" t="n">
        <v>1</v>
      </c>
      <c r="J876" s="26" t="n">
        <f aca="false">COUNTIFS('Control Library'!$A$5:$A$50,"AI-CTRL-012",'Control Library'!$R$5:$R$50,"Implemented")</f>
        <v>0</v>
      </c>
      <c r="K876" s="43" t="str">
        <f aca="false">IF(I876=0,"No wiki control",IF(J876=I876,"Fully covered",IF(J876=0,"Not covered","Partly covered")))</f>
        <v>Not covered</v>
      </c>
      <c r="L876" s="9" t="s">
        <v>2829</v>
      </c>
    </row>
    <row r="877" customFormat="false" ht="35.05" hidden="false" customHeight="false" outlineLevel="0" collapsed="false">
      <c r="A877" s="58" t="s">
        <v>618</v>
      </c>
      <c r="B877" s="58" t="s">
        <v>613</v>
      </c>
      <c r="C877" s="5" t="s">
        <v>2848</v>
      </c>
      <c r="D877" s="6" t="s">
        <v>2849</v>
      </c>
      <c r="E877" s="6" t="s">
        <v>2850</v>
      </c>
      <c r="F877" s="6" t="s">
        <v>730</v>
      </c>
      <c r="G877" s="6" t="s">
        <v>2851</v>
      </c>
      <c r="H877" s="6"/>
      <c r="I877" s="26" t="n">
        <v>3</v>
      </c>
      <c r="J877" s="26" t="n">
        <f aca="false">COUNTIFS('Control Library'!$A$5:$A$50,"AI-CTRL-005",'Control Library'!$R$5:$R$50,"Implemented")+COUNTIFS('Control Library'!$A$5:$A$50,"AI-CTRL-014",'Control Library'!$R$5:$R$50,"Implemented")+COUNTIFS('Control Library'!$A$5:$A$50,"AI-CTRL-035",'Control Library'!$R$5:$R$50,"Implemented")</f>
        <v>0</v>
      </c>
      <c r="K877" s="43" t="str">
        <f aca="false">IF(I877=0,"No wiki control",IF(J877=I877,"Fully covered",IF(J877=0,"Not covered","Partly covered")))</f>
        <v>Not covered</v>
      </c>
      <c r="L877" s="9" t="s">
        <v>2829</v>
      </c>
    </row>
    <row r="878" customFormat="false" ht="23.85" hidden="false" customHeight="false" outlineLevel="0" collapsed="false">
      <c r="A878" s="58" t="s">
        <v>619</v>
      </c>
      <c r="B878" s="58" t="s">
        <v>613</v>
      </c>
      <c r="C878" s="5" t="s">
        <v>2852</v>
      </c>
      <c r="D878" s="6" t="s">
        <v>2853</v>
      </c>
      <c r="E878" s="6" t="s">
        <v>2854</v>
      </c>
      <c r="F878" s="6" t="s">
        <v>730</v>
      </c>
      <c r="G878" s="6" t="s">
        <v>2855</v>
      </c>
      <c r="H878" s="6"/>
      <c r="I878" s="26" t="n">
        <v>3</v>
      </c>
      <c r="J878" s="26" t="n">
        <f aca="false">COUNTIFS('Control Library'!$A$5:$A$50,"AI-CTRL-011",'Control Library'!$R$5:$R$50,"Implemented")+COUNTIFS('Control Library'!$A$5:$A$50,"AI-CTRL-037",'Control Library'!$R$5:$R$50,"Implemented")+COUNTIFS('Control Library'!$A$5:$A$50,"AI-CTRL-041",'Control Library'!$R$5:$R$50,"Implemented")</f>
        <v>0</v>
      </c>
      <c r="K878" s="43" t="str">
        <f aca="false">IF(I878=0,"No wiki control",IF(J878=I878,"Fully covered",IF(J878=0,"Not covered","Partly covered")))</f>
        <v>Not covered</v>
      </c>
      <c r="L878" s="9" t="s">
        <v>2856</v>
      </c>
    </row>
    <row r="879" customFormat="false" ht="35.05" hidden="false" customHeight="false" outlineLevel="0" collapsed="false">
      <c r="A879" s="58" t="s">
        <v>619</v>
      </c>
      <c r="B879" s="58" t="s">
        <v>613</v>
      </c>
      <c r="C879" s="5" t="s">
        <v>2857</v>
      </c>
      <c r="D879" s="6" t="s">
        <v>2858</v>
      </c>
      <c r="E879" s="6" t="s">
        <v>2643</v>
      </c>
      <c r="F879" s="6" t="s">
        <v>730</v>
      </c>
      <c r="G879" s="6" t="s">
        <v>2644</v>
      </c>
      <c r="H879" s="6"/>
      <c r="I879" s="26" t="n">
        <v>4</v>
      </c>
      <c r="J879"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79" s="43" t="str">
        <f aca="false">IF(I879=0,"No wiki control",IF(J879=I879,"Fully covered",IF(J879=0,"Not covered","Partly covered")))</f>
        <v>Not covered</v>
      </c>
      <c r="L879" s="9" t="s">
        <v>2856</v>
      </c>
    </row>
    <row r="880" customFormat="false" ht="23.85" hidden="false" customHeight="false" outlineLevel="0" collapsed="false">
      <c r="A880" s="58" t="s">
        <v>619</v>
      </c>
      <c r="B880" s="58" t="s">
        <v>613</v>
      </c>
      <c r="C880" s="5" t="s">
        <v>2859</v>
      </c>
      <c r="D880" s="6" t="s">
        <v>2860</v>
      </c>
      <c r="E880" s="6" t="s">
        <v>2797</v>
      </c>
      <c r="F880" s="6" t="s">
        <v>730</v>
      </c>
      <c r="G880" s="6" t="s">
        <v>2798</v>
      </c>
      <c r="H880" s="6"/>
      <c r="I880" s="26" t="n">
        <v>2</v>
      </c>
      <c r="J880" s="26" t="n">
        <f aca="false">COUNTIFS('Control Library'!$A$5:$A$50,"AI-CTRL-012",'Control Library'!$R$5:$R$50,"Implemented")+COUNTIFS('Control Library'!$A$5:$A$50,"AI-CTRL-013",'Control Library'!$R$5:$R$50,"Implemented")</f>
        <v>0</v>
      </c>
      <c r="K880" s="43" t="str">
        <f aca="false">IF(I880=0,"No wiki control",IF(J880=I880,"Fully covered",IF(J880=0,"Not covered","Partly covered")))</f>
        <v>Not covered</v>
      </c>
      <c r="L880" s="9" t="s">
        <v>2856</v>
      </c>
    </row>
    <row r="881" customFormat="false" ht="23.85" hidden="false" customHeight="false" outlineLevel="0" collapsed="false">
      <c r="A881" s="58" t="s">
        <v>619</v>
      </c>
      <c r="B881" s="58" t="s">
        <v>613</v>
      </c>
      <c r="C881" s="5" t="s">
        <v>2861</v>
      </c>
      <c r="D881" s="6" t="s">
        <v>2862</v>
      </c>
      <c r="E881" s="6" t="s">
        <v>2863</v>
      </c>
      <c r="F881" s="6" t="s">
        <v>730</v>
      </c>
      <c r="G881" s="6" t="s">
        <v>2864</v>
      </c>
      <c r="H881" s="6"/>
      <c r="I881" s="26" t="n">
        <v>2</v>
      </c>
      <c r="J881" s="26" t="n">
        <f aca="false">COUNTIFS('Control Library'!$A$5:$A$50,"AI-CTRL-014",'Control Library'!$R$5:$R$50,"Implemented")+COUNTIFS('Control Library'!$A$5:$A$50,"AI-CTRL-039",'Control Library'!$R$5:$R$50,"Implemented")</f>
        <v>0</v>
      </c>
      <c r="K881" s="43" t="str">
        <f aca="false">IF(I881=0,"No wiki control",IF(J881=I881,"Fully covered",IF(J881=0,"Not covered","Partly covered")))</f>
        <v>Not covered</v>
      </c>
      <c r="L881" s="9" t="s">
        <v>2856</v>
      </c>
    </row>
    <row r="882" customFormat="false" ht="23.85" hidden="false" customHeight="false" outlineLevel="0" collapsed="false">
      <c r="A882" s="58" t="s">
        <v>620</v>
      </c>
      <c r="B882" s="58" t="s">
        <v>613</v>
      </c>
      <c r="C882" s="5" t="s">
        <v>2865</v>
      </c>
      <c r="D882" s="6" t="s">
        <v>2866</v>
      </c>
      <c r="E882" s="6"/>
      <c r="F882" s="6" t="s">
        <v>640</v>
      </c>
      <c r="G882" s="6"/>
      <c r="H882" s="6"/>
      <c r="I882" s="26" t="n">
        <v>0</v>
      </c>
      <c r="J882" s="26" t="n">
        <f aca="false">0</f>
        <v>0</v>
      </c>
      <c r="K882" s="43" t="str">
        <f aca="false">IF(I882=0,"No wiki control",IF(J882=I882,"Fully covered",IF(J882=0,"Not covered","Partly covered")))</f>
        <v>No wiki control</v>
      </c>
      <c r="L882" s="9" t="s">
        <v>2867</v>
      </c>
    </row>
    <row r="883" customFormat="false" ht="23.85" hidden="false" customHeight="false" outlineLevel="0" collapsed="false">
      <c r="A883" s="58" t="s">
        <v>620</v>
      </c>
      <c r="B883" s="58" t="s">
        <v>613</v>
      </c>
      <c r="C883" s="5" t="s">
        <v>2868</v>
      </c>
      <c r="D883" s="6" t="s">
        <v>2869</v>
      </c>
      <c r="E883" s="6" t="s">
        <v>2870</v>
      </c>
      <c r="F883" s="6" t="s">
        <v>730</v>
      </c>
      <c r="G883" s="6" t="s">
        <v>2835</v>
      </c>
      <c r="H883" s="6"/>
      <c r="I883" s="26" t="n">
        <v>3</v>
      </c>
      <c r="J883" s="26" t="n">
        <f aca="false">COUNTIFS('Control Library'!$A$5:$A$50,"AI-CTRL-007",'Control Library'!$R$5:$R$50,"Implemented")+COUNTIFS('Control Library'!$A$5:$A$50,"AI-CTRL-013",'Control Library'!$R$5:$R$50,"Implemented")+COUNTIFS('Control Library'!$A$5:$A$50,"AI-CTRL-035",'Control Library'!$R$5:$R$50,"Implemented")</f>
        <v>0</v>
      </c>
      <c r="K883" s="43" t="str">
        <f aca="false">IF(I883=0,"No wiki control",IF(J883=I883,"Fully covered",IF(J883=0,"Not covered","Partly covered")))</f>
        <v>Not covered</v>
      </c>
      <c r="L883" s="9" t="s">
        <v>2867</v>
      </c>
    </row>
    <row r="884" customFormat="false" ht="35.05" hidden="false" customHeight="false" outlineLevel="0" collapsed="false">
      <c r="A884" s="58" t="s">
        <v>620</v>
      </c>
      <c r="B884" s="58" t="s">
        <v>613</v>
      </c>
      <c r="C884" s="5" t="s">
        <v>2871</v>
      </c>
      <c r="D884" s="6" t="s">
        <v>2872</v>
      </c>
      <c r="E884" s="6" t="s">
        <v>2743</v>
      </c>
      <c r="F884" s="6" t="s">
        <v>730</v>
      </c>
      <c r="G884" s="6" t="s">
        <v>2744</v>
      </c>
      <c r="H884" s="6"/>
      <c r="I884" s="26" t="n">
        <v>3</v>
      </c>
      <c r="J884" s="26" t="n">
        <f aca="false">COUNTIFS('Control Library'!$A$5:$A$50,"AI-CTRL-013",'Control Library'!$R$5:$R$50,"Implemented")+COUNTIFS('Control Library'!$A$5:$A$50,"AI-CTRL-023",'Control Library'!$R$5:$R$50,"Implemented")+COUNTIFS('Control Library'!$A$5:$A$50,"AI-CTRL-041",'Control Library'!$R$5:$R$50,"Implemented")</f>
        <v>0</v>
      </c>
      <c r="K884" s="43" t="str">
        <f aca="false">IF(I884=0,"No wiki control",IF(J884=I884,"Fully covered",IF(J884=0,"Not covered","Partly covered")))</f>
        <v>Not covered</v>
      </c>
      <c r="L884" s="9" t="s">
        <v>2867</v>
      </c>
    </row>
    <row r="885" customFormat="false" ht="23.85" hidden="false" customHeight="false" outlineLevel="0" collapsed="false">
      <c r="A885" s="58" t="s">
        <v>620</v>
      </c>
      <c r="B885" s="58" t="s">
        <v>613</v>
      </c>
      <c r="C885" s="5" t="s">
        <v>2873</v>
      </c>
      <c r="D885" s="6" t="s">
        <v>2874</v>
      </c>
      <c r="E885" s="6" t="s">
        <v>2875</v>
      </c>
      <c r="F885" s="6" t="s">
        <v>730</v>
      </c>
      <c r="G885" s="6" t="s">
        <v>2876</v>
      </c>
      <c r="H885" s="6"/>
      <c r="I885" s="26" t="n">
        <v>3</v>
      </c>
      <c r="J885" s="26" t="n">
        <f aca="false">COUNTIFS('Control Library'!$A$5:$A$50,"AI-CTRL-011",'Control Library'!$R$5:$R$50,"Implemented")+COUNTIFS('Control Library'!$A$5:$A$50,"AI-CTRL-037",'Control Library'!$R$5:$R$50,"Implemented")+COUNTIFS('Control Library'!$A$5:$A$50,"AI-CTRL-039",'Control Library'!$R$5:$R$50,"Implemented")</f>
        <v>0</v>
      </c>
      <c r="K885" s="43" t="str">
        <f aca="false">IF(I885=0,"No wiki control",IF(J885=I885,"Fully covered",IF(J885=0,"Not covered","Partly covered")))</f>
        <v>Not covered</v>
      </c>
      <c r="L885" s="9" t="s">
        <v>2867</v>
      </c>
    </row>
    <row r="886" customFormat="false" ht="35.05" hidden="false" customHeight="false" outlineLevel="0" collapsed="false">
      <c r="A886" s="58" t="s">
        <v>620</v>
      </c>
      <c r="B886" s="58" t="s">
        <v>613</v>
      </c>
      <c r="C886" s="5" t="s">
        <v>2877</v>
      </c>
      <c r="D886" s="6" t="s">
        <v>2878</v>
      </c>
      <c r="E886" s="6" t="s">
        <v>2879</v>
      </c>
      <c r="F886" s="6" t="s">
        <v>730</v>
      </c>
      <c r="G886" s="6" t="s">
        <v>2880</v>
      </c>
      <c r="H886" s="6"/>
      <c r="I886" s="26" t="n">
        <v>2</v>
      </c>
      <c r="J886" s="26" t="n">
        <f aca="false">COUNTIFS('Control Library'!$A$5:$A$50,"AI-CTRL-012",'Control Library'!$R$5:$R$50,"Implemented")+COUNTIFS('Control Library'!$A$5:$A$50,"AI-CTRL-039",'Control Library'!$R$5:$R$50,"Implemented")</f>
        <v>0</v>
      </c>
      <c r="K886" s="43" t="str">
        <f aca="false">IF(I886=0,"No wiki control",IF(J886=I886,"Fully covered",IF(J886=0,"Not covered","Partly covered")))</f>
        <v>Not covered</v>
      </c>
      <c r="L886" s="9" t="s">
        <v>2867</v>
      </c>
    </row>
    <row r="887" customFormat="false" ht="23.85" hidden="false" customHeight="false" outlineLevel="0" collapsed="false">
      <c r="A887" s="58" t="s">
        <v>620</v>
      </c>
      <c r="B887" s="58" t="s">
        <v>613</v>
      </c>
      <c r="C887" s="5" t="s">
        <v>2881</v>
      </c>
      <c r="D887" s="6" t="s">
        <v>2882</v>
      </c>
      <c r="E887" s="6" t="s">
        <v>2602</v>
      </c>
      <c r="F887" s="6" t="s">
        <v>730</v>
      </c>
      <c r="G887" s="6" t="s">
        <v>2603</v>
      </c>
      <c r="H887" s="6"/>
      <c r="I887" s="26" t="n">
        <v>3</v>
      </c>
      <c r="J887" s="26" t="n">
        <f aca="false">COUNTIFS('Control Library'!$A$5:$A$50,"AI-CTRL-011",'Control Library'!$R$5:$R$50,"Implemented")+COUNTIFS('Control Library'!$A$5:$A$50,"AI-CTRL-037",'Control Library'!$R$5:$R$50,"Implemented")+COUNTIFS('Control Library'!$A$5:$A$50,"AI-CTRL-038",'Control Library'!$R$5:$R$50,"Implemented")</f>
        <v>0</v>
      </c>
      <c r="K887" s="43" t="str">
        <f aca="false">IF(I887=0,"No wiki control",IF(J887=I887,"Fully covered",IF(J887=0,"Not covered","Partly covered")))</f>
        <v>Not covered</v>
      </c>
      <c r="L887" s="9" t="s">
        <v>2867</v>
      </c>
    </row>
    <row r="888" customFormat="false" ht="23.85" hidden="false" customHeight="false" outlineLevel="0" collapsed="false">
      <c r="A888" s="58" t="s">
        <v>620</v>
      </c>
      <c r="B888" s="58" t="s">
        <v>613</v>
      </c>
      <c r="C888" s="5" t="s">
        <v>2883</v>
      </c>
      <c r="D888" s="6" t="s">
        <v>2884</v>
      </c>
      <c r="E888" s="6" t="s">
        <v>2885</v>
      </c>
      <c r="F888" s="6" t="s">
        <v>730</v>
      </c>
      <c r="G888" s="6" t="s">
        <v>2886</v>
      </c>
      <c r="H888" s="6"/>
      <c r="I888" s="26" t="n">
        <v>2</v>
      </c>
      <c r="J888" s="26" t="n">
        <f aca="false">COUNTIFS('Control Library'!$A$5:$A$50,"AI-CTRL-013",'Control Library'!$R$5:$R$50,"Implemented")+COUNTIFS('Control Library'!$A$5:$A$50,"AI-CTRL-039",'Control Library'!$R$5:$R$50,"Implemented")</f>
        <v>0</v>
      </c>
      <c r="K888" s="43" t="str">
        <f aca="false">IF(I888=0,"No wiki control",IF(J888=I888,"Fully covered",IF(J888=0,"Not covered","Partly covered")))</f>
        <v>Not covered</v>
      </c>
      <c r="L888" s="9" t="s">
        <v>2867</v>
      </c>
    </row>
    <row r="889" customFormat="false" ht="35.05" hidden="false" customHeight="false" outlineLevel="0" collapsed="false">
      <c r="A889" s="58" t="s">
        <v>620</v>
      </c>
      <c r="B889" s="58" t="s">
        <v>613</v>
      </c>
      <c r="C889" s="5" t="s">
        <v>2887</v>
      </c>
      <c r="D889" s="6" t="s">
        <v>2888</v>
      </c>
      <c r="E889" s="6" t="s">
        <v>263</v>
      </c>
      <c r="F889" s="6" t="s">
        <v>730</v>
      </c>
      <c r="G889" s="6" t="s">
        <v>266</v>
      </c>
      <c r="H889" s="6"/>
      <c r="I889" s="26" t="n">
        <v>1</v>
      </c>
      <c r="J889" s="26" t="n">
        <f aca="false">COUNTIFS('Control Library'!$A$5:$A$50,"AI-CTRL-012",'Control Library'!$R$5:$R$50,"Implemented")</f>
        <v>0</v>
      </c>
      <c r="K889" s="43" t="str">
        <f aca="false">IF(I889=0,"No wiki control",IF(J889=I889,"Fully covered",IF(J889=0,"Not covered","Partly covered")))</f>
        <v>Not covered</v>
      </c>
      <c r="L889" s="9" t="s">
        <v>2867</v>
      </c>
    </row>
    <row r="890" customFormat="false" ht="35.05" hidden="false" customHeight="false" outlineLevel="0" collapsed="false">
      <c r="A890" s="58" t="s">
        <v>621</v>
      </c>
      <c r="B890" s="58" t="s">
        <v>613</v>
      </c>
      <c r="C890" s="5" t="s">
        <v>2889</v>
      </c>
      <c r="D890" s="6" t="s">
        <v>2890</v>
      </c>
      <c r="E890" s="6" t="s">
        <v>2891</v>
      </c>
      <c r="F890" s="6" t="s">
        <v>730</v>
      </c>
      <c r="G890" s="6" t="s">
        <v>2892</v>
      </c>
      <c r="H890" s="6"/>
      <c r="I890" s="26" t="n">
        <v>3</v>
      </c>
      <c r="J890" s="26" t="n">
        <f aca="false">COUNTIFS('Control Library'!$A$5:$A$50,"AI-CTRL-012",'Control Library'!$R$5:$R$50,"Implemented")+COUNTIFS('Control Library'!$A$5:$A$50,"AI-CTRL-013",'Control Library'!$R$5:$R$50,"Implemented")+COUNTIFS('Control Library'!$A$5:$A$50,"AI-CTRL-039",'Control Library'!$R$5:$R$50,"Implemented")</f>
        <v>0</v>
      </c>
      <c r="K890" s="43" t="str">
        <f aca="false">IF(I890=0,"No wiki control",IF(J890=I890,"Fully covered",IF(J890=0,"Not covered","Partly covered")))</f>
        <v>Not covered</v>
      </c>
      <c r="L890" s="9" t="s">
        <v>2893</v>
      </c>
    </row>
    <row r="891" customFormat="false" ht="35.05" hidden="false" customHeight="false" outlineLevel="0" collapsed="false">
      <c r="A891" s="58" t="s">
        <v>621</v>
      </c>
      <c r="B891" s="58" t="s">
        <v>613</v>
      </c>
      <c r="C891" s="5" t="s">
        <v>2894</v>
      </c>
      <c r="D891" s="6" t="s">
        <v>2895</v>
      </c>
      <c r="E891" s="6" t="s">
        <v>2896</v>
      </c>
      <c r="F891" s="6" t="s">
        <v>730</v>
      </c>
      <c r="G891" s="6" t="s">
        <v>2897</v>
      </c>
      <c r="H891" s="6"/>
      <c r="I891" s="26" t="n">
        <v>3</v>
      </c>
      <c r="J891" s="26" t="n">
        <f aca="false">COUNTIFS('Control Library'!$A$5:$A$50,"AI-CTRL-011",'Control Library'!$R$5:$R$50,"Implemented")+COUNTIFS('Control Library'!$A$5:$A$50,"AI-CTRL-013",'Control Library'!$R$5:$R$50,"Implemented")+COUNTIFS('Control Library'!$A$5:$A$50,"AI-CTRL-039",'Control Library'!$R$5:$R$50,"Implemented")</f>
        <v>0</v>
      </c>
      <c r="K891" s="43" t="str">
        <f aca="false">IF(I891=0,"No wiki control",IF(J891=I891,"Fully covered",IF(J891=0,"Not covered","Partly covered")))</f>
        <v>Not covered</v>
      </c>
      <c r="L891" s="9" t="s">
        <v>2893</v>
      </c>
    </row>
    <row r="892" customFormat="false" ht="23.85" hidden="false" customHeight="false" outlineLevel="0" collapsed="false">
      <c r="A892" s="58" t="s">
        <v>621</v>
      </c>
      <c r="B892" s="58" t="s">
        <v>613</v>
      </c>
      <c r="C892" s="5" t="s">
        <v>2898</v>
      </c>
      <c r="D892" s="6" t="s">
        <v>2899</v>
      </c>
      <c r="E892" s="6" t="s">
        <v>486</v>
      </c>
      <c r="F892" s="6" t="s">
        <v>730</v>
      </c>
      <c r="G892" s="6" t="s">
        <v>490</v>
      </c>
      <c r="H892" s="6"/>
      <c r="I892" s="26" t="n">
        <v>1</v>
      </c>
      <c r="J892" s="26" t="n">
        <f aca="false">COUNTIFS('Control Library'!$A$5:$A$50,"AI-CTRL-039",'Control Library'!$R$5:$R$50,"Implemented")</f>
        <v>0</v>
      </c>
      <c r="K892" s="43" t="str">
        <f aca="false">IF(I892=0,"No wiki control",IF(J892=I892,"Fully covered",IF(J892=0,"Not covered","Partly covered")))</f>
        <v>Not covered</v>
      </c>
      <c r="L892" s="9" t="s">
        <v>2893</v>
      </c>
    </row>
    <row r="893" customFormat="false" ht="23.85" hidden="false" customHeight="false" outlineLevel="0" collapsed="false">
      <c r="A893" s="58" t="s">
        <v>621</v>
      </c>
      <c r="B893" s="58" t="s">
        <v>613</v>
      </c>
      <c r="C893" s="5" t="s">
        <v>2900</v>
      </c>
      <c r="D893" s="6" t="s">
        <v>2901</v>
      </c>
      <c r="E893" s="6" t="s">
        <v>486</v>
      </c>
      <c r="F893" s="6" t="s">
        <v>730</v>
      </c>
      <c r="G893" s="6" t="s">
        <v>490</v>
      </c>
      <c r="H893" s="6"/>
      <c r="I893" s="26" t="n">
        <v>1</v>
      </c>
      <c r="J893" s="26" t="n">
        <f aca="false">COUNTIFS('Control Library'!$A$5:$A$50,"AI-CTRL-039",'Control Library'!$R$5:$R$50,"Implemented")</f>
        <v>0</v>
      </c>
      <c r="K893" s="43" t="str">
        <f aca="false">IF(I893=0,"No wiki control",IF(J893=I893,"Fully covered",IF(J893=0,"Not covered","Partly covered")))</f>
        <v>Not covered</v>
      </c>
      <c r="L893" s="9" t="s">
        <v>2893</v>
      </c>
    </row>
    <row r="894" customFormat="false" ht="38.05" hidden="false" customHeight="false" outlineLevel="0" collapsed="false">
      <c r="A894" s="58" t="s">
        <v>621</v>
      </c>
      <c r="B894" s="58" t="s">
        <v>613</v>
      </c>
      <c r="C894" s="5" t="s">
        <v>2902</v>
      </c>
      <c r="D894" s="6" t="s">
        <v>2903</v>
      </c>
      <c r="E894" s="6" t="s">
        <v>2807</v>
      </c>
      <c r="F894" s="6" t="s">
        <v>730</v>
      </c>
      <c r="G894" s="6" t="s">
        <v>2808</v>
      </c>
      <c r="H894" s="6"/>
      <c r="I894" s="26" t="n">
        <v>3</v>
      </c>
      <c r="J894" s="26" t="n">
        <f aca="false">COUNTIFS('Control Library'!$A$5:$A$50,"AI-CTRL-012",'Control Library'!$R$5:$R$50,"Implemented")+COUNTIFS('Control Library'!$A$5:$A$50,"AI-CTRL-037",'Control Library'!$R$5:$R$50,"Implemented")+COUNTIFS('Control Library'!$A$5:$A$50,"AI-CTRL-041",'Control Library'!$R$5:$R$50,"Implemented")</f>
        <v>0</v>
      </c>
      <c r="K894" s="43" t="str">
        <f aca="false">IF(I894=0,"No wiki control",IF(J894=I894,"Fully covered",IF(J894=0,"Not covered","Partly covered")))</f>
        <v>Not covered</v>
      </c>
      <c r="L894" s="9" t="s">
        <v>2893</v>
      </c>
    </row>
    <row r="895" customFormat="false" ht="38.05" hidden="false" customHeight="false" outlineLevel="0" collapsed="false">
      <c r="A895" s="58" t="s">
        <v>621</v>
      </c>
      <c r="B895" s="58" t="s">
        <v>613</v>
      </c>
      <c r="C895" s="5" t="s">
        <v>2904</v>
      </c>
      <c r="D895" s="6" t="s">
        <v>2905</v>
      </c>
      <c r="E895" s="6" t="s">
        <v>2906</v>
      </c>
      <c r="F895" s="6" t="s">
        <v>730</v>
      </c>
      <c r="G895" s="6" t="s">
        <v>2907</v>
      </c>
      <c r="H895" s="6"/>
      <c r="I895" s="26" t="n">
        <v>2</v>
      </c>
      <c r="J895" s="26" t="n">
        <f aca="false">COUNTIFS('Control Library'!$A$5:$A$50,"AI-CTRL-023",'Control Library'!$R$5:$R$50,"Implemented")+COUNTIFS('Control Library'!$A$5:$A$50,"AI-CTRL-039",'Control Library'!$R$5:$R$50,"Implemented")</f>
        <v>0</v>
      </c>
      <c r="K895" s="43" t="str">
        <f aca="false">IF(I895=0,"No wiki control",IF(J895=I895,"Fully covered",IF(J895=0,"Not covered","Partly covered")))</f>
        <v>Not covered</v>
      </c>
      <c r="L895" s="9" t="s">
        <v>2893</v>
      </c>
    </row>
    <row r="896" customFormat="false" ht="35.05" hidden="false" customHeight="false" outlineLevel="0" collapsed="false">
      <c r="A896" s="58" t="s">
        <v>621</v>
      </c>
      <c r="B896" s="58" t="s">
        <v>613</v>
      </c>
      <c r="C896" s="5" t="s">
        <v>2908</v>
      </c>
      <c r="D896" s="6" t="s">
        <v>2909</v>
      </c>
      <c r="E896" s="6" t="s">
        <v>2910</v>
      </c>
      <c r="F896" s="6" t="s">
        <v>730</v>
      </c>
      <c r="G896" s="6" t="s">
        <v>2911</v>
      </c>
      <c r="H896" s="6"/>
      <c r="I896" s="26" t="n">
        <v>4</v>
      </c>
      <c r="J896" s="26" t="n">
        <f aca="false">COUNTIFS('Control Library'!$A$5:$A$50,"AI-CTRL-005",'Control Library'!$R$5:$R$50,"Implemented")+COUNTIFS('Control Library'!$A$5:$A$50,"AI-CTRL-007",'Control Library'!$R$5:$R$50,"Implemented")+COUNTIFS('Control Library'!$A$5:$A$50,"AI-CTRL-013",'Control Library'!$R$5:$R$50,"Implemented")+COUNTIFS('Control Library'!$A$5:$A$50,"AI-CTRL-035",'Control Library'!$R$5:$R$50,"Implemented")</f>
        <v>0</v>
      </c>
      <c r="K896" s="43" t="str">
        <f aca="false">IF(I896=0,"No wiki control",IF(J896=I896,"Fully covered",IF(J896=0,"Not covered","Partly covered")))</f>
        <v>Not covered</v>
      </c>
      <c r="L896" s="9" t="s">
        <v>2893</v>
      </c>
    </row>
    <row r="897" customFormat="false" ht="23.85" hidden="false" customHeight="false" outlineLevel="0" collapsed="false">
      <c r="A897" s="58" t="s">
        <v>621</v>
      </c>
      <c r="B897" s="58" t="s">
        <v>613</v>
      </c>
      <c r="C897" s="5" t="s">
        <v>2912</v>
      </c>
      <c r="D897" s="6" t="s">
        <v>2913</v>
      </c>
      <c r="E897" s="6"/>
      <c r="F897" s="6" t="s">
        <v>640</v>
      </c>
      <c r="G897" s="6"/>
      <c r="H897" s="6"/>
      <c r="I897" s="26" t="n">
        <v>0</v>
      </c>
      <c r="J897" s="26" t="n">
        <f aca="false">0</f>
        <v>0</v>
      </c>
      <c r="K897" s="43" t="str">
        <f aca="false">IF(I897=0,"No wiki control",IF(J897=I897,"Fully covered",IF(J897=0,"Not covered","Partly covered")))</f>
        <v>No wiki control</v>
      </c>
      <c r="L897" s="9" t="s">
        <v>2893</v>
      </c>
    </row>
    <row r="898" customFormat="false" ht="23.85" hidden="false" customHeight="false" outlineLevel="0" collapsed="false">
      <c r="A898" s="58" t="s">
        <v>621</v>
      </c>
      <c r="B898" s="58" t="s">
        <v>613</v>
      </c>
      <c r="C898" s="5" t="s">
        <v>2914</v>
      </c>
      <c r="D898" s="6" t="s">
        <v>2915</v>
      </c>
      <c r="E898" s="6" t="s">
        <v>272</v>
      </c>
      <c r="F898" s="6" t="s">
        <v>730</v>
      </c>
      <c r="G898" s="6" t="s">
        <v>276</v>
      </c>
      <c r="H898" s="6"/>
      <c r="I898" s="26" t="n">
        <v>1</v>
      </c>
      <c r="J898" s="26" t="n">
        <f aca="false">COUNTIFS('Control Library'!$A$5:$A$50,"AI-CTRL-013",'Control Library'!$R$5:$R$50,"Implemented")</f>
        <v>0</v>
      </c>
      <c r="K898" s="43" t="str">
        <f aca="false">IF(I898=0,"No wiki control",IF(J898=I898,"Fully covered",IF(J898=0,"Not covered","Partly covered")))</f>
        <v>Not covered</v>
      </c>
      <c r="L898" s="9" t="s">
        <v>2893</v>
      </c>
    </row>
    <row r="899" customFormat="false" ht="35.05" hidden="false" customHeight="false" outlineLevel="0" collapsed="false">
      <c r="A899" s="58" t="s">
        <v>622</v>
      </c>
      <c r="B899" s="58" t="s">
        <v>613</v>
      </c>
      <c r="C899" s="5" t="s">
        <v>2916</v>
      </c>
      <c r="D899" s="6" t="s">
        <v>2917</v>
      </c>
      <c r="E899" s="6" t="s">
        <v>2643</v>
      </c>
      <c r="F899" s="6" t="s">
        <v>730</v>
      </c>
      <c r="G899" s="6" t="s">
        <v>2644</v>
      </c>
      <c r="H899" s="6"/>
      <c r="I899" s="26" t="n">
        <v>4</v>
      </c>
      <c r="J899" s="26"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99" s="43" t="str">
        <f aca="false">IF(I899=0,"No wiki control",IF(J899=I899,"Fully covered",IF(J899=0,"Not covered","Partly covered")))</f>
        <v>Not covered</v>
      </c>
      <c r="L899" s="9" t="s">
        <v>2918</v>
      </c>
    </row>
    <row r="900" customFormat="false" ht="23.85" hidden="false" customHeight="false" outlineLevel="0" collapsed="false">
      <c r="A900" s="58" t="s">
        <v>622</v>
      </c>
      <c r="B900" s="58" t="s">
        <v>613</v>
      </c>
      <c r="C900" s="5" t="s">
        <v>2919</v>
      </c>
      <c r="D900" s="6" t="s">
        <v>2920</v>
      </c>
      <c r="E900" s="6" t="s">
        <v>2870</v>
      </c>
      <c r="F900" s="6" t="s">
        <v>730</v>
      </c>
      <c r="G900" s="6" t="s">
        <v>2835</v>
      </c>
      <c r="H900" s="6"/>
      <c r="I900" s="26" t="n">
        <v>3</v>
      </c>
      <c r="J900" s="26" t="n">
        <f aca="false">COUNTIFS('Control Library'!$A$5:$A$50,"AI-CTRL-007",'Control Library'!$R$5:$R$50,"Implemented")+COUNTIFS('Control Library'!$A$5:$A$50,"AI-CTRL-013",'Control Library'!$R$5:$R$50,"Implemented")+COUNTIFS('Control Library'!$A$5:$A$50,"AI-CTRL-035",'Control Library'!$R$5:$R$50,"Implemented")</f>
        <v>0</v>
      </c>
      <c r="K900" s="43" t="str">
        <f aca="false">IF(I900=0,"No wiki control",IF(J900=I900,"Fully covered",IF(J900=0,"Not covered","Partly covered")))</f>
        <v>Not covered</v>
      </c>
      <c r="L900" s="9" t="s">
        <v>2918</v>
      </c>
    </row>
    <row r="901" customFormat="false" ht="23.85" hidden="false" customHeight="false" outlineLevel="0" collapsed="false">
      <c r="A901" s="58" t="s">
        <v>622</v>
      </c>
      <c r="B901" s="58" t="s">
        <v>613</v>
      </c>
      <c r="C901" s="5" t="s">
        <v>2921</v>
      </c>
      <c r="D901" s="6" t="s">
        <v>2922</v>
      </c>
      <c r="E901" s="6" t="s">
        <v>2834</v>
      </c>
      <c r="F901" s="6" t="s">
        <v>730</v>
      </c>
      <c r="G901" s="6" t="s">
        <v>2835</v>
      </c>
      <c r="H901" s="6"/>
      <c r="I901" s="26" t="n">
        <v>2</v>
      </c>
      <c r="J901" s="26" t="n">
        <f aca="false">COUNTIFS('Control Library'!$A$5:$A$50,"AI-CTRL-013",'Control Library'!$R$5:$R$50,"Implemented")+COUNTIFS('Control Library'!$A$5:$A$50,"AI-CTRL-035",'Control Library'!$R$5:$R$50,"Implemented")</f>
        <v>0</v>
      </c>
      <c r="K901" s="43" t="str">
        <f aca="false">IF(I901=0,"No wiki control",IF(J901=I901,"Fully covered",IF(J901=0,"Not covered","Partly covered")))</f>
        <v>Not covered</v>
      </c>
      <c r="L901" s="9" t="s">
        <v>2918</v>
      </c>
    </row>
    <row r="902" customFormat="false" ht="35.05" hidden="false" customHeight="false" outlineLevel="0" collapsed="false">
      <c r="A902" s="58" t="s">
        <v>622</v>
      </c>
      <c r="B902" s="58" t="s">
        <v>613</v>
      </c>
      <c r="C902" s="5" t="s">
        <v>2923</v>
      </c>
      <c r="D902" s="6" t="s">
        <v>2924</v>
      </c>
      <c r="E902" s="6" t="s">
        <v>2612</v>
      </c>
      <c r="F902" s="6" t="s">
        <v>730</v>
      </c>
      <c r="G902" s="6" t="s">
        <v>2613</v>
      </c>
      <c r="H902" s="6"/>
      <c r="I902" s="26" t="n">
        <v>3</v>
      </c>
      <c r="J902" s="26" t="n">
        <f aca="false">COUNTIFS('Control Library'!$A$5:$A$50,"AI-CTRL-012",'Control Library'!$R$5:$R$50,"Implemented")+COUNTIFS('Control Library'!$A$5:$A$50,"AI-CTRL-039",'Control Library'!$R$5:$R$50,"Implemented")+COUNTIFS('Control Library'!$A$5:$A$50,"AI-CTRL-041",'Control Library'!$R$5:$R$50,"Implemented")</f>
        <v>0</v>
      </c>
      <c r="K902" s="43" t="str">
        <f aca="false">IF(I902=0,"No wiki control",IF(J902=I902,"Fully covered",IF(J902=0,"Not covered","Partly covered")))</f>
        <v>Not covered</v>
      </c>
      <c r="L902" s="9" t="s">
        <v>2918</v>
      </c>
    </row>
    <row r="903" customFormat="false" ht="46.25" hidden="false" customHeight="false" outlineLevel="0" collapsed="false">
      <c r="A903" s="58" t="s">
        <v>622</v>
      </c>
      <c r="B903" s="58" t="s">
        <v>613</v>
      </c>
      <c r="C903" s="5" t="s">
        <v>2925</v>
      </c>
      <c r="D903" s="6" t="s">
        <v>2926</v>
      </c>
      <c r="E903" s="6" t="s">
        <v>2927</v>
      </c>
      <c r="F903" s="6" t="s">
        <v>730</v>
      </c>
      <c r="G903" s="6" t="s">
        <v>2928</v>
      </c>
      <c r="H903" s="6"/>
      <c r="I903" s="26" t="n">
        <v>5</v>
      </c>
      <c r="J903" s="26" t="n">
        <f aca="false">COUNTIFS('Control Library'!$A$5:$A$50,"AI-CTRL-011",'Control Library'!$R$5:$R$50,"Implemented")+COUNTIFS('Control Library'!$A$5:$A$50,"AI-CTRL-014",'Control Library'!$R$5:$R$50,"Implemented")+COUNTIFS('Control Library'!$A$5:$A$50,"AI-CTRL-023",'Control Library'!$R$5:$R$50,"Implemented")+COUNTIFS('Control Library'!$A$5:$A$50,"AI-CTRL-037",'Control Library'!$R$5:$R$50,"Implemented")+COUNTIFS('Control Library'!$A$5:$A$50,"AI-CTRL-041",'Control Library'!$R$5:$R$50,"Implemented")</f>
        <v>0</v>
      </c>
      <c r="K903" s="43" t="str">
        <f aca="false">IF(I903=0,"No wiki control",IF(J903=I903,"Fully covered",IF(J903=0,"Not covered","Partly covered")))</f>
        <v>Not covered</v>
      </c>
      <c r="L903" s="9" t="s">
        <v>2918</v>
      </c>
    </row>
    <row r="904" customFormat="false" ht="46.25" hidden="false" customHeight="false" outlineLevel="0" collapsed="false">
      <c r="A904" s="58" t="s">
        <v>622</v>
      </c>
      <c r="B904" s="58" t="s">
        <v>613</v>
      </c>
      <c r="C904" s="5" t="s">
        <v>2929</v>
      </c>
      <c r="D904" s="6" t="s">
        <v>2930</v>
      </c>
      <c r="E904" s="6" t="s">
        <v>2931</v>
      </c>
      <c r="F904" s="6" t="s">
        <v>730</v>
      </c>
      <c r="G904" s="6" t="s">
        <v>2932</v>
      </c>
      <c r="H904" s="6"/>
      <c r="I904" s="26" t="n">
        <v>5</v>
      </c>
      <c r="J904" s="26" t="n">
        <f aca="false">COUNTIFS('Control Library'!$A$5:$A$50,"AI-CTRL-011",'Control Library'!$R$5:$R$50,"Implemented")+COUNTIFS('Control Library'!$A$5:$A$50,"AI-CTRL-025",'Control Library'!$R$5:$R$50,"Implemented")+COUNTIFS('Control Library'!$A$5:$A$50,"AI-CTRL-037",'Control Library'!$R$5:$R$50,"Implemented")+COUNTIFS('Control Library'!$A$5:$A$50,"AI-CTRL-038",'Control Library'!$R$5:$R$50,"Implemented")+COUNTIFS('Control Library'!$A$5:$A$50,"AI-CTRL-045",'Control Library'!$R$5:$R$50,"Implemented")</f>
        <v>0</v>
      </c>
      <c r="K904" s="43" t="str">
        <f aca="false">IF(I904=0,"No wiki control",IF(J904=I904,"Fully covered",IF(J904=0,"Not covered","Partly covered")))</f>
        <v>Not covered</v>
      </c>
      <c r="L904" s="9" t="s">
        <v>2918</v>
      </c>
    </row>
    <row r="905" customFormat="false" ht="35.05" hidden="false" customHeight="false" outlineLevel="0" collapsed="false">
      <c r="A905" s="58" t="s">
        <v>622</v>
      </c>
      <c r="B905" s="58" t="s">
        <v>613</v>
      </c>
      <c r="C905" s="5" t="s">
        <v>2933</v>
      </c>
      <c r="D905" s="6" t="s">
        <v>2934</v>
      </c>
      <c r="E905" s="6" t="s">
        <v>2935</v>
      </c>
      <c r="F905" s="6" t="s">
        <v>730</v>
      </c>
      <c r="G905" s="6" t="s">
        <v>2936</v>
      </c>
      <c r="H905" s="6"/>
      <c r="I905" s="26" t="n">
        <v>3</v>
      </c>
      <c r="J905" s="26" t="n">
        <f aca="false">COUNTIFS('Control Library'!$A$5:$A$50,"AI-CTRL-011",'Control Library'!$R$5:$R$50,"Implemented")+COUNTIFS('Control Library'!$A$5:$A$50,"AI-CTRL-014",'Control Library'!$R$5:$R$50,"Implemented")+COUNTIFS('Control Library'!$A$5:$A$50,"AI-CTRL-038",'Control Library'!$R$5:$R$50,"Implemented")</f>
        <v>0</v>
      </c>
      <c r="K905" s="43" t="str">
        <f aca="false">IF(I905=0,"No wiki control",IF(J905=I905,"Fully covered",IF(J905=0,"Not covered","Partly covered")))</f>
        <v>Not covered</v>
      </c>
      <c r="L905" s="9" t="s">
        <v>2918</v>
      </c>
    </row>
    <row r="906" customFormat="false" ht="23.85" hidden="false" customHeight="false" outlineLevel="0" collapsed="false">
      <c r="A906" s="58" t="s">
        <v>622</v>
      </c>
      <c r="B906" s="58" t="s">
        <v>613</v>
      </c>
      <c r="C906" s="5" t="s">
        <v>2937</v>
      </c>
      <c r="D906" s="6" t="s">
        <v>2938</v>
      </c>
      <c r="E906" s="6" t="s">
        <v>2939</v>
      </c>
      <c r="F906" s="6" t="s">
        <v>730</v>
      </c>
      <c r="G906" s="6" t="s">
        <v>2940</v>
      </c>
      <c r="H906" s="6"/>
      <c r="I906" s="26" t="n">
        <v>2</v>
      </c>
      <c r="J906" s="26" t="n">
        <f aca="false">COUNTIFS('Control Library'!$A$5:$A$50,"AI-CTRL-005",'Control Library'!$R$5:$R$50,"Implemented")+COUNTIFS('Control Library'!$A$5:$A$50,"AI-CTRL-011",'Control Library'!$R$5:$R$50,"Implemented")</f>
        <v>0</v>
      </c>
      <c r="K906" s="43" t="str">
        <f aca="false">IF(I906=0,"No wiki control",IF(J906=I906,"Fully covered",IF(J906=0,"Not covered","Partly covered")))</f>
        <v>Not covered</v>
      </c>
      <c r="L906" s="9" t="s">
        <v>2918</v>
      </c>
    </row>
    <row r="907" customFormat="false" ht="23.85" hidden="false" customHeight="false" outlineLevel="0" collapsed="false">
      <c r="A907" s="58" t="s">
        <v>622</v>
      </c>
      <c r="B907" s="58" t="s">
        <v>613</v>
      </c>
      <c r="C907" s="5" t="s">
        <v>2941</v>
      </c>
      <c r="D907" s="6" t="s">
        <v>2942</v>
      </c>
      <c r="E907" s="6" t="s">
        <v>486</v>
      </c>
      <c r="F907" s="6" t="s">
        <v>730</v>
      </c>
      <c r="G907" s="6" t="s">
        <v>490</v>
      </c>
      <c r="H907" s="6"/>
      <c r="I907" s="26" t="n">
        <v>1</v>
      </c>
      <c r="J907" s="26" t="n">
        <f aca="false">COUNTIFS('Control Library'!$A$5:$A$50,"AI-CTRL-039",'Control Library'!$R$5:$R$50,"Implemented")</f>
        <v>0</v>
      </c>
      <c r="K907" s="43" t="str">
        <f aca="false">IF(I907=0,"No wiki control",IF(J907=I907,"Fully covered",IF(J907=0,"Not covered","Partly covered")))</f>
        <v>Not covered</v>
      </c>
      <c r="L907" s="9" t="s">
        <v>2918</v>
      </c>
    </row>
    <row r="908" customFormat="false" ht="23.85" hidden="false" customHeight="false" outlineLevel="0" collapsed="false">
      <c r="A908" s="58" t="s">
        <v>622</v>
      </c>
      <c r="B908" s="58" t="s">
        <v>613</v>
      </c>
      <c r="C908" s="5" t="s">
        <v>2943</v>
      </c>
      <c r="D908" s="6" t="s">
        <v>2944</v>
      </c>
      <c r="E908" s="6" t="s">
        <v>2702</v>
      </c>
      <c r="F908" s="6" t="s">
        <v>730</v>
      </c>
      <c r="G908" s="6" t="s">
        <v>2703</v>
      </c>
      <c r="H908" s="6"/>
      <c r="I908" s="26" t="n">
        <v>2</v>
      </c>
      <c r="J908" s="26" t="n">
        <f aca="false">COUNTIFS('Control Library'!$A$5:$A$50,"AI-CTRL-005",'Control Library'!$R$5:$R$50,"Implemented")+COUNTIFS('Control Library'!$A$5:$A$50,"AI-CTRL-035",'Control Library'!$R$5:$R$50,"Implemented")</f>
        <v>0</v>
      </c>
      <c r="K908" s="43" t="str">
        <f aca="false">IF(I908=0,"No wiki control",IF(J908=I908,"Fully covered",IF(J908=0,"Not covered","Partly covered")))</f>
        <v>Not covered</v>
      </c>
      <c r="L908" s="9" t="s">
        <v>2918</v>
      </c>
    </row>
    <row r="909" customFormat="false" ht="23.85" hidden="false" customHeight="false" outlineLevel="0" collapsed="false">
      <c r="A909" s="58" t="s">
        <v>622</v>
      </c>
      <c r="B909" s="58" t="s">
        <v>613</v>
      </c>
      <c r="C909" s="5" t="s">
        <v>2945</v>
      </c>
      <c r="D909" s="6" t="s">
        <v>2946</v>
      </c>
      <c r="E909" s="6" t="s">
        <v>2947</v>
      </c>
      <c r="F909" s="6" t="s">
        <v>730</v>
      </c>
      <c r="G909" s="6" t="s">
        <v>2948</v>
      </c>
      <c r="H909" s="6"/>
      <c r="I909" s="26" t="n">
        <v>2</v>
      </c>
      <c r="J909" s="26" t="n">
        <f aca="false">COUNTIFS('Control Library'!$A$5:$A$50,"AI-CTRL-005",'Control Library'!$R$5:$R$50,"Implemented")+COUNTIFS('Control Library'!$A$5:$A$50,"AI-CTRL-013",'Control Library'!$R$5:$R$50,"Implemented")</f>
        <v>0</v>
      </c>
      <c r="K909" s="43" t="str">
        <f aca="false">IF(I909=0,"No wiki control",IF(J909=I909,"Fully covered",IF(J909=0,"Not covered","Partly covered")))</f>
        <v>Not covered</v>
      </c>
      <c r="L909" s="9" t="s">
        <v>2918</v>
      </c>
    </row>
    <row r="910" customFormat="false" ht="23.85" hidden="false" customHeight="false" outlineLevel="0" collapsed="false">
      <c r="A910" s="58" t="s">
        <v>622</v>
      </c>
      <c r="B910" s="58" t="s">
        <v>613</v>
      </c>
      <c r="C910" s="5" t="s">
        <v>2949</v>
      </c>
      <c r="D910" s="6" t="s">
        <v>2950</v>
      </c>
      <c r="E910" s="6"/>
      <c r="F910" s="6" t="s">
        <v>640</v>
      </c>
      <c r="G910" s="6"/>
      <c r="H910" s="6"/>
      <c r="I910" s="26" t="n">
        <v>0</v>
      </c>
      <c r="J910" s="26" t="n">
        <f aca="false">0</f>
        <v>0</v>
      </c>
      <c r="K910" s="43" t="str">
        <f aca="false">IF(I910=0,"No wiki control",IF(J910=I910,"Fully covered",IF(J910=0,"Not covered","Partly covered")))</f>
        <v>No wiki control</v>
      </c>
      <c r="L910" s="9" t="s">
        <v>2918</v>
      </c>
    </row>
    <row r="911" customFormat="false" ht="57.45" hidden="false" customHeight="false" outlineLevel="0" collapsed="false">
      <c r="A911" s="58" t="s">
        <v>622</v>
      </c>
      <c r="B911" s="58" t="s">
        <v>613</v>
      </c>
      <c r="C911" s="5" t="s">
        <v>2951</v>
      </c>
      <c r="D911" s="6" t="s">
        <v>2952</v>
      </c>
      <c r="E911" s="6" t="s">
        <v>2953</v>
      </c>
      <c r="F911" s="6" t="s">
        <v>730</v>
      </c>
      <c r="G911" s="6" t="s">
        <v>2954</v>
      </c>
      <c r="H911" s="6"/>
      <c r="I911" s="26" t="n">
        <v>5</v>
      </c>
      <c r="J911" s="26"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Library'!$A$5:$A$50,"AI-CTRL-045",'Control Library'!$R$5:$R$50,"Implemented")</f>
        <v>0</v>
      </c>
      <c r="K911" s="43" t="str">
        <f aca="false">IF(I911=0,"No wiki control",IF(J911=I911,"Fully covered",IF(J911=0,"Not covered","Partly covered")))</f>
        <v>Not covered</v>
      </c>
      <c r="L911" s="9" t="s">
        <v>2918</v>
      </c>
    </row>
    <row r="912" customFormat="false" ht="23.85" hidden="false" customHeight="false" outlineLevel="0" collapsed="false">
      <c r="A912" s="58" t="s">
        <v>623</v>
      </c>
      <c r="B912" s="58" t="s">
        <v>613</v>
      </c>
      <c r="C912" s="5" t="s">
        <v>2955</v>
      </c>
      <c r="D912" s="6" t="s">
        <v>2956</v>
      </c>
      <c r="E912" s="6" t="s">
        <v>263</v>
      </c>
      <c r="F912" s="6" t="s">
        <v>730</v>
      </c>
      <c r="G912" s="6" t="s">
        <v>266</v>
      </c>
      <c r="H912" s="6"/>
      <c r="I912" s="26" t="n">
        <v>1</v>
      </c>
      <c r="J912" s="26" t="n">
        <f aca="false">COUNTIFS('Control Library'!$A$5:$A$50,"AI-CTRL-012",'Control Library'!$R$5:$R$50,"Implemented")</f>
        <v>0</v>
      </c>
      <c r="K912" s="43" t="str">
        <f aca="false">IF(I912=0,"No wiki control",IF(J912=I912,"Fully covered",IF(J912=0,"Not covered","Partly covered")))</f>
        <v>Not covered</v>
      </c>
      <c r="L912" s="9" t="s">
        <v>2957</v>
      </c>
    </row>
    <row r="913" customFormat="false" ht="23.85" hidden="false" customHeight="false" outlineLevel="0" collapsed="false">
      <c r="A913" s="58" t="s">
        <v>623</v>
      </c>
      <c r="B913" s="58" t="s">
        <v>613</v>
      </c>
      <c r="C913" s="5" t="s">
        <v>2958</v>
      </c>
      <c r="D913" s="6" t="s">
        <v>2959</v>
      </c>
      <c r="E913" s="6" t="s">
        <v>263</v>
      </c>
      <c r="F913" s="6" t="s">
        <v>730</v>
      </c>
      <c r="G913" s="6" t="s">
        <v>266</v>
      </c>
      <c r="H913" s="6"/>
      <c r="I913" s="26" t="n">
        <v>1</v>
      </c>
      <c r="J913" s="26" t="n">
        <f aca="false">COUNTIFS('Control Library'!$A$5:$A$50,"AI-CTRL-012",'Control Library'!$R$5:$R$50,"Implemented")</f>
        <v>0</v>
      </c>
      <c r="K913" s="43" t="str">
        <f aca="false">IF(I913=0,"No wiki control",IF(J913=I913,"Fully covered",IF(J913=0,"Not covered","Partly covered")))</f>
        <v>Not covered</v>
      </c>
      <c r="L913" s="9" t="s">
        <v>2957</v>
      </c>
    </row>
    <row r="914" customFormat="false" ht="46.25" hidden="false" customHeight="false" outlineLevel="0" collapsed="false">
      <c r="A914" s="58" t="s">
        <v>623</v>
      </c>
      <c r="B914" s="58" t="s">
        <v>613</v>
      </c>
      <c r="C914" s="5" t="s">
        <v>2960</v>
      </c>
      <c r="D914" s="6" t="s">
        <v>2961</v>
      </c>
      <c r="E914" s="6" t="s">
        <v>2962</v>
      </c>
      <c r="F914" s="6" t="s">
        <v>730</v>
      </c>
      <c r="G914" s="6" t="s">
        <v>2963</v>
      </c>
      <c r="H914" s="6"/>
      <c r="I914" s="26" t="n">
        <v>4</v>
      </c>
      <c r="J914" s="26" t="n">
        <f aca="false">COUNTIFS('Control Library'!$A$5:$A$50,"AI-CTRL-012",'Control Library'!$R$5:$R$50,"Implemented")+COUNTIFS('Control Library'!$A$5:$A$50,"AI-CTRL-037",'Control Library'!$R$5:$R$50,"Implemented")+COUNTIFS('Control Library'!$A$5:$A$50,"AI-CTRL-039",'Control Library'!$R$5:$R$50,"Implemented")+COUNTIFS('Control Library'!$A$5:$A$50,"AI-CTRL-041",'Control Library'!$R$5:$R$50,"Implemented")</f>
        <v>0</v>
      </c>
      <c r="K914" s="43" t="str">
        <f aca="false">IF(I914=0,"No wiki control",IF(J914=I914,"Fully covered",IF(J914=0,"Not covered","Partly covered")))</f>
        <v>Not covered</v>
      </c>
      <c r="L914" s="9" t="s">
        <v>2957</v>
      </c>
    </row>
    <row r="915" customFormat="false" ht="23.85" hidden="false" customHeight="false" outlineLevel="0" collapsed="false">
      <c r="A915" s="58" t="s">
        <v>623</v>
      </c>
      <c r="B915" s="58" t="s">
        <v>613</v>
      </c>
      <c r="C915" s="5" t="s">
        <v>2964</v>
      </c>
      <c r="D915" s="6" t="s">
        <v>2965</v>
      </c>
      <c r="E915" s="6" t="s">
        <v>2870</v>
      </c>
      <c r="F915" s="6" t="s">
        <v>730</v>
      </c>
      <c r="G915" s="6" t="s">
        <v>2835</v>
      </c>
      <c r="H915" s="6"/>
      <c r="I915" s="26" t="n">
        <v>3</v>
      </c>
      <c r="J915" s="26" t="n">
        <f aca="false">COUNTIFS('Control Library'!$A$5:$A$50,"AI-CTRL-007",'Control Library'!$R$5:$R$50,"Implemented")+COUNTIFS('Control Library'!$A$5:$A$50,"AI-CTRL-013",'Control Library'!$R$5:$R$50,"Implemented")+COUNTIFS('Control Library'!$A$5:$A$50,"AI-CTRL-035",'Control Library'!$R$5:$R$50,"Implemented")</f>
        <v>0</v>
      </c>
      <c r="K915" s="43" t="str">
        <f aca="false">IF(I915=0,"No wiki control",IF(J915=I915,"Fully covered",IF(J915=0,"Not covered","Partly covered")))</f>
        <v>Not covered</v>
      </c>
      <c r="L915" s="9" t="s">
        <v>2957</v>
      </c>
    </row>
    <row r="916" customFormat="false" ht="23.85" hidden="false" customHeight="false" outlineLevel="0" collapsed="false">
      <c r="A916" s="58" t="s">
        <v>623</v>
      </c>
      <c r="B916" s="58" t="s">
        <v>613</v>
      </c>
      <c r="C916" s="5" t="s">
        <v>2966</v>
      </c>
      <c r="D916" s="6" t="s">
        <v>2967</v>
      </c>
      <c r="E916" s="6" t="s">
        <v>404</v>
      </c>
      <c r="F916" s="6" t="s">
        <v>730</v>
      </c>
      <c r="G916" s="6" t="s">
        <v>399</v>
      </c>
      <c r="H916" s="6"/>
      <c r="I916" s="26" t="n">
        <v>1</v>
      </c>
      <c r="J916" s="26" t="n">
        <f aca="false">COUNTIFS('Control Library'!$A$5:$A$50,"AI-CTRL-029",'Control Library'!$R$5:$R$50,"Implemented")</f>
        <v>0</v>
      </c>
      <c r="K916" s="43" t="str">
        <f aca="false">IF(I916=0,"No wiki control",IF(J916=I916,"Fully covered",IF(J916=0,"Not covered","Partly covered")))</f>
        <v>Not covered</v>
      </c>
      <c r="L916" s="9" t="s">
        <v>2957</v>
      </c>
    </row>
    <row r="917" customFormat="false" ht="23.85" hidden="false" customHeight="false" outlineLevel="0" collapsed="false">
      <c r="A917" s="58" t="s">
        <v>623</v>
      </c>
      <c r="B917" s="58" t="s">
        <v>613</v>
      </c>
      <c r="C917" s="5" t="s">
        <v>2968</v>
      </c>
      <c r="D917" s="6" t="s">
        <v>2969</v>
      </c>
      <c r="E917" s="6" t="s">
        <v>2970</v>
      </c>
      <c r="F917" s="6" t="s">
        <v>730</v>
      </c>
      <c r="G917" s="6" t="s">
        <v>2971</v>
      </c>
      <c r="H917" s="6"/>
      <c r="I917" s="26" t="n">
        <v>2</v>
      </c>
      <c r="J917" s="26" t="n">
        <f aca="false">COUNTIFS('Control Library'!$A$5:$A$50,"AI-CTRL-014",'Control Library'!$R$5:$R$50,"Implemented")+COUNTIFS('Control Library'!$A$5:$A$50,"AI-CTRL-037",'Control Library'!$R$5:$R$50,"Implemented")</f>
        <v>0</v>
      </c>
      <c r="K917" s="43" t="str">
        <f aca="false">IF(I917=0,"No wiki control",IF(J917=I917,"Fully covered",IF(J917=0,"Not covered","Partly covered")))</f>
        <v>Not covered</v>
      </c>
      <c r="L917" s="9" t="s">
        <v>2957</v>
      </c>
    </row>
    <row r="918" customFormat="false" ht="23.85" hidden="false" customHeight="false" outlineLevel="0" collapsed="false">
      <c r="A918" s="58" t="s">
        <v>624</v>
      </c>
      <c r="B918" s="58" t="s">
        <v>613</v>
      </c>
      <c r="C918" s="5" t="s">
        <v>2972</v>
      </c>
      <c r="D918" s="6" t="s">
        <v>2973</v>
      </c>
      <c r="E918" s="6" t="s">
        <v>263</v>
      </c>
      <c r="F918" s="6" t="s">
        <v>730</v>
      </c>
      <c r="G918" s="6" t="s">
        <v>266</v>
      </c>
      <c r="H918" s="6" t="s">
        <v>657</v>
      </c>
      <c r="I918" s="26" t="n">
        <v>1</v>
      </c>
      <c r="J918" s="26" t="n">
        <f aca="false">COUNTIFS('Control Library'!$A$5:$A$50,"AI-CTRL-012",'Control Library'!$R$5:$R$50,"Implemented")</f>
        <v>0</v>
      </c>
      <c r="K918" s="43" t="str">
        <f aca="false">IF(I918=0,"No wiki control",IF(J918=I918,"Fully covered",IF(J918=0,"Not covered","Partly covered")))</f>
        <v>Not covered</v>
      </c>
      <c r="L918" s="9" t="s">
        <v>2974</v>
      </c>
    </row>
    <row r="919" customFormat="false" ht="35.05" hidden="false" customHeight="false" outlineLevel="0" collapsed="false">
      <c r="A919" s="58" t="s">
        <v>624</v>
      </c>
      <c r="B919" s="58" t="s">
        <v>613</v>
      </c>
      <c r="C919" s="5" t="s">
        <v>2975</v>
      </c>
      <c r="D919" s="6" t="s">
        <v>2976</v>
      </c>
      <c r="E919" s="6" t="s">
        <v>826</v>
      </c>
      <c r="F919" s="6" t="s">
        <v>730</v>
      </c>
      <c r="G919" s="6" t="s">
        <v>473</v>
      </c>
      <c r="H919" s="6" t="s">
        <v>642</v>
      </c>
      <c r="I919" s="26" t="n">
        <v>2</v>
      </c>
      <c r="J919" s="26" t="n">
        <f aca="false">COUNTIFS('Control Library'!$A$5:$A$50,"AI-CTRL-011",'Control Library'!$R$5:$R$50,"Implemented")+COUNTIFS('Control Library'!$A$5:$A$50,"AI-CTRL-037",'Control Library'!$R$5:$R$50,"Implemented")</f>
        <v>0</v>
      </c>
      <c r="K919" s="43" t="str">
        <f aca="false">IF(I919=0,"No wiki control",IF(J919=I919,"Fully covered",IF(J919=0,"Not covered","Partly covered")))</f>
        <v>Not covered</v>
      </c>
      <c r="L919" s="9" t="s">
        <v>2974</v>
      </c>
    </row>
    <row r="920" customFormat="false" ht="57.45" hidden="false" customHeight="false" outlineLevel="0" collapsed="false">
      <c r="A920" s="58" t="s">
        <v>624</v>
      </c>
      <c r="B920" s="58" t="s">
        <v>613</v>
      </c>
      <c r="C920" s="5" t="s">
        <v>2977</v>
      </c>
      <c r="D920" s="6" t="s">
        <v>2978</v>
      </c>
      <c r="E920" s="6" t="s">
        <v>2979</v>
      </c>
      <c r="F920" s="6" t="s">
        <v>730</v>
      </c>
      <c r="G920" s="6" t="s">
        <v>1012</v>
      </c>
      <c r="H920" s="6" t="s">
        <v>642</v>
      </c>
      <c r="I920" s="26" t="n">
        <v>4</v>
      </c>
      <c r="J920" s="26" t="n">
        <f aca="false">COUNTIFS('Control Library'!$A$5:$A$50,"AI-CTRL-001",'Control Library'!$R$5:$R$50,"Implemented")+COUNTIFS('Control Library'!$A$5:$A$50,"AI-CTRL-010",'Control Library'!$R$5:$R$50,"Implemented")+COUNTIFS('Control Library'!$A$5:$A$50,"AI-CTRL-012",'Control Library'!$R$5:$R$50,"Implemented")+COUNTIFS('Control Library'!$A$5:$A$50,"AI-CTRL-044",'Control Library'!$R$5:$R$50,"Implemented")</f>
        <v>0</v>
      </c>
      <c r="K920" s="43" t="str">
        <f aca="false">IF(I920=0,"No wiki control",IF(J920=I920,"Fully covered",IF(J920=0,"Not covered","Partly covered")))</f>
        <v>Not covered</v>
      </c>
      <c r="L920" s="9" t="s">
        <v>2974</v>
      </c>
    </row>
    <row r="921" customFormat="false" ht="46.25" hidden="false" customHeight="false" outlineLevel="0" collapsed="false">
      <c r="A921" s="58" t="s">
        <v>624</v>
      </c>
      <c r="B921" s="58" t="s">
        <v>613</v>
      </c>
      <c r="C921" s="5" t="s">
        <v>2980</v>
      </c>
      <c r="D921" s="6" t="s">
        <v>2981</v>
      </c>
      <c r="E921" s="6" t="s">
        <v>2549</v>
      </c>
      <c r="F921" s="6" t="s">
        <v>730</v>
      </c>
      <c r="G921" s="6" t="s">
        <v>2550</v>
      </c>
      <c r="H921" s="6" t="s">
        <v>657</v>
      </c>
      <c r="I921" s="26" t="n">
        <v>2</v>
      </c>
      <c r="J921" s="26" t="n">
        <f aca="false">COUNTIFS('Control Library'!$A$5:$A$50,"AI-CTRL-012",'Control Library'!$R$5:$R$50,"Implemented")+COUNTIFS('Control Library'!$A$5:$A$50,"AI-CTRL-037",'Control Library'!$R$5:$R$50,"Implemented")</f>
        <v>0</v>
      </c>
      <c r="K921" s="43" t="str">
        <f aca="false">IF(I921=0,"No wiki control",IF(J921=I921,"Fully covered",IF(J921=0,"Not covered","Partly covered")))</f>
        <v>Not covered</v>
      </c>
      <c r="L921" s="9" t="s">
        <v>2974</v>
      </c>
    </row>
    <row r="922" customFormat="false" ht="46.25" hidden="false" customHeight="false" outlineLevel="0" collapsed="false">
      <c r="A922" s="58" t="s">
        <v>624</v>
      </c>
      <c r="B922" s="58" t="s">
        <v>613</v>
      </c>
      <c r="C922" s="5" t="s">
        <v>2982</v>
      </c>
      <c r="D922" s="6" t="s">
        <v>2983</v>
      </c>
      <c r="E922" s="6" t="s">
        <v>2984</v>
      </c>
      <c r="F922" s="6" t="s">
        <v>730</v>
      </c>
      <c r="G922" s="6" t="s">
        <v>2985</v>
      </c>
      <c r="H922" s="6" t="s">
        <v>642</v>
      </c>
      <c r="I922" s="26" t="n">
        <v>3</v>
      </c>
      <c r="J922" s="26" t="n">
        <f aca="false">COUNTIFS('Control Library'!$A$5:$A$50,"AI-CTRL-012",'Control Library'!$R$5:$R$50,"Implemented")+COUNTIFS('Control Library'!$A$5:$A$50,"AI-CTRL-035",'Control Library'!$R$5:$R$50,"Implemented")+COUNTIFS('Control Library'!$A$5:$A$50,"AI-CTRL-044",'Control Library'!$R$5:$R$50,"Implemented")</f>
        <v>0</v>
      </c>
      <c r="K922" s="43" t="str">
        <f aca="false">IF(I922=0,"No wiki control",IF(J922=I922,"Fully covered",IF(J922=0,"Not covered","Partly covered")))</f>
        <v>Not covered</v>
      </c>
      <c r="L922" s="9" t="s">
        <v>2974</v>
      </c>
    </row>
    <row r="923" customFormat="false" ht="35.05" hidden="false" customHeight="false" outlineLevel="0" collapsed="false">
      <c r="A923" s="58" t="s">
        <v>624</v>
      </c>
      <c r="B923" s="58" t="s">
        <v>613</v>
      </c>
      <c r="C923" s="5" t="s">
        <v>2986</v>
      </c>
      <c r="D923" s="6" t="s">
        <v>2987</v>
      </c>
      <c r="E923" s="6" t="s">
        <v>2078</v>
      </c>
      <c r="F923" s="6" t="s">
        <v>730</v>
      </c>
      <c r="G923" s="6" t="s">
        <v>258</v>
      </c>
      <c r="H923" s="6" t="s">
        <v>642</v>
      </c>
      <c r="I923" s="26" t="n">
        <v>2</v>
      </c>
      <c r="J923" s="26" t="n">
        <f aca="false">COUNTIFS('Control Library'!$A$5:$A$50,"AI-CTRL-001",'Control Library'!$R$5:$R$50,"Implemented")+COUNTIFS('Control Library'!$A$5:$A$50,"AI-CTRL-011",'Control Library'!$R$5:$R$50,"Implemented")</f>
        <v>0</v>
      </c>
      <c r="K923" s="43" t="str">
        <f aca="false">IF(I923=0,"No wiki control",IF(J923=I923,"Fully covered",IF(J923=0,"Not covered","Partly covered")))</f>
        <v>Not covered</v>
      </c>
      <c r="L923" s="9" t="s">
        <v>2974</v>
      </c>
    </row>
    <row r="924" customFormat="false" ht="35.05" hidden="false" customHeight="false" outlineLevel="0" collapsed="false">
      <c r="A924" s="58" t="s">
        <v>624</v>
      </c>
      <c r="B924" s="58" t="s">
        <v>613</v>
      </c>
      <c r="C924" s="5" t="s">
        <v>2988</v>
      </c>
      <c r="D924" s="6" t="s">
        <v>2989</v>
      </c>
      <c r="E924" s="6" t="s">
        <v>1185</v>
      </c>
      <c r="F924" s="6" t="s">
        <v>730</v>
      </c>
      <c r="G924" s="6" t="s">
        <v>1017</v>
      </c>
      <c r="H924" s="6" t="s">
        <v>642</v>
      </c>
      <c r="I924" s="26" t="n">
        <v>2</v>
      </c>
      <c r="J924" s="26" t="n">
        <f aca="false">COUNTIFS('Control Library'!$A$5:$A$50,"AI-CTRL-006",'Control Library'!$R$5:$R$50,"Implemented")+COUNTIFS('Control Library'!$A$5:$A$50,"AI-CTRL-011",'Control Library'!$R$5:$R$50,"Implemented")</f>
        <v>0</v>
      </c>
      <c r="K924" s="43" t="str">
        <f aca="false">IF(I924=0,"No wiki control",IF(J924=I924,"Fully covered",IF(J924=0,"Not covered","Partly covered")))</f>
        <v>Not covered</v>
      </c>
      <c r="L924" s="9" t="s">
        <v>2974</v>
      </c>
    </row>
    <row r="925" customFormat="false" ht="35.05" hidden="false" customHeight="false" outlineLevel="0" collapsed="false">
      <c r="A925" s="58" t="s">
        <v>624</v>
      </c>
      <c r="B925" s="58" t="s">
        <v>613</v>
      </c>
      <c r="C925" s="5" t="s">
        <v>2990</v>
      </c>
      <c r="D925" s="6" t="s">
        <v>2991</v>
      </c>
      <c r="E925" s="6" t="s">
        <v>826</v>
      </c>
      <c r="F925" s="6" t="s">
        <v>730</v>
      </c>
      <c r="G925" s="6" t="s">
        <v>473</v>
      </c>
      <c r="H925" s="6" t="s">
        <v>642</v>
      </c>
      <c r="I925" s="26" t="n">
        <v>2</v>
      </c>
      <c r="J925" s="26" t="n">
        <f aca="false">COUNTIFS('Control Library'!$A$5:$A$50,"AI-CTRL-011",'Control Library'!$R$5:$R$50,"Implemented")+COUNTIFS('Control Library'!$A$5:$A$50,"AI-CTRL-037",'Control Library'!$R$5:$R$50,"Implemented")</f>
        <v>0</v>
      </c>
      <c r="K925" s="43" t="str">
        <f aca="false">IF(I925=0,"No wiki control",IF(J925=I925,"Fully covered",IF(J925=0,"Not covered","Partly covered")))</f>
        <v>Not covered</v>
      </c>
      <c r="L925" s="9" t="s">
        <v>2974</v>
      </c>
    </row>
    <row r="926" customFormat="false" ht="23.85" hidden="false" customHeight="false" outlineLevel="0" collapsed="false">
      <c r="A926" s="58" t="s">
        <v>624</v>
      </c>
      <c r="B926" s="58" t="s">
        <v>613</v>
      </c>
      <c r="C926" s="5" t="s">
        <v>2992</v>
      </c>
      <c r="D926" s="6" t="s">
        <v>2993</v>
      </c>
      <c r="E926" s="6" t="s">
        <v>2994</v>
      </c>
      <c r="F926" s="6" t="s">
        <v>730</v>
      </c>
      <c r="G926" s="6" t="s">
        <v>1493</v>
      </c>
      <c r="H926" s="6" t="s">
        <v>642</v>
      </c>
      <c r="I926" s="26" t="n">
        <v>2</v>
      </c>
      <c r="J926" s="26" t="n">
        <f aca="false">COUNTIFS('Control Library'!$A$5:$A$50,"AI-CTRL-025",'Control Library'!$R$5:$R$50,"Implemented")+COUNTIFS('Control Library'!$A$5:$A$50,"AI-CTRL-040",'Control Library'!$R$5:$R$50,"Implemented")</f>
        <v>0</v>
      </c>
      <c r="K926" s="43" t="str">
        <f aca="false">IF(I926=0,"No wiki control",IF(J926=I926,"Fully covered",IF(J926=0,"Not covered","Partly covered")))</f>
        <v>Not covered</v>
      </c>
      <c r="L926" s="9" t="s">
        <v>2974</v>
      </c>
    </row>
    <row r="927" customFormat="false" ht="35.05" hidden="false" customHeight="false" outlineLevel="0" collapsed="false">
      <c r="A927" s="58" t="s">
        <v>624</v>
      </c>
      <c r="B927" s="58" t="s">
        <v>613</v>
      </c>
      <c r="C927" s="5" t="s">
        <v>2995</v>
      </c>
      <c r="D927" s="6" t="s">
        <v>2996</v>
      </c>
      <c r="E927" s="6" t="s">
        <v>1939</v>
      </c>
      <c r="F927" s="6" t="s">
        <v>730</v>
      </c>
      <c r="G927" s="6" t="s">
        <v>1940</v>
      </c>
      <c r="H927" s="6" t="s">
        <v>642</v>
      </c>
      <c r="I927" s="26" t="n">
        <v>3</v>
      </c>
      <c r="J927" s="26" t="n">
        <f aca="false">COUNTIFS('Control Library'!$A$5:$A$50,"AI-CTRL-013",'Control Library'!$R$5:$R$50,"Implemented")+COUNTIFS('Control Library'!$A$5:$A$50,"AI-CTRL-017",'Control Library'!$R$5:$R$50,"Implemented")+COUNTIFS('Control Library'!$A$5:$A$50,"AI-CTRL-029",'Control Library'!$R$5:$R$50,"Implemented")</f>
        <v>0</v>
      </c>
      <c r="K927" s="43" t="str">
        <f aca="false">IF(I927=0,"No wiki control",IF(J927=I927,"Fully covered",IF(J927=0,"Not covered","Partly covered")))</f>
        <v>Not covered</v>
      </c>
      <c r="L927" s="9" t="s">
        <v>2974</v>
      </c>
    </row>
    <row r="928" customFormat="false" ht="35.05" hidden="false" customHeight="false" outlineLevel="0" collapsed="false">
      <c r="A928" s="58" t="s">
        <v>624</v>
      </c>
      <c r="B928" s="58" t="s">
        <v>613</v>
      </c>
      <c r="C928" s="5" t="s">
        <v>2997</v>
      </c>
      <c r="D928" s="6" t="s">
        <v>2998</v>
      </c>
      <c r="E928" s="6" t="s">
        <v>1652</v>
      </c>
      <c r="F928" s="6" t="s">
        <v>730</v>
      </c>
      <c r="G928" s="6" t="s">
        <v>1653</v>
      </c>
      <c r="H928" s="6" t="s">
        <v>642</v>
      </c>
      <c r="I928" s="26" t="n">
        <v>2</v>
      </c>
      <c r="J928" s="26" t="n">
        <f aca="false">COUNTIFS('Control Library'!$A$5:$A$50,"AI-CTRL-039",'Control Library'!$R$5:$R$50,"Implemented")+COUNTIFS('Control Library'!$A$5:$A$50,"AI-CTRL-041",'Control Library'!$R$5:$R$50,"Implemented")</f>
        <v>0</v>
      </c>
      <c r="K928" s="43" t="str">
        <f aca="false">IF(I928=0,"No wiki control",IF(J928=I928,"Fully covered",IF(J928=0,"Not covered","Partly covered")))</f>
        <v>Not covered</v>
      </c>
      <c r="L928" s="9" t="s">
        <v>2974</v>
      </c>
    </row>
    <row r="929" customFormat="false" ht="35.05" hidden="false" customHeight="false" outlineLevel="0" collapsed="false">
      <c r="A929" s="58" t="s">
        <v>624</v>
      </c>
      <c r="B929" s="58" t="s">
        <v>613</v>
      </c>
      <c r="C929" s="5" t="s">
        <v>2999</v>
      </c>
      <c r="D929" s="6" t="s">
        <v>3000</v>
      </c>
      <c r="E929" s="6" t="s">
        <v>504</v>
      </c>
      <c r="F929" s="6" t="s">
        <v>730</v>
      </c>
      <c r="G929" s="6" t="s">
        <v>507</v>
      </c>
      <c r="H929" s="6" t="s">
        <v>642</v>
      </c>
      <c r="I929" s="26" t="n">
        <v>1</v>
      </c>
      <c r="J929" s="26" t="n">
        <f aca="false">COUNTIFS('Control Library'!$A$5:$A$50,"AI-CTRL-041",'Control Library'!$R$5:$R$50,"Implemented")</f>
        <v>0</v>
      </c>
      <c r="K929" s="43" t="str">
        <f aca="false">IF(I929=0,"No wiki control",IF(J929=I929,"Fully covered",IF(J929=0,"Not covered","Partly covered")))</f>
        <v>Not covered</v>
      </c>
      <c r="L929" s="9" t="s">
        <v>2974</v>
      </c>
    </row>
    <row r="930" customFormat="false" ht="46.25" hidden="false" customHeight="false" outlineLevel="0" collapsed="false">
      <c r="A930" s="58" t="s">
        <v>624</v>
      </c>
      <c r="B930" s="58" t="s">
        <v>613</v>
      </c>
      <c r="C930" s="5" t="s">
        <v>3001</v>
      </c>
      <c r="D930" s="6" t="s">
        <v>3002</v>
      </c>
      <c r="E930" s="6" t="s">
        <v>805</v>
      </c>
      <c r="F930" s="6" t="s">
        <v>730</v>
      </c>
      <c r="G930" s="6" t="s">
        <v>542</v>
      </c>
      <c r="H930" s="6" t="s">
        <v>642</v>
      </c>
      <c r="I930" s="26" t="n">
        <v>2</v>
      </c>
      <c r="J930" s="26" t="n">
        <f aca="false">COUNTIFS('Control Library'!$A$5:$A$50,"AI-CTRL-023",'Control Library'!$R$5:$R$50,"Implemented")+COUNTIFS('Control Library'!$A$5:$A$50,"AI-CTRL-045",'Control Library'!$R$5:$R$50,"Implemented")</f>
        <v>0</v>
      </c>
      <c r="K930" s="43" t="str">
        <f aca="false">IF(I930=0,"No wiki control",IF(J930=I930,"Fully covered",IF(J930=0,"Not covered","Partly covered")))</f>
        <v>Not covered</v>
      </c>
      <c r="L930" s="9" t="s">
        <v>2974</v>
      </c>
    </row>
    <row r="931" customFormat="false" ht="46.25" hidden="false" customHeight="false" outlineLevel="0" collapsed="false">
      <c r="A931" s="58" t="s">
        <v>624</v>
      </c>
      <c r="B931" s="58" t="s">
        <v>613</v>
      </c>
      <c r="C931" s="5" t="s">
        <v>3003</v>
      </c>
      <c r="D931" s="6" t="s">
        <v>3004</v>
      </c>
      <c r="E931" s="6" t="s">
        <v>951</v>
      </c>
      <c r="F931" s="6" t="s">
        <v>730</v>
      </c>
      <c r="G931" s="6" t="s">
        <v>3005</v>
      </c>
      <c r="H931" s="6" t="s">
        <v>642</v>
      </c>
      <c r="I931" s="26" t="n">
        <v>3</v>
      </c>
      <c r="J931" s="26" t="n">
        <f aca="false">COUNTIFS('Control Library'!$A$5:$A$50,"AI-CTRL-014",'Control Library'!$R$5:$R$50,"Implemented")+COUNTIFS('Control Library'!$A$5:$A$50,"AI-CTRL-031",'Control Library'!$R$5:$R$50,"Implemented")+COUNTIFS('Control Library'!$A$5:$A$50,"AI-CTRL-040",'Control Library'!$R$5:$R$50,"Implemented")</f>
        <v>0</v>
      </c>
      <c r="K931" s="43" t="str">
        <f aca="false">IF(I931=0,"No wiki control",IF(J931=I931,"Fully covered",IF(J931=0,"Not covered","Partly covered")))</f>
        <v>Not covered</v>
      </c>
      <c r="L931" s="9" t="s">
        <v>2974</v>
      </c>
    </row>
    <row r="932" customFormat="false" ht="23.85" hidden="false" customHeight="false" outlineLevel="0" collapsed="false">
      <c r="A932" s="58" t="s">
        <v>624</v>
      </c>
      <c r="B932" s="58" t="s">
        <v>613</v>
      </c>
      <c r="C932" s="5" t="s">
        <v>3006</v>
      </c>
      <c r="D932" s="6" t="s">
        <v>3007</v>
      </c>
      <c r="E932" s="6" t="s">
        <v>435</v>
      </c>
      <c r="F932" s="6" t="s">
        <v>730</v>
      </c>
      <c r="G932" s="6" t="s">
        <v>439</v>
      </c>
      <c r="H932" s="6" t="s">
        <v>657</v>
      </c>
      <c r="I932" s="26" t="n">
        <v>1</v>
      </c>
      <c r="J932" s="26" t="n">
        <f aca="false">COUNTIFS('Control Library'!$A$5:$A$50,"AI-CTRL-033",'Control Library'!$R$5:$R$50,"Implemented")</f>
        <v>0</v>
      </c>
      <c r="K932" s="43" t="str">
        <f aca="false">IF(I932=0,"No wiki control",IF(J932=I932,"Fully covered",IF(J932=0,"Not covered","Partly covered")))</f>
        <v>Not covered</v>
      </c>
      <c r="L932" s="9" t="s">
        <v>2974</v>
      </c>
    </row>
    <row r="933" customFormat="false" ht="46.25" hidden="false" customHeight="false" outlineLevel="0" collapsed="false">
      <c r="A933" s="58" t="s">
        <v>624</v>
      </c>
      <c r="B933" s="58" t="s">
        <v>613</v>
      </c>
      <c r="C933" s="5" t="s">
        <v>3008</v>
      </c>
      <c r="D933" s="6" t="s">
        <v>3009</v>
      </c>
      <c r="E933" s="6" t="s">
        <v>3010</v>
      </c>
      <c r="F933" s="6" t="s">
        <v>730</v>
      </c>
      <c r="G933" s="6" t="s">
        <v>3011</v>
      </c>
      <c r="H933" s="6" t="s">
        <v>657</v>
      </c>
      <c r="I933" s="26" t="n">
        <v>3</v>
      </c>
      <c r="J933" s="26" t="n">
        <f aca="false">COUNTIFS('Control Library'!$A$5:$A$50,"AI-CTRL-034",'Control Library'!$R$5:$R$50,"Implemented")+COUNTIFS('Control Library'!$A$5:$A$50,"AI-CTRL-039",'Control Library'!$R$5:$R$50,"Implemented")+COUNTIFS('Control Library'!$A$5:$A$50,"AI-CTRL-041",'Control Library'!$R$5:$R$50,"Implemented")</f>
        <v>0</v>
      </c>
      <c r="K933" s="43" t="str">
        <f aca="false">IF(I933=0,"No wiki control",IF(J933=I933,"Fully covered",IF(J933=0,"Not covered","Partly covered")))</f>
        <v>Not covered</v>
      </c>
      <c r="L933" s="9" t="s">
        <v>2974</v>
      </c>
    </row>
    <row r="934" customFormat="false" ht="35.05" hidden="false" customHeight="false" outlineLevel="0" collapsed="false">
      <c r="A934" s="58" t="s">
        <v>624</v>
      </c>
      <c r="B934" s="58" t="s">
        <v>613</v>
      </c>
      <c r="C934" s="5" t="s">
        <v>3012</v>
      </c>
      <c r="D934" s="6" t="s">
        <v>3013</v>
      </c>
      <c r="E934" s="6" t="s">
        <v>3014</v>
      </c>
      <c r="F934" s="6" t="s">
        <v>730</v>
      </c>
      <c r="G934" s="6" t="s">
        <v>3015</v>
      </c>
      <c r="H934" s="6" t="s">
        <v>642</v>
      </c>
      <c r="I934" s="26" t="n">
        <v>4</v>
      </c>
      <c r="J934" s="26" t="n">
        <f aca="false">COUNTIFS('Control Library'!$A$5:$A$50,"AI-CTRL-005",'Control Library'!$R$5:$R$50,"Implemented")+COUNTIFS('Control Library'!$A$5:$A$50,"AI-CTRL-016",'Control Library'!$R$5:$R$50,"Implemented")+COUNTIFS('Control Library'!$A$5:$A$50,"AI-CTRL-024",'Control Library'!$R$5:$R$50,"Implemented")+COUNTIFS('Control Library'!$A$5:$A$50,"AI-CTRL-032",'Control Library'!$R$5:$R$50,"Implemented")</f>
        <v>0</v>
      </c>
      <c r="K934" s="43" t="str">
        <f aca="false">IF(I934=0,"No wiki control",IF(J934=I934,"Fully covered",IF(J934=0,"Not covered","Partly covered")))</f>
        <v>Not covered</v>
      </c>
      <c r="L934" s="9" t="s">
        <v>2974</v>
      </c>
    </row>
    <row r="935" customFormat="false" ht="23.85" hidden="false" customHeight="false" outlineLevel="0" collapsed="false">
      <c r="A935" s="58" t="s">
        <v>624</v>
      </c>
      <c r="B935" s="58" t="s">
        <v>613</v>
      </c>
      <c r="C935" s="5" t="s">
        <v>3016</v>
      </c>
      <c r="D935" s="6" t="s">
        <v>3017</v>
      </c>
      <c r="E935" s="6" t="s">
        <v>3018</v>
      </c>
      <c r="F935" s="6" t="s">
        <v>730</v>
      </c>
      <c r="G935" s="6" t="s">
        <v>3019</v>
      </c>
      <c r="H935" s="6" t="s">
        <v>642</v>
      </c>
      <c r="I935" s="26" t="n">
        <v>2</v>
      </c>
      <c r="J935" s="26" t="n">
        <f aca="false">COUNTIFS('Control Library'!$A$5:$A$50,"AI-CTRL-030",'Control Library'!$R$5:$R$50,"Implemented")+COUNTIFS('Control Library'!$A$5:$A$50,"AI-CTRL-038",'Control Library'!$R$5:$R$50,"Implemented")</f>
        <v>0</v>
      </c>
      <c r="K935" s="43" t="str">
        <f aca="false">IF(I935=0,"No wiki control",IF(J935=I935,"Fully covered",IF(J935=0,"Not covered","Partly covered")))</f>
        <v>Not covered</v>
      </c>
      <c r="L935" s="9" t="s">
        <v>2974</v>
      </c>
    </row>
    <row r="936" customFormat="false" ht="46.25" hidden="false" customHeight="false" outlineLevel="0" collapsed="false">
      <c r="A936" s="58" t="s">
        <v>624</v>
      </c>
      <c r="B936" s="58" t="s">
        <v>613</v>
      </c>
      <c r="C936" s="5" t="s">
        <v>3020</v>
      </c>
      <c r="D936" s="6" t="s">
        <v>3021</v>
      </c>
      <c r="E936" s="6" t="s">
        <v>3022</v>
      </c>
      <c r="F936" s="6" t="s">
        <v>730</v>
      </c>
      <c r="G936" s="6" t="s">
        <v>3023</v>
      </c>
      <c r="H936" s="6" t="s">
        <v>657</v>
      </c>
      <c r="I936" s="26" t="n">
        <v>2</v>
      </c>
      <c r="J936" s="26" t="n">
        <f aca="false">COUNTIFS('Control Library'!$A$5:$A$50,"AI-CTRL-033",'Control Library'!$R$5:$R$50,"Implemented")+COUNTIFS('Control Library'!$A$5:$A$50,"AI-CTRL-038",'Control Library'!$R$5:$R$50,"Implemented")</f>
        <v>0</v>
      </c>
      <c r="K936" s="43" t="str">
        <f aca="false">IF(I936=0,"No wiki control",IF(J936=I936,"Fully covered",IF(J936=0,"Not covered","Partly covered")))</f>
        <v>Not covered</v>
      </c>
      <c r="L936" s="9" t="s">
        <v>2974</v>
      </c>
    </row>
    <row r="937" customFormat="false" ht="46.25" hidden="false" customHeight="false" outlineLevel="0" collapsed="false">
      <c r="A937" s="58" t="s">
        <v>624</v>
      </c>
      <c r="B937" s="58" t="s">
        <v>613</v>
      </c>
      <c r="C937" s="5" t="s">
        <v>3024</v>
      </c>
      <c r="D937" s="6" t="s">
        <v>3025</v>
      </c>
      <c r="E937" s="6" t="s">
        <v>3026</v>
      </c>
      <c r="F937" s="6" t="s">
        <v>730</v>
      </c>
      <c r="G937" s="6" t="s">
        <v>3027</v>
      </c>
      <c r="H937" s="6" t="s">
        <v>642</v>
      </c>
      <c r="I937" s="26" t="n">
        <v>3</v>
      </c>
      <c r="J937" s="26" t="n">
        <f aca="false">COUNTIFS('Control Library'!$A$5:$A$50,"AI-CTRL-032",'Control Library'!$R$5:$R$50,"Implemented")+COUNTIFS('Control Library'!$A$5:$A$50,"AI-CTRL-033",'Control Library'!$R$5:$R$50,"Implemented")+COUNTIFS('Control Library'!$A$5:$A$50,"AI-CTRL-034",'Control Library'!$R$5:$R$50,"Implemented")</f>
        <v>0</v>
      </c>
      <c r="K937" s="43" t="str">
        <f aca="false">IF(I937=0,"No wiki control",IF(J937=I937,"Fully covered",IF(J937=0,"Not covered","Partly covered")))</f>
        <v>Not covered</v>
      </c>
      <c r="L937" s="9" t="s">
        <v>2974</v>
      </c>
    </row>
    <row r="938" customFormat="false" ht="46.25" hidden="false" customHeight="false" outlineLevel="0" collapsed="false">
      <c r="A938" s="58" t="s">
        <v>624</v>
      </c>
      <c r="B938" s="58" t="s">
        <v>613</v>
      </c>
      <c r="C938" s="5" t="s">
        <v>3028</v>
      </c>
      <c r="D938" s="6" t="s">
        <v>3029</v>
      </c>
      <c r="E938" s="6" t="s">
        <v>3030</v>
      </c>
      <c r="F938" s="6" t="s">
        <v>730</v>
      </c>
      <c r="G938" s="6" t="s">
        <v>1766</v>
      </c>
      <c r="H938" s="6" t="s">
        <v>642</v>
      </c>
      <c r="I938" s="26" t="n">
        <v>3</v>
      </c>
      <c r="J938" s="26" t="n">
        <f aca="false">COUNTIFS('Control Library'!$A$5:$A$50,"AI-CTRL-008",'Control Library'!$R$5:$R$50,"Implemented")+COUNTIFS('Control Library'!$A$5:$A$50,"AI-CTRL-009",'Control Library'!$R$5:$R$50,"Implemented")+COUNTIFS('Control Library'!$A$5:$A$50,"AI-CTRL-035",'Control Library'!$R$5:$R$50,"Implemented")</f>
        <v>0</v>
      </c>
      <c r="K938" s="43" t="str">
        <f aca="false">IF(I938=0,"No wiki control",IF(J938=I938,"Fully covered",IF(J938=0,"Not covered","Partly covered")))</f>
        <v>Not covered</v>
      </c>
      <c r="L938" s="9" t="s">
        <v>2974</v>
      </c>
    </row>
    <row r="939" customFormat="false" ht="35.05" hidden="false" customHeight="false" outlineLevel="0" collapsed="false">
      <c r="A939" s="58" t="s">
        <v>624</v>
      </c>
      <c r="B939" s="58" t="s">
        <v>613</v>
      </c>
      <c r="C939" s="5" t="s">
        <v>3031</v>
      </c>
      <c r="D939" s="6" t="s">
        <v>3032</v>
      </c>
      <c r="E939" s="6" t="s">
        <v>1192</v>
      </c>
      <c r="F939" s="6" t="s">
        <v>730</v>
      </c>
      <c r="G939" s="6" t="s">
        <v>1193</v>
      </c>
      <c r="H939" s="6" t="s">
        <v>642</v>
      </c>
      <c r="I939" s="26" t="n">
        <v>2</v>
      </c>
      <c r="J939" s="26" t="n">
        <f aca="false">COUNTIFS('Control Library'!$A$5:$A$50,"AI-CTRL-034",'Control Library'!$R$5:$R$50,"Implemented")+COUNTIFS('Control Library'!$A$5:$A$50,"AI-CTRL-038",'Control Library'!$R$5:$R$50,"Implemented")</f>
        <v>0</v>
      </c>
      <c r="K939" s="43" t="str">
        <f aca="false">IF(I939=0,"No wiki control",IF(J939=I939,"Fully covered",IF(J939=0,"Not covered","Partly covered")))</f>
        <v>Not covered</v>
      </c>
      <c r="L939" s="9" t="s">
        <v>2974</v>
      </c>
    </row>
    <row r="940" customFormat="false" ht="46.25" hidden="false" customHeight="false" outlineLevel="0" collapsed="false">
      <c r="A940" s="58" t="s">
        <v>624</v>
      </c>
      <c r="B940" s="58" t="s">
        <v>613</v>
      </c>
      <c r="C940" s="5" t="s">
        <v>3033</v>
      </c>
      <c r="D940" s="6" t="s">
        <v>3034</v>
      </c>
      <c r="E940" s="6" t="s">
        <v>1865</v>
      </c>
      <c r="F940" s="6" t="s">
        <v>730</v>
      </c>
      <c r="G940" s="6" t="s">
        <v>439</v>
      </c>
      <c r="H940" s="6" t="s">
        <v>642</v>
      </c>
      <c r="I940" s="26" t="n">
        <v>2</v>
      </c>
      <c r="J940" s="26" t="n">
        <f aca="false">COUNTIFS('Control Library'!$A$5:$A$50,"AI-CTRL-030",'Control Library'!$R$5:$R$50,"Implemented")+COUNTIFS('Control Library'!$A$5:$A$50,"AI-CTRL-033",'Control Library'!$R$5:$R$50,"Implemented")</f>
        <v>0</v>
      </c>
      <c r="K940" s="43" t="str">
        <f aca="false">IF(I940=0,"No wiki control",IF(J940=I940,"Fully covered",IF(J940=0,"Not covered","Partly covered")))</f>
        <v>Not covered</v>
      </c>
      <c r="L940" s="9" t="s">
        <v>2974</v>
      </c>
    </row>
    <row r="941" customFormat="false" ht="23.85" hidden="false" customHeight="false" outlineLevel="0" collapsed="false">
      <c r="A941" s="58" t="s">
        <v>624</v>
      </c>
      <c r="B941" s="58" t="s">
        <v>613</v>
      </c>
      <c r="C941" s="5" t="s">
        <v>3035</v>
      </c>
      <c r="D941" s="6" t="s">
        <v>3036</v>
      </c>
      <c r="E941" s="6" t="s">
        <v>3037</v>
      </c>
      <c r="F941" s="6" t="s">
        <v>730</v>
      </c>
      <c r="G941" s="6" t="s">
        <v>1977</v>
      </c>
      <c r="H941" s="6" t="s">
        <v>642</v>
      </c>
      <c r="I941" s="26" t="n">
        <v>2</v>
      </c>
      <c r="J941" s="26" t="n">
        <f aca="false">COUNTIFS('Control Library'!$A$5:$A$50,"AI-CTRL-011",'Control Library'!$R$5:$R$50,"Implemented")+COUNTIFS('Control Library'!$A$5:$A$50,"AI-CTRL-028",'Control Library'!$R$5:$R$50,"Implemented")</f>
        <v>0</v>
      </c>
      <c r="K941" s="43" t="str">
        <f aca="false">IF(I941=0,"No wiki control",IF(J941=I941,"Fully covered",IF(J941=0,"Not covered","Partly covered")))</f>
        <v>Not covered</v>
      </c>
      <c r="L941" s="9" t="s">
        <v>2974</v>
      </c>
    </row>
    <row r="942" customFormat="false" ht="35.05" hidden="false" customHeight="false" outlineLevel="0" collapsed="false">
      <c r="A942" s="58" t="s">
        <v>624</v>
      </c>
      <c r="B942" s="58" t="s">
        <v>613</v>
      </c>
      <c r="C942" s="5" t="s">
        <v>3038</v>
      </c>
      <c r="D942" s="6" t="s">
        <v>3039</v>
      </c>
      <c r="E942" s="6" t="s">
        <v>530</v>
      </c>
      <c r="F942" s="6" t="s">
        <v>730</v>
      </c>
      <c r="G942" s="6" t="s">
        <v>533</v>
      </c>
      <c r="H942" s="6" t="s">
        <v>642</v>
      </c>
      <c r="I942" s="26" t="n">
        <v>1</v>
      </c>
      <c r="J942" s="26" t="n">
        <f aca="false">COUNTIFS('Control Library'!$A$5:$A$50,"AI-CTRL-044",'Control Library'!$R$5:$R$50,"Implemented")</f>
        <v>0</v>
      </c>
      <c r="K942" s="43" t="str">
        <f aca="false">IF(I942=0,"No wiki control",IF(J942=I942,"Fully covered",IF(J942=0,"Not covered","Partly covered")))</f>
        <v>Not covered</v>
      </c>
      <c r="L942" s="9" t="s">
        <v>2974</v>
      </c>
    </row>
    <row r="943" customFormat="false" ht="23.85" hidden="false" customHeight="false" outlineLevel="0" collapsed="false">
      <c r="A943" s="58" t="s">
        <v>624</v>
      </c>
      <c r="B943" s="58" t="s">
        <v>613</v>
      </c>
      <c r="C943" s="5" t="s">
        <v>3040</v>
      </c>
      <c r="D943" s="6" t="s">
        <v>3041</v>
      </c>
      <c r="E943" s="6" t="s">
        <v>3042</v>
      </c>
      <c r="F943" s="6" t="s">
        <v>730</v>
      </c>
      <c r="G943" s="6" t="s">
        <v>3043</v>
      </c>
      <c r="H943" s="6" t="s">
        <v>642</v>
      </c>
      <c r="I943" s="26" t="n">
        <v>2</v>
      </c>
      <c r="J943" s="26" t="n">
        <f aca="false">COUNTIFS('Control Library'!$A$5:$A$50,"AI-CTRL-032",'Control Library'!$R$5:$R$50,"Implemented")+COUNTIFS('Control Library'!$A$5:$A$50,"AI-CTRL-040",'Control Library'!$R$5:$R$50,"Implemented")</f>
        <v>0</v>
      </c>
      <c r="K943" s="43" t="str">
        <f aca="false">IF(I943=0,"No wiki control",IF(J943=I943,"Fully covered",IF(J943=0,"Not covered","Partly covered")))</f>
        <v>Not covered</v>
      </c>
      <c r="L943" s="9" t="s">
        <v>2974</v>
      </c>
    </row>
    <row r="944" customFormat="false" ht="35.05" hidden="false" customHeight="false" outlineLevel="0" collapsed="false">
      <c r="A944" s="58" t="s">
        <v>624</v>
      </c>
      <c r="B944" s="58" t="s">
        <v>613</v>
      </c>
      <c r="C944" s="5" t="s">
        <v>3044</v>
      </c>
      <c r="D944" s="6" t="s">
        <v>3045</v>
      </c>
      <c r="E944" s="6" t="s">
        <v>3046</v>
      </c>
      <c r="F944" s="6" t="s">
        <v>730</v>
      </c>
      <c r="G944" s="6" t="s">
        <v>3047</v>
      </c>
      <c r="H944" s="6"/>
      <c r="I944" s="26" t="n">
        <v>3</v>
      </c>
      <c r="J944" s="26" t="n">
        <f aca="false">COUNTIFS('Control Library'!$A$5:$A$50,"AI-CTRL-012",'Control Library'!$R$5:$R$50,"Implemented")+COUNTIFS('Control Library'!$A$5:$A$50,"AI-CTRL-037",'Control Library'!$R$5:$R$50,"Implemented")+COUNTIFS('Control Library'!$A$5:$A$50,"AI-CTRL-039",'Control Library'!$R$5:$R$50,"Implemented")</f>
        <v>0</v>
      </c>
      <c r="K944" s="43" t="str">
        <f aca="false">IF(I944=0,"No wiki control",IF(J944=I944,"Fully covered",IF(J944=0,"Not covered","Partly covered")))</f>
        <v>Not covered</v>
      </c>
      <c r="L944" s="9" t="s">
        <v>2974</v>
      </c>
    </row>
    <row r="945" customFormat="false" ht="46.25" hidden="false" customHeight="false" outlineLevel="0" collapsed="false">
      <c r="A945" s="58" t="s">
        <v>624</v>
      </c>
      <c r="B945" s="58" t="s">
        <v>613</v>
      </c>
      <c r="C945" s="5" t="s">
        <v>3048</v>
      </c>
      <c r="D945" s="6" t="s">
        <v>3049</v>
      </c>
      <c r="E945" s="6" t="s">
        <v>3050</v>
      </c>
      <c r="F945" s="6" t="s">
        <v>730</v>
      </c>
      <c r="G945" s="6" t="s">
        <v>3051</v>
      </c>
      <c r="H945" s="6"/>
      <c r="I945" s="26" t="n">
        <v>4</v>
      </c>
      <c r="J945" s="26" t="n">
        <f aca="false">COUNTIFS('Control Library'!$A$5:$A$50,"AI-CTRL-005",'Control Library'!$R$5:$R$50,"Implemented")+COUNTIFS('Control Library'!$A$5:$A$50,"AI-CTRL-023",'Control Library'!$R$5:$R$50,"Implemented")+COUNTIFS('Control Library'!$A$5:$A$50,"AI-CTRL-025",'Control Library'!$R$5:$R$50,"Implemented")+COUNTIFS('Control Library'!$A$5:$A$50,"AI-CTRL-037",'Control Library'!$R$5:$R$50,"Implemented")</f>
        <v>0</v>
      </c>
      <c r="K945" s="43" t="str">
        <f aca="false">IF(I945=0,"No wiki control",IF(J945=I945,"Fully covered",IF(J945=0,"Not covered","Partly covered")))</f>
        <v>Not covered</v>
      </c>
      <c r="L945" s="9" t="s">
        <v>2974</v>
      </c>
    </row>
    <row r="946" customFormat="false" ht="23.85" hidden="false" customHeight="false" outlineLevel="0" collapsed="false">
      <c r="A946" s="58" t="s">
        <v>624</v>
      </c>
      <c r="B946" s="58" t="s">
        <v>613</v>
      </c>
      <c r="C946" s="5" t="s">
        <v>3052</v>
      </c>
      <c r="D946" s="6" t="s">
        <v>3053</v>
      </c>
      <c r="E946" s="6" t="s">
        <v>3054</v>
      </c>
      <c r="F946" s="6" t="s">
        <v>730</v>
      </c>
      <c r="G946" s="6" t="s">
        <v>3055</v>
      </c>
      <c r="H946" s="6"/>
      <c r="I946" s="26" t="n">
        <v>2</v>
      </c>
      <c r="J946" s="26" t="n">
        <f aca="false">COUNTIFS('Control Library'!$A$5:$A$50,"AI-CTRL-038",'Control Library'!$R$5:$R$50,"Implemented")+COUNTIFS('Control Library'!$A$5:$A$50,"AI-CTRL-039",'Control Library'!$R$5:$R$50,"Implemented")</f>
        <v>0</v>
      </c>
      <c r="K946" s="43" t="str">
        <f aca="false">IF(I946=0,"No wiki control",IF(J946=I946,"Fully covered",IF(J946=0,"Not covered","Partly covered")))</f>
        <v>Not covered</v>
      </c>
      <c r="L946" s="9" t="s">
        <v>2974</v>
      </c>
    </row>
    <row r="947" customFormat="false" ht="46.25" hidden="false" customHeight="false" outlineLevel="0" collapsed="false">
      <c r="A947" s="58" t="s">
        <v>624</v>
      </c>
      <c r="B947" s="58" t="s">
        <v>613</v>
      </c>
      <c r="C947" s="5" t="s">
        <v>3056</v>
      </c>
      <c r="D947" s="6" t="s">
        <v>3057</v>
      </c>
      <c r="E947" s="6" t="s">
        <v>1827</v>
      </c>
      <c r="F947" s="6" t="s">
        <v>730</v>
      </c>
      <c r="G947" s="6" t="s">
        <v>1828</v>
      </c>
      <c r="H947" s="6"/>
      <c r="I947" s="26" t="n">
        <v>3</v>
      </c>
      <c r="J947" s="26" t="n">
        <f aca="false">COUNTIFS('Control Library'!$A$5:$A$50,"AI-CTRL-007",'Control Library'!$R$5:$R$50,"Implemented")+COUNTIFS('Control Library'!$A$5:$A$50,"AI-CTRL-013",'Control Library'!$R$5:$R$50,"Implemented")+COUNTIFS('Control Library'!$A$5:$A$50,"AI-CTRL-017",'Control Library'!$R$5:$R$50,"Implemented")</f>
        <v>0</v>
      </c>
      <c r="K947" s="43" t="str">
        <f aca="false">IF(I947=0,"No wiki control",IF(J947=I947,"Fully covered",IF(J947=0,"Not covered","Partly covered")))</f>
        <v>Not covered</v>
      </c>
      <c r="L947" s="9" t="s">
        <v>2974</v>
      </c>
    </row>
    <row r="948" customFormat="false" ht="135.8" hidden="false" customHeight="false" outlineLevel="0" collapsed="false">
      <c r="A948" s="58" t="s">
        <v>624</v>
      </c>
      <c r="B948" s="58" t="s">
        <v>613</v>
      </c>
      <c r="C948" s="5" t="s">
        <v>3058</v>
      </c>
      <c r="D948" s="6" t="s">
        <v>3059</v>
      </c>
      <c r="E948" s="6" t="s">
        <v>3060</v>
      </c>
      <c r="F948" s="6" t="s">
        <v>730</v>
      </c>
      <c r="G948" s="6" t="s">
        <v>3061</v>
      </c>
      <c r="H948" s="6"/>
      <c r="I948" s="26" t="n">
        <v>30</v>
      </c>
      <c r="J948" s="26"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Library'!$A$5:$A$50,"AI-CTRL-010",'Control Library'!$R$5:$R$50,"Implemented")+COUNTIFS('Control Library'!$A$5:$A$50,"AI-CTRL-011",'Control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Library'!$A$5:$A$50,"AI-CTRL-023",'Control Library'!$R$5:$R$50,"Implemented")+COUNTIFS('Control Library'!$A$5:$A$50,"AI-CTRL-024",'Control Library'!$R$5:$R$50,"Implemented")+COUNTIFS('Control Library'!$A$5:$A$50,"AI-CTRL-025",'Control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Library'!$R$5:$R$50,"Implemented")+COUNTIFS('Control Library'!$A$5:$A$50,"AI-CTRL-040",'Control Library'!$R$5:$R$50,"Implemented")+COUNTIFS('Control Library'!$A$5:$A$50,"AI-CTRL-041",'Control Library'!$R$5:$R$50,"Implemented")+COUNTIFS('Control Library'!$A$5:$A$50,"AI-CTRL-044",'Control Library'!$R$5:$R$50,"Implemented")+COUNTIFS('Control Library'!$A$5:$A$50,"AI-CTRL-045",'Control Library'!$R$5:$R$50,"Implemented")</f>
        <v>0</v>
      </c>
      <c r="K948" s="43" t="str">
        <f aca="false">IF(I948=0,"No wiki control",IF(J948=I948,"Fully covered",IF(J948=0,"Not covered","Partly covered")))</f>
        <v>Not covered</v>
      </c>
      <c r="L948" s="9" t="s">
        <v>2974</v>
      </c>
    </row>
    <row r="949" customFormat="false" ht="23.85" hidden="false" customHeight="false" outlineLevel="0" collapsed="false">
      <c r="A949" s="58" t="s">
        <v>624</v>
      </c>
      <c r="B949" s="58" t="s">
        <v>613</v>
      </c>
      <c r="C949" s="5" t="s">
        <v>3062</v>
      </c>
      <c r="D949" s="6" t="s">
        <v>3063</v>
      </c>
      <c r="E949" s="6" t="s">
        <v>504</v>
      </c>
      <c r="F949" s="6" t="s">
        <v>730</v>
      </c>
      <c r="G949" s="6" t="s">
        <v>507</v>
      </c>
      <c r="H949" s="6"/>
      <c r="I949" s="26" t="n">
        <v>1</v>
      </c>
      <c r="J949" s="26" t="n">
        <f aca="false">COUNTIFS('Control Library'!$A$5:$A$50,"AI-CTRL-041",'Control Library'!$R$5:$R$50,"Implemented")</f>
        <v>0</v>
      </c>
      <c r="K949" s="43" t="str">
        <f aca="false">IF(I949=0,"No wiki control",IF(J949=I949,"Fully covered",IF(J949=0,"Not covered","Partly covered")))</f>
        <v>Not covered</v>
      </c>
      <c r="L949" s="9" t="s">
        <v>2974</v>
      </c>
    </row>
    <row r="950" customFormat="false" ht="46.25" hidden="false" customHeight="false" outlineLevel="0" collapsed="false">
      <c r="A950" s="58" t="s">
        <v>624</v>
      </c>
      <c r="B950" s="58" t="s">
        <v>613</v>
      </c>
      <c r="C950" s="5" t="s">
        <v>3064</v>
      </c>
      <c r="D950" s="6" t="s">
        <v>3065</v>
      </c>
      <c r="E950" s="6" t="s">
        <v>3066</v>
      </c>
      <c r="F950" s="6" t="s">
        <v>730</v>
      </c>
      <c r="G950" s="6" t="s">
        <v>3067</v>
      </c>
      <c r="H950" s="6"/>
      <c r="I950" s="26" t="n">
        <v>3</v>
      </c>
      <c r="J950" s="26" t="n">
        <f aca="false">COUNTIFS('Control Library'!$A$5:$A$50,"AI-CTRL-005",'Control Library'!$R$5:$R$50,"Implemented")+COUNTIFS('Control Library'!$A$5:$A$50,"AI-CTRL-008",'Control Library'!$R$5:$R$50,"Implemented")+COUNTIFS('Control Library'!$A$5:$A$50,"AI-CTRL-025",'Control Library'!$R$5:$R$50,"Implemented")</f>
        <v>0</v>
      </c>
      <c r="K950" s="43" t="str">
        <f aca="false">IF(I950=0,"No wiki control",IF(J950=I950,"Fully covered",IF(J950=0,"Not covered","Partly covered")))</f>
        <v>Not covered</v>
      </c>
      <c r="L950" s="9" t="s">
        <v>2974</v>
      </c>
    </row>
    <row r="951" customFormat="false" ht="23.85" hidden="false" customHeight="false" outlineLevel="0" collapsed="false">
      <c r="A951" s="58" t="s">
        <v>624</v>
      </c>
      <c r="B951" s="58" t="s">
        <v>613</v>
      </c>
      <c r="C951" s="5" t="s">
        <v>3068</v>
      </c>
      <c r="D951" s="6" t="s">
        <v>3069</v>
      </c>
      <c r="E951" s="6" t="s">
        <v>2702</v>
      </c>
      <c r="F951" s="6" t="s">
        <v>730</v>
      </c>
      <c r="G951" s="6" t="s">
        <v>2703</v>
      </c>
      <c r="H951" s="6"/>
      <c r="I951" s="26" t="n">
        <v>2</v>
      </c>
      <c r="J951" s="26" t="n">
        <f aca="false">COUNTIFS('Control Library'!$A$5:$A$50,"AI-CTRL-005",'Control Library'!$R$5:$R$50,"Implemented")+COUNTIFS('Control Library'!$A$5:$A$50,"AI-CTRL-035",'Control Library'!$R$5:$R$50,"Implemented")</f>
        <v>0</v>
      </c>
      <c r="K951" s="43" t="str">
        <f aca="false">IF(I951=0,"No wiki control",IF(J951=I951,"Fully covered",IF(J951=0,"Not covered","Partly covered")))</f>
        <v>Not covered</v>
      </c>
      <c r="L951" s="9" t="s">
        <v>2974</v>
      </c>
    </row>
    <row r="952" customFormat="false" ht="23.85" hidden="false" customHeight="false" outlineLevel="0" collapsed="false">
      <c r="A952" s="58" t="s">
        <v>625</v>
      </c>
      <c r="B952" s="58" t="s">
        <v>613</v>
      </c>
      <c r="C952" s="5" t="s">
        <v>3070</v>
      </c>
      <c r="D952" s="6" t="s">
        <v>3071</v>
      </c>
      <c r="E952" s="6"/>
      <c r="F952" s="6" t="s">
        <v>640</v>
      </c>
      <c r="G952" s="6"/>
      <c r="H952" s="6"/>
      <c r="I952" s="26" t="n">
        <v>0</v>
      </c>
      <c r="J952" s="26" t="n">
        <f aca="false">0</f>
        <v>0</v>
      </c>
      <c r="K952" s="43" t="str">
        <f aca="false">IF(I952=0,"No wiki control",IF(J952=I952,"Fully covered",IF(J952=0,"Not covered","Partly covered")))</f>
        <v>No wiki control</v>
      </c>
      <c r="L952" s="9" t="s">
        <v>3072</v>
      </c>
    </row>
    <row r="953" customFormat="false" ht="23.85" hidden="false" customHeight="false" outlineLevel="0" collapsed="false">
      <c r="A953" s="58" t="s">
        <v>625</v>
      </c>
      <c r="B953" s="58" t="s">
        <v>613</v>
      </c>
      <c r="C953" s="5" t="s">
        <v>3073</v>
      </c>
      <c r="D953" s="6" t="s">
        <v>3074</v>
      </c>
      <c r="E953" s="6" t="s">
        <v>486</v>
      </c>
      <c r="F953" s="6" t="s">
        <v>730</v>
      </c>
      <c r="G953" s="6" t="s">
        <v>490</v>
      </c>
      <c r="H953" s="6"/>
      <c r="I953" s="26" t="n">
        <v>1</v>
      </c>
      <c r="J953" s="26" t="n">
        <f aca="false">COUNTIFS('Control Library'!$A$5:$A$50,"AI-CTRL-039",'Control Library'!$R$5:$R$50,"Implemented")</f>
        <v>0</v>
      </c>
      <c r="K953" s="43" t="str">
        <f aca="false">IF(I953=0,"No wiki control",IF(J953=I953,"Fully covered",IF(J953=0,"Not covered","Partly covered")))</f>
        <v>Not covered</v>
      </c>
      <c r="L953" s="9" t="s">
        <v>3072</v>
      </c>
    </row>
    <row r="954" customFormat="false" ht="35.05" hidden="false" customHeight="false" outlineLevel="0" collapsed="false">
      <c r="A954" s="58" t="s">
        <v>625</v>
      </c>
      <c r="B954" s="58" t="s">
        <v>613</v>
      </c>
      <c r="C954" s="5" t="s">
        <v>3075</v>
      </c>
      <c r="D954" s="6" t="s">
        <v>3076</v>
      </c>
      <c r="E954" s="6" t="s">
        <v>3077</v>
      </c>
      <c r="F954" s="6" t="s">
        <v>730</v>
      </c>
      <c r="G954" s="6" t="s">
        <v>3078</v>
      </c>
      <c r="H954" s="6"/>
      <c r="I954" s="26" t="n">
        <v>3</v>
      </c>
      <c r="J954" s="26" t="n">
        <f aca="false">COUNTIFS('Control Library'!$A$5:$A$50,"AI-CTRL-023",'Control Library'!$R$5:$R$50,"Implemented")+COUNTIFS('Control Library'!$A$5:$A$50,"AI-CTRL-037",'Control Library'!$R$5:$R$50,"Implemented")+COUNTIFS('Control Library'!$A$5:$A$50,"AI-CTRL-041",'Control Library'!$R$5:$R$50,"Implemented")</f>
        <v>0</v>
      </c>
      <c r="K954" s="43" t="str">
        <f aca="false">IF(I954=0,"No wiki control",IF(J954=I954,"Fully covered",IF(J954=0,"Not covered","Partly covered")))</f>
        <v>Not covered</v>
      </c>
      <c r="L954" s="9" t="s">
        <v>3072</v>
      </c>
    </row>
    <row r="955" customFormat="false" ht="23.85" hidden="false" customHeight="false" outlineLevel="0" collapsed="false">
      <c r="A955" s="58" t="s">
        <v>625</v>
      </c>
      <c r="B955" s="58" t="s">
        <v>613</v>
      </c>
      <c r="C955" s="5" t="s">
        <v>3079</v>
      </c>
      <c r="D955" s="6" t="s">
        <v>3080</v>
      </c>
      <c r="E955" s="6" t="s">
        <v>3081</v>
      </c>
      <c r="F955" s="6" t="s">
        <v>730</v>
      </c>
      <c r="G955" s="6" t="s">
        <v>3082</v>
      </c>
      <c r="H955" s="6"/>
      <c r="I955" s="26" t="n">
        <v>2</v>
      </c>
      <c r="J955" s="26" t="n">
        <f aca="false">COUNTIFS('Control Library'!$A$5:$A$50,"AI-CTRL-005",'Control Library'!$R$5:$R$50,"Implemented")+COUNTIFS('Control Library'!$A$5:$A$50,"AI-CTRL-037",'Control Library'!$R$5:$R$50,"Implemented")</f>
        <v>0</v>
      </c>
      <c r="K955" s="43" t="str">
        <f aca="false">IF(I955=0,"No wiki control",IF(J955=I955,"Fully covered",IF(J955=0,"Not covered","Partly covered")))</f>
        <v>Not covered</v>
      </c>
      <c r="L955" s="9" t="s">
        <v>3072</v>
      </c>
    </row>
    <row r="956" customFormat="false" ht="23.85" hidden="false" customHeight="false" outlineLevel="0" collapsed="false">
      <c r="A956" s="58" t="s">
        <v>625</v>
      </c>
      <c r="B956" s="58" t="s">
        <v>613</v>
      </c>
      <c r="C956" s="5" t="s">
        <v>3083</v>
      </c>
      <c r="D956" s="6" t="s">
        <v>3084</v>
      </c>
      <c r="E956" s="6" t="s">
        <v>263</v>
      </c>
      <c r="F956" s="6" t="s">
        <v>730</v>
      </c>
      <c r="G956" s="6" t="s">
        <v>266</v>
      </c>
      <c r="H956" s="6"/>
      <c r="I956" s="26" t="n">
        <v>1</v>
      </c>
      <c r="J956" s="26" t="n">
        <f aca="false">COUNTIFS('Control Library'!$A$5:$A$50,"AI-CTRL-012",'Control Library'!$R$5:$R$50,"Implemented")</f>
        <v>0</v>
      </c>
      <c r="K956" s="43" t="str">
        <f aca="false">IF(I956=0,"No wiki control",IF(J956=I956,"Fully covered",IF(J956=0,"Not covered","Partly covered")))</f>
        <v>Not covered</v>
      </c>
      <c r="L956" s="9" t="s">
        <v>3072</v>
      </c>
    </row>
    <row r="957" customFormat="false" ht="23.85" hidden="false" customHeight="false" outlineLevel="0" collapsed="false">
      <c r="A957" s="58" t="s">
        <v>625</v>
      </c>
      <c r="B957" s="58" t="s">
        <v>613</v>
      </c>
      <c r="C957" s="5" t="s">
        <v>3085</v>
      </c>
      <c r="D957" s="6" t="s">
        <v>3086</v>
      </c>
      <c r="E957" s="6" t="s">
        <v>263</v>
      </c>
      <c r="F957" s="6" t="s">
        <v>730</v>
      </c>
      <c r="G957" s="6" t="s">
        <v>266</v>
      </c>
      <c r="H957" s="6"/>
      <c r="I957" s="26" t="n">
        <v>1</v>
      </c>
      <c r="J957" s="26" t="n">
        <f aca="false">COUNTIFS('Control Library'!$A$5:$A$50,"AI-CTRL-012",'Control Library'!$R$5:$R$50,"Implemented")</f>
        <v>0</v>
      </c>
      <c r="K957" s="43" t="str">
        <f aca="false">IF(I957=0,"No wiki control",IF(J957=I957,"Fully covered",IF(J957=0,"Not covered","Partly covered")))</f>
        <v>Not covered</v>
      </c>
      <c r="L957" s="9" t="s">
        <v>3072</v>
      </c>
    </row>
    <row r="958" customFormat="false" ht="23.85" hidden="false" customHeight="false" outlineLevel="0" collapsed="false">
      <c r="A958" s="58" t="s">
        <v>625</v>
      </c>
      <c r="B958" s="58" t="s">
        <v>613</v>
      </c>
      <c r="C958" s="5" t="s">
        <v>3087</v>
      </c>
      <c r="D958" s="6" t="s">
        <v>3088</v>
      </c>
      <c r="E958" s="6" t="s">
        <v>2870</v>
      </c>
      <c r="F958" s="6" t="s">
        <v>730</v>
      </c>
      <c r="G958" s="6" t="s">
        <v>2835</v>
      </c>
      <c r="H958" s="6"/>
      <c r="I958" s="26" t="n">
        <v>3</v>
      </c>
      <c r="J958" s="26" t="n">
        <f aca="false">COUNTIFS('Control Library'!$A$5:$A$50,"AI-CTRL-007",'Control Library'!$R$5:$R$50,"Implemented")+COUNTIFS('Control Library'!$A$5:$A$50,"AI-CTRL-013",'Control Library'!$R$5:$R$50,"Implemented")+COUNTIFS('Control Library'!$A$5:$A$50,"AI-CTRL-035",'Control Library'!$R$5:$R$50,"Implemented")</f>
        <v>0</v>
      </c>
      <c r="K958" s="43" t="str">
        <f aca="false">IF(I958=0,"No wiki control",IF(J958=I958,"Fully covered",IF(J958=0,"Not covered","Partly covered")))</f>
        <v>Not covered</v>
      </c>
      <c r="L958" s="9" t="s">
        <v>3072</v>
      </c>
    </row>
    <row r="959" customFormat="false" ht="23.85" hidden="false" customHeight="false" outlineLevel="0" collapsed="false">
      <c r="A959" s="58" t="s">
        <v>625</v>
      </c>
      <c r="B959" s="58" t="s">
        <v>613</v>
      </c>
      <c r="C959" s="5" t="s">
        <v>3089</v>
      </c>
      <c r="D959" s="6" t="s">
        <v>3090</v>
      </c>
      <c r="E959" s="6"/>
      <c r="F959" s="6" t="s">
        <v>640</v>
      </c>
      <c r="G959" s="6"/>
      <c r="H959" s="6"/>
      <c r="I959" s="26" t="n">
        <v>0</v>
      </c>
      <c r="J959" s="26" t="n">
        <f aca="false">0</f>
        <v>0</v>
      </c>
      <c r="K959" s="43" t="str">
        <f aca="false">IF(I959=0,"No wiki control",IF(J959=I959,"Fully covered",IF(J959=0,"Not covered","Partly covered")))</f>
        <v>No wiki control</v>
      </c>
      <c r="L959" s="9" t="s">
        <v>3072</v>
      </c>
    </row>
    <row r="960" customFormat="false" ht="46.25" hidden="false" customHeight="false" outlineLevel="0" collapsed="false">
      <c r="A960" s="58" t="s">
        <v>626</v>
      </c>
      <c r="B960" s="58" t="s">
        <v>613</v>
      </c>
      <c r="C960" s="5" t="s">
        <v>3091</v>
      </c>
      <c r="D960" s="6" t="s">
        <v>3092</v>
      </c>
      <c r="E960" s="6" t="s">
        <v>3093</v>
      </c>
      <c r="F960" s="6" t="s">
        <v>730</v>
      </c>
      <c r="G960" s="6" t="s">
        <v>3094</v>
      </c>
      <c r="H960" s="6" t="s">
        <v>642</v>
      </c>
      <c r="I960" s="26" t="n">
        <v>3</v>
      </c>
      <c r="J960" s="26" t="n">
        <f aca="false">COUNTIFS('Control Library'!$A$5:$A$50,"AI-CTRL-020",'Control Library'!$R$5:$R$50,"Implemented")+COUNTIFS('Control Library'!$A$5:$A$50,"AI-CTRL-023",'Control Library'!$R$5:$R$50,"Implemented")+COUNTIFS('Control Library'!$A$5:$A$50,"AI-CTRL-039",'Control Library'!$R$5:$R$50,"Implemented")</f>
        <v>0</v>
      </c>
      <c r="K960" s="43" t="str">
        <f aca="false">IF(I960=0,"No wiki control",IF(J960=I960,"Fully covered",IF(J960=0,"Not covered","Partly covered")))</f>
        <v>Not covered</v>
      </c>
      <c r="L960" s="9" t="s">
        <v>3095</v>
      </c>
    </row>
    <row r="961" customFormat="false" ht="57.45" hidden="false" customHeight="false" outlineLevel="0" collapsed="false">
      <c r="A961" s="58" t="s">
        <v>626</v>
      </c>
      <c r="B961" s="58" t="s">
        <v>613</v>
      </c>
      <c r="C961" s="5" t="s">
        <v>3096</v>
      </c>
      <c r="D961" s="6" t="s">
        <v>3097</v>
      </c>
      <c r="E961" s="6" t="s">
        <v>2549</v>
      </c>
      <c r="F961" s="6" t="s">
        <v>730</v>
      </c>
      <c r="G961" s="6" t="s">
        <v>2550</v>
      </c>
      <c r="H961" s="6" t="s">
        <v>657</v>
      </c>
      <c r="I961" s="26" t="n">
        <v>2</v>
      </c>
      <c r="J961" s="26" t="n">
        <f aca="false">COUNTIFS('Control Library'!$A$5:$A$50,"AI-CTRL-012",'Control Library'!$R$5:$R$50,"Implemented")+COUNTIFS('Control Library'!$A$5:$A$50,"AI-CTRL-037",'Control Library'!$R$5:$R$50,"Implemented")</f>
        <v>0</v>
      </c>
      <c r="K961" s="43" t="str">
        <f aca="false">IF(I961=0,"No wiki control",IF(J961=I961,"Fully covered",IF(J961=0,"Not covered","Partly covered")))</f>
        <v>Not covered</v>
      </c>
      <c r="L961" s="9" t="s">
        <v>3095</v>
      </c>
    </row>
    <row r="962" customFormat="false" ht="68.65" hidden="false" customHeight="false" outlineLevel="0" collapsed="false">
      <c r="A962" s="58" t="s">
        <v>626</v>
      </c>
      <c r="B962" s="58" t="s">
        <v>613</v>
      </c>
      <c r="C962" s="5" t="s">
        <v>3098</v>
      </c>
      <c r="D962" s="6" t="s">
        <v>3099</v>
      </c>
      <c r="E962" s="6" t="s">
        <v>2747</v>
      </c>
      <c r="F962" s="6" t="s">
        <v>730</v>
      </c>
      <c r="G962" s="6" t="s">
        <v>1097</v>
      </c>
      <c r="H962" s="6" t="s">
        <v>642</v>
      </c>
      <c r="I962" s="26" t="n">
        <v>2</v>
      </c>
      <c r="J962" s="26" t="n">
        <f aca="false">COUNTIFS('Control Library'!$A$5:$A$50,"AI-CTRL-013",'Control Library'!$R$5:$R$50,"Implemented")+COUNTIFS('Control Library'!$A$5:$A$50,"AI-CTRL-041",'Control Library'!$R$5:$R$50,"Implemented")</f>
        <v>0</v>
      </c>
      <c r="K962" s="43" t="str">
        <f aca="false">IF(I962=0,"No wiki control",IF(J962=I962,"Fully covered",IF(J962=0,"Not covered","Partly covered")))</f>
        <v>Not covered</v>
      </c>
      <c r="L962" s="9" t="s">
        <v>3095</v>
      </c>
    </row>
    <row r="963" customFormat="false" ht="46.25" hidden="false" customHeight="false" outlineLevel="0" collapsed="false">
      <c r="A963" s="58" t="s">
        <v>626</v>
      </c>
      <c r="B963" s="58" t="s">
        <v>613</v>
      </c>
      <c r="C963" s="5" t="s">
        <v>3100</v>
      </c>
      <c r="D963" s="6" t="s">
        <v>3101</v>
      </c>
      <c r="E963" s="6" t="s">
        <v>504</v>
      </c>
      <c r="F963" s="6" t="s">
        <v>730</v>
      </c>
      <c r="G963" s="6" t="s">
        <v>507</v>
      </c>
      <c r="H963" s="6" t="s">
        <v>642</v>
      </c>
      <c r="I963" s="26" t="n">
        <v>1</v>
      </c>
      <c r="J963" s="26" t="n">
        <f aca="false">COUNTIFS('Control Library'!$A$5:$A$50,"AI-CTRL-041",'Control Library'!$R$5:$R$50,"Implemented")</f>
        <v>0</v>
      </c>
      <c r="K963" s="43" t="str">
        <f aca="false">IF(I963=0,"No wiki control",IF(J963=I963,"Fully covered",IF(J963=0,"Not covered","Partly covered")))</f>
        <v>Not covered</v>
      </c>
      <c r="L963" s="9" t="s">
        <v>3095</v>
      </c>
    </row>
    <row r="964" customFormat="false" ht="57.45" hidden="false" customHeight="false" outlineLevel="0" collapsed="false">
      <c r="A964" s="58" t="s">
        <v>626</v>
      </c>
      <c r="B964" s="58" t="s">
        <v>613</v>
      </c>
      <c r="C964" s="5" t="s">
        <v>3102</v>
      </c>
      <c r="D964" s="6" t="s">
        <v>3103</v>
      </c>
      <c r="E964" s="6" t="s">
        <v>3104</v>
      </c>
      <c r="F964" s="6" t="s">
        <v>730</v>
      </c>
      <c r="G964" s="6" t="s">
        <v>3105</v>
      </c>
      <c r="H964" s="6"/>
      <c r="I964" s="26" t="n">
        <v>7</v>
      </c>
      <c r="J964" s="26"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Library'!$A$5:$A$50,"AI-CTRL-037",'Control Library'!$R$5:$R$50,"Implemented")+COUNTIFS('Control Library'!$A$5:$A$50,"AI-CTRL-041",'Control Library'!$R$5:$R$50,"Implemented")+COUNTIFS('Control Library'!$A$5:$A$50,"AI-CTRL-045",'Control Library'!$R$5:$R$50,"Implemented")</f>
        <v>0</v>
      </c>
      <c r="K964" s="43" t="str">
        <f aca="false">IF(I964=0,"No wiki control",IF(J964=I964,"Fully covered",IF(J964=0,"Not covered","Partly covered")))</f>
        <v>Not covered</v>
      </c>
      <c r="L964" s="9" t="s">
        <v>3095</v>
      </c>
    </row>
    <row r="965" customFormat="false" ht="23.85" hidden="false" customHeight="false" outlineLevel="0" collapsed="false">
      <c r="A965" s="58" t="s">
        <v>626</v>
      </c>
      <c r="B965" s="58" t="s">
        <v>613</v>
      </c>
      <c r="C965" s="5" t="s">
        <v>3106</v>
      </c>
      <c r="D965" s="6" t="s">
        <v>3107</v>
      </c>
      <c r="E965" s="6" t="s">
        <v>263</v>
      </c>
      <c r="F965" s="6" t="s">
        <v>730</v>
      </c>
      <c r="G965" s="6" t="s">
        <v>266</v>
      </c>
      <c r="H965" s="6"/>
      <c r="I965" s="26" t="n">
        <v>1</v>
      </c>
      <c r="J965" s="26" t="n">
        <f aca="false">COUNTIFS('Control Library'!$A$5:$A$50,"AI-CTRL-012",'Control Library'!$R$5:$R$50,"Implemented")</f>
        <v>0</v>
      </c>
      <c r="K965" s="43" t="str">
        <f aca="false">IF(I965=0,"No wiki control",IF(J965=I965,"Fully covered",IF(J965=0,"Not covered","Partly covered")))</f>
        <v>Not covered</v>
      </c>
      <c r="L965" s="9" t="s">
        <v>3095</v>
      </c>
    </row>
    <row r="966" customFormat="false" ht="35.05" hidden="false" customHeight="false" outlineLevel="0" collapsed="false">
      <c r="A966" s="58" t="s">
        <v>626</v>
      </c>
      <c r="B966" s="58" t="s">
        <v>613</v>
      </c>
      <c r="C966" s="5" t="s">
        <v>3108</v>
      </c>
      <c r="D966" s="6" t="s">
        <v>3109</v>
      </c>
      <c r="E966" s="6" t="s">
        <v>3110</v>
      </c>
      <c r="F966" s="6" t="s">
        <v>730</v>
      </c>
      <c r="G966" s="6" t="s">
        <v>3111</v>
      </c>
      <c r="H966" s="6"/>
      <c r="I966" s="26" t="n">
        <v>2</v>
      </c>
      <c r="J966" s="26" t="n">
        <f aca="false">COUNTIFS('Control Library'!$A$5:$A$50,"AI-CTRL-041",'Control Library'!$R$5:$R$50,"Implemented")+COUNTIFS('Control Library'!$A$5:$A$50,"AI-CTRL-045",'Control Library'!$R$5:$R$50,"Implemented")</f>
        <v>0</v>
      </c>
      <c r="K966" s="43" t="str">
        <f aca="false">IF(I966=0,"No wiki control",IF(J966=I966,"Fully covered",IF(J966=0,"Not covered","Partly covered")))</f>
        <v>Not covered</v>
      </c>
      <c r="L966" s="9" t="s">
        <v>3095</v>
      </c>
    </row>
    <row r="967" customFormat="false" ht="23.85" hidden="false" customHeight="false" outlineLevel="0" collapsed="false">
      <c r="A967" s="58" t="s">
        <v>626</v>
      </c>
      <c r="B967" s="58" t="s">
        <v>613</v>
      </c>
      <c r="C967" s="5" t="s">
        <v>3112</v>
      </c>
      <c r="D967" s="6" t="s">
        <v>3113</v>
      </c>
      <c r="E967" s="6" t="s">
        <v>504</v>
      </c>
      <c r="F967" s="6" t="s">
        <v>730</v>
      </c>
      <c r="G967" s="6" t="s">
        <v>507</v>
      </c>
      <c r="H967" s="6"/>
      <c r="I967" s="26" t="n">
        <v>1</v>
      </c>
      <c r="J967" s="26" t="n">
        <f aca="false">COUNTIFS('Control Library'!$A$5:$A$50,"AI-CTRL-041",'Control Library'!$R$5:$R$50,"Implemented")</f>
        <v>0</v>
      </c>
      <c r="K967" s="43" t="str">
        <f aca="false">IF(I967=0,"No wiki control",IF(J967=I967,"Fully covered",IF(J967=0,"Not covered","Partly covered")))</f>
        <v>Not covered</v>
      </c>
      <c r="L967" s="9" t="s">
        <v>3095</v>
      </c>
    </row>
    <row r="968" customFormat="false" ht="57.45" hidden="false" customHeight="false" outlineLevel="0" collapsed="false">
      <c r="A968" s="58" t="s">
        <v>626</v>
      </c>
      <c r="B968" s="58" t="s">
        <v>613</v>
      </c>
      <c r="C968" s="5" t="s">
        <v>3114</v>
      </c>
      <c r="D968" s="6" t="s">
        <v>3115</v>
      </c>
      <c r="E968" s="6" t="s">
        <v>3116</v>
      </c>
      <c r="F968" s="6" t="s">
        <v>730</v>
      </c>
      <c r="G968" s="6" t="s">
        <v>3117</v>
      </c>
      <c r="H968" s="6"/>
      <c r="I968" s="26" t="n">
        <v>5</v>
      </c>
      <c r="J968" s="26" t="n">
        <f aca="false">COUNTIFS('Control Library'!$A$5:$A$50,"AI-CTRL-005",'Control Library'!$R$5:$R$50,"Implemented")+COUNTIFS('Control Library'!$A$5:$A$50,"AI-CTRL-011",'Control Library'!$R$5:$R$50,"Implemented")+COUNTIFS('Control Library'!$A$5:$A$50,"AI-CTRL-012",'Control Library'!$R$5:$R$50,"Implemented")+COUNTIFS('Control Library'!$A$5:$A$50,"AI-CTRL-014",'Control Library'!$R$5:$R$50,"Implemented")+COUNTIFS('Control Library'!$A$5:$A$50,"AI-CTRL-034",'Control Library'!$R$5:$R$50,"Implemented")</f>
        <v>0</v>
      </c>
      <c r="K968" s="43" t="str">
        <f aca="false">IF(I968=0,"No wiki control",IF(J968=I968,"Fully covered",IF(J968=0,"Not covered","Partly covered")))</f>
        <v>Not covered</v>
      </c>
      <c r="L968" s="9" t="s">
        <v>3095</v>
      </c>
    </row>
    <row r="969" customFormat="false" ht="35.05" hidden="false" customHeight="false" outlineLevel="0" collapsed="false">
      <c r="A969" s="58" t="s">
        <v>626</v>
      </c>
      <c r="B969" s="58" t="s">
        <v>613</v>
      </c>
      <c r="C969" s="5" t="s">
        <v>3118</v>
      </c>
      <c r="D969" s="6" t="s">
        <v>3119</v>
      </c>
      <c r="E969" s="6" t="s">
        <v>3120</v>
      </c>
      <c r="F969" s="6" t="s">
        <v>730</v>
      </c>
      <c r="G969" s="6" t="s">
        <v>3121</v>
      </c>
      <c r="H969" s="6"/>
      <c r="I969" s="26" t="n">
        <v>3</v>
      </c>
      <c r="J969" s="26" t="n">
        <f aca="false">COUNTIFS('Control Library'!$A$5:$A$50,"AI-CTRL-012",'Control Library'!$R$5:$R$50,"Implemented")+COUNTIFS('Control Library'!$A$5:$A$50,"AI-CTRL-013",'Control Library'!$R$5:$R$50,"Implemented")+COUNTIFS('Control Library'!$A$5:$A$50,"AI-CTRL-045",'Control Library'!$R$5:$R$50,"Implemented")</f>
        <v>0</v>
      </c>
      <c r="K969" s="43" t="str">
        <f aca="false">IF(I969=0,"No wiki control",IF(J969=I969,"Fully covered",IF(J969=0,"Not covered","Partly covered")))</f>
        <v>Not covered</v>
      </c>
      <c r="L969" s="9" t="s">
        <v>3095</v>
      </c>
    </row>
    <row r="970" customFormat="false" ht="23.85" hidden="false" customHeight="false" outlineLevel="0" collapsed="false">
      <c r="A970" s="58" t="s">
        <v>626</v>
      </c>
      <c r="B970" s="58" t="s">
        <v>613</v>
      </c>
      <c r="C970" s="5" t="s">
        <v>3122</v>
      </c>
      <c r="D970" s="6" t="s">
        <v>3123</v>
      </c>
      <c r="E970" s="6" t="s">
        <v>1950</v>
      </c>
      <c r="F970" s="6" t="s">
        <v>730</v>
      </c>
      <c r="G970" s="6" t="s">
        <v>1828</v>
      </c>
      <c r="H970" s="6"/>
      <c r="I970" s="26" t="n">
        <v>2</v>
      </c>
      <c r="J970" s="26" t="n">
        <f aca="false">COUNTIFS('Control Library'!$A$5:$A$50,"AI-CTRL-013",'Control Library'!$R$5:$R$50,"Implemented")+COUNTIFS('Control Library'!$A$5:$A$50,"AI-CTRL-017",'Control Library'!$R$5:$R$50,"Implemented")</f>
        <v>0</v>
      </c>
      <c r="K970" s="43" t="str">
        <f aca="false">IF(I970=0,"No wiki control",IF(J970=I970,"Fully covered",IF(J970=0,"Not covered","Partly covered")))</f>
        <v>Not covered</v>
      </c>
      <c r="L970" s="9" t="s">
        <v>3095</v>
      </c>
    </row>
    <row r="971" customFormat="false" ht="23.85" hidden="false" customHeight="false" outlineLevel="0" collapsed="false">
      <c r="A971" s="58" t="s">
        <v>626</v>
      </c>
      <c r="B971" s="58" t="s">
        <v>613</v>
      </c>
      <c r="C971" s="5" t="s">
        <v>3124</v>
      </c>
      <c r="D971" s="6" t="s">
        <v>3125</v>
      </c>
      <c r="E971" s="6"/>
      <c r="F971" s="6" t="s">
        <v>640</v>
      </c>
      <c r="G971" s="6"/>
      <c r="H971" s="6"/>
      <c r="I971" s="26" t="n">
        <v>0</v>
      </c>
      <c r="J971" s="26" t="n">
        <f aca="false">0</f>
        <v>0</v>
      </c>
      <c r="K971" s="43" t="str">
        <f aca="false">IF(I971=0,"No wiki control",IF(J971=I971,"Fully covered",IF(J971=0,"Not covered","Partly covered")))</f>
        <v>No wiki control</v>
      </c>
      <c r="L971" s="9" t="s">
        <v>3095</v>
      </c>
    </row>
    <row r="972" customFormat="false" ht="23.85" hidden="false" customHeight="false" outlineLevel="0" collapsed="false">
      <c r="A972" s="58" t="s">
        <v>626</v>
      </c>
      <c r="B972" s="58" t="s">
        <v>613</v>
      </c>
      <c r="C972" s="5" t="s">
        <v>3126</v>
      </c>
      <c r="D972" s="6" t="s">
        <v>3127</v>
      </c>
      <c r="E972" s="6" t="s">
        <v>1258</v>
      </c>
      <c r="F972" s="6" t="s">
        <v>730</v>
      </c>
      <c r="G972" s="6" t="s">
        <v>375</v>
      </c>
      <c r="H972" s="6"/>
      <c r="I972" s="26" t="n">
        <v>2</v>
      </c>
      <c r="J972" s="26" t="n">
        <f aca="false">COUNTIFS('Control Library'!$A$5:$A$50,"AI-CTRL-006",'Control Library'!$R$5:$R$50,"Implemented")+COUNTIFS('Control Library'!$A$5:$A$50,"AI-CTRL-025",'Control Library'!$R$5:$R$50,"Implemented")</f>
        <v>0</v>
      </c>
      <c r="K972" s="43" t="str">
        <f aca="false">IF(I972=0,"No wiki control",IF(J972=I972,"Fully covered",IF(J972=0,"Not covered","Partly covered")))</f>
        <v>Not covered</v>
      </c>
      <c r="L972" s="9" t="s">
        <v>3095</v>
      </c>
    </row>
    <row r="973" customFormat="false" ht="46.25" hidden="false" customHeight="false" outlineLevel="0" collapsed="false">
      <c r="A973" s="58" t="s">
        <v>626</v>
      </c>
      <c r="B973" s="58" t="s">
        <v>613</v>
      </c>
      <c r="C973" s="5" t="s">
        <v>3128</v>
      </c>
      <c r="D973" s="6" t="s">
        <v>3129</v>
      </c>
      <c r="E973" s="6" t="s">
        <v>2078</v>
      </c>
      <c r="F973" s="6" t="s">
        <v>730</v>
      </c>
      <c r="G973" s="6" t="s">
        <v>258</v>
      </c>
      <c r="H973" s="6" t="s">
        <v>642</v>
      </c>
      <c r="I973" s="26" t="n">
        <v>2</v>
      </c>
      <c r="J973" s="26" t="n">
        <f aca="false">COUNTIFS('Control Library'!$A$5:$A$50,"AI-CTRL-001",'Control Library'!$R$5:$R$50,"Implemented")+COUNTIFS('Control Library'!$A$5:$A$50,"AI-CTRL-011",'Control Library'!$R$5:$R$50,"Implemented")</f>
        <v>0</v>
      </c>
      <c r="K973" s="43" t="str">
        <f aca="false">IF(I973=0,"No wiki control",IF(J973=I973,"Fully covered",IF(J973=0,"Not covered","Partly covered")))</f>
        <v>Not covered</v>
      </c>
      <c r="L973" s="9" t="s">
        <v>3095</v>
      </c>
    </row>
    <row r="974" customFormat="false" ht="35.05" hidden="false" customHeight="false" outlineLevel="0" collapsed="false">
      <c r="A974" s="58" t="s">
        <v>626</v>
      </c>
      <c r="B974" s="58" t="s">
        <v>613</v>
      </c>
      <c r="C974" s="5" t="s">
        <v>3130</v>
      </c>
      <c r="D974" s="6" t="s">
        <v>3131</v>
      </c>
      <c r="E974" s="6" t="s">
        <v>530</v>
      </c>
      <c r="F974" s="6" t="s">
        <v>730</v>
      </c>
      <c r="G974" s="6" t="s">
        <v>533</v>
      </c>
      <c r="H974" s="6" t="s">
        <v>642</v>
      </c>
      <c r="I974" s="26" t="n">
        <v>1</v>
      </c>
      <c r="J974" s="26" t="n">
        <f aca="false">COUNTIFS('Control Library'!$A$5:$A$50,"AI-CTRL-044",'Control Library'!$R$5:$R$50,"Implemented")</f>
        <v>0</v>
      </c>
      <c r="K974" s="43" t="str">
        <f aca="false">IF(I974=0,"No wiki control",IF(J974=I974,"Fully covered",IF(J974=0,"Not covered","Partly covered")))</f>
        <v>Not covered</v>
      </c>
      <c r="L974" s="9" t="s">
        <v>3095</v>
      </c>
    </row>
    <row r="975" customFormat="false" ht="79.85" hidden="false" customHeight="false" outlineLevel="0" collapsed="false">
      <c r="A975" s="58" t="s">
        <v>626</v>
      </c>
      <c r="B975" s="58" t="s">
        <v>613</v>
      </c>
      <c r="C975" s="5" t="s">
        <v>3132</v>
      </c>
      <c r="D975" s="6" t="s">
        <v>3133</v>
      </c>
      <c r="E975" s="6" t="s">
        <v>3134</v>
      </c>
      <c r="F975" s="6" t="s">
        <v>730</v>
      </c>
      <c r="G975" s="6" t="s">
        <v>3135</v>
      </c>
      <c r="H975" s="6" t="s">
        <v>642</v>
      </c>
      <c r="I975" s="26" t="n">
        <v>6</v>
      </c>
      <c r="J975" s="26" t="n">
        <f aca="false">COUNTIFS('Control Library'!$A$5:$A$50,"AI-CTRL-005",'Control Library'!$R$5:$R$50,"Implemented")+COUNTIFS('Control Library'!$A$5:$A$50,"AI-CTRL-013",'Control Library'!$R$5:$R$50,"Implemented")+COUNTIFS('Control Library'!$A$5:$A$50,"AI-CTRL-014",'Control Library'!$R$5:$R$50,"Implemented")+COUNTIFS('Control Library'!$A$5:$A$50,"AI-CTRL-017",'Control Library'!$R$5:$R$50,"Implemented")+COUNTIFS('Control Library'!$A$5:$A$50,"AI-CTRL-029",'Control Library'!$R$5:$R$50,"Implemented")+COUNTIFS('Control Library'!$A$5:$A$50,"AI-CTRL-031",'Control Library'!$R$5:$R$50,"Implemented")</f>
        <v>0</v>
      </c>
      <c r="K975" s="43" t="str">
        <f aca="false">IF(I975=0,"No wiki control",IF(J975=I975,"Fully covered",IF(J975=0,"Not covered","Partly covered")))</f>
        <v>Not covered</v>
      </c>
      <c r="L975" s="9" t="s">
        <v>3095</v>
      </c>
    </row>
    <row r="976" customFormat="false" ht="68.65" hidden="false" customHeight="false" outlineLevel="0" collapsed="false">
      <c r="A976" s="58" t="s">
        <v>626</v>
      </c>
      <c r="B976" s="58" t="s">
        <v>613</v>
      </c>
      <c r="C976" s="5" t="s">
        <v>3136</v>
      </c>
      <c r="D976" s="6" t="s">
        <v>3137</v>
      </c>
      <c r="E976" s="6" t="s">
        <v>3138</v>
      </c>
      <c r="F976" s="6" t="s">
        <v>730</v>
      </c>
      <c r="G976" s="6" t="s">
        <v>3139</v>
      </c>
      <c r="H976" s="6" t="s">
        <v>657</v>
      </c>
      <c r="I976" s="26" t="n">
        <v>9</v>
      </c>
      <c r="J976" s="26" t="n">
        <f aca="false">COUNTIFS('Control Library'!$A$5:$A$50,"AI-CTRL-008",'Control Library'!$R$5:$R$50,"Implemented")+COUNTIFS('Control Library'!$A$5:$A$50,"AI-CTRL-009",'Control Library'!$R$5:$R$50,"Implemented")+COUNTIFS('Control Library'!$A$5:$A$50,"AI-CTRL-011",'Control Library'!$R$5:$R$50,"Implemented")+COUNTIFS('Control Library'!$A$5:$A$50,"AI-CTRL-025",'Control Library'!$R$5:$R$50,"Implemented")+COUNTIFS('Control Library'!$A$5:$A$50,"AI-CTRL-033",'Control Library'!$R$5:$R$50,"Implemented")+COUNTIFS('Control Library'!$A$5:$A$50,"AI-CTRL-034",'Control Library'!$R$5:$R$50,"Implemented")+COUNTIFS('Control Library'!$A$5:$A$50,"AI-CTRL-037",'Control Library'!$R$5:$R$50,"Implemented")+COUNTIFS('Control Library'!$A$5:$A$50,"AI-CTRL-038",'Control Library'!$R$5:$R$50,"Implemented")+COUNTIFS('Control Library'!$A$5:$A$50,"AI-CTRL-040",'Control Library'!$R$5:$R$50,"Implemented")</f>
        <v>0</v>
      </c>
      <c r="K976" s="43" t="str">
        <f aca="false">IF(I976=0,"No wiki control",IF(J976=I976,"Fully covered",IF(J976=0,"Not covered","Partly covered")))</f>
        <v>Not covered</v>
      </c>
      <c r="L976" s="9" t="s">
        <v>3095</v>
      </c>
    </row>
    <row r="977" customFormat="false" ht="57.45" hidden="false" customHeight="false" outlineLevel="0" collapsed="false">
      <c r="A977" s="58" t="s">
        <v>626</v>
      </c>
      <c r="B977" s="58" t="s">
        <v>613</v>
      </c>
      <c r="C977" s="5" t="s">
        <v>3140</v>
      </c>
      <c r="D977" s="6" t="s">
        <v>3141</v>
      </c>
      <c r="E977" s="6" t="s">
        <v>3142</v>
      </c>
      <c r="F977" s="6" t="s">
        <v>730</v>
      </c>
      <c r="G977" s="6" t="s">
        <v>3143</v>
      </c>
      <c r="H977" s="6" t="s">
        <v>642</v>
      </c>
      <c r="I977" s="26" t="n">
        <v>3</v>
      </c>
      <c r="J977" s="26" t="n">
        <f aca="false">COUNTIFS('Control Library'!$A$5:$A$50,"AI-CTRL-011",'Control Library'!$R$5:$R$50,"Implemented")+COUNTIFS('Control Library'!$A$5:$A$50,"AI-CTRL-023",'Control Library'!$R$5:$R$50,"Implemented")+COUNTIFS('Control Library'!$A$5:$A$50,"AI-CTRL-045",'Control Library'!$R$5:$R$50,"Implemented")</f>
        <v>0</v>
      </c>
      <c r="K977" s="43" t="str">
        <f aca="false">IF(I977=0,"No wiki control",IF(J977=I977,"Fully covered",IF(J977=0,"Not covered","Partly covered")))</f>
        <v>Not covered</v>
      </c>
      <c r="L977" s="9" t="s">
        <v>3095</v>
      </c>
    </row>
  </sheetData>
  <autoFilter ref="A4:L977"/>
  <conditionalFormatting sqref="K5:K977">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NIST SSDF and SP 800-218A Crosswalk"/>
    <hyperlink ref="L656" r:id="rId652" display="NIST SSDF and SP 800-218A Crosswalk"/>
    <hyperlink ref="L657" r:id="rId653" display="NIST SSDF and SP 800-218A Crosswalk"/>
    <hyperlink ref="L658" r:id="rId654" display="NIST SSDF and SP 800-218A Crosswalk"/>
    <hyperlink ref="L659" r:id="rId655" display="NIST SSDF and SP 800-218A Crosswalk"/>
    <hyperlink ref="L660" r:id="rId656" display="NIST SSDF and SP 800-218A Crosswalk"/>
    <hyperlink ref="L661" r:id="rId657" display="NIST SSDF and SP 800-218A Crosswalk"/>
    <hyperlink ref="L662" r:id="rId658" display="NIST SSDF and SP 800-218A Crosswalk"/>
    <hyperlink ref="L663" r:id="rId659" display="NIST SSDF and SP 800-218A Crosswalk"/>
    <hyperlink ref="L664" r:id="rId660" display="NIST SSDF and SP 800-218A Crosswalk"/>
    <hyperlink ref="L665" r:id="rId661" display="NIST SSDF and SP 800-218A Crosswalk"/>
    <hyperlink ref="L666" r:id="rId662" display="NIST SSDF and SP 800-218A Crosswalk"/>
    <hyperlink ref="L667" r:id="rId663" display="NIST SSDF and SP 800-218A Crosswalk"/>
    <hyperlink ref="L668" r:id="rId664" display="NIST SSDF and SP 800-218A Crosswalk"/>
    <hyperlink ref="L669" r:id="rId665" display="NIST SSDF and SP 800-218A Crosswalk"/>
    <hyperlink ref="L670" r:id="rId666" display="NIST SSDF and SP 800-218A Crosswalk"/>
    <hyperlink ref="L671" r:id="rId667" display="NIST SSDF and SP 800-218A Crosswalk"/>
    <hyperlink ref="L672" r:id="rId668" display="NIST SSDF and SP 800-218A Crosswalk"/>
    <hyperlink ref="L673" r:id="rId669" display="NIST SSDF and SP 800-218A Crosswalk"/>
    <hyperlink ref="L674" r:id="rId670" display="NIST SSDF and SP 800-218A Crosswalk"/>
    <hyperlink ref="L675" r:id="rId671" display="PCI DSS AI Crosswalk"/>
    <hyperlink ref="L676" r:id="rId672" display="PCI DSS AI Crosswalk"/>
    <hyperlink ref="L677" r:id="rId673" display="PCI DSS AI Crosswalk"/>
    <hyperlink ref="L678" r:id="rId674" display="PCI DSS AI Crosswalk"/>
    <hyperlink ref="L679" r:id="rId675" display="PCI DSS AI Crosswalk"/>
    <hyperlink ref="L680" r:id="rId676" display="PCI DSS AI Crosswalk"/>
    <hyperlink ref="L681" r:id="rId677" display="PCI DSS AI Crosswalk"/>
    <hyperlink ref="L682" r:id="rId678" display="PCI DSS AI Crosswalk"/>
    <hyperlink ref="L683" r:id="rId679" display="PCI DSS AI Crosswalk"/>
    <hyperlink ref="L684" r:id="rId680" display="PCI DSS AI Crosswalk"/>
    <hyperlink ref="L685" r:id="rId681" display="PCI DSS AI Crosswalk"/>
    <hyperlink ref="L686" r:id="rId682" display="PCI DSS AI Crosswalk"/>
    <hyperlink ref="L687" r:id="rId683" display="PCI DSS AI Crosswalk"/>
    <hyperlink ref="L688" r:id="rId684" display="PCI DSS AI Crosswalk"/>
    <hyperlink ref="L689" r:id="rId685" display="PCI DSS AI Crosswalk"/>
    <hyperlink ref="L690" r:id="rId686" display="PCI DSS AI Crosswalk"/>
    <hyperlink ref="L691" r:id="rId687" display="PCI DSS AI Crosswalk"/>
    <hyperlink ref="L692" r:id="rId688" display="PCI DSS AI Crosswalk"/>
    <hyperlink ref="L693" r:id="rId689" display="PCI DSS AI Crosswalk"/>
    <hyperlink ref="L694" r:id="rId690" display="PCI DSS AI Crosswalk"/>
    <hyperlink ref="L695" r:id="rId691" display="PCI DSS AI Crosswalk"/>
    <hyperlink ref="L696" r:id="rId692" display="PCI DSS AI Crosswalk"/>
    <hyperlink ref="L697" r:id="rId693" display="PCI DSS AI Crosswalk"/>
    <hyperlink ref="L698" r:id="rId694" display="PCI DSS AI Crosswalk"/>
    <hyperlink ref="L699" r:id="rId695" display="PCI DSS AI Crosswalk"/>
    <hyperlink ref="L700" r:id="rId696" display="PCI DSS AI Crosswalk"/>
    <hyperlink ref="L701" r:id="rId697" display="PCI DSS AI Crosswalk"/>
    <hyperlink ref="L702" r:id="rId698" display="PCI DSS AI Crosswalk"/>
    <hyperlink ref="L703" r:id="rId699" display="PCI DSS AI Crosswalk"/>
    <hyperlink ref="L704" r:id="rId700" display="PCI DSS AI Crosswalk"/>
    <hyperlink ref="L705" r:id="rId701" display="PCI DSS AI Crosswalk"/>
    <hyperlink ref="L706" r:id="rId702" display="PCI DSS AI Crosswalk"/>
    <hyperlink ref="L707" r:id="rId703" display="PCI DSS AI Crosswalk"/>
    <hyperlink ref="L708" r:id="rId704" display="PCI DSS AI Crosswalk"/>
    <hyperlink ref="L709" r:id="rId705" display="PCI DSS AI Crosswalk"/>
    <hyperlink ref="L710" r:id="rId706" display="PCI DSS AI Crosswalk"/>
    <hyperlink ref="L711" r:id="rId707" display="PCI DSS AI Crosswalk"/>
    <hyperlink ref="L712" r:id="rId708" display="PCI DSS AI Crosswalk"/>
    <hyperlink ref="L713" r:id="rId709" display="PCI DSS AI Crosswalk"/>
    <hyperlink ref="L714" r:id="rId710" display="PCI DSS AI Crosswalk"/>
    <hyperlink ref="L715" r:id="rId711" display="PCI DSS AI Crosswalk"/>
    <hyperlink ref="L716" r:id="rId712" display="PCI DSS AI Crosswalk"/>
    <hyperlink ref="L717" r:id="rId713" display="PCI DSS AI Crosswalk"/>
    <hyperlink ref="L718" r:id="rId714" display="OECD AI Principles Crosswalk"/>
    <hyperlink ref="L719" r:id="rId715" display="OECD AI Principles Crosswalk"/>
    <hyperlink ref="L720" r:id="rId716" display="OECD AI Principles Crosswalk"/>
    <hyperlink ref="L721" r:id="rId717" display="OECD AI Principles Crosswalk"/>
    <hyperlink ref="L722" r:id="rId718" display="OECD AI Principles Crosswalk"/>
    <hyperlink ref="L723" r:id="rId719" display="Trustworthy AI and Ethics Standards Crosswalk"/>
    <hyperlink ref="L724" r:id="rId720" display="Trustworthy AI and Ethics Standards Crosswalk"/>
    <hyperlink ref="L725" r:id="rId721" display="Trustworthy AI and Ethics Standards Crosswalk"/>
    <hyperlink ref="L726" r:id="rId722" display="Trustworthy AI and Ethics Standards Crosswalk"/>
    <hyperlink ref="L727" r:id="rId723" display="Trustworthy AI and Ethics Standards Crosswalk"/>
    <hyperlink ref="L728" r:id="rId724" display="Trustworthy AI and Ethics Standards Crosswalk"/>
    <hyperlink ref="L729" r:id="rId725" display="Trustworthy AI and Ethics Standards Crosswalk"/>
    <hyperlink ref="L730" r:id="rId726" display="Trustworthy AI and Ethics Standards Crosswalk"/>
    <hyperlink ref="L731" r:id="rId727" display="Trustworthy AI and Ethics Standards Crosswalk"/>
    <hyperlink ref="L732" r:id="rId728" display="Trustworthy AI and Ethics Standards Crosswalk"/>
    <hyperlink ref="L733" r:id="rId729" display="Trustworthy AI and Ethics Standards Crosswalk"/>
    <hyperlink ref="L734" r:id="rId730" display="Trustworthy AI and Ethics Standards Crosswalk"/>
    <hyperlink ref="L735" r:id="rId731" display="Trustworthy AI and Ethics Standards Crosswalk"/>
    <hyperlink ref="L736" r:id="rId732" display="Trustworthy AI and Ethics Standards Crosswalk"/>
    <hyperlink ref="L737" r:id="rId733" display="Trustworthy AI and Ethics Standards Crosswalk"/>
    <hyperlink ref="L738" r:id="rId734" display="Trustworthy AI and Ethics Standards Crosswalk"/>
    <hyperlink ref="L739" r:id="rId735" display="Trustworthy AI and Ethics Standards Crosswalk"/>
    <hyperlink ref="L740" r:id="rId736" display="Trustworthy AI and Ethics Standards Crosswalk"/>
    <hyperlink ref="L741" r:id="rId737" display="Trustworthy AI and Ethics Standards Crosswalk"/>
    <hyperlink ref="L742" r:id="rId738" display="Trustworthy AI and Ethics Standards Crosswalk"/>
    <hyperlink ref="L743" r:id="rId739" display="Trustworthy AI and Ethics Standards Crosswalk"/>
    <hyperlink ref="L744" r:id="rId740" display="Trustworthy AI and Ethics Standards Crosswalk"/>
    <hyperlink ref="L745" r:id="rId741" display="International AI Instruments Crosswalk"/>
    <hyperlink ref="L746" r:id="rId742" display="International AI Instruments Crosswalk"/>
    <hyperlink ref="L747" r:id="rId743" display="International AI Instruments Crosswalk"/>
    <hyperlink ref="L748" r:id="rId744" display="International AI Instruments Crosswalk"/>
    <hyperlink ref="L749" r:id="rId745" display="International AI Instruments Crosswalk"/>
    <hyperlink ref="L750" r:id="rId746" display="International AI Instruments Crosswalk"/>
    <hyperlink ref="L751" r:id="rId747" display="International AI Instruments Crosswalk"/>
    <hyperlink ref="L752" r:id="rId748" display="International AI Instruments Crosswalk"/>
    <hyperlink ref="L753" r:id="rId749" display="International AI Instruments Crosswalk"/>
    <hyperlink ref="L754" r:id="rId750" display="International AI Instruments Crosswalk"/>
    <hyperlink ref="L755" r:id="rId751" display="International AI Instruments Crosswalk"/>
    <hyperlink ref="L756" r:id="rId752" display="International AI Instruments Crosswalk"/>
    <hyperlink ref="L757" r:id="rId753" display="International AI Instruments Crosswalk"/>
    <hyperlink ref="L758" r:id="rId754" display="International AI Instruments Crosswalk"/>
    <hyperlink ref="L759" r:id="rId755" display="International AI Instruments Crosswalk"/>
    <hyperlink ref="L760" r:id="rId756" display="International AI Instruments Crosswalk"/>
    <hyperlink ref="L761" r:id="rId757" display="International AI Instruments Crosswalk"/>
    <hyperlink ref="L762" r:id="rId758" display="International AI Instruments Crosswalk"/>
    <hyperlink ref="L763" r:id="rId759" display="International AI Instruments Crosswalk"/>
    <hyperlink ref="L764" r:id="rId760" display="International AI Instruments Crosswalk"/>
    <hyperlink ref="L765" r:id="rId761" display="International AI Instruments Crosswalk"/>
    <hyperlink ref="L766" r:id="rId762" display="International AI Instruments Crosswalk"/>
    <hyperlink ref="L767" r:id="rId763" display="International AI Instruments Crosswalk"/>
    <hyperlink ref="L768" r:id="rId764" display="Privacy Law Crosswalk"/>
    <hyperlink ref="L769" r:id="rId765" display="Privacy Law Crosswalk"/>
    <hyperlink ref="L770" r:id="rId766" display="Privacy Law Crosswalk"/>
    <hyperlink ref="L771" r:id="rId767" display="Privacy Law Crosswalk"/>
    <hyperlink ref="L772" r:id="rId768" display="Privacy Law Crosswalk"/>
    <hyperlink ref="L773" r:id="rId769" display="Privacy Law Crosswalk"/>
    <hyperlink ref="L774" r:id="rId770" display="Privacy Law Crosswalk"/>
    <hyperlink ref="L775" r:id="rId771" display="Privacy Law Crosswalk"/>
    <hyperlink ref="L776" r:id="rId772" display="Privacy Law Crosswalk"/>
    <hyperlink ref="L777" r:id="rId773" display="Privacy Law Crosswalk"/>
    <hyperlink ref="L778" r:id="rId774" display="Privacy Law Crosswalk"/>
    <hyperlink ref="L779" r:id="rId775" display="Privacy Law Crosswalk"/>
    <hyperlink ref="L780" r:id="rId776" display="Privacy Law Crosswalk"/>
    <hyperlink ref="L781" r:id="rId777" display="Privacy Law Crosswalk"/>
    <hyperlink ref="L782" r:id="rId778" display="GCC Regulatory Crosswalk"/>
    <hyperlink ref="L783" r:id="rId779" display="GCC Regulatory Crosswalk"/>
    <hyperlink ref="L784" r:id="rId780" display="GCC Regulatory Crosswalk"/>
    <hyperlink ref="L785" r:id="rId781" display="GCC Regulatory Crosswalk"/>
    <hyperlink ref="L786" r:id="rId782" display="GCC Regulatory Crosswalk"/>
    <hyperlink ref="L787" r:id="rId783" display="GCC Regulatory Crosswalk"/>
    <hyperlink ref="L788" r:id="rId784" display="GCC Regulatory Crosswalk"/>
    <hyperlink ref="L789" r:id="rId785" display="GCC Regulatory Crosswalk"/>
    <hyperlink ref="L790" r:id="rId786" display="GCC Regulatory Crosswalk"/>
    <hyperlink ref="L791" r:id="rId787" display="GCC Regulatory Crosswalk"/>
    <hyperlink ref="L792" r:id="rId788" display="GCC Regulatory Crosswalk"/>
    <hyperlink ref="L793" r:id="rId789" display="GCC Regulatory Crosswalk"/>
    <hyperlink ref="L794" r:id="rId790" display="GCC Regulatory Crosswalk"/>
    <hyperlink ref="L795" r:id="rId791" display="GCC Regulatory Crosswalk"/>
    <hyperlink ref="L796" r:id="rId792" display="GCC Regulatory Crosswalk"/>
    <hyperlink ref="L797" r:id="rId793" display="GCC Regulatory Crosswalk"/>
    <hyperlink ref="L798" r:id="rId794" display="GCC Regulatory Crosswalk"/>
    <hyperlink ref="L799" r:id="rId795" display="GCC Regulatory Crosswalk"/>
    <hyperlink ref="L800" r:id="rId796" display="GCC Regulatory Crosswalk"/>
    <hyperlink ref="L801" r:id="rId797" display="GCC Regulatory Crosswalk"/>
    <hyperlink ref="L802" r:id="rId798" display="GCC Regulatory Crosswalk"/>
    <hyperlink ref="L803" r:id="rId799" display="GCC Regulatory Crosswalk"/>
    <hyperlink ref="L804" r:id="rId800" display="GCC Regulatory Crosswalk"/>
    <hyperlink ref="L805" r:id="rId801" display="GCC Regulatory Crosswalk"/>
    <hyperlink ref="L806" r:id="rId802" display="GCC Regulatory Crosswalk"/>
    <hyperlink ref="L807" r:id="rId803" display="GCC Regulatory Crosswalk"/>
    <hyperlink ref="L808" r:id="rId804" display="GCC Regulatory Crosswalk"/>
    <hyperlink ref="L809" r:id="rId805" display="GCC Regulatory Crosswalk"/>
    <hyperlink ref="L810" r:id="rId806" display="GCC Regulatory Crosswalk"/>
    <hyperlink ref="L811" r:id="rId807" display="GCC Regulatory Crosswalk"/>
    <hyperlink ref="L812" r:id="rId808" display="GCC Regulatory Crosswalk"/>
    <hyperlink ref="L813" r:id="rId809" display="GCC Regulatory Crosswalk"/>
    <hyperlink ref="L814" r:id="rId810" display="GCC Regulatory Crosswalk"/>
    <hyperlink ref="L815" r:id="rId811" display="EU Regulatory Crosswalk"/>
    <hyperlink ref="L816" r:id="rId812" display="EU Regulatory Crosswalk"/>
    <hyperlink ref="L817" r:id="rId813" display="EU Regulatory Crosswalk"/>
    <hyperlink ref="L818" r:id="rId814" display="EU Regulatory Crosswalk"/>
    <hyperlink ref="L819" r:id="rId815" display="EU Regulatory Crosswalk"/>
    <hyperlink ref="L820" r:id="rId816" display="EU Regulatory Crosswalk"/>
    <hyperlink ref="L821" r:id="rId817" display="EU Regulatory Crosswalk"/>
    <hyperlink ref="L822" r:id="rId818" display="EU Regulatory Crosswalk"/>
    <hyperlink ref="L823" r:id="rId819" display="EU Regulatory Crosswalk"/>
    <hyperlink ref="L824" r:id="rId820" display="EU Regulatory Crosswalk"/>
    <hyperlink ref="L825" r:id="rId821" display="EU Regulatory Crosswalk"/>
    <hyperlink ref="L826" r:id="rId822" display="EU Regulatory Crosswalk"/>
    <hyperlink ref="L827" r:id="rId823" display="EU Regulatory Crosswalk"/>
    <hyperlink ref="L828" r:id="rId824" display="EU Regulatory Crosswalk"/>
    <hyperlink ref="L829" r:id="rId825" display="EU Regulatory Crosswalk"/>
    <hyperlink ref="L830" r:id="rId826" display="EU Regulatory Crosswalk"/>
    <hyperlink ref="L831" r:id="rId827" display="EU Regulatory Crosswalk"/>
    <hyperlink ref="L832" r:id="rId828" display="EU Regulatory Crosswalk"/>
    <hyperlink ref="L833" r:id="rId829" display="EU Regulatory Crosswalk"/>
    <hyperlink ref="L834" r:id="rId830" display="EU Regulatory Crosswalk"/>
    <hyperlink ref="L835" r:id="rId831" display="EU Regulatory Crosswalk"/>
    <hyperlink ref="L836" r:id="rId832" display="EU Regulatory Crosswalk"/>
    <hyperlink ref="L837" r:id="rId833" display="EU Regulatory Crosswalk"/>
    <hyperlink ref="L838" r:id="rId834" display="UK Regulatory Crosswalk"/>
    <hyperlink ref="L839" r:id="rId835" display="UK Regulatory Crosswalk"/>
    <hyperlink ref="L840" r:id="rId836" display="UK Regulatory Crosswalk"/>
    <hyperlink ref="L841" r:id="rId837" display="UK Regulatory Crosswalk"/>
    <hyperlink ref="L842" r:id="rId838" display="UK Regulatory Crosswalk"/>
    <hyperlink ref="L843" r:id="rId839" display="UK Regulatory Crosswalk"/>
    <hyperlink ref="L844" r:id="rId840" display="UK Regulatory Crosswalk"/>
    <hyperlink ref="L845" r:id="rId841" display="UK Regulatory Crosswalk"/>
    <hyperlink ref="L846" r:id="rId842" display="UK Regulatory Crosswalk"/>
    <hyperlink ref="L847" r:id="rId843" display="UK Regulatory Crosswalk"/>
    <hyperlink ref="L848" r:id="rId844" display="UK Regulatory Crosswalk"/>
    <hyperlink ref="L849" r:id="rId845" display="UK Regulatory Crosswalk"/>
    <hyperlink ref="L850" r:id="rId846" display="UK Regulatory Crosswalk"/>
    <hyperlink ref="L851" r:id="rId847" display="US Regulatory Crosswalk"/>
    <hyperlink ref="L852" r:id="rId848" display="US Regulatory Crosswalk"/>
    <hyperlink ref="L853" r:id="rId849" display="US Regulatory Crosswalk"/>
    <hyperlink ref="L854" r:id="rId850" display="US Regulatory Crosswalk"/>
    <hyperlink ref="L855" r:id="rId851" display="US Regulatory Crosswalk"/>
    <hyperlink ref="L856" r:id="rId852" display="US Regulatory Crosswalk"/>
    <hyperlink ref="L857" r:id="rId853" display="US Regulatory Crosswalk"/>
    <hyperlink ref="L858" r:id="rId854" display="US Regulatory Crosswalk"/>
    <hyperlink ref="L859" r:id="rId855" display="US Regulatory Crosswalk"/>
    <hyperlink ref="L860" r:id="rId856" display="US Regulatory Crosswalk"/>
    <hyperlink ref="L861" r:id="rId857" display="US Regulatory Crosswalk"/>
    <hyperlink ref="L862" r:id="rId858" display="US Regulatory Crosswalk"/>
    <hyperlink ref="L863" r:id="rId859" display="US Regulatory Crosswalk"/>
    <hyperlink ref="L864" r:id="rId860" display="US Regulatory Crosswalk"/>
    <hyperlink ref="L865" r:id="rId861" display="US Regulatory Crosswalk"/>
    <hyperlink ref="L866" r:id="rId862" display="US Regulatory Crosswalk"/>
    <hyperlink ref="L867" r:id="rId863" display="US Regulatory Crosswalk"/>
    <hyperlink ref="L868" r:id="rId864" display="Australia Regulatory Crosswalk"/>
    <hyperlink ref="L869" r:id="rId865" display="Australia Regulatory Crosswalk"/>
    <hyperlink ref="L870" r:id="rId866" display="Australia Regulatory Crosswalk"/>
    <hyperlink ref="L871" r:id="rId867" display="Australia Regulatory Crosswalk"/>
    <hyperlink ref="L872" r:id="rId868" display="Australia Regulatory Crosswalk"/>
    <hyperlink ref="L873" r:id="rId869" display="Australia Regulatory Crosswalk"/>
    <hyperlink ref="L874" r:id="rId870" display="Australia Regulatory Crosswalk"/>
    <hyperlink ref="L875" r:id="rId871" display="Australia Regulatory Crosswalk"/>
    <hyperlink ref="L876" r:id="rId872" display="Australia Regulatory Crosswalk"/>
    <hyperlink ref="L877" r:id="rId873" display="Australia Regulatory Crosswalk"/>
    <hyperlink ref="L878" r:id="rId874" display="Brazil Regulatory Crosswalk"/>
    <hyperlink ref="L879" r:id="rId875" display="Brazil Regulatory Crosswalk"/>
    <hyperlink ref="L880" r:id="rId876" display="Brazil Regulatory Crosswalk"/>
    <hyperlink ref="L881" r:id="rId877" display="Brazil Regulatory Crosswalk"/>
    <hyperlink ref="L882" r:id="rId878" display="Canada Regulatory Crosswalk"/>
    <hyperlink ref="L883" r:id="rId879" display="Canada Regulatory Crosswalk"/>
    <hyperlink ref="L884" r:id="rId880" display="Canada Regulatory Crosswalk"/>
    <hyperlink ref="L885" r:id="rId881" display="Canada Regulatory Crosswalk"/>
    <hyperlink ref="L886" r:id="rId882" display="Canada Regulatory Crosswalk"/>
    <hyperlink ref="L887" r:id="rId883" display="Canada Regulatory Crosswalk"/>
    <hyperlink ref="L888" r:id="rId884" display="Canada Regulatory Crosswalk"/>
    <hyperlink ref="L889" r:id="rId885" display="Canada Regulatory Crosswalk"/>
    <hyperlink ref="L890" r:id="rId886" display="China Regulatory Crosswalk"/>
    <hyperlink ref="L891" r:id="rId887" display="China Regulatory Crosswalk"/>
    <hyperlink ref="L892" r:id="rId888" display="China Regulatory Crosswalk"/>
    <hyperlink ref="L893" r:id="rId889" display="China Regulatory Crosswalk"/>
    <hyperlink ref="L894" r:id="rId890" display="China Regulatory Crosswalk"/>
    <hyperlink ref="L895" r:id="rId891" display="China Regulatory Crosswalk"/>
    <hyperlink ref="L896" r:id="rId892" display="China Regulatory Crosswalk"/>
    <hyperlink ref="L897" r:id="rId893" display="China Regulatory Crosswalk"/>
    <hyperlink ref="L898" r:id="rId894" display="China Regulatory Crosswalk"/>
    <hyperlink ref="L899" r:id="rId895" display="India Regulatory Crosswalk"/>
    <hyperlink ref="L900" r:id="rId896" display="India Regulatory Crosswalk"/>
    <hyperlink ref="L901" r:id="rId897" display="India Regulatory Crosswalk"/>
    <hyperlink ref="L902" r:id="rId898" display="India Regulatory Crosswalk"/>
    <hyperlink ref="L903" r:id="rId899" display="India Regulatory Crosswalk"/>
    <hyperlink ref="L904" r:id="rId900" display="India Regulatory Crosswalk"/>
    <hyperlink ref="L905" r:id="rId901" display="India Regulatory Crosswalk"/>
    <hyperlink ref="L906" r:id="rId902" display="India Regulatory Crosswalk"/>
    <hyperlink ref="L907" r:id="rId903" display="India Regulatory Crosswalk"/>
    <hyperlink ref="L908" r:id="rId904" display="India Regulatory Crosswalk"/>
    <hyperlink ref="L909" r:id="rId905" display="India Regulatory Crosswalk"/>
    <hyperlink ref="L910" r:id="rId906" display="India Regulatory Crosswalk"/>
    <hyperlink ref="L911" r:id="rId907" display="India Regulatory Crosswalk"/>
    <hyperlink ref="L912" r:id="rId908" display="Japan Regulatory Crosswalk"/>
    <hyperlink ref="L913" r:id="rId909" display="Japan Regulatory Crosswalk"/>
    <hyperlink ref="L914" r:id="rId910" display="Japan Regulatory Crosswalk"/>
    <hyperlink ref="L915" r:id="rId911" display="Japan Regulatory Crosswalk"/>
    <hyperlink ref="L916" r:id="rId912" display="Japan Regulatory Crosswalk"/>
    <hyperlink ref="L917" r:id="rId913" display="Japan Regulatory Crosswalk"/>
    <hyperlink ref="L918" r:id="rId914" display="Singapore Regulatory Crosswalk"/>
    <hyperlink ref="L919" r:id="rId915" display="Singapore Regulatory Crosswalk"/>
    <hyperlink ref="L920" r:id="rId916" display="Singapore Regulatory Crosswalk"/>
    <hyperlink ref="L921" r:id="rId917" display="Singapore Regulatory Crosswalk"/>
    <hyperlink ref="L922" r:id="rId918" display="Singapore Regulatory Crosswalk"/>
    <hyperlink ref="L923" r:id="rId919" display="Singapore Regulatory Crosswalk"/>
    <hyperlink ref="L924" r:id="rId920" display="Singapore Regulatory Crosswalk"/>
    <hyperlink ref="L925" r:id="rId921" display="Singapore Regulatory Crosswalk"/>
    <hyperlink ref="L926" r:id="rId922" display="Singapore Regulatory Crosswalk"/>
    <hyperlink ref="L927" r:id="rId923" display="Singapore Regulatory Crosswalk"/>
    <hyperlink ref="L928" r:id="rId924" display="Singapore Regulatory Crosswalk"/>
    <hyperlink ref="L929" r:id="rId925" display="Singapore Regulatory Crosswalk"/>
    <hyperlink ref="L930" r:id="rId926" display="Singapore Regulatory Crosswalk"/>
    <hyperlink ref="L931" r:id="rId927" display="Singapore Regulatory Crosswalk"/>
    <hyperlink ref="L932" r:id="rId928" display="Singapore Regulatory Crosswalk"/>
    <hyperlink ref="L933" r:id="rId929" display="Singapore Regulatory Crosswalk"/>
    <hyperlink ref="L934" r:id="rId930" display="Singapore Regulatory Crosswalk"/>
    <hyperlink ref="L935" r:id="rId931" display="Singapore Regulatory Crosswalk"/>
    <hyperlink ref="L936" r:id="rId932" display="Singapore Regulatory Crosswalk"/>
    <hyperlink ref="L937" r:id="rId933" display="Singapore Regulatory Crosswalk"/>
    <hyperlink ref="L938" r:id="rId934" display="Singapore Regulatory Crosswalk"/>
    <hyperlink ref="L939" r:id="rId935" display="Singapore Regulatory Crosswalk"/>
    <hyperlink ref="L940" r:id="rId936" display="Singapore Regulatory Crosswalk"/>
    <hyperlink ref="L941" r:id="rId937" display="Singapore Regulatory Crosswalk"/>
    <hyperlink ref="L942" r:id="rId938" display="Singapore Regulatory Crosswalk"/>
    <hyperlink ref="L943" r:id="rId939" display="Singapore Regulatory Crosswalk"/>
    <hyperlink ref="L944" r:id="rId940" display="Singapore Regulatory Crosswalk"/>
    <hyperlink ref="L945" r:id="rId941" display="Singapore Regulatory Crosswalk"/>
    <hyperlink ref="L946" r:id="rId942" display="Singapore Regulatory Crosswalk"/>
    <hyperlink ref="L947" r:id="rId943" display="Singapore Regulatory Crosswalk"/>
    <hyperlink ref="L948" r:id="rId944" display="Singapore Regulatory Crosswalk"/>
    <hyperlink ref="L949" r:id="rId945" display="Singapore Regulatory Crosswalk"/>
    <hyperlink ref="L950" r:id="rId946" display="Singapore Regulatory Crosswalk"/>
    <hyperlink ref="L951" r:id="rId947" display="Singapore Regulatory Crosswalk"/>
    <hyperlink ref="L952" r:id="rId948" display="South Korea Regulatory Crosswalk"/>
    <hyperlink ref="L953" r:id="rId949" display="South Korea Regulatory Crosswalk"/>
    <hyperlink ref="L954" r:id="rId950" display="South Korea Regulatory Crosswalk"/>
    <hyperlink ref="L955" r:id="rId951" display="South Korea Regulatory Crosswalk"/>
    <hyperlink ref="L956" r:id="rId952" display="South Korea Regulatory Crosswalk"/>
    <hyperlink ref="L957" r:id="rId953" display="South Korea Regulatory Crosswalk"/>
    <hyperlink ref="L958" r:id="rId954" display="South Korea Regulatory Crosswalk"/>
    <hyperlink ref="L959" r:id="rId955" display="South Korea Regulatory Crosswalk"/>
    <hyperlink ref="L960" r:id="rId956" display="Hong Kong Regulatory Crosswalk"/>
    <hyperlink ref="L961" r:id="rId957" display="Hong Kong Regulatory Crosswalk"/>
    <hyperlink ref="L962" r:id="rId958" display="Hong Kong Regulatory Crosswalk"/>
    <hyperlink ref="L963" r:id="rId959" display="Hong Kong Regulatory Crosswalk"/>
    <hyperlink ref="L964" r:id="rId960" display="Hong Kong Regulatory Crosswalk"/>
    <hyperlink ref="L965" r:id="rId961" display="Hong Kong Regulatory Crosswalk"/>
    <hyperlink ref="L966" r:id="rId962" display="Hong Kong Regulatory Crosswalk"/>
    <hyperlink ref="L967" r:id="rId963" display="Hong Kong Regulatory Crosswalk"/>
    <hyperlink ref="L968" r:id="rId964" display="Hong Kong Regulatory Crosswalk"/>
    <hyperlink ref="L969" r:id="rId965" display="Hong Kong Regulatory Crosswalk"/>
    <hyperlink ref="L970" r:id="rId966" display="Hong Kong Regulatory Crosswalk"/>
    <hyperlink ref="L971" r:id="rId967" display="Hong Kong Regulatory Crosswalk"/>
    <hyperlink ref="L972" r:id="rId968" display="Hong Kong Regulatory Crosswalk"/>
    <hyperlink ref="L973" r:id="rId969" display="Hong Kong Regulatory Crosswalk"/>
    <hyperlink ref="L974" r:id="rId970" display="Hong Kong Regulatory Crosswalk"/>
    <hyperlink ref="L975" r:id="rId971" display="Hong Kong Regulatory Crosswalk"/>
    <hyperlink ref="L976" r:id="rId972" display="Hong Kong Regulatory Crosswalk"/>
    <hyperlink ref="L977" r:id="rId973" display="Hong Kong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7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BB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0"/>
    <col collapsed="false" customWidth="true" hidden="false" outlineLevel="0" max="54" min="4" style="0" width="18"/>
  </cols>
  <sheetData>
    <row r="1" customFormat="false" ht="30" hidden="false" customHeight="true" outlineLevel="0" collapsed="false">
      <c r="A1" s="62" t="s">
        <v>42</v>
      </c>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row>
    <row r="2" customFormat="false" ht="15" hidden="false" customHeight="false" outlineLevel="0" collapsed="false">
      <c r="A2" s="3" t="s">
        <v>3144</v>
      </c>
    </row>
    <row r="4" customFormat="false" ht="15" hidden="false" customHeight="false" outlineLevel="0" collapsed="false">
      <c r="D4" s="64" t="s">
        <v>570</v>
      </c>
      <c r="E4" s="64"/>
      <c r="F4" s="64"/>
      <c r="G4" s="64"/>
      <c r="H4" s="64"/>
      <c r="I4" s="64"/>
      <c r="J4" s="65" t="s">
        <v>577</v>
      </c>
      <c r="K4" s="65"/>
      <c r="L4" s="65"/>
      <c r="M4" s="65"/>
      <c r="N4" s="65"/>
      <c r="O4" s="65"/>
      <c r="P4" s="66" t="s">
        <v>584</v>
      </c>
      <c r="Q4" s="66"/>
      <c r="R4" s="66"/>
      <c r="S4" s="66"/>
      <c r="T4" s="66"/>
      <c r="U4" s="66"/>
      <c r="V4" s="66"/>
      <c r="W4" s="66"/>
      <c r="X4" s="66"/>
      <c r="Y4" s="66"/>
      <c r="Z4" s="66"/>
      <c r="AA4" s="66"/>
      <c r="AB4" s="66"/>
      <c r="AC4" s="67" t="s">
        <v>598</v>
      </c>
      <c r="AD4" s="67"/>
      <c r="AE4" s="67"/>
      <c r="AF4" s="67"/>
      <c r="AG4" s="67"/>
      <c r="AH4" s="67"/>
      <c r="AI4" s="68" t="s">
        <v>605</v>
      </c>
      <c r="AJ4" s="68"/>
      <c r="AK4" s="68"/>
      <c r="AL4" s="68"/>
      <c r="AM4" s="69" t="s">
        <v>610</v>
      </c>
      <c r="AN4" s="69"/>
      <c r="AO4" s="70" t="s">
        <v>613</v>
      </c>
      <c r="AP4" s="70"/>
      <c r="AQ4" s="70"/>
      <c r="AR4" s="70"/>
      <c r="AS4" s="70"/>
      <c r="AT4" s="70"/>
      <c r="AU4" s="70"/>
      <c r="AV4" s="70"/>
      <c r="AW4" s="70"/>
      <c r="AX4" s="70"/>
      <c r="AY4" s="70"/>
      <c r="AZ4" s="70"/>
      <c r="BA4" s="70"/>
      <c r="BB4" s="70"/>
    </row>
    <row r="5" customFormat="false" ht="60" hidden="false" customHeight="true" outlineLevel="0" collapsed="false">
      <c r="A5" s="71" t="s">
        <v>132</v>
      </c>
      <c r="B5" s="71" t="s">
        <v>133</v>
      </c>
      <c r="C5" s="71" t="s">
        <v>135</v>
      </c>
      <c r="D5" s="71" t="s">
        <v>569</v>
      </c>
      <c r="E5" s="71" t="s">
        <v>571</v>
      </c>
      <c r="F5" s="71" t="s">
        <v>572</v>
      </c>
      <c r="G5" s="71" t="s">
        <v>573</v>
      </c>
      <c r="H5" s="71" t="s">
        <v>574</v>
      </c>
      <c r="I5" s="71" t="s">
        <v>575</v>
      </c>
      <c r="J5" s="71" t="s">
        <v>576</v>
      </c>
      <c r="K5" s="71" t="s">
        <v>578</v>
      </c>
      <c r="L5" s="71" t="s">
        <v>579</v>
      </c>
      <c r="M5" s="71" t="s">
        <v>580</v>
      </c>
      <c r="N5" s="71" t="s">
        <v>581</v>
      </c>
      <c r="O5" s="71" t="s">
        <v>582</v>
      </c>
      <c r="P5" s="71" t="s">
        <v>583</v>
      </c>
      <c r="Q5" s="71" t="s">
        <v>585</v>
      </c>
      <c r="R5" s="71" t="s">
        <v>586</v>
      </c>
      <c r="S5" s="71" t="s">
        <v>587</v>
      </c>
      <c r="T5" s="71" t="s">
        <v>588</v>
      </c>
      <c r="U5" s="71" t="s">
        <v>589</v>
      </c>
      <c r="V5" s="71" t="s">
        <v>590</v>
      </c>
      <c r="W5" s="71" t="s">
        <v>591</v>
      </c>
      <c r="X5" s="71" t="s">
        <v>592</v>
      </c>
      <c r="Y5" s="71" t="s">
        <v>593</v>
      </c>
      <c r="Z5" s="71" t="s">
        <v>594</v>
      </c>
      <c r="AA5" s="71" t="s">
        <v>595</v>
      </c>
      <c r="AB5" s="71" t="s">
        <v>596</v>
      </c>
      <c r="AC5" s="71" t="s">
        <v>597</v>
      </c>
      <c r="AD5" s="71" t="s">
        <v>599</v>
      </c>
      <c r="AE5" s="71" t="s">
        <v>600</v>
      </c>
      <c r="AF5" s="71" t="s">
        <v>601</v>
      </c>
      <c r="AG5" s="71" t="s">
        <v>602</v>
      </c>
      <c r="AH5" s="71" t="s">
        <v>603</v>
      </c>
      <c r="AI5" s="71" t="s">
        <v>604</v>
      </c>
      <c r="AJ5" s="71" t="s">
        <v>606</v>
      </c>
      <c r="AK5" s="71" t="s">
        <v>607</v>
      </c>
      <c r="AL5" s="71" t="s">
        <v>608</v>
      </c>
      <c r="AM5" s="71" t="s">
        <v>609</v>
      </c>
      <c r="AN5" s="71" t="s">
        <v>611</v>
      </c>
      <c r="AO5" s="71" t="s">
        <v>612</v>
      </c>
      <c r="AP5" s="71" t="s">
        <v>614</v>
      </c>
      <c r="AQ5" s="71" t="s">
        <v>615</v>
      </c>
      <c r="AR5" s="71" t="s">
        <v>616</v>
      </c>
      <c r="AS5" s="71" t="s">
        <v>617</v>
      </c>
      <c r="AT5" s="71" t="s">
        <v>618</v>
      </c>
      <c r="AU5" s="71" t="s">
        <v>619</v>
      </c>
      <c r="AV5" s="71" t="s">
        <v>620</v>
      </c>
      <c r="AW5" s="71" t="s">
        <v>621</v>
      </c>
      <c r="AX5" s="71" t="s">
        <v>622</v>
      </c>
      <c r="AY5" s="71" t="s">
        <v>623</v>
      </c>
      <c r="AZ5" s="71" t="s">
        <v>624</v>
      </c>
      <c r="BA5" s="71" t="s">
        <v>625</v>
      </c>
      <c r="BB5" s="71" t="s">
        <v>626</v>
      </c>
    </row>
    <row r="6" customFormat="false" ht="35.05" hidden="false" customHeight="false" outlineLevel="0" collapsed="false">
      <c r="A6" s="36" t="s">
        <v>159</v>
      </c>
      <c r="B6" s="6" t="s">
        <v>160</v>
      </c>
      <c r="C6" s="37" t="s">
        <v>108</v>
      </c>
      <c r="D6" s="72"/>
      <c r="E6" s="72"/>
      <c r="F6" s="6" t="s">
        <v>3145</v>
      </c>
      <c r="G6" s="6" t="s">
        <v>3146</v>
      </c>
      <c r="H6" s="72"/>
      <c r="I6" s="6" t="s">
        <v>1180</v>
      </c>
      <c r="J6" s="6" t="s">
        <v>1206</v>
      </c>
      <c r="K6" s="72"/>
      <c r="L6" s="6" t="s">
        <v>1284</v>
      </c>
      <c r="M6" s="72"/>
      <c r="N6" s="72"/>
      <c r="O6" s="72"/>
      <c r="P6" s="6" t="s">
        <v>1587</v>
      </c>
      <c r="Q6" s="72"/>
      <c r="R6" s="6" t="s">
        <v>3147</v>
      </c>
      <c r="S6" s="72"/>
      <c r="T6" s="72"/>
      <c r="U6" s="72"/>
      <c r="V6" s="72"/>
      <c r="W6" s="72"/>
      <c r="X6" s="72"/>
      <c r="Y6" s="72"/>
      <c r="Z6" s="72"/>
      <c r="AA6" s="72"/>
      <c r="AB6" s="72"/>
      <c r="AC6" s="6" t="s">
        <v>3148</v>
      </c>
      <c r="AD6" s="6" t="s">
        <v>3149</v>
      </c>
      <c r="AE6" s="6" t="s">
        <v>3150</v>
      </c>
      <c r="AF6" s="72"/>
      <c r="AG6" s="72"/>
      <c r="AH6" s="6" t="s">
        <v>2435</v>
      </c>
      <c r="AI6" s="72"/>
      <c r="AJ6" s="72"/>
      <c r="AK6" s="72"/>
      <c r="AL6" s="72"/>
      <c r="AM6" s="72"/>
      <c r="AN6" s="72"/>
      <c r="AO6" s="72"/>
      <c r="AP6" s="72"/>
      <c r="AQ6" s="72"/>
      <c r="AR6" s="72"/>
      <c r="AS6" s="72"/>
      <c r="AT6" s="72"/>
      <c r="AU6" s="72"/>
      <c r="AV6" s="72"/>
      <c r="AW6" s="72"/>
      <c r="AX6" s="72"/>
      <c r="AY6" s="72"/>
      <c r="AZ6" s="6" t="s">
        <v>3151</v>
      </c>
      <c r="BA6" s="72"/>
      <c r="BB6" s="6" t="s">
        <v>3128</v>
      </c>
    </row>
    <row r="7" customFormat="false" ht="46.25" hidden="false" customHeight="false" outlineLevel="0" collapsed="false">
      <c r="A7" s="36" t="s">
        <v>172</v>
      </c>
      <c r="B7" s="6" t="s">
        <v>173</v>
      </c>
      <c r="C7" s="37" t="s">
        <v>108</v>
      </c>
      <c r="D7" s="6" t="s">
        <v>3152</v>
      </c>
      <c r="E7" s="6" t="s">
        <v>727</v>
      </c>
      <c r="F7" s="6" t="s">
        <v>3153</v>
      </c>
      <c r="G7" s="6" t="s">
        <v>3154</v>
      </c>
      <c r="H7" s="6" t="s">
        <v>1142</v>
      </c>
      <c r="I7" s="72"/>
      <c r="J7" s="6" t="s">
        <v>1202</v>
      </c>
      <c r="K7" s="72"/>
      <c r="L7" s="72"/>
      <c r="M7" s="6" t="s">
        <v>1342</v>
      </c>
      <c r="N7" s="6" t="s">
        <v>1451</v>
      </c>
      <c r="O7" s="6" t="s">
        <v>1523</v>
      </c>
      <c r="P7" s="6" t="s">
        <v>1662</v>
      </c>
      <c r="Q7" s="72"/>
      <c r="R7" s="6" t="s">
        <v>3155</v>
      </c>
      <c r="S7" s="72"/>
      <c r="T7" s="72"/>
      <c r="U7" s="72"/>
      <c r="V7" s="72"/>
      <c r="W7" s="72"/>
      <c r="X7" s="72"/>
      <c r="Y7" s="72"/>
      <c r="Z7" s="72"/>
      <c r="AA7" s="72"/>
      <c r="AB7" s="72"/>
      <c r="AC7" s="6" t="s">
        <v>3156</v>
      </c>
      <c r="AD7" s="6" t="s">
        <v>2084</v>
      </c>
      <c r="AE7" s="6" t="s">
        <v>3157</v>
      </c>
      <c r="AF7" s="72"/>
      <c r="AG7" s="6" t="s">
        <v>2341</v>
      </c>
      <c r="AH7" s="72"/>
      <c r="AI7" s="72"/>
      <c r="AJ7" s="72"/>
      <c r="AK7" s="72"/>
      <c r="AL7" s="72"/>
      <c r="AM7" s="72"/>
      <c r="AN7" s="72"/>
      <c r="AO7" s="72"/>
      <c r="AP7" s="6" t="s">
        <v>2622</v>
      </c>
      <c r="AQ7" s="72"/>
      <c r="AR7" s="72"/>
      <c r="AS7" s="72"/>
      <c r="AT7" s="72"/>
      <c r="AU7" s="72"/>
      <c r="AV7" s="72"/>
      <c r="AW7" s="72"/>
      <c r="AX7" s="72"/>
      <c r="AY7" s="72"/>
      <c r="AZ7" s="72"/>
      <c r="BA7" s="72"/>
      <c r="BB7" s="72"/>
    </row>
    <row r="8" customFormat="false" ht="46.25" hidden="false" customHeight="false" outlineLevel="0" collapsed="false">
      <c r="A8" s="36" t="s">
        <v>182</v>
      </c>
      <c r="B8" s="6" t="s">
        <v>183</v>
      </c>
      <c r="C8" s="37" t="s">
        <v>109</v>
      </c>
      <c r="D8" s="6" t="s">
        <v>3152</v>
      </c>
      <c r="E8" s="6" t="s">
        <v>727</v>
      </c>
      <c r="F8" s="6" t="s">
        <v>3153</v>
      </c>
      <c r="G8" s="6" t="s">
        <v>3154</v>
      </c>
      <c r="H8" s="72"/>
      <c r="I8" s="72"/>
      <c r="J8" s="6" t="s">
        <v>1202</v>
      </c>
      <c r="K8" s="72"/>
      <c r="L8" s="72"/>
      <c r="M8" s="6" t="s">
        <v>1342</v>
      </c>
      <c r="N8" s="6" t="s">
        <v>1451</v>
      </c>
      <c r="O8" s="72"/>
      <c r="P8" s="6" t="s">
        <v>1662</v>
      </c>
      <c r="Q8" s="72"/>
      <c r="R8" s="6" t="s">
        <v>3158</v>
      </c>
      <c r="S8" s="72"/>
      <c r="T8" s="72"/>
      <c r="U8" s="72"/>
      <c r="V8" s="72"/>
      <c r="W8" s="72"/>
      <c r="X8" s="72"/>
      <c r="Y8" s="72"/>
      <c r="Z8" s="72"/>
      <c r="AA8" s="72"/>
      <c r="AB8" s="72"/>
      <c r="AC8" s="6" t="s">
        <v>2052</v>
      </c>
      <c r="AD8" s="6" t="s">
        <v>3159</v>
      </c>
      <c r="AE8" s="6" t="s">
        <v>3157</v>
      </c>
      <c r="AF8" s="72"/>
      <c r="AG8" s="72"/>
      <c r="AH8" s="72"/>
      <c r="AI8" s="72"/>
      <c r="AJ8" s="72"/>
      <c r="AK8" s="72"/>
      <c r="AL8" s="72"/>
      <c r="AM8" s="72"/>
      <c r="AN8" s="72"/>
      <c r="AO8" s="72"/>
      <c r="AP8" s="72"/>
      <c r="AQ8" s="72"/>
      <c r="AR8" s="72"/>
      <c r="AS8" s="72"/>
      <c r="AT8" s="72"/>
      <c r="AU8" s="72"/>
      <c r="AV8" s="72"/>
      <c r="AW8" s="72"/>
      <c r="AX8" s="72"/>
      <c r="AY8" s="72"/>
      <c r="AZ8" s="72"/>
      <c r="BA8" s="72"/>
      <c r="BB8" s="72"/>
    </row>
    <row r="9" customFormat="false" ht="68.65" hidden="false" customHeight="false" outlineLevel="0" collapsed="false">
      <c r="A9" s="36" t="s">
        <v>190</v>
      </c>
      <c r="B9" s="6" t="s">
        <v>191</v>
      </c>
      <c r="C9" s="37" t="s">
        <v>109</v>
      </c>
      <c r="D9" s="6" t="s">
        <v>3160</v>
      </c>
      <c r="E9" s="72"/>
      <c r="F9" s="6" t="s">
        <v>3161</v>
      </c>
      <c r="G9" s="6" t="s">
        <v>3162</v>
      </c>
      <c r="H9" s="72"/>
      <c r="I9" s="72"/>
      <c r="J9" s="6" t="s">
        <v>3163</v>
      </c>
      <c r="K9" s="72"/>
      <c r="L9" s="72"/>
      <c r="M9" s="6" t="s">
        <v>3164</v>
      </c>
      <c r="N9" s="72"/>
      <c r="O9" s="72"/>
      <c r="P9" s="6" t="s">
        <v>3165</v>
      </c>
      <c r="Q9" s="72"/>
      <c r="R9" s="6" t="s">
        <v>3166</v>
      </c>
      <c r="S9" s="72"/>
      <c r="T9" s="72"/>
      <c r="U9" s="72"/>
      <c r="V9" s="72"/>
      <c r="W9" s="72"/>
      <c r="X9" s="72"/>
      <c r="Y9" s="72"/>
      <c r="Z9" s="72"/>
      <c r="AA9" s="72"/>
      <c r="AB9" s="72"/>
      <c r="AC9" s="6" t="s">
        <v>3167</v>
      </c>
      <c r="AD9" s="6" t="s">
        <v>3168</v>
      </c>
      <c r="AE9" s="6" t="s">
        <v>3169</v>
      </c>
      <c r="AF9" s="6" t="s">
        <v>3170</v>
      </c>
      <c r="AG9" s="6" t="s">
        <v>2314</v>
      </c>
      <c r="AH9" s="6" t="s">
        <v>2357</v>
      </c>
      <c r="AI9" s="72"/>
      <c r="AJ9" s="72"/>
      <c r="AK9" s="72"/>
      <c r="AL9" s="72"/>
      <c r="AM9" s="72"/>
      <c r="AN9" s="72"/>
      <c r="AO9" s="72"/>
      <c r="AP9" s="72"/>
      <c r="AQ9" s="72"/>
      <c r="AR9" s="72"/>
      <c r="AS9" s="72"/>
      <c r="AT9" s="72"/>
      <c r="AU9" s="72"/>
      <c r="AV9" s="72"/>
      <c r="AW9" s="72"/>
      <c r="AX9" s="72"/>
      <c r="AY9" s="72"/>
      <c r="AZ9" s="72"/>
      <c r="BA9" s="72"/>
      <c r="BB9" s="72"/>
    </row>
    <row r="10" customFormat="false" ht="79.85" hidden="false" customHeight="false" outlineLevel="0" collapsed="false">
      <c r="A10" s="36" t="s">
        <v>199</v>
      </c>
      <c r="B10" s="6" t="s">
        <v>200</v>
      </c>
      <c r="C10" s="37" t="s">
        <v>108</v>
      </c>
      <c r="D10" s="6" t="s">
        <v>3171</v>
      </c>
      <c r="E10" s="6" t="s">
        <v>3172</v>
      </c>
      <c r="F10" s="6" t="s">
        <v>3173</v>
      </c>
      <c r="G10" s="6" t="s">
        <v>3174</v>
      </c>
      <c r="H10" s="6" t="s">
        <v>1152</v>
      </c>
      <c r="I10" s="72"/>
      <c r="J10" s="6" t="s">
        <v>3175</v>
      </c>
      <c r="K10" s="6" t="s">
        <v>1236</v>
      </c>
      <c r="L10" s="6" t="s">
        <v>1275</v>
      </c>
      <c r="M10" s="6" t="s">
        <v>3176</v>
      </c>
      <c r="N10" s="6" t="s">
        <v>3177</v>
      </c>
      <c r="O10" s="6" t="s">
        <v>3178</v>
      </c>
      <c r="P10" s="6" t="s">
        <v>3179</v>
      </c>
      <c r="Q10" s="72"/>
      <c r="R10" s="6" t="s">
        <v>3180</v>
      </c>
      <c r="S10" s="72"/>
      <c r="T10" s="72"/>
      <c r="U10" s="72"/>
      <c r="V10" s="72"/>
      <c r="W10" s="72"/>
      <c r="X10" s="72"/>
      <c r="Y10" s="72"/>
      <c r="Z10" s="6" t="s">
        <v>1986</v>
      </c>
      <c r="AA10" s="72"/>
      <c r="AB10" s="72"/>
      <c r="AC10" s="6" t="s">
        <v>3181</v>
      </c>
      <c r="AD10" s="6" t="s">
        <v>3182</v>
      </c>
      <c r="AE10" s="6" t="s">
        <v>3183</v>
      </c>
      <c r="AF10" s="6" t="s">
        <v>2296</v>
      </c>
      <c r="AG10" s="72"/>
      <c r="AH10" s="6" t="s">
        <v>2361</v>
      </c>
      <c r="AI10" s="6" t="s">
        <v>2450</v>
      </c>
      <c r="AJ10" s="6" t="s">
        <v>2464</v>
      </c>
      <c r="AK10" s="6" t="s">
        <v>2482</v>
      </c>
      <c r="AL10" s="72"/>
      <c r="AM10" s="72"/>
      <c r="AN10" s="72"/>
      <c r="AO10" s="72"/>
      <c r="AP10" s="6" t="s">
        <v>3184</v>
      </c>
      <c r="AQ10" s="6" t="s">
        <v>3185</v>
      </c>
      <c r="AR10" s="6" t="s">
        <v>2760</v>
      </c>
      <c r="AS10" s="6" t="s">
        <v>2777</v>
      </c>
      <c r="AT10" s="6" t="s">
        <v>2848</v>
      </c>
      <c r="AU10" s="72"/>
      <c r="AV10" s="72"/>
      <c r="AW10" s="6" t="s">
        <v>2908</v>
      </c>
      <c r="AX10" s="6" t="s">
        <v>3186</v>
      </c>
      <c r="AY10" s="72"/>
      <c r="AZ10" s="6" t="s">
        <v>3187</v>
      </c>
      <c r="BA10" s="6" t="s">
        <v>3079</v>
      </c>
      <c r="BB10" s="6" t="s">
        <v>3188</v>
      </c>
    </row>
    <row r="11" customFormat="false" ht="135.8" hidden="false" customHeight="false" outlineLevel="0" collapsed="false">
      <c r="A11" s="36" t="s">
        <v>209</v>
      </c>
      <c r="B11" s="6" t="s">
        <v>210</v>
      </c>
      <c r="C11" s="37" t="s">
        <v>108</v>
      </c>
      <c r="D11" s="6" t="s">
        <v>3189</v>
      </c>
      <c r="E11" s="6" t="s">
        <v>796</v>
      </c>
      <c r="F11" s="6" t="s">
        <v>3190</v>
      </c>
      <c r="G11" s="6" t="s">
        <v>3191</v>
      </c>
      <c r="H11" s="72"/>
      <c r="I11" s="6" t="s">
        <v>3192</v>
      </c>
      <c r="J11" s="6" t="s">
        <v>1218</v>
      </c>
      <c r="K11" s="6" t="s">
        <v>3193</v>
      </c>
      <c r="L11" s="72"/>
      <c r="M11" s="6" t="s">
        <v>1370</v>
      </c>
      <c r="N11" s="6" t="s">
        <v>3194</v>
      </c>
      <c r="O11" s="6" t="s">
        <v>1498</v>
      </c>
      <c r="P11" s="6" t="s">
        <v>3195</v>
      </c>
      <c r="Q11" s="72"/>
      <c r="R11" s="6" t="s">
        <v>3196</v>
      </c>
      <c r="S11" s="72"/>
      <c r="T11" s="72"/>
      <c r="U11" s="72"/>
      <c r="V11" s="72"/>
      <c r="W11" s="72"/>
      <c r="X11" s="72"/>
      <c r="Y11" s="72"/>
      <c r="Z11" s="72"/>
      <c r="AA11" s="72"/>
      <c r="AB11" s="72"/>
      <c r="AC11" s="6" t="s">
        <v>3197</v>
      </c>
      <c r="AD11" s="6" t="s">
        <v>3198</v>
      </c>
      <c r="AE11" s="6" t="s">
        <v>3199</v>
      </c>
      <c r="AF11" s="72"/>
      <c r="AG11" s="72"/>
      <c r="AH11" s="6" t="s">
        <v>2423</v>
      </c>
      <c r="AI11" s="72"/>
      <c r="AJ11" s="72"/>
      <c r="AK11" s="72"/>
      <c r="AL11" s="72"/>
      <c r="AM11" s="72"/>
      <c r="AN11" s="72"/>
      <c r="AO11" s="72"/>
      <c r="AP11" s="72"/>
      <c r="AQ11" s="72"/>
      <c r="AR11" s="72"/>
      <c r="AS11" s="72"/>
      <c r="AT11" s="72"/>
      <c r="AU11" s="72"/>
      <c r="AV11" s="72"/>
      <c r="AW11" s="72"/>
      <c r="AX11" s="72"/>
      <c r="AY11" s="72"/>
      <c r="AZ11" s="6" t="s">
        <v>3200</v>
      </c>
      <c r="BA11" s="72"/>
      <c r="BB11" s="6" t="s">
        <v>3126</v>
      </c>
    </row>
    <row r="12" customFormat="false" ht="46.25" hidden="false" customHeight="false" outlineLevel="0" collapsed="false">
      <c r="A12" s="36" t="s">
        <v>219</v>
      </c>
      <c r="B12" s="6" t="s">
        <v>220</v>
      </c>
      <c r="C12" s="37" t="s">
        <v>109</v>
      </c>
      <c r="D12" s="6" t="s">
        <v>680</v>
      </c>
      <c r="E12" s="72"/>
      <c r="F12" s="6" t="s">
        <v>3201</v>
      </c>
      <c r="G12" s="6" t="s">
        <v>3202</v>
      </c>
      <c r="H12" s="72"/>
      <c r="I12" s="6" t="s">
        <v>1188</v>
      </c>
      <c r="J12" s="72"/>
      <c r="K12" s="72"/>
      <c r="L12" s="72"/>
      <c r="M12" s="72"/>
      <c r="N12" s="72"/>
      <c r="O12" s="72"/>
      <c r="P12" s="6" t="s">
        <v>3203</v>
      </c>
      <c r="Q12" s="72"/>
      <c r="R12" s="6" t="s">
        <v>3204</v>
      </c>
      <c r="S12" s="72"/>
      <c r="T12" s="72"/>
      <c r="U12" s="6" t="s">
        <v>1916</v>
      </c>
      <c r="V12" s="72"/>
      <c r="W12" s="72"/>
      <c r="X12" s="72"/>
      <c r="Y12" s="72"/>
      <c r="Z12" s="72"/>
      <c r="AA12" s="72"/>
      <c r="AB12" s="72"/>
      <c r="AC12" s="6" t="s">
        <v>3205</v>
      </c>
      <c r="AD12" s="6" t="s">
        <v>3206</v>
      </c>
      <c r="AE12" s="6" t="s">
        <v>3207</v>
      </c>
      <c r="AF12" s="72"/>
      <c r="AG12" s="72"/>
      <c r="AH12" s="6" t="s">
        <v>2411</v>
      </c>
      <c r="AI12" s="72"/>
      <c r="AJ12" s="72"/>
      <c r="AK12" s="72"/>
      <c r="AL12" s="72"/>
      <c r="AM12" s="72"/>
      <c r="AN12" s="72"/>
      <c r="AO12" s="6" t="s">
        <v>3208</v>
      </c>
      <c r="AP12" s="6" t="s">
        <v>3209</v>
      </c>
      <c r="AQ12" s="6" t="s">
        <v>3210</v>
      </c>
      <c r="AR12" s="6" t="s">
        <v>2739</v>
      </c>
      <c r="AS12" s="72"/>
      <c r="AT12" s="72"/>
      <c r="AU12" s="6" t="s">
        <v>2857</v>
      </c>
      <c r="AV12" s="6" t="s">
        <v>2868</v>
      </c>
      <c r="AW12" s="6" t="s">
        <v>2908</v>
      </c>
      <c r="AX12" s="6" t="s">
        <v>3211</v>
      </c>
      <c r="AY12" s="6" t="s">
        <v>2964</v>
      </c>
      <c r="AZ12" s="6" t="s">
        <v>3056</v>
      </c>
      <c r="BA12" s="6" t="s">
        <v>3087</v>
      </c>
      <c r="BB12" s="72"/>
    </row>
    <row r="13" customFormat="false" ht="158.2" hidden="false" customHeight="false" outlineLevel="0" collapsed="false">
      <c r="A13" s="36" t="s">
        <v>230</v>
      </c>
      <c r="B13" s="6" t="s">
        <v>231</v>
      </c>
      <c r="C13" s="37" t="s">
        <v>108</v>
      </c>
      <c r="D13" s="6" t="s">
        <v>662</v>
      </c>
      <c r="E13" s="6" t="s">
        <v>3212</v>
      </c>
      <c r="F13" s="6" t="s">
        <v>3213</v>
      </c>
      <c r="G13" s="6" t="s">
        <v>3214</v>
      </c>
      <c r="H13" s="72"/>
      <c r="I13" s="6" t="s">
        <v>3215</v>
      </c>
      <c r="J13" s="72"/>
      <c r="K13" s="72"/>
      <c r="L13" s="6" t="s">
        <v>1282</v>
      </c>
      <c r="M13" s="72"/>
      <c r="N13" s="6" t="s">
        <v>1461</v>
      </c>
      <c r="O13" s="72"/>
      <c r="P13" s="6" t="s">
        <v>1636</v>
      </c>
      <c r="Q13" s="72"/>
      <c r="R13" s="6" t="s">
        <v>3216</v>
      </c>
      <c r="S13" s="72"/>
      <c r="T13" s="72"/>
      <c r="U13" s="72"/>
      <c r="V13" s="72"/>
      <c r="W13" s="72"/>
      <c r="X13" s="72"/>
      <c r="Y13" s="72"/>
      <c r="Z13" s="72"/>
      <c r="AA13" s="72"/>
      <c r="AB13" s="72"/>
      <c r="AC13" s="6" t="s">
        <v>3217</v>
      </c>
      <c r="AD13" s="6" t="s">
        <v>2099</v>
      </c>
      <c r="AE13" s="6" t="s">
        <v>2198</v>
      </c>
      <c r="AF13" s="6" t="s">
        <v>2272</v>
      </c>
      <c r="AG13" s="6" t="s">
        <v>2333</v>
      </c>
      <c r="AH13" s="72"/>
      <c r="AI13" s="6" t="s">
        <v>2454</v>
      </c>
      <c r="AJ13" s="6" t="s">
        <v>3218</v>
      </c>
      <c r="AK13" s="72"/>
      <c r="AL13" s="6" t="s">
        <v>2491</v>
      </c>
      <c r="AM13" s="6" t="s">
        <v>2513</v>
      </c>
      <c r="AN13" s="72"/>
      <c r="AO13" s="72"/>
      <c r="AP13" s="6" t="s">
        <v>3219</v>
      </c>
      <c r="AQ13" s="6" t="s">
        <v>3220</v>
      </c>
      <c r="AR13" s="6" t="s">
        <v>2760</v>
      </c>
      <c r="AS13" s="72"/>
      <c r="AT13" s="72"/>
      <c r="AU13" s="72"/>
      <c r="AV13" s="72"/>
      <c r="AW13" s="72"/>
      <c r="AX13" s="72"/>
      <c r="AY13" s="72"/>
      <c r="AZ13" s="6" t="s">
        <v>3221</v>
      </c>
      <c r="BA13" s="72"/>
      <c r="BB13" s="6" t="s">
        <v>3136</v>
      </c>
    </row>
    <row r="14" customFormat="false" ht="102.2" hidden="false" customHeight="false" outlineLevel="0" collapsed="false">
      <c r="A14" s="36" t="s">
        <v>239</v>
      </c>
      <c r="B14" s="6" t="s">
        <v>240</v>
      </c>
      <c r="C14" s="37" t="s">
        <v>109</v>
      </c>
      <c r="D14" s="72"/>
      <c r="E14" s="6" t="s">
        <v>732</v>
      </c>
      <c r="F14" s="6" t="s">
        <v>3222</v>
      </c>
      <c r="G14" s="6" t="s">
        <v>3223</v>
      </c>
      <c r="H14" s="72"/>
      <c r="I14" s="72"/>
      <c r="J14" s="72"/>
      <c r="K14" s="72"/>
      <c r="L14" s="6" t="s">
        <v>1282</v>
      </c>
      <c r="M14" s="72"/>
      <c r="N14" s="6" t="s">
        <v>1461</v>
      </c>
      <c r="O14" s="72"/>
      <c r="P14" s="6" t="s">
        <v>3224</v>
      </c>
      <c r="Q14" s="72"/>
      <c r="R14" s="6" t="s">
        <v>3225</v>
      </c>
      <c r="S14" s="72"/>
      <c r="T14" s="72"/>
      <c r="U14" s="72"/>
      <c r="V14" s="72"/>
      <c r="W14" s="72"/>
      <c r="X14" s="72"/>
      <c r="Y14" s="6" t="s">
        <v>1969</v>
      </c>
      <c r="Z14" s="72"/>
      <c r="AA14" s="72"/>
      <c r="AB14" s="72"/>
      <c r="AC14" s="6" t="s">
        <v>3226</v>
      </c>
      <c r="AD14" s="6" t="s">
        <v>3227</v>
      </c>
      <c r="AE14" s="6" t="s">
        <v>3228</v>
      </c>
      <c r="AF14" s="6" t="s">
        <v>3229</v>
      </c>
      <c r="AG14" s="72"/>
      <c r="AH14" s="72"/>
      <c r="AI14" s="72"/>
      <c r="AJ14" s="72"/>
      <c r="AK14" s="72"/>
      <c r="AL14" s="72"/>
      <c r="AM14" s="72"/>
      <c r="AN14" s="72"/>
      <c r="AO14" s="72"/>
      <c r="AP14" s="6" t="s">
        <v>2673</v>
      </c>
      <c r="AQ14" s="72"/>
      <c r="AR14" s="72"/>
      <c r="AS14" s="72"/>
      <c r="AT14" s="72"/>
      <c r="AU14" s="72"/>
      <c r="AV14" s="72"/>
      <c r="AW14" s="72"/>
      <c r="AX14" s="72"/>
      <c r="AY14" s="72"/>
      <c r="AZ14" s="6" t="s">
        <v>3230</v>
      </c>
      <c r="BA14" s="72"/>
      <c r="BB14" s="6" t="s">
        <v>3136</v>
      </c>
    </row>
    <row r="15" customFormat="false" ht="57.45" hidden="false" customHeight="false" outlineLevel="0" collapsed="false">
      <c r="A15" s="36" t="s">
        <v>248</v>
      </c>
      <c r="B15" s="6" t="s">
        <v>249</v>
      </c>
      <c r="C15" s="37" t="s">
        <v>109</v>
      </c>
      <c r="D15" s="6" t="s">
        <v>680</v>
      </c>
      <c r="E15" s="72"/>
      <c r="F15" s="6" t="s">
        <v>3231</v>
      </c>
      <c r="G15" s="6" t="s">
        <v>3232</v>
      </c>
      <c r="H15" s="72"/>
      <c r="I15" s="72"/>
      <c r="J15" s="6" t="s">
        <v>1202</v>
      </c>
      <c r="K15" s="72"/>
      <c r="L15" s="72"/>
      <c r="M15" s="6" t="s">
        <v>1342</v>
      </c>
      <c r="N15" s="6" t="s">
        <v>1451</v>
      </c>
      <c r="O15" s="72"/>
      <c r="P15" s="6" t="s">
        <v>3233</v>
      </c>
      <c r="Q15" s="72"/>
      <c r="R15" s="6" t="s">
        <v>3234</v>
      </c>
      <c r="S15" s="72"/>
      <c r="T15" s="72"/>
      <c r="U15" s="72"/>
      <c r="V15" s="72"/>
      <c r="W15" s="72"/>
      <c r="X15" s="72"/>
      <c r="Y15" s="72"/>
      <c r="Z15" s="72"/>
      <c r="AA15" s="72"/>
      <c r="AB15" s="72"/>
      <c r="AC15" s="6" t="s">
        <v>3235</v>
      </c>
      <c r="AD15" s="6" t="s">
        <v>3159</v>
      </c>
      <c r="AE15" s="6" t="s">
        <v>3236</v>
      </c>
      <c r="AF15" s="72"/>
      <c r="AG15" s="72"/>
      <c r="AH15" s="6" t="s">
        <v>2435</v>
      </c>
      <c r="AI15" s="72"/>
      <c r="AJ15" s="72"/>
      <c r="AK15" s="72"/>
      <c r="AL15" s="72"/>
      <c r="AM15" s="72"/>
      <c r="AN15" s="72"/>
      <c r="AO15" s="72"/>
      <c r="AP15" s="6" t="s">
        <v>2622</v>
      </c>
      <c r="AQ15" s="72"/>
      <c r="AR15" s="72"/>
      <c r="AS15" s="72"/>
      <c r="AT15" s="72"/>
      <c r="AU15" s="72"/>
      <c r="AV15" s="72"/>
      <c r="AW15" s="72"/>
      <c r="AX15" s="72"/>
      <c r="AY15" s="72"/>
      <c r="AZ15" s="6" t="s">
        <v>3237</v>
      </c>
      <c r="BA15" s="72"/>
      <c r="BB15" s="72"/>
    </row>
    <row r="16" customFormat="false" ht="180.55" hidden="false" customHeight="false" outlineLevel="0" collapsed="false">
      <c r="A16" s="36" t="s">
        <v>255</v>
      </c>
      <c r="B16" s="6" t="s">
        <v>256</v>
      </c>
      <c r="C16" s="37" t="s">
        <v>108</v>
      </c>
      <c r="D16" s="6" t="s">
        <v>3238</v>
      </c>
      <c r="E16" s="72"/>
      <c r="F16" s="6" t="s">
        <v>3239</v>
      </c>
      <c r="G16" s="6" t="s">
        <v>3240</v>
      </c>
      <c r="H16" s="72"/>
      <c r="I16" s="6" t="s">
        <v>3241</v>
      </c>
      <c r="J16" s="72"/>
      <c r="K16" s="72"/>
      <c r="L16" s="72"/>
      <c r="M16" s="72"/>
      <c r="N16" s="72"/>
      <c r="O16" s="72"/>
      <c r="P16" s="6" t="s">
        <v>3242</v>
      </c>
      <c r="Q16" s="72"/>
      <c r="R16" s="6" t="s">
        <v>3243</v>
      </c>
      <c r="S16" s="72"/>
      <c r="T16" s="72"/>
      <c r="U16" s="6" t="s">
        <v>1908</v>
      </c>
      <c r="V16" s="6" t="s">
        <v>3244</v>
      </c>
      <c r="W16" s="6" t="s">
        <v>1942</v>
      </c>
      <c r="X16" s="72"/>
      <c r="Y16" s="6" t="s">
        <v>1975</v>
      </c>
      <c r="Z16" s="72"/>
      <c r="AA16" s="72"/>
      <c r="AB16" s="72"/>
      <c r="AC16" s="6" t="s">
        <v>3245</v>
      </c>
      <c r="AD16" s="6" t="s">
        <v>3246</v>
      </c>
      <c r="AE16" s="6" t="s">
        <v>3247</v>
      </c>
      <c r="AF16" s="72"/>
      <c r="AG16" s="6" t="s">
        <v>3248</v>
      </c>
      <c r="AH16" s="6" t="s">
        <v>3249</v>
      </c>
      <c r="AI16" s="6" t="s">
        <v>3250</v>
      </c>
      <c r="AJ16" s="72"/>
      <c r="AK16" s="72"/>
      <c r="AL16" s="72"/>
      <c r="AM16" s="72"/>
      <c r="AN16" s="72"/>
      <c r="AO16" s="72"/>
      <c r="AP16" s="6" t="s">
        <v>3251</v>
      </c>
      <c r="AQ16" s="6" t="s">
        <v>3252</v>
      </c>
      <c r="AR16" s="6" t="s">
        <v>3253</v>
      </c>
      <c r="AS16" s="6" t="s">
        <v>2785</v>
      </c>
      <c r="AT16" s="72"/>
      <c r="AU16" s="6" t="s">
        <v>2852</v>
      </c>
      <c r="AV16" s="6" t="s">
        <v>3254</v>
      </c>
      <c r="AW16" s="6" t="s">
        <v>2894</v>
      </c>
      <c r="AX16" s="6" t="s">
        <v>3255</v>
      </c>
      <c r="AY16" s="72"/>
      <c r="AZ16" s="6" t="s">
        <v>3256</v>
      </c>
      <c r="BA16" s="72"/>
      <c r="BB16" s="6" t="s">
        <v>3257</v>
      </c>
    </row>
    <row r="17" customFormat="false" ht="292.5" hidden="false" customHeight="false" outlineLevel="0" collapsed="false">
      <c r="A17" s="36" t="s">
        <v>263</v>
      </c>
      <c r="B17" s="6" t="s">
        <v>264</v>
      </c>
      <c r="C17" s="37" t="s">
        <v>108</v>
      </c>
      <c r="D17" s="6" t="s">
        <v>3258</v>
      </c>
      <c r="E17" s="72"/>
      <c r="F17" s="6" t="s">
        <v>3259</v>
      </c>
      <c r="G17" s="6" t="s">
        <v>3260</v>
      </c>
      <c r="H17" s="6" t="s">
        <v>1155</v>
      </c>
      <c r="I17" s="6" t="s">
        <v>3261</v>
      </c>
      <c r="J17" s="72"/>
      <c r="K17" s="72"/>
      <c r="L17" s="72"/>
      <c r="M17" s="72"/>
      <c r="N17" s="6" t="s">
        <v>1445</v>
      </c>
      <c r="O17" s="72"/>
      <c r="P17" s="6" t="s">
        <v>3262</v>
      </c>
      <c r="Q17" s="72"/>
      <c r="R17" s="6" t="s">
        <v>3263</v>
      </c>
      <c r="S17" s="72"/>
      <c r="T17" s="6" t="s">
        <v>1897</v>
      </c>
      <c r="U17" s="72"/>
      <c r="V17" s="72"/>
      <c r="W17" s="72"/>
      <c r="X17" s="72"/>
      <c r="Y17" s="72"/>
      <c r="Z17" s="72"/>
      <c r="AA17" s="72"/>
      <c r="AB17" s="72"/>
      <c r="AC17" s="6" t="s">
        <v>3264</v>
      </c>
      <c r="AD17" s="72"/>
      <c r="AE17" s="6" t="s">
        <v>3265</v>
      </c>
      <c r="AF17" s="6" t="s">
        <v>3266</v>
      </c>
      <c r="AG17" s="72"/>
      <c r="AH17" s="6" t="s">
        <v>2363</v>
      </c>
      <c r="AI17" s="6" t="s">
        <v>2454</v>
      </c>
      <c r="AJ17" s="6" t="s">
        <v>2455</v>
      </c>
      <c r="AK17" s="6" t="s">
        <v>3267</v>
      </c>
      <c r="AL17" s="72"/>
      <c r="AM17" s="6" t="s">
        <v>2513</v>
      </c>
      <c r="AN17" s="6" t="s">
        <v>2547</v>
      </c>
      <c r="AO17" s="72"/>
      <c r="AP17" s="6" t="s">
        <v>3268</v>
      </c>
      <c r="AQ17" s="6" t="s">
        <v>3269</v>
      </c>
      <c r="AR17" s="6" t="s">
        <v>3270</v>
      </c>
      <c r="AS17" s="6" t="s">
        <v>3271</v>
      </c>
      <c r="AT17" s="6" t="s">
        <v>3272</v>
      </c>
      <c r="AU17" s="6" t="s">
        <v>2859</v>
      </c>
      <c r="AV17" s="6" t="s">
        <v>3273</v>
      </c>
      <c r="AW17" s="6" t="s">
        <v>3274</v>
      </c>
      <c r="AX17" s="6" t="s">
        <v>3275</v>
      </c>
      <c r="AY17" s="6" t="s">
        <v>3276</v>
      </c>
      <c r="AZ17" s="6" t="s">
        <v>3277</v>
      </c>
      <c r="BA17" s="6" t="s">
        <v>3278</v>
      </c>
      <c r="BB17" s="6" t="s">
        <v>3279</v>
      </c>
    </row>
    <row r="18" customFormat="false" ht="147" hidden="false" customHeight="false" outlineLevel="0" collapsed="false">
      <c r="A18" s="36" t="s">
        <v>272</v>
      </c>
      <c r="B18" s="6" t="s">
        <v>273</v>
      </c>
      <c r="C18" s="37" t="s">
        <v>108</v>
      </c>
      <c r="D18" s="6" t="s">
        <v>3280</v>
      </c>
      <c r="E18" s="6" t="s">
        <v>765</v>
      </c>
      <c r="F18" s="6" t="s">
        <v>3281</v>
      </c>
      <c r="G18" s="6" t="s">
        <v>3282</v>
      </c>
      <c r="H18" s="6" t="s">
        <v>1142</v>
      </c>
      <c r="I18" s="6" t="s">
        <v>3283</v>
      </c>
      <c r="J18" s="6" t="s">
        <v>1202</v>
      </c>
      <c r="K18" s="72"/>
      <c r="L18" s="72"/>
      <c r="M18" s="6" t="s">
        <v>1342</v>
      </c>
      <c r="N18" s="72"/>
      <c r="O18" s="72"/>
      <c r="P18" s="6" t="s">
        <v>3284</v>
      </c>
      <c r="Q18" s="72"/>
      <c r="R18" s="6" t="s">
        <v>3285</v>
      </c>
      <c r="S18" s="72"/>
      <c r="T18" s="72"/>
      <c r="U18" s="72"/>
      <c r="V18" s="72"/>
      <c r="W18" s="6" t="s">
        <v>3286</v>
      </c>
      <c r="X18" s="6" t="s">
        <v>1949</v>
      </c>
      <c r="Y18" s="72"/>
      <c r="Z18" s="72"/>
      <c r="AA18" s="72"/>
      <c r="AB18" s="72"/>
      <c r="AC18" s="6" t="s">
        <v>3287</v>
      </c>
      <c r="AD18" s="6" t="s">
        <v>2084</v>
      </c>
      <c r="AE18" s="6" t="s">
        <v>3288</v>
      </c>
      <c r="AF18" s="72"/>
      <c r="AG18" s="72"/>
      <c r="AH18" s="72"/>
      <c r="AI18" s="6" t="s">
        <v>3289</v>
      </c>
      <c r="AJ18" s="6" t="s">
        <v>2462</v>
      </c>
      <c r="AK18" s="6" t="s">
        <v>2481</v>
      </c>
      <c r="AL18" s="6" t="s">
        <v>2495</v>
      </c>
      <c r="AM18" s="6" t="s">
        <v>2519</v>
      </c>
      <c r="AN18" s="6" t="s">
        <v>2562</v>
      </c>
      <c r="AO18" s="6" t="s">
        <v>3290</v>
      </c>
      <c r="AP18" s="6" t="s">
        <v>3291</v>
      </c>
      <c r="AQ18" s="6" t="s">
        <v>3292</v>
      </c>
      <c r="AR18" s="6" t="s">
        <v>3293</v>
      </c>
      <c r="AS18" s="6" t="s">
        <v>3294</v>
      </c>
      <c r="AT18" s="6" t="s">
        <v>3295</v>
      </c>
      <c r="AU18" s="6" t="s">
        <v>3296</v>
      </c>
      <c r="AV18" s="6" t="s">
        <v>3297</v>
      </c>
      <c r="AW18" s="6" t="s">
        <v>3298</v>
      </c>
      <c r="AX18" s="6" t="s">
        <v>3299</v>
      </c>
      <c r="AY18" s="6" t="s">
        <v>2964</v>
      </c>
      <c r="AZ18" s="6" t="s">
        <v>3300</v>
      </c>
      <c r="BA18" s="6" t="s">
        <v>3087</v>
      </c>
      <c r="BB18" s="6" t="s">
        <v>3301</v>
      </c>
    </row>
    <row r="19" customFormat="false" ht="370.85" hidden="false" customHeight="false" outlineLevel="0" collapsed="false">
      <c r="A19" s="36" t="s">
        <v>282</v>
      </c>
      <c r="B19" s="6" t="s">
        <v>283</v>
      </c>
      <c r="C19" s="37" t="s">
        <v>108</v>
      </c>
      <c r="D19" s="6" t="s">
        <v>3302</v>
      </c>
      <c r="E19" s="6" t="s">
        <v>765</v>
      </c>
      <c r="F19" s="6" t="s">
        <v>3303</v>
      </c>
      <c r="G19" s="6" t="s">
        <v>3304</v>
      </c>
      <c r="H19" s="6" t="s">
        <v>1158</v>
      </c>
      <c r="I19" s="6" t="s">
        <v>3305</v>
      </c>
      <c r="J19" s="6" t="s">
        <v>1206</v>
      </c>
      <c r="K19" s="72"/>
      <c r="L19" s="72"/>
      <c r="M19" s="6" t="s">
        <v>3306</v>
      </c>
      <c r="N19" s="72"/>
      <c r="O19" s="72"/>
      <c r="P19" s="6" t="s">
        <v>3307</v>
      </c>
      <c r="Q19" s="72"/>
      <c r="R19" s="6" t="s">
        <v>3308</v>
      </c>
      <c r="S19" s="72"/>
      <c r="T19" s="72"/>
      <c r="U19" s="72"/>
      <c r="V19" s="6" t="s">
        <v>1925</v>
      </c>
      <c r="W19" s="72"/>
      <c r="X19" s="72"/>
      <c r="Y19" s="6" t="s">
        <v>1961</v>
      </c>
      <c r="Z19" s="72"/>
      <c r="AA19" s="72"/>
      <c r="AB19" s="6" t="s">
        <v>2005</v>
      </c>
      <c r="AC19" s="6" t="s">
        <v>2033</v>
      </c>
      <c r="AD19" s="6" t="s">
        <v>2117</v>
      </c>
      <c r="AE19" s="6" t="s">
        <v>2215</v>
      </c>
      <c r="AF19" s="6" t="s">
        <v>2284</v>
      </c>
      <c r="AG19" s="6" t="s">
        <v>3309</v>
      </c>
      <c r="AH19" s="6" t="s">
        <v>2411</v>
      </c>
      <c r="AI19" s="72"/>
      <c r="AJ19" s="72"/>
      <c r="AK19" s="72"/>
      <c r="AL19" s="72"/>
      <c r="AM19" s="72"/>
      <c r="AN19" s="72"/>
      <c r="AO19" s="6" t="s">
        <v>2586</v>
      </c>
      <c r="AP19" s="6" t="s">
        <v>2667</v>
      </c>
      <c r="AQ19" s="6" t="s">
        <v>3310</v>
      </c>
      <c r="AR19" s="72"/>
      <c r="AS19" s="6" t="s">
        <v>3311</v>
      </c>
      <c r="AT19" s="6" t="s">
        <v>2848</v>
      </c>
      <c r="AU19" s="6" t="s">
        <v>2861</v>
      </c>
      <c r="AV19" s="72"/>
      <c r="AW19" s="72"/>
      <c r="AX19" s="6" t="s">
        <v>3312</v>
      </c>
      <c r="AY19" s="6" t="s">
        <v>2968</v>
      </c>
      <c r="AZ19" s="6" t="s">
        <v>3313</v>
      </c>
      <c r="BA19" s="72"/>
      <c r="BB19" s="6" t="s">
        <v>3314</v>
      </c>
    </row>
    <row r="20" customFormat="false" ht="158.2" hidden="false" customHeight="false" outlineLevel="0" collapsed="false">
      <c r="A20" s="36" t="s">
        <v>291</v>
      </c>
      <c r="B20" s="6" t="s">
        <v>292</v>
      </c>
      <c r="C20" s="37" t="s">
        <v>108</v>
      </c>
      <c r="D20" s="6" t="s">
        <v>3315</v>
      </c>
      <c r="E20" s="6" t="s">
        <v>799</v>
      </c>
      <c r="F20" s="6" t="s">
        <v>3316</v>
      </c>
      <c r="G20" s="6" t="s">
        <v>3317</v>
      </c>
      <c r="H20" s="72"/>
      <c r="I20" s="6" t="s">
        <v>3318</v>
      </c>
      <c r="J20" s="6" t="s">
        <v>1218</v>
      </c>
      <c r="K20" s="6" t="s">
        <v>3319</v>
      </c>
      <c r="L20" s="6" t="s">
        <v>3320</v>
      </c>
      <c r="M20" s="6" t="s">
        <v>3321</v>
      </c>
      <c r="N20" s="6" t="s">
        <v>1447</v>
      </c>
      <c r="O20" s="72"/>
      <c r="P20" s="72"/>
      <c r="Q20" s="72"/>
      <c r="R20" s="6" t="s">
        <v>3322</v>
      </c>
      <c r="S20" s="72"/>
      <c r="T20" s="72"/>
      <c r="U20" s="72"/>
      <c r="V20" s="72"/>
      <c r="W20" s="72"/>
      <c r="X20" s="72"/>
      <c r="Y20" s="72"/>
      <c r="Z20" s="72"/>
      <c r="AA20" s="72"/>
      <c r="AB20" s="72"/>
      <c r="AC20" s="6" t="s">
        <v>2046</v>
      </c>
      <c r="AD20" s="6" t="s">
        <v>3323</v>
      </c>
      <c r="AE20" s="6" t="s">
        <v>3324</v>
      </c>
      <c r="AF20" s="72"/>
      <c r="AG20" s="6" t="s">
        <v>2322</v>
      </c>
      <c r="AH20" s="6" t="s">
        <v>3325</v>
      </c>
      <c r="AI20" s="72"/>
      <c r="AJ20" s="72"/>
      <c r="AK20" s="72"/>
      <c r="AL20" s="72"/>
      <c r="AM20" s="72"/>
      <c r="AN20" s="72"/>
      <c r="AO20" s="72"/>
      <c r="AP20" s="72"/>
      <c r="AQ20" s="72"/>
      <c r="AR20" s="72"/>
      <c r="AS20" s="72"/>
      <c r="AT20" s="72"/>
      <c r="AU20" s="72"/>
      <c r="AV20" s="72"/>
      <c r="AW20" s="72"/>
      <c r="AX20" s="72"/>
      <c r="AY20" s="72"/>
      <c r="AZ20" s="72"/>
      <c r="BA20" s="72"/>
      <c r="BB20" s="72"/>
    </row>
    <row r="21" customFormat="false" ht="180.55" hidden="false" customHeight="false" outlineLevel="0" collapsed="false">
      <c r="A21" s="36" t="s">
        <v>300</v>
      </c>
      <c r="B21" s="6" t="s">
        <v>301</v>
      </c>
      <c r="C21" s="37" t="s">
        <v>108</v>
      </c>
      <c r="D21" s="6" t="s">
        <v>3326</v>
      </c>
      <c r="E21" s="6" t="s">
        <v>3327</v>
      </c>
      <c r="F21" s="6" t="s">
        <v>3328</v>
      </c>
      <c r="G21" s="6" t="s">
        <v>3174</v>
      </c>
      <c r="H21" s="72"/>
      <c r="I21" s="6" t="s">
        <v>3329</v>
      </c>
      <c r="J21" s="6" t="s">
        <v>1218</v>
      </c>
      <c r="K21" s="6" t="s">
        <v>1241</v>
      </c>
      <c r="L21" s="6" t="s">
        <v>3330</v>
      </c>
      <c r="M21" s="6" t="s">
        <v>3331</v>
      </c>
      <c r="N21" s="6" t="s">
        <v>3332</v>
      </c>
      <c r="O21" s="6" t="s">
        <v>1571</v>
      </c>
      <c r="P21" s="72"/>
      <c r="Q21" s="72"/>
      <c r="R21" s="6" t="s">
        <v>3333</v>
      </c>
      <c r="S21" s="72"/>
      <c r="T21" s="72"/>
      <c r="U21" s="72"/>
      <c r="V21" s="72"/>
      <c r="W21" s="72"/>
      <c r="X21" s="72"/>
      <c r="Y21" s="72"/>
      <c r="Z21" s="72"/>
      <c r="AA21" s="72"/>
      <c r="AB21" s="72"/>
      <c r="AC21" s="6" t="s">
        <v>2046</v>
      </c>
      <c r="AD21" s="6" t="s">
        <v>3323</v>
      </c>
      <c r="AE21" s="6" t="s">
        <v>3334</v>
      </c>
      <c r="AF21" s="6" t="s">
        <v>2263</v>
      </c>
      <c r="AG21" s="6" t="s">
        <v>2322</v>
      </c>
      <c r="AH21" s="6" t="s">
        <v>3335</v>
      </c>
      <c r="AI21" s="72"/>
      <c r="AJ21" s="72"/>
      <c r="AK21" s="72"/>
      <c r="AL21" s="72"/>
      <c r="AM21" s="72"/>
      <c r="AN21" s="72"/>
      <c r="AO21" s="72"/>
      <c r="AP21" s="72"/>
      <c r="AQ21" s="72"/>
      <c r="AR21" s="72"/>
      <c r="AS21" s="72"/>
      <c r="AT21" s="72"/>
      <c r="AU21" s="72"/>
      <c r="AV21" s="72"/>
      <c r="AW21" s="72"/>
      <c r="AX21" s="72"/>
      <c r="AY21" s="72"/>
      <c r="AZ21" s="6" t="s">
        <v>3336</v>
      </c>
      <c r="BA21" s="72"/>
      <c r="BB21" s="72"/>
    </row>
    <row r="22" customFormat="false" ht="113.4" hidden="false" customHeight="false" outlineLevel="0" collapsed="false">
      <c r="A22" s="36" t="s">
        <v>307</v>
      </c>
      <c r="B22" s="6" t="s">
        <v>308</v>
      </c>
      <c r="C22" s="37" t="s">
        <v>108</v>
      </c>
      <c r="D22" s="6" t="s">
        <v>3337</v>
      </c>
      <c r="E22" s="6" t="s">
        <v>3338</v>
      </c>
      <c r="F22" s="6" t="s">
        <v>3339</v>
      </c>
      <c r="G22" s="6" t="s">
        <v>3340</v>
      </c>
      <c r="H22" s="6" t="s">
        <v>1142</v>
      </c>
      <c r="I22" s="72"/>
      <c r="J22" s="6" t="s">
        <v>1202</v>
      </c>
      <c r="K22" s="72"/>
      <c r="L22" s="72"/>
      <c r="M22" s="6" t="s">
        <v>3341</v>
      </c>
      <c r="N22" s="6" t="s">
        <v>3342</v>
      </c>
      <c r="O22" s="6" t="s">
        <v>3343</v>
      </c>
      <c r="P22" s="6" t="s">
        <v>3344</v>
      </c>
      <c r="Q22" s="72"/>
      <c r="R22" s="6" t="s">
        <v>3345</v>
      </c>
      <c r="S22" s="72"/>
      <c r="T22" s="72"/>
      <c r="U22" s="72"/>
      <c r="V22" s="72"/>
      <c r="W22" s="6" t="s">
        <v>1938</v>
      </c>
      <c r="X22" s="6" t="s">
        <v>1949</v>
      </c>
      <c r="Y22" s="6" t="s">
        <v>1973</v>
      </c>
      <c r="Z22" s="6" t="s">
        <v>1981</v>
      </c>
      <c r="AA22" s="72"/>
      <c r="AB22" s="6" t="s">
        <v>1999</v>
      </c>
      <c r="AC22" s="6" t="s">
        <v>3346</v>
      </c>
      <c r="AD22" s="6" t="s">
        <v>2084</v>
      </c>
      <c r="AE22" s="6" t="s">
        <v>3347</v>
      </c>
      <c r="AF22" s="72"/>
      <c r="AG22" s="6" t="s">
        <v>3348</v>
      </c>
      <c r="AH22" s="6" t="s">
        <v>3349</v>
      </c>
      <c r="AI22" s="72"/>
      <c r="AJ22" s="6" t="s">
        <v>2462</v>
      </c>
      <c r="AK22" s="6" t="s">
        <v>2481</v>
      </c>
      <c r="AL22" s="6" t="s">
        <v>2495</v>
      </c>
      <c r="AM22" s="6" t="s">
        <v>2519</v>
      </c>
      <c r="AN22" s="72"/>
      <c r="AO22" s="6" t="s">
        <v>2580</v>
      </c>
      <c r="AP22" s="6" t="s">
        <v>3350</v>
      </c>
      <c r="AQ22" s="6" t="s">
        <v>2694</v>
      </c>
      <c r="AR22" s="6" t="s">
        <v>2739</v>
      </c>
      <c r="AS22" s="6" t="s">
        <v>2823</v>
      </c>
      <c r="AT22" s="72"/>
      <c r="AU22" s="6" t="s">
        <v>2857</v>
      </c>
      <c r="AV22" s="72"/>
      <c r="AW22" s="72"/>
      <c r="AX22" s="6" t="s">
        <v>2916</v>
      </c>
      <c r="AY22" s="72"/>
      <c r="AZ22" s="6" t="s">
        <v>3300</v>
      </c>
      <c r="BA22" s="72"/>
      <c r="BB22" s="6" t="s">
        <v>3351</v>
      </c>
    </row>
    <row r="23" customFormat="false" ht="57.45" hidden="false" customHeight="false" outlineLevel="0" collapsed="false">
      <c r="A23" s="36" t="s">
        <v>315</v>
      </c>
      <c r="B23" s="6" t="s">
        <v>316</v>
      </c>
      <c r="C23" s="37" t="s">
        <v>108</v>
      </c>
      <c r="D23" s="6" t="s">
        <v>692</v>
      </c>
      <c r="E23" s="6" t="s">
        <v>3352</v>
      </c>
      <c r="F23" s="6" t="s">
        <v>3353</v>
      </c>
      <c r="G23" s="6" t="s">
        <v>3340</v>
      </c>
      <c r="H23" s="72"/>
      <c r="I23" s="6" t="s">
        <v>1159</v>
      </c>
      <c r="J23" s="6" t="s">
        <v>3354</v>
      </c>
      <c r="K23" s="72"/>
      <c r="L23" s="6" t="s">
        <v>1288</v>
      </c>
      <c r="M23" s="6" t="s">
        <v>3355</v>
      </c>
      <c r="N23" s="6" t="s">
        <v>3356</v>
      </c>
      <c r="O23" s="6" t="s">
        <v>1560</v>
      </c>
      <c r="P23" s="72"/>
      <c r="Q23" s="72"/>
      <c r="R23" s="6" t="s">
        <v>3357</v>
      </c>
      <c r="S23" s="72"/>
      <c r="T23" s="72"/>
      <c r="U23" s="72"/>
      <c r="V23" s="72"/>
      <c r="W23" s="72"/>
      <c r="X23" s="72"/>
      <c r="Y23" s="72"/>
      <c r="Z23" s="72"/>
      <c r="AA23" s="72"/>
      <c r="AB23" s="72"/>
      <c r="AC23" s="6" t="s">
        <v>3358</v>
      </c>
      <c r="AD23" s="6" t="s">
        <v>3359</v>
      </c>
      <c r="AE23" s="6" t="s">
        <v>3334</v>
      </c>
      <c r="AF23" s="72"/>
      <c r="AG23" s="72"/>
      <c r="AH23" s="6" t="s">
        <v>2414</v>
      </c>
      <c r="AI23" s="72"/>
      <c r="AJ23" s="72"/>
      <c r="AK23" s="72"/>
      <c r="AL23" s="72"/>
      <c r="AM23" s="72"/>
      <c r="AN23" s="72"/>
      <c r="AO23" s="72"/>
      <c r="AP23" s="72"/>
      <c r="AQ23" s="72"/>
      <c r="AR23" s="72"/>
      <c r="AS23" s="72"/>
      <c r="AT23" s="72"/>
      <c r="AU23" s="72"/>
      <c r="AV23" s="72"/>
      <c r="AW23" s="72"/>
      <c r="AX23" s="72"/>
      <c r="AY23" s="72"/>
      <c r="AZ23" s="72"/>
      <c r="BA23" s="72"/>
      <c r="BB23" s="72"/>
    </row>
    <row r="24" customFormat="false" ht="124.6" hidden="false" customHeight="false" outlineLevel="0" collapsed="false">
      <c r="A24" s="36" t="s">
        <v>324</v>
      </c>
      <c r="B24" s="6" t="s">
        <v>325</v>
      </c>
      <c r="C24" s="37" t="s">
        <v>109</v>
      </c>
      <c r="D24" s="6" t="s">
        <v>3360</v>
      </c>
      <c r="E24" s="6" t="s">
        <v>3361</v>
      </c>
      <c r="F24" s="6" t="s">
        <v>3362</v>
      </c>
      <c r="G24" s="6" t="s">
        <v>3363</v>
      </c>
      <c r="H24" s="72"/>
      <c r="I24" s="72"/>
      <c r="J24" s="6" t="s">
        <v>3364</v>
      </c>
      <c r="K24" s="72"/>
      <c r="L24" s="72"/>
      <c r="M24" s="6" t="s">
        <v>3365</v>
      </c>
      <c r="N24" s="6" t="s">
        <v>1465</v>
      </c>
      <c r="O24" s="6" t="s">
        <v>3366</v>
      </c>
      <c r="P24" s="6" t="s">
        <v>3367</v>
      </c>
      <c r="Q24" s="72"/>
      <c r="R24" s="6" t="s">
        <v>1887</v>
      </c>
      <c r="S24" s="72"/>
      <c r="T24" s="72"/>
      <c r="U24" s="72"/>
      <c r="V24" s="72"/>
      <c r="W24" s="72"/>
      <c r="X24" s="72"/>
      <c r="Y24" s="6" t="s">
        <v>1978</v>
      </c>
      <c r="Z24" s="72"/>
      <c r="AA24" s="72"/>
      <c r="AB24" s="6" t="s">
        <v>2001</v>
      </c>
      <c r="AC24" s="6" t="s">
        <v>2052</v>
      </c>
      <c r="AD24" s="72"/>
      <c r="AE24" s="6" t="s">
        <v>3368</v>
      </c>
      <c r="AF24" s="6" t="s">
        <v>2282</v>
      </c>
      <c r="AG24" s="72"/>
      <c r="AH24" s="72"/>
      <c r="AI24" s="72"/>
      <c r="AJ24" s="72"/>
      <c r="AK24" s="72"/>
      <c r="AL24" s="72"/>
      <c r="AM24" s="72"/>
      <c r="AN24" s="72"/>
      <c r="AO24" s="72"/>
      <c r="AP24" s="72"/>
      <c r="AQ24" s="72"/>
      <c r="AR24" s="72"/>
      <c r="AS24" s="72"/>
      <c r="AT24" s="72"/>
      <c r="AU24" s="72"/>
      <c r="AV24" s="72"/>
      <c r="AW24" s="72"/>
      <c r="AX24" s="72"/>
      <c r="AY24" s="72"/>
      <c r="AZ24" s="72"/>
      <c r="BA24" s="72"/>
      <c r="BB24" s="72"/>
    </row>
    <row r="25" customFormat="false" ht="113.4" hidden="false" customHeight="false" outlineLevel="0" collapsed="false">
      <c r="A25" s="36" t="s">
        <v>331</v>
      </c>
      <c r="B25" s="6" t="s">
        <v>332</v>
      </c>
      <c r="C25" s="37" t="s">
        <v>108</v>
      </c>
      <c r="D25" s="6" t="s">
        <v>3171</v>
      </c>
      <c r="E25" s="6" t="s">
        <v>3369</v>
      </c>
      <c r="F25" s="6" t="s">
        <v>3370</v>
      </c>
      <c r="G25" s="6" t="s">
        <v>3340</v>
      </c>
      <c r="H25" s="72"/>
      <c r="I25" s="72"/>
      <c r="J25" s="6" t="s">
        <v>3371</v>
      </c>
      <c r="K25" s="72"/>
      <c r="L25" s="6" t="s">
        <v>1272</v>
      </c>
      <c r="M25" s="6" t="s">
        <v>3372</v>
      </c>
      <c r="N25" s="6" t="s">
        <v>3373</v>
      </c>
      <c r="O25" s="6" t="s">
        <v>3374</v>
      </c>
      <c r="P25" s="6" t="s">
        <v>3179</v>
      </c>
      <c r="Q25" s="72"/>
      <c r="R25" s="6" t="s">
        <v>3375</v>
      </c>
      <c r="S25" s="72"/>
      <c r="T25" s="72"/>
      <c r="U25" s="72"/>
      <c r="V25" s="72"/>
      <c r="W25" s="72"/>
      <c r="X25" s="72"/>
      <c r="Y25" s="72"/>
      <c r="Z25" s="72"/>
      <c r="AA25" s="72"/>
      <c r="AB25" s="72"/>
      <c r="AC25" s="6" t="s">
        <v>2059</v>
      </c>
      <c r="AD25" s="6" t="s">
        <v>2120</v>
      </c>
      <c r="AE25" s="6" t="s">
        <v>2246</v>
      </c>
      <c r="AF25" s="6" t="s">
        <v>2286</v>
      </c>
      <c r="AG25" s="72"/>
      <c r="AH25" s="6" t="s">
        <v>3376</v>
      </c>
      <c r="AI25" s="72"/>
      <c r="AJ25" s="72"/>
      <c r="AK25" s="72"/>
      <c r="AL25" s="72"/>
      <c r="AM25" s="72"/>
      <c r="AN25" s="72"/>
      <c r="AO25" s="72"/>
      <c r="AP25" s="72"/>
      <c r="AQ25" s="72"/>
      <c r="AR25" s="72"/>
      <c r="AS25" s="72"/>
      <c r="AT25" s="72"/>
      <c r="AU25" s="72"/>
      <c r="AV25" s="72"/>
      <c r="AW25" s="72"/>
      <c r="AX25" s="72"/>
      <c r="AY25" s="72"/>
      <c r="AZ25" s="72"/>
      <c r="BA25" s="72"/>
      <c r="BB25" s="6" t="s">
        <v>3091</v>
      </c>
    </row>
    <row r="26" customFormat="false" ht="57.45" hidden="false" customHeight="false" outlineLevel="0" collapsed="false">
      <c r="A26" s="36" t="s">
        <v>339</v>
      </c>
      <c r="B26" s="6" t="s">
        <v>340</v>
      </c>
      <c r="C26" s="37" t="s">
        <v>109</v>
      </c>
      <c r="D26" s="6" t="s">
        <v>3377</v>
      </c>
      <c r="E26" s="72"/>
      <c r="F26" s="6" t="s">
        <v>3378</v>
      </c>
      <c r="G26" s="6" t="s">
        <v>3340</v>
      </c>
      <c r="H26" s="72"/>
      <c r="I26" s="72"/>
      <c r="J26" s="6" t="s">
        <v>3379</v>
      </c>
      <c r="K26" s="72"/>
      <c r="L26" s="72"/>
      <c r="M26" s="6" t="s">
        <v>3380</v>
      </c>
      <c r="N26" s="6" t="s">
        <v>3381</v>
      </c>
      <c r="O26" s="6" t="s">
        <v>1530</v>
      </c>
      <c r="P26" s="6" t="s">
        <v>1623</v>
      </c>
      <c r="Q26" s="72"/>
      <c r="R26" s="6" t="s">
        <v>3382</v>
      </c>
      <c r="S26" s="72"/>
      <c r="T26" s="72"/>
      <c r="U26" s="72"/>
      <c r="V26" s="72"/>
      <c r="W26" s="72"/>
      <c r="X26" s="72"/>
      <c r="Y26" s="72"/>
      <c r="Z26" s="72"/>
      <c r="AA26" s="72"/>
      <c r="AB26" s="72"/>
      <c r="AC26" s="6" t="s">
        <v>3156</v>
      </c>
      <c r="AD26" s="6" t="s">
        <v>3383</v>
      </c>
      <c r="AE26" s="6" t="s">
        <v>3384</v>
      </c>
      <c r="AF26" s="72"/>
      <c r="AG26" s="72"/>
      <c r="AH26" s="6" t="s">
        <v>3385</v>
      </c>
      <c r="AI26" s="72"/>
      <c r="AJ26" s="72"/>
      <c r="AK26" s="72"/>
      <c r="AL26" s="72"/>
      <c r="AM26" s="72"/>
      <c r="AN26" s="72"/>
      <c r="AO26" s="72"/>
      <c r="AP26" s="72"/>
      <c r="AQ26" s="72"/>
      <c r="AR26" s="72"/>
      <c r="AS26" s="72"/>
      <c r="AT26" s="72"/>
      <c r="AU26" s="72"/>
      <c r="AV26" s="72"/>
      <c r="AW26" s="72"/>
      <c r="AX26" s="72"/>
      <c r="AY26" s="72"/>
      <c r="AZ26" s="72"/>
      <c r="BA26" s="72"/>
      <c r="BB26" s="72"/>
    </row>
    <row r="27" customFormat="false" ht="91" hidden="false" customHeight="false" outlineLevel="0" collapsed="false">
      <c r="A27" s="36" t="s">
        <v>347</v>
      </c>
      <c r="B27" s="6" t="s">
        <v>348</v>
      </c>
      <c r="C27" s="37" t="s">
        <v>108</v>
      </c>
      <c r="D27" s="6" t="s">
        <v>3386</v>
      </c>
      <c r="E27" s="6" t="s">
        <v>3387</v>
      </c>
      <c r="F27" s="6" t="s">
        <v>3388</v>
      </c>
      <c r="G27" s="6" t="s">
        <v>3174</v>
      </c>
      <c r="H27" s="72"/>
      <c r="I27" s="72"/>
      <c r="J27" s="6" t="s">
        <v>1218</v>
      </c>
      <c r="K27" s="6" t="s">
        <v>1238</v>
      </c>
      <c r="L27" s="6" t="s">
        <v>1275</v>
      </c>
      <c r="M27" s="6" t="s">
        <v>3389</v>
      </c>
      <c r="N27" s="6" t="s">
        <v>3390</v>
      </c>
      <c r="O27" s="6" t="s">
        <v>3391</v>
      </c>
      <c r="P27" s="6" t="s">
        <v>1617</v>
      </c>
      <c r="Q27" s="72"/>
      <c r="R27" s="6" t="s">
        <v>3392</v>
      </c>
      <c r="S27" s="72"/>
      <c r="T27" s="72"/>
      <c r="U27" s="72"/>
      <c r="V27" s="72"/>
      <c r="W27" s="72"/>
      <c r="X27" s="72"/>
      <c r="Y27" s="72"/>
      <c r="Z27" s="72"/>
      <c r="AA27" s="72"/>
      <c r="AB27" s="72"/>
      <c r="AC27" s="6" t="s">
        <v>2046</v>
      </c>
      <c r="AD27" s="6" t="s">
        <v>2093</v>
      </c>
      <c r="AE27" s="6" t="s">
        <v>3334</v>
      </c>
      <c r="AF27" s="72"/>
      <c r="AG27" s="6" t="s">
        <v>2318</v>
      </c>
      <c r="AH27" s="6" t="s">
        <v>3393</v>
      </c>
      <c r="AI27" s="72"/>
      <c r="AJ27" s="72"/>
      <c r="AK27" s="72"/>
      <c r="AL27" s="72"/>
      <c r="AM27" s="72"/>
      <c r="AN27" s="72"/>
      <c r="AO27" s="72"/>
      <c r="AP27" s="72"/>
      <c r="AQ27" s="72"/>
      <c r="AR27" s="72"/>
      <c r="AS27" s="72"/>
      <c r="AT27" s="72"/>
      <c r="AU27" s="72"/>
      <c r="AV27" s="72"/>
      <c r="AW27" s="72"/>
      <c r="AX27" s="72"/>
      <c r="AY27" s="72"/>
      <c r="AZ27" s="72"/>
      <c r="BA27" s="72"/>
      <c r="BB27" s="72"/>
    </row>
    <row r="28" customFormat="false" ht="113.4" hidden="false" customHeight="false" outlineLevel="0" collapsed="false">
      <c r="A28" s="36" t="s">
        <v>356</v>
      </c>
      <c r="B28" s="6" t="s">
        <v>357</v>
      </c>
      <c r="C28" s="37" t="s">
        <v>108</v>
      </c>
      <c r="D28" s="6" t="s">
        <v>3394</v>
      </c>
      <c r="E28" s="6" t="s">
        <v>803</v>
      </c>
      <c r="F28" s="6" t="s">
        <v>3395</v>
      </c>
      <c r="G28" s="6" t="s">
        <v>3396</v>
      </c>
      <c r="H28" s="6" t="s">
        <v>1149</v>
      </c>
      <c r="I28" s="72"/>
      <c r="J28" s="6" t="s">
        <v>1218</v>
      </c>
      <c r="K28" s="6" t="s">
        <v>1254</v>
      </c>
      <c r="L28" s="72"/>
      <c r="M28" s="6" t="s">
        <v>3397</v>
      </c>
      <c r="N28" s="6" t="s">
        <v>1475</v>
      </c>
      <c r="O28" s="6" t="s">
        <v>1498</v>
      </c>
      <c r="P28" s="6" t="s">
        <v>3398</v>
      </c>
      <c r="Q28" s="72"/>
      <c r="R28" s="6" t="s">
        <v>1607</v>
      </c>
      <c r="S28" s="72"/>
      <c r="T28" s="72"/>
      <c r="U28" s="72"/>
      <c r="V28" s="72"/>
      <c r="W28" s="72"/>
      <c r="X28" s="6" t="s">
        <v>1955</v>
      </c>
      <c r="Y28" s="72"/>
      <c r="Z28" s="72"/>
      <c r="AA28" s="72"/>
      <c r="AB28" s="72"/>
      <c r="AC28" s="6" t="s">
        <v>2046</v>
      </c>
      <c r="AD28" s="72"/>
      <c r="AE28" s="72"/>
      <c r="AF28" s="72"/>
      <c r="AG28" s="72"/>
      <c r="AH28" s="6" t="s">
        <v>3399</v>
      </c>
      <c r="AI28" s="72"/>
      <c r="AJ28" s="6" t="s">
        <v>2461</v>
      </c>
      <c r="AK28" s="6" t="s">
        <v>2471</v>
      </c>
      <c r="AL28" s="72"/>
      <c r="AM28" s="72"/>
      <c r="AN28" s="72"/>
      <c r="AO28" s="6" t="s">
        <v>2566</v>
      </c>
      <c r="AP28" s="6" t="s">
        <v>3400</v>
      </c>
      <c r="AQ28" s="6" t="s">
        <v>2685</v>
      </c>
      <c r="AR28" s="6" t="s">
        <v>3401</v>
      </c>
      <c r="AS28" s="6" t="s">
        <v>3402</v>
      </c>
      <c r="AT28" s="6" t="s">
        <v>2838</v>
      </c>
      <c r="AU28" s="72"/>
      <c r="AV28" s="6" t="s">
        <v>2871</v>
      </c>
      <c r="AW28" s="6" t="s">
        <v>2904</v>
      </c>
      <c r="AX28" s="6" t="s">
        <v>2925</v>
      </c>
      <c r="AY28" s="72"/>
      <c r="AZ28" s="6" t="s">
        <v>3403</v>
      </c>
      <c r="BA28" s="6" t="s">
        <v>3075</v>
      </c>
      <c r="BB28" s="6" t="s">
        <v>3404</v>
      </c>
    </row>
    <row r="29" customFormat="false" ht="147" hidden="false" customHeight="false" outlineLevel="0" collapsed="false">
      <c r="A29" s="36" t="s">
        <v>363</v>
      </c>
      <c r="B29" s="6" t="s">
        <v>364</v>
      </c>
      <c r="C29" s="37" t="s">
        <v>108</v>
      </c>
      <c r="D29" s="6" t="s">
        <v>3405</v>
      </c>
      <c r="E29" s="6" t="s">
        <v>3406</v>
      </c>
      <c r="F29" s="6" t="s">
        <v>3407</v>
      </c>
      <c r="G29" s="6" t="s">
        <v>3408</v>
      </c>
      <c r="H29" s="6" t="s">
        <v>1158</v>
      </c>
      <c r="I29" s="72"/>
      <c r="J29" s="6" t="s">
        <v>1206</v>
      </c>
      <c r="K29" s="6" t="s">
        <v>3409</v>
      </c>
      <c r="L29" s="6" t="s">
        <v>3410</v>
      </c>
      <c r="M29" s="6" t="s">
        <v>3411</v>
      </c>
      <c r="N29" s="6" t="s">
        <v>3412</v>
      </c>
      <c r="O29" s="6" t="s">
        <v>3413</v>
      </c>
      <c r="P29" s="6" t="s">
        <v>3414</v>
      </c>
      <c r="Q29" s="72"/>
      <c r="R29" s="6" t="s">
        <v>3415</v>
      </c>
      <c r="S29" s="72"/>
      <c r="T29" s="72"/>
      <c r="U29" s="72"/>
      <c r="V29" s="72"/>
      <c r="W29" s="72"/>
      <c r="X29" s="72"/>
      <c r="Y29" s="72"/>
      <c r="Z29" s="72"/>
      <c r="AA29" s="72"/>
      <c r="AB29" s="72"/>
      <c r="AC29" s="6" t="s">
        <v>3416</v>
      </c>
      <c r="AD29" s="6" t="s">
        <v>3417</v>
      </c>
      <c r="AE29" s="6" t="s">
        <v>3418</v>
      </c>
      <c r="AF29" s="72"/>
      <c r="AG29" s="72"/>
      <c r="AH29" s="72"/>
      <c r="AI29" s="72"/>
      <c r="AJ29" s="72"/>
      <c r="AK29" s="72"/>
      <c r="AL29" s="72"/>
      <c r="AM29" s="72"/>
      <c r="AN29" s="72"/>
      <c r="AO29" s="72"/>
      <c r="AP29" s="72"/>
      <c r="AQ29" s="72"/>
      <c r="AR29" s="72"/>
      <c r="AS29" s="72"/>
      <c r="AT29" s="72"/>
      <c r="AU29" s="72"/>
      <c r="AV29" s="72"/>
      <c r="AW29" s="72"/>
      <c r="AX29" s="72"/>
      <c r="AY29" s="72"/>
      <c r="AZ29" s="6" t="s">
        <v>3336</v>
      </c>
      <c r="BA29" s="72"/>
      <c r="BB29" s="72"/>
    </row>
    <row r="30" customFormat="false" ht="191.75" hidden="false" customHeight="false" outlineLevel="0" collapsed="false">
      <c r="A30" s="36" t="s">
        <v>371</v>
      </c>
      <c r="B30" s="6" t="s">
        <v>372</v>
      </c>
      <c r="C30" s="37" t="s">
        <v>108</v>
      </c>
      <c r="D30" s="6" t="s">
        <v>3419</v>
      </c>
      <c r="E30" s="72"/>
      <c r="F30" s="6" t="s">
        <v>3420</v>
      </c>
      <c r="G30" s="6" t="s">
        <v>3421</v>
      </c>
      <c r="H30" s="72"/>
      <c r="I30" s="6" t="s">
        <v>1187</v>
      </c>
      <c r="J30" s="6" t="s">
        <v>1218</v>
      </c>
      <c r="K30" s="6" t="s">
        <v>3422</v>
      </c>
      <c r="L30" s="72"/>
      <c r="M30" s="6" t="s">
        <v>3423</v>
      </c>
      <c r="N30" s="6" t="s">
        <v>3424</v>
      </c>
      <c r="O30" s="6" t="s">
        <v>1498</v>
      </c>
      <c r="P30" s="6" t="s">
        <v>1631</v>
      </c>
      <c r="Q30" s="72"/>
      <c r="R30" s="6" t="s">
        <v>3425</v>
      </c>
      <c r="S30" s="72"/>
      <c r="T30" s="72"/>
      <c r="U30" s="72"/>
      <c r="V30" s="72"/>
      <c r="W30" s="72"/>
      <c r="X30" s="6" t="s">
        <v>1955</v>
      </c>
      <c r="Y30" s="72"/>
      <c r="Z30" s="72"/>
      <c r="AA30" s="72"/>
      <c r="AB30" s="72"/>
      <c r="AC30" s="6" t="s">
        <v>3426</v>
      </c>
      <c r="AD30" s="6" t="s">
        <v>3427</v>
      </c>
      <c r="AE30" s="6" t="s">
        <v>3428</v>
      </c>
      <c r="AF30" s="72"/>
      <c r="AG30" s="6" t="s">
        <v>2318</v>
      </c>
      <c r="AH30" s="6" t="s">
        <v>3429</v>
      </c>
      <c r="AI30" s="6" t="s">
        <v>2450</v>
      </c>
      <c r="AJ30" s="6" t="s">
        <v>2461</v>
      </c>
      <c r="AK30" s="72"/>
      <c r="AL30" s="72"/>
      <c r="AM30" s="72"/>
      <c r="AN30" s="72"/>
      <c r="AO30" s="72"/>
      <c r="AP30" s="6" t="s">
        <v>2667</v>
      </c>
      <c r="AQ30" s="72"/>
      <c r="AR30" s="72"/>
      <c r="AS30" s="72"/>
      <c r="AT30" s="72"/>
      <c r="AU30" s="72"/>
      <c r="AV30" s="72"/>
      <c r="AW30" s="72"/>
      <c r="AX30" s="6" t="s">
        <v>3430</v>
      </c>
      <c r="AY30" s="72"/>
      <c r="AZ30" s="6" t="s">
        <v>3431</v>
      </c>
      <c r="BA30" s="72"/>
      <c r="BB30" s="6" t="s">
        <v>3432</v>
      </c>
    </row>
    <row r="31" customFormat="false" ht="158.2" hidden="false" customHeight="false" outlineLevel="0" collapsed="false">
      <c r="A31" s="36" t="s">
        <v>380</v>
      </c>
      <c r="B31" s="6" t="s">
        <v>381</v>
      </c>
      <c r="C31" s="37" t="s">
        <v>109</v>
      </c>
      <c r="D31" s="6" t="s">
        <v>3433</v>
      </c>
      <c r="E31" s="72"/>
      <c r="F31" s="6" t="s">
        <v>3434</v>
      </c>
      <c r="G31" s="6" t="s">
        <v>3340</v>
      </c>
      <c r="H31" s="72"/>
      <c r="I31" s="72"/>
      <c r="J31" s="6" t="s">
        <v>3435</v>
      </c>
      <c r="K31" s="6" t="s">
        <v>1247</v>
      </c>
      <c r="L31" s="6" t="s">
        <v>3436</v>
      </c>
      <c r="M31" s="6" t="s">
        <v>3437</v>
      </c>
      <c r="N31" s="6" t="s">
        <v>1479</v>
      </c>
      <c r="O31" s="6" t="s">
        <v>3438</v>
      </c>
      <c r="P31" s="6" t="s">
        <v>1631</v>
      </c>
      <c r="Q31" s="72"/>
      <c r="R31" s="6" t="s">
        <v>1654</v>
      </c>
      <c r="S31" s="72"/>
      <c r="T31" s="72"/>
      <c r="U31" s="72"/>
      <c r="V31" s="72"/>
      <c r="W31" s="72"/>
      <c r="X31" s="72"/>
      <c r="Y31" s="72"/>
      <c r="Z31" s="72"/>
      <c r="AA31" s="72"/>
      <c r="AB31" s="72"/>
      <c r="AC31" s="6" t="s">
        <v>2052</v>
      </c>
      <c r="AD31" s="6" t="s">
        <v>2084</v>
      </c>
      <c r="AE31" s="6" t="s">
        <v>3439</v>
      </c>
      <c r="AF31" s="72"/>
      <c r="AG31" s="72"/>
      <c r="AH31" s="72"/>
      <c r="AI31" s="72"/>
      <c r="AJ31" s="72"/>
      <c r="AK31" s="72"/>
      <c r="AL31" s="72"/>
      <c r="AM31" s="72"/>
      <c r="AN31" s="72"/>
      <c r="AO31" s="72"/>
      <c r="AP31" s="72"/>
      <c r="AQ31" s="72"/>
      <c r="AR31" s="72"/>
      <c r="AS31" s="72"/>
      <c r="AT31" s="72"/>
      <c r="AU31" s="72"/>
      <c r="AV31" s="72"/>
      <c r="AW31" s="72"/>
      <c r="AX31" s="72"/>
      <c r="AY31" s="72"/>
      <c r="AZ31" s="72"/>
      <c r="BA31" s="72"/>
      <c r="BB31" s="72"/>
    </row>
    <row r="32" customFormat="false" ht="158.2" hidden="false" customHeight="false" outlineLevel="0" collapsed="false">
      <c r="A32" s="36" t="s">
        <v>387</v>
      </c>
      <c r="B32" s="6" t="s">
        <v>388</v>
      </c>
      <c r="C32" s="37" t="s">
        <v>108</v>
      </c>
      <c r="D32" s="6" t="s">
        <v>3440</v>
      </c>
      <c r="E32" s="6" t="s">
        <v>796</v>
      </c>
      <c r="F32" s="6" t="s">
        <v>3441</v>
      </c>
      <c r="G32" s="6" t="s">
        <v>3174</v>
      </c>
      <c r="H32" s="72"/>
      <c r="I32" s="72"/>
      <c r="J32" s="6" t="s">
        <v>1218</v>
      </c>
      <c r="K32" s="6" t="s">
        <v>1245</v>
      </c>
      <c r="L32" s="6" t="s">
        <v>1272</v>
      </c>
      <c r="M32" s="6" t="s">
        <v>3442</v>
      </c>
      <c r="N32" s="6" t="s">
        <v>3443</v>
      </c>
      <c r="O32" s="6" t="s">
        <v>3413</v>
      </c>
      <c r="P32" s="6" t="s">
        <v>3444</v>
      </c>
      <c r="Q32" s="72"/>
      <c r="R32" s="6" t="s">
        <v>3445</v>
      </c>
      <c r="S32" s="72"/>
      <c r="T32" s="72"/>
      <c r="U32" s="72"/>
      <c r="V32" s="72"/>
      <c r="W32" s="72"/>
      <c r="X32" s="72"/>
      <c r="Y32" s="72"/>
      <c r="Z32" s="72"/>
      <c r="AA32" s="72"/>
      <c r="AB32" s="72"/>
      <c r="AC32" s="6" t="s">
        <v>3446</v>
      </c>
      <c r="AD32" s="6" t="s">
        <v>3447</v>
      </c>
      <c r="AE32" s="6" t="s">
        <v>3448</v>
      </c>
      <c r="AF32" s="6" t="s">
        <v>2263</v>
      </c>
      <c r="AG32" s="6" t="s">
        <v>2337</v>
      </c>
      <c r="AH32" s="6" t="s">
        <v>3449</v>
      </c>
      <c r="AI32" s="72"/>
      <c r="AJ32" s="72"/>
      <c r="AK32" s="72"/>
      <c r="AL32" s="72"/>
      <c r="AM32" s="72"/>
      <c r="AN32" s="72"/>
      <c r="AO32" s="72"/>
      <c r="AP32" s="72"/>
      <c r="AQ32" s="72"/>
      <c r="AR32" s="72"/>
      <c r="AS32" s="72"/>
      <c r="AT32" s="72"/>
      <c r="AU32" s="72"/>
      <c r="AV32" s="72"/>
      <c r="AW32" s="72"/>
      <c r="AX32" s="72"/>
      <c r="AY32" s="72"/>
      <c r="AZ32" s="72"/>
      <c r="BA32" s="72"/>
      <c r="BB32" s="72"/>
    </row>
    <row r="33" customFormat="false" ht="102.2" hidden="false" customHeight="false" outlineLevel="0" collapsed="false">
      <c r="A33" s="36" t="s">
        <v>395</v>
      </c>
      <c r="B33" s="6" t="s">
        <v>396</v>
      </c>
      <c r="C33" s="37" t="s">
        <v>109</v>
      </c>
      <c r="D33" s="6" t="s">
        <v>3450</v>
      </c>
      <c r="E33" s="72"/>
      <c r="F33" s="6" t="s">
        <v>3451</v>
      </c>
      <c r="G33" s="6" t="s">
        <v>3452</v>
      </c>
      <c r="H33" s="6" t="s">
        <v>1152</v>
      </c>
      <c r="I33" s="72"/>
      <c r="J33" s="6" t="s">
        <v>3453</v>
      </c>
      <c r="K33" s="72"/>
      <c r="L33" s="72"/>
      <c r="M33" s="6" t="s">
        <v>3454</v>
      </c>
      <c r="N33" s="6" t="s">
        <v>3455</v>
      </c>
      <c r="O33" s="6" t="s">
        <v>3456</v>
      </c>
      <c r="P33" s="6" t="s">
        <v>3179</v>
      </c>
      <c r="Q33" s="72"/>
      <c r="R33" s="6" t="s">
        <v>3457</v>
      </c>
      <c r="S33" s="72"/>
      <c r="T33" s="72"/>
      <c r="U33" s="72"/>
      <c r="V33" s="72"/>
      <c r="W33" s="72"/>
      <c r="X33" s="6" t="s">
        <v>1951</v>
      </c>
      <c r="Y33" s="72"/>
      <c r="Z33" s="72"/>
      <c r="AA33" s="72"/>
      <c r="AB33" s="72"/>
      <c r="AC33" s="6" t="s">
        <v>3358</v>
      </c>
      <c r="AD33" s="6" t="s">
        <v>3359</v>
      </c>
      <c r="AE33" s="6" t="s">
        <v>3458</v>
      </c>
      <c r="AF33" s="6" t="s">
        <v>2267</v>
      </c>
      <c r="AG33" s="72"/>
      <c r="AH33" s="72"/>
      <c r="AI33" s="6" t="s">
        <v>2450</v>
      </c>
      <c r="AJ33" s="6" t="s">
        <v>2464</v>
      </c>
      <c r="AK33" s="72"/>
      <c r="AL33" s="72"/>
      <c r="AM33" s="72"/>
      <c r="AN33" s="6" t="s">
        <v>2551</v>
      </c>
      <c r="AO33" s="72"/>
      <c r="AP33" s="6" t="s">
        <v>2645</v>
      </c>
      <c r="AQ33" s="6" t="s">
        <v>2691</v>
      </c>
      <c r="AR33" s="72"/>
      <c r="AS33" s="72"/>
      <c r="AT33" s="72"/>
      <c r="AU33" s="72"/>
      <c r="AV33" s="72"/>
      <c r="AW33" s="72"/>
      <c r="AX33" s="72"/>
      <c r="AY33" s="72"/>
      <c r="AZ33" s="6" t="s">
        <v>3459</v>
      </c>
      <c r="BA33" s="72"/>
      <c r="BB33" s="72"/>
    </row>
    <row r="34" customFormat="false" ht="135.8" hidden="false" customHeight="false" outlineLevel="0" collapsed="false">
      <c r="A34" s="36" t="s">
        <v>404</v>
      </c>
      <c r="B34" s="6" t="s">
        <v>405</v>
      </c>
      <c r="C34" s="37" t="s">
        <v>109</v>
      </c>
      <c r="D34" s="6" t="s">
        <v>3450</v>
      </c>
      <c r="E34" s="72"/>
      <c r="F34" s="6" t="s">
        <v>3460</v>
      </c>
      <c r="G34" s="6" t="s">
        <v>3461</v>
      </c>
      <c r="H34" s="72"/>
      <c r="I34" s="72"/>
      <c r="J34" s="6" t="s">
        <v>1210</v>
      </c>
      <c r="K34" s="72"/>
      <c r="L34" s="72"/>
      <c r="M34" s="6" t="s">
        <v>3462</v>
      </c>
      <c r="N34" s="6" t="s">
        <v>3463</v>
      </c>
      <c r="O34" s="6" t="s">
        <v>3464</v>
      </c>
      <c r="P34" s="6" t="s">
        <v>3465</v>
      </c>
      <c r="Q34" s="72"/>
      <c r="R34" s="6" t="s">
        <v>3466</v>
      </c>
      <c r="S34" s="72"/>
      <c r="T34" s="72"/>
      <c r="U34" s="6" t="s">
        <v>1913</v>
      </c>
      <c r="V34" s="72"/>
      <c r="W34" s="6" t="s">
        <v>1938</v>
      </c>
      <c r="X34" s="6" t="s">
        <v>1951</v>
      </c>
      <c r="Y34" s="6" t="s">
        <v>1973</v>
      </c>
      <c r="Z34" s="6" t="s">
        <v>1981</v>
      </c>
      <c r="AA34" s="72"/>
      <c r="AB34" s="6" t="s">
        <v>3467</v>
      </c>
      <c r="AC34" s="6" t="s">
        <v>3468</v>
      </c>
      <c r="AD34" s="6" t="s">
        <v>2084</v>
      </c>
      <c r="AE34" s="6" t="s">
        <v>2242</v>
      </c>
      <c r="AF34" s="6" t="s">
        <v>2282</v>
      </c>
      <c r="AG34" s="72"/>
      <c r="AH34" s="6" t="s">
        <v>2380</v>
      </c>
      <c r="AI34" s="72"/>
      <c r="AJ34" s="6" t="s">
        <v>2462</v>
      </c>
      <c r="AK34" s="72"/>
      <c r="AL34" s="72"/>
      <c r="AM34" s="72"/>
      <c r="AN34" s="6" t="s">
        <v>2562</v>
      </c>
      <c r="AO34" s="72"/>
      <c r="AP34" s="6" t="s">
        <v>2637</v>
      </c>
      <c r="AQ34" s="6" t="s">
        <v>3469</v>
      </c>
      <c r="AR34" s="6" t="s">
        <v>2756</v>
      </c>
      <c r="AS34" s="6" t="s">
        <v>3470</v>
      </c>
      <c r="AT34" s="72"/>
      <c r="AU34" s="72"/>
      <c r="AV34" s="72"/>
      <c r="AW34" s="72"/>
      <c r="AX34" s="72"/>
      <c r="AY34" s="6" t="s">
        <v>2966</v>
      </c>
      <c r="AZ34" s="6" t="s">
        <v>3471</v>
      </c>
      <c r="BA34" s="72"/>
      <c r="BB34" s="6" t="s">
        <v>3132</v>
      </c>
    </row>
    <row r="35" customFormat="false" ht="124.6" hidden="false" customHeight="false" outlineLevel="0" collapsed="false">
      <c r="A35" s="36" t="s">
        <v>413</v>
      </c>
      <c r="B35" s="6" t="s">
        <v>414</v>
      </c>
      <c r="C35" s="37" t="s">
        <v>109</v>
      </c>
      <c r="D35" s="6" t="s">
        <v>3450</v>
      </c>
      <c r="E35" s="72"/>
      <c r="F35" s="6" t="s">
        <v>3472</v>
      </c>
      <c r="G35" s="6" t="s">
        <v>3473</v>
      </c>
      <c r="H35" s="72"/>
      <c r="I35" s="72"/>
      <c r="J35" s="6" t="s">
        <v>3474</v>
      </c>
      <c r="K35" s="72"/>
      <c r="L35" s="72"/>
      <c r="M35" s="6" t="s">
        <v>3475</v>
      </c>
      <c r="N35" s="6" t="s">
        <v>3476</v>
      </c>
      <c r="O35" s="6" t="s">
        <v>3477</v>
      </c>
      <c r="P35" s="6" t="s">
        <v>3478</v>
      </c>
      <c r="Q35" s="72"/>
      <c r="R35" s="6" t="s">
        <v>3479</v>
      </c>
      <c r="S35" s="72"/>
      <c r="T35" s="72"/>
      <c r="U35" s="72"/>
      <c r="V35" s="72"/>
      <c r="W35" s="72"/>
      <c r="X35" s="72"/>
      <c r="Y35" s="6" t="s">
        <v>1975</v>
      </c>
      <c r="Z35" s="6" t="s">
        <v>3480</v>
      </c>
      <c r="AA35" s="72"/>
      <c r="AB35" s="72"/>
      <c r="AC35" s="6" t="s">
        <v>3481</v>
      </c>
      <c r="AD35" s="6" t="s">
        <v>3482</v>
      </c>
      <c r="AE35" s="6" t="s">
        <v>3483</v>
      </c>
      <c r="AF35" s="6" t="s">
        <v>3484</v>
      </c>
      <c r="AG35" s="72"/>
      <c r="AH35" s="72"/>
      <c r="AI35" s="72"/>
      <c r="AJ35" s="72"/>
      <c r="AK35" s="72"/>
      <c r="AL35" s="72"/>
      <c r="AM35" s="72"/>
      <c r="AN35" s="6" t="s">
        <v>2551</v>
      </c>
      <c r="AO35" s="72"/>
      <c r="AP35" s="72"/>
      <c r="AQ35" s="72"/>
      <c r="AR35" s="72"/>
      <c r="AS35" s="72"/>
      <c r="AT35" s="72"/>
      <c r="AU35" s="72"/>
      <c r="AV35" s="72"/>
      <c r="AW35" s="72"/>
      <c r="AX35" s="72"/>
      <c r="AY35" s="72"/>
      <c r="AZ35" s="6" t="s">
        <v>3485</v>
      </c>
      <c r="BA35" s="72"/>
      <c r="BB35" s="72"/>
    </row>
    <row r="36" customFormat="false" ht="270.1" hidden="false" customHeight="false" outlineLevel="0" collapsed="false">
      <c r="A36" s="36" t="s">
        <v>420</v>
      </c>
      <c r="B36" s="6" t="s">
        <v>421</v>
      </c>
      <c r="C36" s="37" t="s">
        <v>109</v>
      </c>
      <c r="D36" s="6" t="s">
        <v>3486</v>
      </c>
      <c r="E36" s="6" t="s">
        <v>3487</v>
      </c>
      <c r="F36" s="6" t="s">
        <v>3488</v>
      </c>
      <c r="G36" s="6" t="s">
        <v>3489</v>
      </c>
      <c r="H36" s="6" t="s">
        <v>1158</v>
      </c>
      <c r="I36" s="6" t="s">
        <v>1180</v>
      </c>
      <c r="J36" s="6" t="s">
        <v>1206</v>
      </c>
      <c r="K36" s="72"/>
      <c r="L36" s="6" t="s">
        <v>1270</v>
      </c>
      <c r="M36" s="6" t="s">
        <v>3490</v>
      </c>
      <c r="N36" s="6" t="s">
        <v>3491</v>
      </c>
      <c r="O36" s="6" t="s">
        <v>3492</v>
      </c>
      <c r="P36" s="6" t="s">
        <v>3493</v>
      </c>
      <c r="Q36" s="72"/>
      <c r="R36" s="6" t="s">
        <v>3494</v>
      </c>
      <c r="S36" s="72"/>
      <c r="T36" s="72"/>
      <c r="U36" s="72"/>
      <c r="V36" s="72"/>
      <c r="W36" s="72"/>
      <c r="X36" s="72"/>
      <c r="Y36" s="6" t="s">
        <v>1963</v>
      </c>
      <c r="Z36" s="72"/>
      <c r="AA36" s="72"/>
      <c r="AB36" s="6" t="s">
        <v>2005</v>
      </c>
      <c r="AC36" s="6" t="s">
        <v>3495</v>
      </c>
      <c r="AD36" s="6" t="s">
        <v>3496</v>
      </c>
      <c r="AE36" s="6" t="s">
        <v>3497</v>
      </c>
      <c r="AF36" s="6" t="s">
        <v>3498</v>
      </c>
      <c r="AG36" s="6" t="s">
        <v>3499</v>
      </c>
      <c r="AH36" s="6" t="s">
        <v>3500</v>
      </c>
      <c r="AI36" s="72"/>
      <c r="AJ36" s="72"/>
      <c r="AK36" s="72"/>
      <c r="AL36" s="72"/>
      <c r="AM36" s="72"/>
      <c r="AN36" s="72"/>
      <c r="AO36" s="72"/>
      <c r="AP36" s="72"/>
      <c r="AQ36" s="72"/>
      <c r="AR36" s="72"/>
      <c r="AS36" s="72"/>
      <c r="AT36" s="72"/>
      <c r="AU36" s="72"/>
      <c r="AV36" s="72"/>
      <c r="AW36" s="72"/>
      <c r="AX36" s="72"/>
      <c r="AY36" s="72"/>
      <c r="AZ36" s="6" t="s">
        <v>3313</v>
      </c>
      <c r="BA36" s="72"/>
      <c r="BB36" s="6" t="s">
        <v>3132</v>
      </c>
    </row>
    <row r="37" customFormat="false" ht="91" hidden="false" customHeight="false" outlineLevel="0" collapsed="false">
      <c r="A37" s="36" t="s">
        <v>428</v>
      </c>
      <c r="B37" s="6" t="s">
        <v>429</v>
      </c>
      <c r="C37" s="37" t="s">
        <v>109</v>
      </c>
      <c r="D37" s="6" t="s">
        <v>3501</v>
      </c>
      <c r="E37" s="6" t="s">
        <v>780</v>
      </c>
      <c r="F37" s="6" t="s">
        <v>3502</v>
      </c>
      <c r="G37" s="6" t="s">
        <v>3473</v>
      </c>
      <c r="H37" s="6" t="s">
        <v>1152</v>
      </c>
      <c r="I37" s="72"/>
      <c r="J37" s="6" t="s">
        <v>1206</v>
      </c>
      <c r="K37" s="72"/>
      <c r="L37" s="72"/>
      <c r="M37" s="6" t="s">
        <v>3503</v>
      </c>
      <c r="N37" s="6" t="s">
        <v>3504</v>
      </c>
      <c r="O37" s="72"/>
      <c r="P37" s="6" t="s">
        <v>1597</v>
      </c>
      <c r="Q37" s="72"/>
      <c r="R37" s="6" t="s">
        <v>3505</v>
      </c>
      <c r="S37" s="72"/>
      <c r="T37" s="72"/>
      <c r="U37" s="72"/>
      <c r="V37" s="72"/>
      <c r="W37" s="72"/>
      <c r="X37" s="6" t="s">
        <v>1951</v>
      </c>
      <c r="Y37" s="72"/>
      <c r="Z37" s="72"/>
      <c r="AA37" s="72"/>
      <c r="AB37" s="72"/>
      <c r="AC37" s="6" t="s">
        <v>3506</v>
      </c>
      <c r="AD37" s="6" t="s">
        <v>3507</v>
      </c>
      <c r="AE37" s="6" t="s">
        <v>3508</v>
      </c>
      <c r="AF37" s="6" t="s">
        <v>2296</v>
      </c>
      <c r="AG37" s="72"/>
      <c r="AH37" s="72"/>
      <c r="AI37" s="72"/>
      <c r="AJ37" s="72"/>
      <c r="AK37" s="72"/>
      <c r="AL37" s="72"/>
      <c r="AM37" s="72"/>
      <c r="AN37" s="6" t="s">
        <v>2551</v>
      </c>
      <c r="AO37" s="72"/>
      <c r="AP37" s="6" t="s">
        <v>3219</v>
      </c>
      <c r="AQ37" s="72"/>
      <c r="AR37" s="72"/>
      <c r="AS37" s="72"/>
      <c r="AT37" s="72"/>
      <c r="AU37" s="72"/>
      <c r="AV37" s="72"/>
      <c r="AW37" s="72"/>
      <c r="AX37" s="72"/>
      <c r="AY37" s="72"/>
      <c r="AZ37" s="6" t="s">
        <v>3509</v>
      </c>
      <c r="BA37" s="72"/>
      <c r="BB37" s="72"/>
    </row>
    <row r="38" customFormat="false" ht="314.9" hidden="false" customHeight="false" outlineLevel="0" collapsed="false">
      <c r="A38" s="36" t="s">
        <v>435</v>
      </c>
      <c r="B38" s="6" t="s">
        <v>436</v>
      </c>
      <c r="C38" s="37" t="s">
        <v>108</v>
      </c>
      <c r="D38" s="6" t="s">
        <v>3510</v>
      </c>
      <c r="E38" s="6" t="s">
        <v>757</v>
      </c>
      <c r="F38" s="6" t="s">
        <v>3511</v>
      </c>
      <c r="G38" s="6" t="s">
        <v>3512</v>
      </c>
      <c r="H38" s="72"/>
      <c r="I38" s="72"/>
      <c r="J38" s="72"/>
      <c r="K38" s="72"/>
      <c r="L38" s="72"/>
      <c r="M38" s="72"/>
      <c r="N38" s="72"/>
      <c r="O38" s="72"/>
      <c r="P38" s="6" t="s">
        <v>3513</v>
      </c>
      <c r="Q38" s="72"/>
      <c r="R38" s="6" t="s">
        <v>3514</v>
      </c>
      <c r="S38" s="72"/>
      <c r="T38" s="72"/>
      <c r="U38" s="72"/>
      <c r="V38" s="72"/>
      <c r="W38" s="72"/>
      <c r="X38" s="6" t="s">
        <v>1960</v>
      </c>
      <c r="Y38" s="6" t="s">
        <v>1967</v>
      </c>
      <c r="Z38" s="72"/>
      <c r="AA38" s="72"/>
      <c r="AB38" s="72"/>
      <c r="AC38" s="6" t="s">
        <v>3515</v>
      </c>
      <c r="AD38" s="6" t="s">
        <v>2120</v>
      </c>
      <c r="AE38" s="6" t="s">
        <v>3516</v>
      </c>
      <c r="AF38" s="6" t="s">
        <v>3517</v>
      </c>
      <c r="AG38" s="6" t="s">
        <v>3518</v>
      </c>
      <c r="AH38" s="6" t="s">
        <v>3519</v>
      </c>
      <c r="AI38" s="72"/>
      <c r="AJ38" s="72"/>
      <c r="AK38" s="72"/>
      <c r="AL38" s="6" t="s">
        <v>2486</v>
      </c>
      <c r="AM38" s="72"/>
      <c r="AN38" s="6" t="s">
        <v>2535</v>
      </c>
      <c r="AO38" s="72"/>
      <c r="AP38" s="6" t="s">
        <v>2614</v>
      </c>
      <c r="AQ38" s="72"/>
      <c r="AR38" s="72"/>
      <c r="AS38" s="72"/>
      <c r="AT38" s="72"/>
      <c r="AU38" s="72"/>
      <c r="AV38" s="72"/>
      <c r="AW38" s="72"/>
      <c r="AX38" s="72"/>
      <c r="AY38" s="72"/>
      <c r="AZ38" s="6" t="s">
        <v>3520</v>
      </c>
      <c r="BA38" s="72"/>
      <c r="BB38" s="6" t="s">
        <v>3136</v>
      </c>
    </row>
    <row r="39" customFormat="false" ht="348.5" hidden="false" customHeight="false" outlineLevel="0" collapsed="false">
      <c r="A39" s="36" t="s">
        <v>444</v>
      </c>
      <c r="B39" s="6" t="s">
        <v>445</v>
      </c>
      <c r="C39" s="37" t="s">
        <v>109</v>
      </c>
      <c r="D39" s="6" t="s">
        <v>3521</v>
      </c>
      <c r="E39" s="6" t="s">
        <v>3522</v>
      </c>
      <c r="F39" s="6" t="s">
        <v>3523</v>
      </c>
      <c r="G39" s="6" t="s">
        <v>3524</v>
      </c>
      <c r="H39" s="6" t="s">
        <v>3525</v>
      </c>
      <c r="I39" s="6" t="s">
        <v>1190</v>
      </c>
      <c r="J39" s="6" t="s">
        <v>3526</v>
      </c>
      <c r="K39" s="72"/>
      <c r="L39" s="72"/>
      <c r="M39" s="72"/>
      <c r="N39" s="6" t="s">
        <v>1489</v>
      </c>
      <c r="O39" s="6" t="s">
        <v>3527</v>
      </c>
      <c r="P39" s="6" t="s">
        <v>1623</v>
      </c>
      <c r="Q39" s="72"/>
      <c r="R39" s="6" t="s">
        <v>3528</v>
      </c>
      <c r="S39" s="72"/>
      <c r="T39" s="72"/>
      <c r="U39" s="72"/>
      <c r="V39" s="72"/>
      <c r="W39" s="72"/>
      <c r="X39" s="6" t="s">
        <v>3529</v>
      </c>
      <c r="Y39" s="6" t="s">
        <v>3530</v>
      </c>
      <c r="Z39" s="6" t="s">
        <v>1983</v>
      </c>
      <c r="AA39" s="6" t="s">
        <v>1995</v>
      </c>
      <c r="AB39" s="72"/>
      <c r="AC39" s="6" t="s">
        <v>3531</v>
      </c>
      <c r="AD39" s="6" t="s">
        <v>3532</v>
      </c>
      <c r="AE39" s="6" t="s">
        <v>3533</v>
      </c>
      <c r="AF39" s="6" t="s">
        <v>3534</v>
      </c>
      <c r="AG39" s="6" t="s">
        <v>3535</v>
      </c>
      <c r="AH39" s="6" t="s">
        <v>3536</v>
      </c>
      <c r="AI39" s="6" t="s">
        <v>2450</v>
      </c>
      <c r="AJ39" s="6" t="s">
        <v>2464</v>
      </c>
      <c r="AK39" s="6" t="s">
        <v>2482</v>
      </c>
      <c r="AL39" s="72"/>
      <c r="AM39" s="6" t="s">
        <v>2521</v>
      </c>
      <c r="AN39" s="6" t="s">
        <v>3537</v>
      </c>
      <c r="AO39" s="72"/>
      <c r="AP39" s="72"/>
      <c r="AQ39" s="6" t="s">
        <v>2685</v>
      </c>
      <c r="AR39" s="72"/>
      <c r="AS39" s="72"/>
      <c r="AT39" s="72"/>
      <c r="AU39" s="72"/>
      <c r="AV39" s="72"/>
      <c r="AW39" s="72"/>
      <c r="AX39" s="72"/>
      <c r="AY39" s="72"/>
      <c r="AZ39" s="6" t="s">
        <v>3538</v>
      </c>
      <c r="BA39" s="72"/>
      <c r="BB39" s="6" t="s">
        <v>3539</v>
      </c>
    </row>
    <row r="40" customFormat="false" ht="124.6" hidden="false" customHeight="false" outlineLevel="0" collapsed="false">
      <c r="A40" s="36" t="s">
        <v>453</v>
      </c>
      <c r="B40" s="6" t="s">
        <v>454</v>
      </c>
      <c r="C40" s="37" t="s">
        <v>108</v>
      </c>
      <c r="D40" s="6" t="s">
        <v>672</v>
      </c>
      <c r="E40" s="72"/>
      <c r="F40" s="6" t="s">
        <v>3540</v>
      </c>
      <c r="G40" s="6" t="s">
        <v>3541</v>
      </c>
      <c r="H40" s="72"/>
      <c r="I40" s="6" t="s">
        <v>1195</v>
      </c>
      <c r="J40" s="72"/>
      <c r="K40" s="72"/>
      <c r="L40" s="72"/>
      <c r="M40" s="72"/>
      <c r="N40" s="6" t="s">
        <v>1461</v>
      </c>
      <c r="O40" s="72"/>
      <c r="P40" s="6" t="s">
        <v>3542</v>
      </c>
      <c r="Q40" s="72"/>
      <c r="R40" s="6" t="s">
        <v>3543</v>
      </c>
      <c r="S40" s="72"/>
      <c r="T40" s="72"/>
      <c r="U40" s="72"/>
      <c r="V40" s="72"/>
      <c r="W40" s="72"/>
      <c r="X40" s="72"/>
      <c r="Y40" s="72"/>
      <c r="Z40" s="72"/>
      <c r="AA40" s="72"/>
      <c r="AB40" s="72"/>
      <c r="AC40" s="6" t="s">
        <v>3544</v>
      </c>
      <c r="AD40" s="6" t="s">
        <v>2124</v>
      </c>
      <c r="AE40" s="6" t="s">
        <v>3545</v>
      </c>
      <c r="AF40" s="6" t="s">
        <v>3546</v>
      </c>
      <c r="AG40" s="6" t="s">
        <v>2331</v>
      </c>
      <c r="AH40" s="72"/>
      <c r="AI40" s="72"/>
      <c r="AJ40" s="72"/>
      <c r="AK40" s="72"/>
      <c r="AL40" s="6" t="s">
        <v>2491</v>
      </c>
      <c r="AM40" s="72"/>
      <c r="AN40" s="6" t="s">
        <v>3547</v>
      </c>
      <c r="AO40" s="6" t="s">
        <v>2571</v>
      </c>
      <c r="AP40" s="6" t="s">
        <v>3548</v>
      </c>
      <c r="AQ40" s="6" t="s">
        <v>3549</v>
      </c>
      <c r="AR40" s="6" t="s">
        <v>2739</v>
      </c>
      <c r="AS40" s="6" t="s">
        <v>2823</v>
      </c>
      <c r="AT40" s="6" t="s">
        <v>3550</v>
      </c>
      <c r="AU40" s="6" t="s">
        <v>2857</v>
      </c>
      <c r="AV40" s="6" t="s">
        <v>2868</v>
      </c>
      <c r="AW40" s="6" t="s">
        <v>2908</v>
      </c>
      <c r="AX40" s="6" t="s">
        <v>3551</v>
      </c>
      <c r="AY40" s="6" t="s">
        <v>2964</v>
      </c>
      <c r="AZ40" s="6" t="s">
        <v>3552</v>
      </c>
      <c r="BA40" s="6" t="s">
        <v>3087</v>
      </c>
      <c r="BB40" s="72"/>
    </row>
    <row r="41" customFormat="false" ht="102.2" hidden="false" customHeight="false" outlineLevel="0" collapsed="false">
      <c r="A41" s="36" t="s">
        <v>462</v>
      </c>
      <c r="B41" s="6" t="s">
        <v>463</v>
      </c>
      <c r="C41" s="37" t="s">
        <v>108</v>
      </c>
      <c r="D41" s="72"/>
      <c r="E41" s="6" t="s">
        <v>3553</v>
      </c>
      <c r="F41" s="6" t="s">
        <v>3554</v>
      </c>
      <c r="G41" s="6" t="s">
        <v>3555</v>
      </c>
      <c r="H41" s="6" t="s">
        <v>1145</v>
      </c>
      <c r="I41" s="72"/>
      <c r="J41" s="6" t="s">
        <v>1232</v>
      </c>
      <c r="K41" s="72"/>
      <c r="L41" s="72"/>
      <c r="M41" s="6" t="s">
        <v>3556</v>
      </c>
      <c r="N41" s="6" t="s">
        <v>3557</v>
      </c>
      <c r="O41" s="6" t="s">
        <v>3558</v>
      </c>
      <c r="P41" s="6" t="s">
        <v>1597</v>
      </c>
      <c r="Q41" s="72"/>
      <c r="R41" s="6" t="s">
        <v>3559</v>
      </c>
      <c r="S41" s="72"/>
      <c r="T41" s="72"/>
      <c r="U41" s="72"/>
      <c r="V41" s="72"/>
      <c r="W41" s="72"/>
      <c r="X41" s="72"/>
      <c r="Y41" s="72"/>
      <c r="Z41" s="72"/>
      <c r="AA41" s="72"/>
      <c r="AB41" s="72"/>
      <c r="AC41" s="6" t="s">
        <v>3560</v>
      </c>
      <c r="AD41" s="72"/>
      <c r="AE41" s="6" t="s">
        <v>2130</v>
      </c>
      <c r="AF41" s="72"/>
      <c r="AG41" s="72"/>
      <c r="AH41" s="72"/>
      <c r="AI41" s="72"/>
      <c r="AJ41" s="72"/>
      <c r="AK41" s="72"/>
      <c r="AL41" s="72"/>
      <c r="AM41" s="72"/>
      <c r="AN41" s="6" t="s">
        <v>2539</v>
      </c>
      <c r="AO41" s="72"/>
      <c r="AP41" s="72"/>
      <c r="AQ41" s="72"/>
      <c r="AR41" s="72"/>
      <c r="AS41" s="72"/>
      <c r="AT41" s="72"/>
      <c r="AU41" s="72"/>
      <c r="AV41" s="72"/>
      <c r="AW41" s="72"/>
      <c r="AX41" s="72"/>
      <c r="AY41" s="72"/>
      <c r="AZ41" s="72"/>
      <c r="BA41" s="72"/>
      <c r="BB41" s="72"/>
    </row>
    <row r="42" customFormat="false" ht="225.35" hidden="false" customHeight="false" outlineLevel="0" collapsed="false">
      <c r="A42" s="36" t="s">
        <v>470</v>
      </c>
      <c r="B42" s="6" t="s">
        <v>471</v>
      </c>
      <c r="C42" s="37" t="s">
        <v>109</v>
      </c>
      <c r="D42" s="6" t="s">
        <v>3561</v>
      </c>
      <c r="E42" s="72"/>
      <c r="F42" s="6" t="s">
        <v>3562</v>
      </c>
      <c r="G42" s="6" t="s">
        <v>3563</v>
      </c>
      <c r="H42" s="72"/>
      <c r="I42" s="6" t="s">
        <v>1179</v>
      </c>
      <c r="J42" s="72"/>
      <c r="K42" s="72"/>
      <c r="L42" s="72"/>
      <c r="M42" s="72"/>
      <c r="N42" s="72"/>
      <c r="O42" s="72"/>
      <c r="P42" s="72"/>
      <c r="Q42" s="6" t="s">
        <v>3564</v>
      </c>
      <c r="R42" s="72"/>
      <c r="S42" s="6" t="s">
        <v>3564</v>
      </c>
      <c r="T42" s="72"/>
      <c r="U42" s="72"/>
      <c r="V42" s="72"/>
      <c r="W42" s="6" t="s">
        <v>1943</v>
      </c>
      <c r="X42" s="72"/>
      <c r="Y42" s="6" t="s">
        <v>1963</v>
      </c>
      <c r="Z42" s="72"/>
      <c r="AA42" s="72"/>
      <c r="AB42" s="72"/>
      <c r="AC42" s="6" t="s">
        <v>3565</v>
      </c>
      <c r="AD42" s="72"/>
      <c r="AE42" s="6" t="s">
        <v>3566</v>
      </c>
      <c r="AF42" s="6" t="s">
        <v>3567</v>
      </c>
      <c r="AG42" s="6" t="s">
        <v>3568</v>
      </c>
      <c r="AH42" s="6" t="s">
        <v>3569</v>
      </c>
      <c r="AI42" s="6" t="s">
        <v>2454</v>
      </c>
      <c r="AJ42" s="6" t="s">
        <v>2455</v>
      </c>
      <c r="AK42" s="6" t="s">
        <v>2476</v>
      </c>
      <c r="AL42" s="72"/>
      <c r="AM42" s="6" t="s">
        <v>2527</v>
      </c>
      <c r="AN42" s="6" t="s">
        <v>3570</v>
      </c>
      <c r="AO42" s="72"/>
      <c r="AP42" s="6" t="s">
        <v>3571</v>
      </c>
      <c r="AQ42" s="6" t="s">
        <v>3572</v>
      </c>
      <c r="AR42" s="6" t="s">
        <v>3573</v>
      </c>
      <c r="AS42" s="6" t="s">
        <v>3574</v>
      </c>
      <c r="AT42" s="6" t="s">
        <v>2838</v>
      </c>
      <c r="AU42" s="6" t="s">
        <v>2852</v>
      </c>
      <c r="AV42" s="6" t="s">
        <v>3254</v>
      </c>
      <c r="AW42" s="6" t="s">
        <v>2902</v>
      </c>
      <c r="AX42" s="6" t="s">
        <v>3575</v>
      </c>
      <c r="AY42" s="6" t="s">
        <v>3576</v>
      </c>
      <c r="AZ42" s="6" t="s">
        <v>3577</v>
      </c>
      <c r="BA42" s="6" t="s">
        <v>3578</v>
      </c>
      <c r="BB42" s="6" t="s">
        <v>3579</v>
      </c>
    </row>
    <row r="43" customFormat="false" ht="214.15" hidden="false" customHeight="false" outlineLevel="0" collapsed="false">
      <c r="A43" s="36" t="s">
        <v>478</v>
      </c>
      <c r="B43" s="6" t="s">
        <v>479</v>
      </c>
      <c r="C43" s="37" t="s">
        <v>109</v>
      </c>
      <c r="D43" s="6" t="s">
        <v>3580</v>
      </c>
      <c r="E43" s="6" t="s">
        <v>749</v>
      </c>
      <c r="F43" s="6" t="s">
        <v>3581</v>
      </c>
      <c r="G43" s="6" t="s">
        <v>3582</v>
      </c>
      <c r="H43" s="72"/>
      <c r="I43" s="6" t="s">
        <v>1190</v>
      </c>
      <c r="J43" s="72"/>
      <c r="K43" s="72"/>
      <c r="L43" s="72"/>
      <c r="M43" s="72"/>
      <c r="N43" s="72"/>
      <c r="O43" s="72"/>
      <c r="P43" s="72"/>
      <c r="Q43" s="6" t="s">
        <v>3583</v>
      </c>
      <c r="R43" s="6" t="s">
        <v>3584</v>
      </c>
      <c r="S43" s="6" t="s">
        <v>1688</v>
      </c>
      <c r="T43" s="72"/>
      <c r="U43" s="72"/>
      <c r="V43" s="6" t="s">
        <v>3585</v>
      </c>
      <c r="W43" s="72"/>
      <c r="X43" s="72"/>
      <c r="Y43" s="72"/>
      <c r="Z43" s="72"/>
      <c r="AA43" s="72"/>
      <c r="AB43" s="72"/>
      <c r="AC43" s="6" t="s">
        <v>3586</v>
      </c>
      <c r="AD43" s="72"/>
      <c r="AE43" s="6" t="s">
        <v>3587</v>
      </c>
      <c r="AF43" s="72"/>
      <c r="AG43" s="72"/>
      <c r="AH43" s="72"/>
      <c r="AI43" s="6" t="s">
        <v>2454</v>
      </c>
      <c r="AJ43" s="6" t="s">
        <v>2455</v>
      </c>
      <c r="AK43" s="6" t="s">
        <v>2478</v>
      </c>
      <c r="AL43" s="72"/>
      <c r="AM43" s="6" t="s">
        <v>2513</v>
      </c>
      <c r="AN43" s="72"/>
      <c r="AO43" s="72"/>
      <c r="AP43" s="6" t="s">
        <v>3588</v>
      </c>
      <c r="AQ43" s="6" t="s">
        <v>2685</v>
      </c>
      <c r="AR43" s="6" t="s">
        <v>2752</v>
      </c>
      <c r="AS43" s="6" t="s">
        <v>3589</v>
      </c>
      <c r="AT43" s="72"/>
      <c r="AU43" s="72"/>
      <c r="AV43" s="6" t="s">
        <v>2881</v>
      </c>
      <c r="AW43" s="72"/>
      <c r="AX43" s="6" t="s">
        <v>3590</v>
      </c>
      <c r="AY43" s="72"/>
      <c r="AZ43" s="6" t="s">
        <v>3591</v>
      </c>
      <c r="BA43" s="72"/>
      <c r="BB43" s="6" t="s">
        <v>3136</v>
      </c>
    </row>
    <row r="44" customFormat="false" ht="124.6" hidden="false" customHeight="false" outlineLevel="0" collapsed="false">
      <c r="A44" s="36" t="s">
        <v>486</v>
      </c>
      <c r="B44" s="6" t="s">
        <v>487</v>
      </c>
      <c r="C44" s="37" t="s">
        <v>109</v>
      </c>
      <c r="D44" s="6" t="s">
        <v>3592</v>
      </c>
      <c r="E44" s="6" t="s">
        <v>3593</v>
      </c>
      <c r="F44" s="6" t="s">
        <v>3594</v>
      </c>
      <c r="G44" s="6" t="s">
        <v>3595</v>
      </c>
      <c r="H44" s="6" t="s">
        <v>3596</v>
      </c>
      <c r="I44" s="6" t="s">
        <v>1195</v>
      </c>
      <c r="J44" s="6" t="s">
        <v>1230</v>
      </c>
      <c r="K44" s="72"/>
      <c r="L44" s="72"/>
      <c r="M44" s="6" t="s">
        <v>3597</v>
      </c>
      <c r="N44" s="6" t="s">
        <v>3598</v>
      </c>
      <c r="O44" s="6" t="s">
        <v>1543</v>
      </c>
      <c r="P44" s="6" t="s">
        <v>3599</v>
      </c>
      <c r="Q44" s="72"/>
      <c r="R44" s="72"/>
      <c r="S44" s="72"/>
      <c r="T44" s="72"/>
      <c r="U44" s="72"/>
      <c r="V44" s="72"/>
      <c r="W44" s="72"/>
      <c r="X44" s="6" t="s">
        <v>3600</v>
      </c>
      <c r="Y44" s="72"/>
      <c r="Z44" s="72"/>
      <c r="AA44" s="6" t="s">
        <v>1995</v>
      </c>
      <c r="AB44" s="72"/>
      <c r="AC44" s="72"/>
      <c r="AD44" s="72"/>
      <c r="AE44" s="6" t="s">
        <v>3601</v>
      </c>
      <c r="AF44" s="72"/>
      <c r="AG44" s="72"/>
      <c r="AH44" s="6" t="s">
        <v>2427</v>
      </c>
      <c r="AI44" s="6" t="s">
        <v>2446</v>
      </c>
      <c r="AJ44" s="6" t="s">
        <v>2467</v>
      </c>
      <c r="AK44" s="6" t="s">
        <v>2447</v>
      </c>
      <c r="AL44" s="6" t="s">
        <v>2491</v>
      </c>
      <c r="AM44" s="6" t="s">
        <v>3602</v>
      </c>
      <c r="AN44" s="6" t="s">
        <v>3603</v>
      </c>
      <c r="AO44" s="72"/>
      <c r="AP44" s="6" t="s">
        <v>3604</v>
      </c>
      <c r="AQ44" s="6" t="s">
        <v>3605</v>
      </c>
      <c r="AR44" s="6" t="s">
        <v>3606</v>
      </c>
      <c r="AS44" s="6" t="s">
        <v>3607</v>
      </c>
      <c r="AT44" s="6" t="s">
        <v>3608</v>
      </c>
      <c r="AU44" s="6" t="s">
        <v>2861</v>
      </c>
      <c r="AV44" s="6" t="s">
        <v>3609</v>
      </c>
      <c r="AW44" s="6" t="s">
        <v>3610</v>
      </c>
      <c r="AX44" s="6" t="s">
        <v>3611</v>
      </c>
      <c r="AY44" s="6" t="s">
        <v>2960</v>
      </c>
      <c r="AZ44" s="6" t="s">
        <v>3612</v>
      </c>
      <c r="BA44" s="6" t="s">
        <v>3073</v>
      </c>
      <c r="BB44" s="6" t="s">
        <v>3091</v>
      </c>
    </row>
    <row r="45" customFormat="false" ht="236.55" hidden="false" customHeight="false" outlineLevel="0" collapsed="false">
      <c r="A45" s="36" t="s">
        <v>495</v>
      </c>
      <c r="B45" s="6" t="s">
        <v>496</v>
      </c>
      <c r="C45" s="37" t="s">
        <v>109</v>
      </c>
      <c r="D45" s="6" t="s">
        <v>3613</v>
      </c>
      <c r="E45" s="6" t="s">
        <v>769</v>
      </c>
      <c r="F45" s="6" t="s">
        <v>3614</v>
      </c>
      <c r="G45" s="6" t="s">
        <v>3615</v>
      </c>
      <c r="H45" s="72"/>
      <c r="I45" s="72"/>
      <c r="J45" s="72"/>
      <c r="K45" s="72"/>
      <c r="L45" s="72"/>
      <c r="M45" s="6" t="s">
        <v>1309</v>
      </c>
      <c r="N45" s="6" t="s">
        <v>1491</v>
      </c>
      <c r="O45" s="6" t="s">
        <v>1517</v>
      </c>
      <c r="P45" s="6" t="s">
        <v>3616</v>
      </c>
      <c r="Q45" s="72"/>
      <c r="R45" s="6" t="s">
        <v>3617</v>
      </c>
      <c r="S45" s="72"/>
      <c r="T45" s="72"/>
      <c r="U45" s="72"/>
      <c r="V45" s="72"/>
      <c r="W45" s="72"/>
      <c r="X45" s="72"/>
      <c r="Y45" s="6" t="s">
        <v>1969</v>
      </c>
      <c r="Z45" s="72"/>
      <c r="AA45" s="6" t="s">
        <v>1995</v>
      </c>
      <c r="AB45" s="72"/>
      <c r="AC45" s="6" t="s">
        <v>3618</v>
      </c>
      <c r="AD45" s="6" t="s">
        <v>2107</v>
      </c>
      <c r="AE45" s="6" t="s">
        <v>3619</v>
      </c>
      <c r="AF45" s="72"/>
      <c r="AG45" s="72"/>
      <c r="AH45" s="72"/>
      <c r="AI45" s="6" t="s">
        <v>2450</v>
      </c>
      <c r="AJ45" s="6" t="s">
        <v>2464</v>
      </c>
      <c r="AK45" s="6" t="s">
        <v>2482</v>
      </c>
      <c r="AL45" s="72"/>
      <c r="AM45" s="6" t="s">
        <v>2521</v>
      </c>
      <c r="AN45" s="72"/>
      <c r="AO45" s="72"/>
      <c r="AP45" s="72"/>
      <c r="AQ45" s="72"/>
      <c r="AR45" s="72"/>
      <c r="AS45" s="72"/>
      <c r="AT45" s="72"/>
      <c r="AU45" s="72"/>
      <c r="AV45" s="72"/>
      <c r="AW45" s="72"/>
      <c r="AX45" s="72"/>
      <c r="AY45" s="72"/>
      <c r="AZ45" s="6" t="s">
        <v>3620</v>
      </c>
      <c r="BA45" s="72"/>
      <c r="BB45" s="6" t="s">
        <v>3136</v>
      </c>
    </row>
    <row r="46" customFormat="false" ht="102.2" hidden="false" customHeight="false" outlineLevel="0" collapsed="false">
      <c r="A46" s="36" t="s">
        <v>504</v>
      </c>
      <c r="B46" s="6" t="s">
        <v>505</v>
      </c>
      <c r="C46" s="37" t="s">
        <v>109</v>
      </c>
      <c r="D46" s="6" t="s">
        <v>3621</v>
      </c>
      <c r="E46" s="6" t="s">
        <v>749</v>
      </c>
      <c r="F46" s="6" t="s">
        <v>3622</v>
      </c>
      <c r="G46" s="6" t="s">
        <v>3623</v>
      </c>
      <c r="H46" s="6" t="s">
        <v>1147</v>
      </c>
      <c r="I46" s="6" t="s">
        <v>1171</v>
      </c>
      <c r="J46" s="72"/>
      <c r="K46" s="72"/>
      <c r="L46" s="72"/>
      <c r="M46" s="72"/>
      <c r="N46" s="72"/>
      <c r="O46" s="72"/>
      <c r="P46" s="6" t="s">
        <v>3624</v>
      </c>
      <c r="Q46" s="72"/>
      <c r="R46" s="72"/>
      <c r="S46" s="72"/>
      <c r="T46" s="72"/>
      <c r="U46" s="6" t="s">
        <v>1920</v>
      </c>
      <c r="V46" s="72"/>
      <c r="W46" s="72"/>
      <c r="X46" s="6" t="s">
        <v>3600</v>
      </c>
      <c r="Y46" s="72"/>
      <c r="Z46" s="72"/>
      <c r="AA46" s="6" t="s">
        <v>1995</v>
      </c>
      <c r="AB46" s="72"/>
      <c r="AC46" s="72"/>
      <c r="AD46" s="72"/>
      <c r="AE46" s="72"/>
      <c r="AF46" s="72"/>
      <c r="AG46" s="72"/>
      <c r="AH46" s="72"/>
      <c r="AI46" s="6" t="s">
        <v>3289</v>
      </c>
      <c r="AJ46" s="6" t="s">
        <v>3625</v>
      </c>
      <c r="AK46" s="6" t="s">
        <v>3626</v>
      </c>
      <c r="AL46" s="6" t="s">
        <v>3627</v>
      </c>
      <c r="AM46" s="6" t="s">
        <v>2517</v>
      </c>
      <c r="AN46" s="72"/>
      <c r="AO46" s="6" t="s">
        <v>2566</v>
      </c>
      <c r="AP46" s="6" t="s">
        <v>3628</v>
      </c>
      <c r="AQ46" s="72"/>
      <c r="AR46" s="6" t="s">
        <v>3629</v>
      </c>
      <c r="AS46" s="6" t="s">
        <v>3630</v>
      </c>
      <c r="AT46" s="6" t="s">
        <v>3608</v>
      </c>
      <c r="AU46" s="6" t="s">
        <v>2852</v>
      </c>
      <c r="AV46" s="6" t="s">
        <v>2871</v>
      </c>
      <c r="AW46" s="6" t="s">
        <v>2902</v>
      </c>
      <c r="AX46" s="6" t="s">
        <v>3631</v>
      </c>
      <c r="AY46" s="6" t="s">
        <v>2960</v>
      </c>
      <c r="AZ46" s="6" t="s">
        <v>3632</v>
      </c>
      <c r="BA46" s="6" t="s">
        <v>3075</v>
      </c>
      <c r="BB46" s="6" t="s">
        <v>3633</v>
      </c>
    </row>
    <row r="47" customFormat="false" ht="180.55" hidden="false" customHeight="false" outlineLevel="0" collapsed="false">
      <c r="A47" s="36" t="s">
        <v>513</v>
      </c>
      <c r="B47" s="6" t="s">
        <v>514</v>
      </c>
      <c r="C47" s="37" t="s">
        <v>109</v>
      </c>
      <c r="D47" s="6" t="s">
        <v>3634</v>
      </c>
      <c r="E47" s="72"/>
      <c r="F47" s="6" t="s">
        <v>3635</v>
      </c>
      <c r="G47" s="6" t="s">
        <v>3636</v>
      </c>
      <c r="H47" s="6" t="s">
        <v>1142</v>
      </c>
      <c r="I47" s="6" t="s">
        <v>1174</v>
      </c>
      <c r="J47" s="72"/>
      <c r="K47" s="72"/>
      <c r="L47" s="72"/>
      <c r="M47" s="72"/>
      <c r="N47" s="72"/>
      <c r="O47" s="72"/>
      <c r="P47" s="6" t="s">
        <v>3637</v>
      </c>
      <c r="Q47" s="72"/>
      <c r="R47" s="6" t="s">
        <v>3638</v>
      </c>
      <c r="S47" s="72"/>
      <c r="T47" s="72"/>
      <c r="U47" s="6" t="s">
        <v>3639</v>
      </c>
      <c r="V47" s="72"/>
      <c r="W47" s="72"/>
      <c r="X47" s="72"/>
      <c r="Y47" s="72"/>
      <c r="Z47" s="72"/>
      <c r="AA47" s="72"/>
      <c r="AB47" s="72"/>
      <c r="AC47" s="6" t="s">
        <v>3640</v>
      </c>
      <c r="AD47" s="72"/>
      <c r="AE47" s="6" t="s">
        <v>2158</v>
      </c>
      <c r="AF47" s="72"/>
      <c r="AG47" s="72"/>
      <c r="AH47" s="6" t="s">
        <v>2380</v>
      </c>
      <c r="AI47" s="6" t="s">
        <v>2442</v>
      </c>
      <c r="AJ47" s="72"/>
      <c r="AK47" s="6" t="s">
        <v>2476</v>
      </c>
      <c r="AL47" s="6" t="s">
        <v>3641</v>
      </c>
      <c r="AM47" s="6" t="s">
        <v>3642</v>
      </c>
      <c r="AN47" s="72"/>
      <c r="AO47" s="6" t="s">
        <v>2574</v>
      </c>
      <c r="AP47" s="72"/>
      <c r="AQ47" s="72"/>
      <c r="AR47" s="6" t="s">
        <v>2768</v>
      </c>
      <c r="AS47" s="72"/>
      <c r="AT47" s="72"/>
      <c r="AU47" s="72"/>
      <c r="AV47" s="72"/>
      <c r="AW47" s="72"/>
      <c r="AX47" s="72"/>
      <c r="AY47" s="72"/>
      <c r="AZ47" s="72"/>
      <c r="BA47" s="72"/>
      <c r="BB47" s="72"/>
    </row>
    <row r="48" customFormat="false" ht="124.6" hidden="false" customHeight="false" outlineLevel="0" collapsed="false">
      <c r="A48" s="36" t="s">
        <v>522</v>
      </c>
      <c r="B48" s="6" t="s">
        <v>523</v>
      </c>
      <c r="C48" s="37" t="s">
        <v>109</v>
      </c>
      <c r="D48" s="6" t="s">
        <v>680</v>
      </c>
      <c r="E48" s="72"/>
      <c r="F48" s="6" t="s">
        <v>3643</v>
      </c>
      <c r="G48" s="6" t="s">
        <v>3644</v>
      </c>
      <c r="H48" s="72"/>
      <c r="I48" s="6" t="s">
        <v>1165</v>
      </c>
      <c r="J48" s="72"/>
      <c r="K48" s="72"/>
      <c r="L48" s="72"/>
      <c r="M48" s="72"/>
      <c r="N48" s="72"/>
      <c r="O48" s="72"/>
      <c r="P48" s="6" t="s">
        <v>3645</v>
      </c>
      <c r="Q48" s="6" t="s">
        <v>1676</v>
      </c>
      <c r="R48" s="6" t="s">
        <v>3646</v>
      </c>
      <c r="S48" s="72"/>
      <c r="T48" s="72"/>
      <c r="U48" s="72"/>
      <c r="V48" s="72"/>
      <c r="W48" s="6" t="s">
        <v>1936</v>
      </c>
      <c r="X48" s="72"/>
      <c r="Y48" s="72"/>
      <c r="Z48" s="72"/>
      <c r="AA48" s="72"/>
      <c r="AB48" s="72"/>
      <c r="AC48" s="6" t="s">
        <v>3647</v>
      </c>
      <c r="AD48" s="6" t="s">
        <v>2124</v>
      </c>
      <c r="AE48" s="6" t="s">
        <v>2154</v>
      </c>
      <c r="AF48" s="72"/>
      <c r="AG48" s="72"/>
      <c r="AH48" s="72"/>
      <c r="AI48" s="72"/>
      <c r="AJ48" s="72"/>
      <c r="AK48" s="6" t="s">
        <v>2473</v>
      </c>
      <c r="AL48" s="72"/>
      <c r="AM48" s="6" t="s">
        <v>2533</v>
      </c>
      <c r="AN48" s="6" t="s">
        <v>2545</v>
      </c>
      <c r="AO48" s="6" t="s">
        <v>2571</v>
      </c>
      <c r="AP48" s="72"/>
      <c r="AQ48" s="72"/>
      <c r="AR48" s="72"/>
      <c r="AS48" s="72"/>
      <c r="AT48" s="72"/>
      <c r="AU48" s="72"/>
      <c r="AV48" s="72"/>
      <c r="AW48" s="72"/>
      <c r="AX48" s="72"/>
      <c r="AY48" s="72"/>
      <c r="AZ48" s="72"/>
      <c r="BA48" s="72"/>
      <c r="BB48" s="72"/>
    </row>
    <row r="49" customFormat="false" ht="158.2" hidden="false" customHeight="false" outlineLevel="0" collapsed="false">
      <c r="A49" s="36" t="s">
        <v>530</v>
      </c>
      <c r="B49" s="6" t="s">
        <v>531</v>
      </c>
      <c r="C49" s="37" t="s">
        <v>109</v>
      </c>
      <c r="D49" s="6" t="s">
        <v>684</v>
      </c>
      <c r="E49" s="72"/>
      <c r="F49" s="6" t="s">
        <v>3648</v>
      </c>
      <c r="G49" s="6" t="s">
        <v>3649</v>
      </c>
      <c r="H49" s="6" t="s">
        <v>1149</v>
      </c>
      <c r="I49" s="6" t="s">
        <v>1178</v>
      </c>
      <c r="J49" s="72"/>
      <c r="K49" s="72"/>
      <c r="L49" s="72"/>
      <c r="M49" s="72"/>
      <c r="N49" s="72"/>
      <c r="O49" s="72"/>
      <c r="P49" s="6" t="s">
        <v>1601</v>
      </c>
      <c r="Q49" s="6" t="s">
        <v>3650</v>
      </c>
      <c r="R49" s="6" t="s">
        <v>1789</v>
      </c>
      <c r="S49" s="72"/>
      <c r="T49" s="72"/>
      <c r="U49" s="72"/>
      <c r="V49" s="72"/>
      <c r="W49" s="6" t="s">
        <v>1937</v>
      </c>
      <c r="X49" s="72"/>
      <c r="Y49" s="72"/>
      <c r="Z49" s="72"/>
      <c r="AA49" s="72"/>
      <c r="AB49" s="72"/>
      <c r="AC49" s="6" t="s">
        <v>2050</v>
      </c>
      <c r="AD49" s="6" t="s">
        <v>2115</v>
      </c>
      <c r="AE49" s="6" t="s">
        <v>3651</v>
      </c>
      <c r="AF49" s="6" t="s">
        <v>2257</v>
      </c>
      <c r="AG49" s="72"/>
      <c r="AH49" s="6" t="s">
        <v>2366</v>
      </c>
      <c r="AI49" s="72"/>
      <c r="AJ49" s="72"/>
      <c r="AK49" s="6" t="s">
        <v>2469</v>
      </c>
      <c r="AL49" s="72"/>
      <c r="AM49" s="6" t="s">
        <v>2531</v>
      </c>
      <c r="AN49" s="72"/>
      <c r="AO49" s="72"/>
      <c r="AP49" s="72"/>
      <c r="AQ49" s="72"/>
      <c r="AR49" s="72"/>
      <c r="AS49" s="72"/>
      <c r="AT49" s="72"/>
      <c r="AU49" s="72"/>
      <c r="AV49" s="72"/>
      <c r="AW49" s="72"/>
      <c r="AX49" s="72"/>
      <c r="AY49" s="72"/>
      <c r="AZ49" s="6" t="s">
        <v>3652</v>
      </c>
      <c r="BA49" s="72"/>
      <c r="BB49" s="6" t="s">
        <v>3130</v>
      </c>
    </row>
    <row r="50" customFormat="false" ht="348.5" hidden="false" customHeight="false" outlineLevel="0" collapsed="false">
      <c r="A50" s="36" t="s">
        <v>539</v>
      </c>
      <c r="B50" s="6" t="s">
        <v>540</v>
      </c>
      <c r="C50" s="37" t="s">
        <v>109</v>
      </c>
      <c r="D50" s="6" t="s">
        <v>3653</v>
      </c>
      <c r="E50" s="6" t="s">
        <v>3654</v>
      </c>
      <c r="F50" s="6" t="s">
        <v>3655</v>
      </c>
      <c r="G50" s="6" t="s">
        <v>3396</v>
      </c>
      <c r="H50" s="6" t="s">
        <v>3656</v>
      </c>
      <c r="I50" s="6" t="s">
        <v>3657</v>
      </c>
      <c r="J50" s="6" t="s">
        <v>1218</v>
      </c>
      <c r="K50" s="6" t="s">
        <v>1254</v>
      </c>
      <c r="L50" s="72"/>
      <c r="M50" s="72"/>
      <c r="N50" s="6" t="s">
        <v>1475</v>
      </c>
      <c r="O50" s="6" t="s">
        <v>1543</v>
      </c>
      <c r="P50" s="6" t="s">
        <v>3398</v>
      </c>
      <c r="Q50" s="72"/>
      <c r="R50" s="72"/>
      <c r="S50" s="72"/>
      <c r="T50" s="72"/>
      <c r="U50" s="72"/>
      <c r="V50" s="72"/>
      <c r="W50" s="6" t="s">
        <v>1941</v>
      </c>
      <c r="X50" s="6" t="s">
        <v>1955</v>
      </c>
      <c r="Y50" s="72"/>
      <c r="Z50" s="72"/>
      <c r="AA50" s="6" t="s">
        <v>1995</v>
      </c>
      <c r="AB50" s="72"/>
      <c r="AC50" s="6" t="s">
        <v>2029</v>
      </c>
      <c r="AD50" s="72"/>
      <c r="AE50" s="72"/>
      <c r="AF50" s="72"/>
      <c r="AG50" s="72"/>
      <c r="AH50" s="6" t="s">
        <v>3658</v>
      </c>
      <c r="AI50" s="6" t="s">
        <v>2442</v>
      </c>
      <c r="AJ50" s="6" t="s">
        <v>2461</v>
      </c>
      <c r="AK50" s="6" t="s">
        <v>2471</v>
      </c>
      <c r="AL50" s="72"/>
      <c r="AM50" s="6" t="s">
        <v>3659</v>
      </c>
      <c r="AN50" s="72"/>
      <c r="AO50" s="6" t="s">
        <v>2566</v>
      </c>
      <c r="AP50" s="72"/>
      <c r="AQ50" s="72"/>
      <c r="AR50" s="72"/>
      <c r="AS50" s="72"/>
      <c r="AT50" s="72"/>
      <c r="AU50" s="72"/>
      <c r="AV50" s="72"/>
      <c r="AW50" s="72"/>
      <c r="AX50" s="6" t="s">
        <v>3430</v>
      </c>
      <c r="AY50" s="72"/>
      <c r="AZ50" s="6" t="s">
        <v>3660</v>
      </c>
      <c r="BA50" s="72"/>
      <c r="BB50" s="6" t="s">
        <v>3661</v>
      </c>
    </row>
    <row r="51" customFormat="false" ht="35.05" hidden="false" customHeight="false" outlineLevel="0" collapsed="false">
      <c r="A51" s="36" t="s">
        <v>549</v>
      </c>
      <c r="B51" s="6" t="s">
        <v>550</v>
      </c>
      <c r="C51" s="37" t="s">
        <v>109</v>
      </c>
      <c r="D51" s="6" t="s">
        <v>689</v>
      </c>
      <c r="E51" s="6" t="s">
        <v>765</v>
      </c>
      <c r="F51" s="6" t="s">
        <v>3662</v>
      </c>
      <c r="G51" s="6" t="s">
        <v>1086</v>
      </c>
      <c r="H51" s="6" t="s">
        <v>1155</v>
      </c>
      <c r="I51" s="72"/>
      <c r="J51" s="72"/>
      <c r="K51" s="72"/>
      <c r="L51" s="72"/>
      <c r="M51" s="72"/>
      <c r="N51" s="72"/>
      <c r="O51" s="72"/>
      <c r="P51" s="6" t="s">
        <v>3663</v>
      </c>
      <c r="Q51" s="72"/>
      <c r="R51" s="6" t="s">
        <v>3664</v>
      </c>
      <c r="S51" s="72"/>
      <c r="T51" s="72"/>
      <c r="U51" s="72"/>
      <c r="V51" s="72"/>
      <c r="W51" s="72"/>
      <c r="X51" s="72"/>
      <c r="Y51" s="72"/>
      <c r="Z51" s="72"/>
      <c r="AA51" s="72"/>
      <c r="AB51" s="72"/>
      <c r="AC51" s="6" t="s">
        <v>2021</v>
      </c>
      <c r="AD51" s="72"/>
      <c r="AE51" s="72"/>
      <c r="AF51" s="72"/>
      <c r="AG51" s="72"/>
      <c r="AH51" s="72"/>
      <c r="AI51" s="72"/>
      <c r="AJ51" s="72"/>
      <c r="AK51" s="72"/>
      <c r="AL51" s="72"/>
      <c r="AM51" s="72"/>
      <c r="AN51" s="6" t="s">
        <v>2562</v>
      </c>
      <c r="AO51" s="72"/>
      <c r="AP51" s="72"/>
      <c r="AQ51" s="72"/>
      <c r="AR51" s="72"/>
      <c r="AS51" s="72"/>
      <c r="AT51" s="72"/>
      <c r="AU51" s="72"/>
      <c r="AV51" s="72"/>
      <c r="AW51" s="72"/>
      <c r="AX51" s="72"/>
      <c r="AY51" s="72"/>
      <c r="AZ51" s="72"/>
      <c r="BA51" s="72"/>
      <c r="BB51" s="72"/>
    </row>
    <row r="52" customFormat="false" ht="15" hidden="false" customHeight="false" outlineLevel="0" collapsed="false">
      <c r="B52" s="5" t="s">
        <v>3665</v>
      </c>
      <c r="D52" s="24" t="n">
        <v>24</v>
      </c>
      <c r="E52" s="24" t="n">
        <v>25</v>
      </c>
      <c r="F52" s="24" t="n">
        <v>55</v>
      </c>
      <c r="G52" s="24" t="n">
        <v>72</v>
      </c>
      <c r="H52" s="24" t="n">
        <v>12</v>
      </c>
      <c r="I52" s="24" t="n">
        <v>20</v>
      </c>
      <c r="J52" s="24" t="n">
        <v>10</v>
      </c>
      <c r="K52" s="24" t="n">
        <v>10</v>
      </c>
      <c r="L52" s="24" t="n">
        <v>10</v>
      </c>
      <c r="M52" s="24" t="n">
        <v>55</v>
      </c>
      <c r="N52" s="24" t="n">
        <v>32</v>
      </c>
      <c r="O52" s="24" t="n">
        <v>26</v>
      </c>
      <c r="P52" s="24" t="n">
        <v>38</v>
      </c>
      <c r="Q52" s="24" t="n">
        <v>9</v>
      </c>
      <c r="R52" s="24" t="n">
        <v>93</v>
      </c>
      <c r="S52" s="24" t="n">
        <v>3</v>
      </c>
      <c r="T52" s="24" t="n">
        <v>4</v>
      </c>
      <c r="U52" s="24" t="n">
        <v>9</v>
      </c>
      <c r="V52" s="24" t="n">
        <v>5</v>
      </c>
      <c r="W52" s="24" t="n">
        <v>7</v>
      </c>
      <c r="X52" s="24" t="n">
        <v>7</v>
      </c>
      <c r="Y52" s="24" t="n">
        <v>8</v>
      </c>
      <c r="Z52" s="24" t="n">
        <v>4</v>
      </c>
      <c r="AA52" s="24" t="n">
        <v>4</v>
      </c>
      <c r="AB52" s="24" t="n">
        <v>7</v>
      </c>
      <c r="AC52" s="24" t="n">
        <v>22</v>
      </c>
      <c r="AD52" s="24" t="n">
        <v>18</v>
      </c>
      <c r="AE52" s="24" t="n">
        <v>61</v>
      </c>
      <c r="AF52" s="24" t="n">
        <v>20</v>
      </c>
      <c r="AG52" s="24" t="n">
        <v>14</v>
      </c>
      <c r="AH52" s="24" t="n">
        <v>29</v>
      </c>
      <c r="AI52" s="24" t="n">
        <v>5</v>
      </c>
      <c r="AJ52" s="24" t="n">
        <v>7</v>
      </c>
      <c r="AK52" s="24" t="n">
        <v>10</v>
      </c>
      <c r="AL52" s="24" t="n">
        <v>5</v>
      </c>
      <c r="AM52" s="24" t="n">
        <v>12</v>
      </c>
      <c r="AN52" s="24" t="n">
        <v>11</v>
      </c>
      <c r="AO52" s="24" t="n">
        <v>14</v>
      </c>
      <c r="AP52" s="24" t="n">
        <v>33</v>
      </c>
      <c r="AQ52" s="24" t="n">
        <v>23</v>
      </c>
      <c r="AR52" s="24" t="n">
        <v>13</v>
      </c>
      <c r="AS52" s="24" t="n">
        <v>17</v>
      </c>
      <c r="AT52" s="24" t="n">
        <v>10</v>
      </c>
      <c r="AU52" s="24" t="n">
        <v>4</v>
      </c>
      <c r="AV52" s="24" t="n">
        <v>8</v>
      </c>
      <c r="AW52" s="24" t="n">
        <v>9</v>
      </c>
      <c r="AX52" s="24" t="n">
        <v>13</v>
      </c>
      <c r="AY52" s="24" t="n">
        <v>6</v>
      </c>
      <c r="AZ52" s="24" t="n">
        <v>34</v>
      </c>
      <c r="BA52" s="24" t="n">
        <v>8</v>
      </c>
      <c r="BB52" s="24" t="n">
        <v>18</v>
      </c>
    </row>
  </sheetData>
  <mergeCells count="7">
    <mergeCell ref="D4:I4"/>
    <mergeCell ref="J4:O4"/>
    <mergeCell ref="P4:AB4"/>
    <mergeCell ref="AC4:AH4"/>
    <mergeCell ref="AI4:AL4"/>
    <mergeCell ref="AM4:AN4"/>
    <mergeCell ref="AO4:BB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8"/>
    <col collapsed="false" customWidth="true" hidden="false" outlineLevel="0" max="4" min="3" style="0" width="34"/>
    <col collapsed="false" customWidth="true" hidden="false" outlineLevel="0" max="5" min="5" style="0" width="44"/>
    <col collapsed="false" customWidth="true" hidden="false" outlineLevel="0" max="6" min="6" style="0" width="12"/>
    <col collapsed="false" customWidth="true" hidden="false" outlineLevel="0" max="7" min="7" style="0" width="16"/>
  </cols>
  <sheetData>
    <row r="1" customFormat="false" ht="30" hidden="false" customHeight="true" outlineLevel="0" collapsed="false">
      <c r="A1" s="73" t="s">
        <v>3666</v>
      </c>
      <c r="B1" s="74"/>
      <c r="C1" s="74"/>
      <c r="D1" s="74"/>
      <c r="E1" s="74"/>
      <c r="F1" s="74"/>
      <c r="G1" s="74"/>
    </row>
    <row r="2" customFormat="false" ht="15" hidden="false" customHeight="false" outlineLevel="0" collapsed="false">
      <c r="A2" s="3" t="s">
        <v>3667</v>
      </c>
    </row>
    <row r="4" customFormat="false" ht="23.85" hidden="false" customHeight="false" outlineLevel="0" collapsed="false">
      <c r="A4" s="75" t="s">
        <v>3668</v>
      </c>
      <c r="B4" s="75" t="s">
        <v>3669</v>
      </c>
      <c r="C4" s="75" t="s">
        <v>3670</v>
      </c>
      <c r="D4" s="75" t="s">
        <v>630</v>
      </c>
      <c r="E4" s="75" t="s">
        <v>3671</v>
      </c>
      <c r="F4" s="75" t="s">
        <v>635</v>
      </c>
      <c r="G4" s="75" t="s">
        <v>38</v>
      </c>
    </row>
    <row r="5" customFormat="false" ht="23.85" hidden="false" customHeight="false" outlineLevel="0" collapsed="false">
      <c r="A5" s="36" t="s">
        <v>3672</v>
      </c>
      <c r="B5" s="6" t="s">
        <v>3673</v>
      </c>
      <c r="C5" s="6" t="s">
        <v>3674</v>
      </c>
      <c r="D5" s="6" t="s">
        <v>3675</v>
      </c>
      <c r="E5" s="6" t="s">
        <v>3676</v>
      </c>
      <c r="F5" s="26" t="str">
        <f aca="false">(COUNTIFS('Control Library'!$A$5:$A$50,"AI-CTRL-002",'Control Library'!$R$5:$R$50,"Implemented")+COUNTIFS('Control Library'!$A$5:$A$50,"AI-CTRL-003",'Control Library'!$R$5:$R$50,"Implemented")+COUNTIFS('Control Library'!$A$5:$A$50,"AI-CTRL-010",'Control Library'!$R$5:$R$50,"Implemented")+COUNTIFS('Control Library'!$A$5:$A$50,"AI-CTRL-017",'Control Library'!$R$5:$R$50,"Implemented"))&amp;" of 4"</f>
        <v>0 of 4</v>
      </c>
      <c r="G5" s="43" t="str">
        <f aca="false">IF((COUNTIFS('Control Library'!$A$5:$A$50,"AI-CTRL-002",'Control Library'!$R$5:$R$50,"Implemented")+COUNTIFS('Control Library'!$A$5:$A$50,"AI-CTRL-003",'Control Library'!$R$5:$R$50,"Implemented")+COUNTIFS('Control Library'!$A$5:$A$50,"AI-CTRL-010",'Control Library'!$R$5:$R$50,"Implemented")+COUNTIFS('Control Library'!$A$5:$A$50,"AI-CTRL-017",'Control Library'!$R$5:$R$50,"Implemented"))=4,"Fully covered",IF((COUNTIFS('Control Library'!$A$5:$A$50,"AI-CTRL-002",'Control Library'!$R$5:$R$50,"Implemented")+COUNTIFS('Control Library'!$A$5:$A$50,"AI-CTRL-003",'Control Library'!$R$5:$R$50,"Implemented")+COUNTIFS('Control Library'!$A$5:$A$50,"AI-CTRL-010",'Control Library'!$R$5:$R$50,"Implemented")+COUNTIFS('Control Library'!$A$5:$A$50,"AI-CTRL-017",'Control Library'!$R$5:$R$50,"Implemented"))=0,"Not covered","Partly covered"))</f>
        <v>Not covered</v>
      </c>
    </row>
    <row r="6" customFormat="false" ht="35.05" hidden="false" customHeight="false" outlineLevel="0" collapsed="false">
      <c r="A6" s="36" t="s">
        <v>165</v>
      </c>
      <c r="B6" s="76" t="s">
        <v>3677</v>
      </c>
      <c r="C6" s="76" t="s">
        <v>3678</v>
      </c>
      <c r="D6" s="76" t="s">
        <v>3679</v>
      </c>
      <c r="E6" s="76" t="s">
        <v>3680</v>
      </c>
      <c r="F6" s="26" t="str">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Library'!$R$5:$R$50,"Implemented"))&amp;" of 6"</f>
        <v>0 of 6</v>
      </c>
      <c r="G6" s="43" t="str">
        <f aca="false">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Library'!$R$5:$R$50,"Implemented"))=6,"Fully covered",IF((COUNTIFS('Control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Library'!$R$5:$R$50,"Implemented"))=0,"Not covered","Partly covered"))</f>
        <v>Not covered</v>
      </c>
    </row>
    <row r="7" customFormat="false" ht="35.05" hidden="false" customHeight="false" outlineLevel="0" collapsed="false">
      <c r="A7" s="36" t="s">
        <v>3681</v>
      </c>
      <c r="B7" s="6" t="s">
        <v>3682</v>
      </c>
      <c r="C7" s="6" t="s">
        <v>3683</v>
      </c>
      <c r="D7" s="6" t="s">
        <v>3684</v>
      </c>
      <c r="E7" s="6" t="s">
        <v>3685</v>
      </c>
      <c r="F7" s="26" t="str">
        <f aca="false">(COUNTIFS('Control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Library'!$R$5:$R$50,"Implemented"))&amp;" of 7"</f>
        <v>0 of 7</v>
      </c>
      <c r="G7" s="43" t="str">
        <f aca="false">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Library'!$R$5:$R$50,"Implemented"))=7,"Fully covered",IF((COUNTIFS('Control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Library'!$R$5:$R$50,"Implemented"))=0,"Not covered","Partly covered"))</f>
        <v>Not covered</v>
      </c>
    </row>
    <row r="8" customFormat="false" ht="23.85" hidden="false" customHeight="false" outlineLevel="0" collapsed="false">
      <c r="A8" s="36" t="s">
        <v>3686</v>
      </c>
      <c r="B8" s="76" t="s">
        <v>3687</v>
      </c>
      <c r="C8" s="76" t="s">
        <v>3688</v>
      </c>
      <c r="D8" s="76" t="s">
        <v>190</v>
      </c>
      <c r="E8" s="76" t="s">
        <v>3689</v>
      </c>
      <c r="F8" s="26" t="str">
        <f aca="false">(COUNTIFS('Control Library'!$A$5:$A$50,"AI-CTRL-004",'Control Library'!$R$5:$R$50,"Implemented"))&amp;" of 1"</f>
        <v>0 of 1</v>
      </c>
      <c r="G8" s="43" t="str">
        <f aca="false">IF((COUNTIFS('Control Library'!$A$5:$A$50,"AI-CTRL-004",'Control Library'!$R$5:$R$50,"Implemented"))=1,"Fully covered",IF((COUNTIFS('Control Library'!$A$5:$A$50,"AI-CTRL-004",'Control Library'!$R$5:$R$50,"Implemented"))=0,"Not covered","Partly covered"))</f>
        <v>Not covered</v>
      </c>
    </row>
    <row r="9" customFormat="false" ht="35.05" hidden="false" customHeight="false" outlineLevel="0" collapsed="false">
      <c r="A9" s="36" t="s">
        <v>703</v>
      </c>
      <c r="B9" s="6" t="s">
        <v>3690</v>
      </c>
      <c r="C9" s="6" t="s">
        <v>3691</v>
      </c>
      <c r="D9" s="6" t="s">
        <v>702</v>
      </c>
      <c r="E9" s="6" t="s">
        <v>3692</v>
      </c>
      <c r="F9" s="26" t="str">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Library'!$R$5:$R$50,"Implemented"))&amp;" of 7"</f>
        <v>0 of 7</v>
      </c>
      <c r="G9" s="43" t="str">
        <f aca="false">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Library'!$R$5:$R$50,"Implemented"))=7,"Fully covered",IF((COUNTIFS('Control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Library'!$R$5:$R$50,"Implemented"))=0,"Not covered","Partly covered"))</f>
        <v>Not covered</v>
      </c>
    </row>
    <row r="10" customFormat="false" ht="23.85" hidden="false" customHeight="false" outlineLevel="0" collapsed="false">
      <c r="A10" s="36" t="s">
        <v>319</v>
      </c>
      <c r="B10" s="76" t="s">
        <v>3693</v>
      </c>
      <c r="C10" s="76" t="s">
        <v>3694</v>
      </c>
      <c r="D10" s="76" t="s">
        <v>694</v>
      </c>
      <c r="E10" s="76" t="s">
        <v>3695</v>
      </c>
      <c r="F10" s="26" t="str">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Library'!$R$5:$R$50,"Implemented"))&amp;" of 5"</f>
        <v>0 of 5</v>
      </c>
      <c r="G10" s="43" t="str">
        <f aca="false">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Library'!$R$5:$R$50,"Implemented"))=5,"Fully covered",IF((COUNTIFS('Control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Library'!$R$5:$R$50,"Implemented"))=0,"Not covered","Partly covered"))</f>
        <v>Not covered</v>
      </c>
    </row>
    <row r="11" customFormat="false" ht="57.45" hidden="false" customHeight="false" outlineLevel="0" collapsed="false">
      <c r="A11" s="36" t="s">
        <v>707</v>
      </c>
      <c r="B11" s="6" t="s">
        <v>3696</v>
      </c>
      <c r="C11" s="6" t="s">
        <v>3697</v>
      </c>
      <c r="D11" s="6" t="s">
        <v>706</v>
      </c>
      <c r="E11" s="6" t="s">
        <v>3698</v>
      </c>
      <c r="F11" s="26" t="str">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Library'!$R$5:$R$50,"Implemented"))&amp;" of 12"</f>
        <v>0 of 12</v>
      </c>
      <c r="G11" s="43" t="str">
        <f aca="false">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Library'!$R$5:$R$50,"Implemented"))=12,"Fully covered",IF((COUNTIFS('Control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Library'!$R$5:$R$50,"Implemented"))=0,"Not covered","Partly covered"))</f>
        <v>Not covered</v>
      </c>
    </row>
    <row r="12" customFormat="false" ht="46.25" hidden="false" customHeight="false" outlineLevel="0" collapsed="false">
      <c r="A12" s="36" t="s">
        <v>399</v>
      </c>
      <c r="B12" s="76" t="s">
        <v>3699</v>
      </c>
      <c r="C12" s="76" t="s">
        <v>3700</v>
      </c>
      <c r="D12" s="76" t="s">
        <v>697</v>
      </c>
      <c r="E12" s="76" t="s">
        <v>3701</v>
      </c>
      <c r="F12" s="26" t="str">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Library'!$R$5:$R$50,"Implemented"))&amp;" of 10"</f>
        <v>0 of 10</v>
      </c>
      <c r="G12" s="43" t="str">
        <f aca="false">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Library'!$R$5:$R$50,"Implemented"))=10,"Fully covered",IF((COUNTIFS('Control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Library'!$R$5:$R$50,"Implemented"))=0,"Not covered","Partly covered"))</f>
        <v>Not covered</v>
      </c>
    </row>
    <row r="13" customFormat="false" ht="23.85" hidden="false" customHeight="false" outlineLevel="0" collapsed="false">
      <c r="A13" s="36" t="s">
        <v>243</v>
      </c>
      <c r="B13" s="6" t="s">
        <v>3702</v>
      </c>
      <c r="C13" s="6" t="s">
        <v>3703</v>
      </c>
      <c r="D13" s="6" t="s">
        <v>921</v>
      </c>
      <c r="E13" s="6" t="s">
        <v>3704</v>
      </c>
      <c r="F13" s="26" t="str">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Library'!$R$5:$R$50,"Implemented"))&amp;" of 5"</f>
        <v>0 of 5</v>
      </c>
      <c r="G13" s="43" t="str">
        <f aca="false">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Library'!$R$5:$R$50,"Implemented"))=5,"Fully covered",IF((COUNTIFS('Control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Library'!$R$5:$R$50,"Implemented"))=0,"Not covered","Partly covered"))</f>
        <v>Not covered</v>
      </c>
    </row>
    <row r="14" customFormat="false" ht="35.05" hidden="false" customHeight="false" outlineLevel="0" collapsed="false">
      <c r="A14" s="36" t="s">
        <v>224</v>
      </c>
      <c r="B14" s="76" t="s">
        <v>3705</v>
      </c>
      <c r="C14" s="76" t="s">
        <v>3706</v>
      </c>
      <c r="D14" s="76" t="s">
        <v>936</v>
      </c>
      <c r="E14" s="76" t="s">
        <v>3707</v>
      </c>
      <c r="F14" s="26" t="str">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Library'!$R$5:$R$50,"Implemented"))&amp;" of 6"</f>
        <v>0 of 6</v>
      </c>
      <c r="G14" s="43" t="str">
        <f aca="false">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Library'!$R$5:$R$50,"Implemented"))=6,"Fully covered",IF((COUNTIFS('Control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Library'!$R$5:$R$50,"Implemented"))=0,"Not covered","Partly covered"))</f>
        <v>Not covered</v>
      </c>
    </row>
    <row r="15" customFormat="false" ht="35.05" hidden="false" customHeight="false" outlineLevel="0" collapsed="false">
      <c r="A15" s="36" t="s">
        <v>465</v>
      </c>
      <c r="B15" s="6" t="s">
        <v>3708</v>
      </c>
      <c r="C15" s="6" t="s">
        <v>3709</v>
      </c>
      <c r="D15" s="6" t="s">
        <v>1313</v>
      </c>
      <c r="E15" s="6" t="s">
        <v>3710</v>
      </c>
      <c r="F15" s="26" t="str">
        <f aca="false">(COUNTIFS('Control Library'!$A$5:$A$50,"AI-CTRL-025",'Control Library'!$R$5:$R$50,"Implemented")+COUNTIFS('Control Library'!$A$5:$A$50,"AI-CTRL-036",'Control Library'!$R$5:$R$50,"Implemented"))&amp;" of 2"</f>
        <v>0 of 2</v>
      </c>
      <c r="G15" s="43" t="str">
        <f aca="false">IF((COUNTIFS('Control Library'!$A$5:$A$50,"AI-CTRL-025",'Control Library'!$R$5:$R$50,"Implemented")+COUNTIFS('Control Library'!$A$5:$A$50,"AI-CTRL-036",'Control Library'!$R$5:$R$50,"Implemented"))=2,"Fully covered",IF((COUNTIFS('Control Library'!$A$5:$A$50,"AI-CTRL-025",'Control Library'!$R$5:$R$50,"Implemented")+COUNTIFS('Control Library'!$A$5:$A$50,"AI-CTRL-036",'Control Library'!$R$5:$R$50,"Implemented"))=0,"Not covered","Partly covered"))</f>
        <v>Not covered</v>
      </c>
    </row>
    <row r="16" customFormat="false" ht="35.05" hidden="false" customHeight="false" outlineLevel="0" collapsed="false">
      <c r="A16" s="36" t="s">
        <v>641</v>
      </c>
      <c r="B16" s="76" t="s">
        <v>3711</v>
      </c>
      <c r="C16" s="76" t="s">
        <v>3712</v>
      </c>
      <c r="D16" s="76" t="s">
        <v>639</v>
      </c>
      <c r="E16" s="76" t="s">
        <v>3713</v>
      </c>
      <c r="F16" s="26" t="str">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Library'!$R$5:$R$50,"Implemented"))&amp;" of 4"</f>
        <v>0 of 4</v>
      </c>
      <c r="G16" s="43" t="str">
        <f aca="false">IF((COUNTIFS('Control Library'!$A$5:$A$50,"AI-CTRL-039",'Control Library'!$R$5:$R$50,"Implemented")+COUNTIFS('Control Library'!$A$5:$A$50,"AI-CTRL-041",'Control Library'!$R$5:$R$50,"Implemented")+COUNTIFS('Control Library'!$A$5:$A$50,"AI-CTRL-042",'Control Library'!$R$5:$R$50,"Implemented")+COUNTIFS('Control Library'!$A$5:$A$50,"AI-CTRL-045",'Control Library'!$R$5:$R$50,"Implemented"))=4,"Fully covered",IF((COUNTIFS('Control Library'!$A$5:$A$50,"AI-CTRL-039",'Control Library'!$R$5:$R$50,"Implemented")+COUNTIFS('Control Library'!$A$5:$A$50,"AI-CTRL-041",'Control Library'!$R$5:$R$50,"Implemented")+COUNTIFS('Control Library'!$A$5:$A$50,"AI-CTRL-042",'Control Library'!$R$5:$R$50,"Implemented")+COUNTIFS('Control Library'!$A$5:$A$50,"AI-CTRL-045",'Control Library'!$R$5:$R$50,"Implemented"))=0,"Not covered","Partly covered"))</f>
        <v>Not covered</v>
      </c>
    </row>
    <row r="17" customFormat="false" ht="35.05" hidden="false" customHeight="false" outlineLevel="0" collapsed="false">
      <c r="A17" s="36" t="s">
        <v>652</v>
      </c>
      <c r="B17" s="6" t="s">
        <v>3714</v>
      </c>
      <c r="C17" s="6" t="s">
        <v>3715</v>
      </c>
      <c r="D17" s="6" t="s">
        <v>495</v>
      </c>
      <c r="E17" s="6" t="s">
        <v>3716</v>
      </c>
      <c r="F17" s="26" t="str">
        <f aca="false">(COUNTIFS('Control Library'!$A$5:$A$50,"AI-CTRL-040",'Control Library'!$R$5:$R$50,"Implemented"))&amp;" of 1"</f>
        <v>0 of 1</v>
      </c>
      <c r="G17" s="43" t="str">
        <f aca="false">IF((COUNTIFS('Control Library'!$A$5:$A$50,"AI-CTRL-040",'Control Library'!$R$5:$R$50,"Implemented"))=1,"Fully covered",IF((COUNTIFS('Control Library'!$A$5:$A$50,"AI-CTRL-040",'Control Library'!$R$5:$R$50,"Implemented"))=0,"Not covered","Partly covered"))</f>
        <v>Not covered</v>
      </c>
    </row>
    <row r="18" customFormat="false" ht="23.85" hidden="false" customHeight="false" outlineLevel="0" collapsed="false">
      <c r="A18" s="36" t="s">
        <v>661</v>
      </c>
      <c r="B18" s="76" t="s">
        <v>3717</v>
      </c>
      <c r="C18" s="76" t="s">
        <v>3718</v>
      </c>
      <c r="D18" s="76" t="s">
        <v>660</v>
      </c>
      <c r="E18" s="76" t="s">
        <v>3719</v>
      </c>
      <c r="F18" s="26" t="str">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Library'!$R$5:$R$50,"Implemented"))&amp;" of 4"</f>
        <v>0 of 4</v>
      </c>
      <c r="G18" s="43" t="str">
        <f aca="false">IF((COUNTIFS('Control Library'!$A$5:$A$50,"AI-CTRL-033",'Control Library'!$R$5:$R$50,"Implemented")+COUNTIFS('Control Library'!$A$5:$A$50,"AI-CTRL-039",'Control Library'!$R$5:$R$50,"Implemented")+COUNTIFS('Control Library'!$A$5:$A$50,"AI-CTRL-041",'Control Library'!$R$5:$R$50,"Implemented")+COUNTIFS('Control Library'!$A$5:$A$50,"AI-CTRL-045",'Control Library'!$R$5:$R$50,"Implemented"))=4,"Fully covered",IF((COUNTIFS('Control Library'!$A$5:$A$50,"AI-CTRL-033",'Control Library'!$R$5:$R$50,"Implemented")+COUNTIFS('Control Library'!$A$5:$A$50,"AI-CTRL-039",'Control Library'!$R$5:$R$50,"Implemented")+COUNTIFS('Control Library'!$A$5:$A$50,"AI-CTRL-041",'Control Library'!$R$5:$R$50,"Implemented")+COUNTIFS('Control Library'!$A$5:$A$50,"AI-CTRL-045",'Control Library'!$R$5:$R$50,"Implemented"))=0,"Not covered","Partly covered"))</f>
        <v>Not covered</v>
      </c>
    </row>
    <row r="19" customFormat="false" ht="23.85" hidden="false" customHeight="false" outlineLevel="0" collapsed="false">
      <c r="A19" s="36" t="s">
        <v>665</v>
      </c>
      <c r="B19" s="6" t="s">
        <v>3720</v>
      </c>
      <c r="C19" s="6" t="s">
        <v>3721</v>
      </c>
      <c r="D19" s="6" t="s">
        <v>664</v>
      </c>
      <c r="E19" s="6" t="s">
        <v>3722</v>
      </c>
      <c r="F19" s="26" t="str">
        <f aca="false">(COUNTIFS('Control Library'!$A$5:$A$50,"AI-CTRL-008",'Control Library'!$R$5:$R$50,"Implemented")+COUNTIFS('Control Library'!$A$5:$A$50,"AI-CTRL-038",'Control Library'!$R$5:$R$50,"Implemented")+COUNTIFS('Control Library'!$A$5:$A$50,"AI-CTRL-041",'Control Library'!$R$5:$R$50,"Implemented"))&amp;" of 3"</f>
        <v>0 of 3</v>
      </c>
      <c r="G19" s="43" t="str">
        <f aca="false">IF((COUNTIFS('Control Library'!$A$5:$A$50,"AI-CTRL-008",'Control Library'!$R$5:$R$50,"Implemented")+COUNTIFS('Control Library'!$A$5:$A$50,"AI-CTRL-038",'Control Library'!$R$5:$R$50,"Implemented")+COUNTIFS('Control Library'!$A$5:$A$50,"AI-CTRL-041",'Control Library'!$R$5:$R$50,"Implemented"))=3,"Fully covered",IF((COUNTIFS('Control Library'!$A$5:$A$50,"AI-CTRL-008",'Control Library'!$R$5:$R$50,"Implemented")+COUNTIFS('Control Library'!$A$5:$A$50,"AI-CTRL-038",'Control Library'!$R$5:$R$50,"Implemented")+COUNTIFS('Control Library'!$A$5:$A$50,"AI-CTRL-041",'Control Library'!$R$5:$R$50,"Implemented"))=0,"Not covered","Partly covered"))</f>
        <v>Not covered</v>
      </c>
    </row>
    <row r="20" customFormat="false" ht="23.85" hidden="false" customHeight="false" outlineLevel="0" collapsed="false">
      <c r="A20" s="36" t="s">
        <v>647</v>
      </c>
      <c r="B20" s="76" t="s">
        <v>3723</v>
      </c>
      <c r="C20" s="76" t="s">
        <v>3724</v>
      </c>
      <c r="D20" s="76" t="s">
        <v>646</v>
      </c>
      <c r="E20" s="76" t="s">
        <v>3725</v>
      </c>
      <c r="F20" s="26" t="str">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Library'!$R$5:$R$50,"Implemented"))&amp;" of 5"</f>
        <v>0 of 5</v>
      </c>
      <c r="G20" s="43" t="str">
        <f aca="false">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Library'!$R$5:$R$50,"Implemented"))=5,"Fully covered",IF((COUNTIFS('Control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Library'!$R$5:$R$50,"Implemented"))=0,"Not covered","Partly covered"))</f>
        <v>Not covered</v>
      </c>
    </row>
    <row r="21" customFormat="false" ht="23.85" hidden="false" customHeight="false" outlineLevel="0" collapsed="false">
      <c r="A21" s="36" t="s">
        <v>671</v>
      </c>
      <c r="B21" s="6" t="s">
        <v>3726</v>
      </c>
      <c r="C21" s="6" t="s">
        <v>3727</v>
      </c>
      <c r="D21" s="6" t="s">
        <v>670</v>
      </c>
      <c r="E21" s="6" t="s">
        <v>3728</v>
      </c>
      <c r="F21" s="26" t="str">
        <f aca="false">(COUNTIFS('Control Library'!$A$5:$A$50,"AI-CTRL-017",'Control Library'!$R$5:$R$50,"Implemented")+COUNTIFS('Control Library'!$A$5:$A$50,"AI-CTRL-019",'Control Library'!$R$5:$R$50,"Implemented")+COUNTIFS('Control Library'!$A$5:$A$50,"AI-CTRL-034",'Control Library'!$R$5:$R$50,"Implemented"))&amp;" of 3"</f>
        <v>0 of 3</v>
      </c>
      <c r="G21" s="43" t="str">
        <f aca="false">IF((COUNTIFS('Control Library'!$A$5:$A$50,"AI-CTRL-017",'Control Library'!$R$5:$R$50,"Implemented")+COUNTIFS('Control Library'!$A$5:$A$50,"AI-CTRL-019",'Control Library'!$R$5:$R$50,"Implemented")+COUNTIFS('Control Library'!$A$5:$A$50,"AI-CTRL-034",'Control Library'!$R$5:$R$50,"Implemented"))=3,"Fully covered",IF((COUNTIFS('Control Library'!$A$5:$A$50,"AI-CTRL-017",'Control Library'!$R$5:$R$50,"Implemented")+COUNTIFS('Control Library'!$A$5:$A$50,"AI-CTRL-019",'Control Library'!$R$5:$R$50,"Implemented")+COUNTIFS('Control Library'!$A$5:$A$50,"AI-CTRL-034",'Control Library'!$R$5:$R$50,"Implemented"))=0,"Not covered","Partly covered"))</f>
        <v>Not covered</v>
      </c>
    </row>
    <row r="22" customFormat="false" ht="23.85" hidden="false" customHeight="false" outlineLevel="0" collapsed="false">
      <c r="A22" s="36" t="s">
        <v>656</v>
      </c>
      <c r="B22" s="76" t="s">
        <v>3729</v>
      </c>
      <c r="C22" s="76" t="s">
        <v>3730</v>
      </c>
      <c r="D22" s="76" t="s">
        <v>655</v>
      </c>
      <c r="E22" s="76" t="s">
        <v>3731</v>
      </c>
      <c r="F22" s="26" t="str">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Library'!$R$5:$R$50,"Implemented"))&amp;" of 4"</f>
        <v>0 of 4</v>
      </c>
      <c r="G22" s="43" t="str">
        <f aca="false">IF((COUNTIFS('Control Library'!$A$5:$A$50,"AI-CTRL-011",'Control Library'!$R$5:$R$50,"Implemented")+COUNTIFS('Control Library'!$A$5:$A$50,"AI-CTRL-012",'Control Library'!$R$5:$R$50,"Implemented")+COUNTIFS('Control Library'!$A$5:$A$50,"AI-CTRL-037",'Control Library'!$R$5:$R$50,"Implemented")+COUNTIFS('Control Library'!$A$5:$A$50,"AI-CTRL-045",'Control Library'!$R$5:$R$50,"Implemented"))=4,"Fully covered",IF((COUNTIFS('Control Library'!$A$5:$A$50,"AI-CTRL-011",'Control Library'!$R$5:$R$50,"Implemented")+COUNTIFS('Control Library'!$A$5:$A$50,"AI-CTRL-012",'Control Library'!$R$5:$R$50,"Implemented")+COUNTIFS('Control Library'!$A$5:$A$50,"AI-CTRL-037",'Control Library'!$R$5:$R$50,"Implemented")+COUNTIFS('Control Library'!$A$5:$A$50,"AI-CTRL-045",'Control Library'!$R$5:$R$50,"Implemented"))=0,"Not covered","Partly covered"))</f>
        <v>Not covered</v>
      </c>
    </row>
    <row r="23" customFormat="false" ht="35.05" hidden="false" customHeight="false" outlineLevel="0" collapsed="false">
      <c r="A23" s="36" t="s">
        <v>3732</v>
      </c>
      <c r="B23" s="6" t="s">
        <v>3733</v>
      </c>
      <c r="C23" s="6" t="s">
        <v>3734</v>
      </c>
      <c r="D23" s="6" t="s">
        <v>3735</v>
      </c>
      <c r="E23" s="6" t="s">
        <v>3736</v>
      </c>
      <c r="F23" s="26" t="str">
        <f aca="false">(COUNTIFS('Control Library'!$A$5:$A$50,"AI-CTRL-012",'Control Library'!$R$5:$R$50,"Implemented")+COUNTIFS('Control Library'!$A$5:$A$50,"AI-CTRL-023",'Control Library'!$R$5:$R$50,"Implemented")+COUNTIFS('Control Library'!$A$5:$A$50,"AI-CTRL-044",'Control Library'!$R$5:$R$50,"Implemented")+COUNTIFS('Control Library'!$A$5:$A$50,"AI-CTRL-045",'Control Library'!$R$5:$R$50,"Implemented"))&amp;" of 4"</f>
        <v>0 of 4</v>
      </c>
      <c r="G23" s="43" t="str">
        <f aca="false">IF((COUNTIFS('Control Library'!$A$5:$A$50,"AI-CTRL-012",'Control Library'!$R$5:$R$50,"Implemented")+COUNTIFS('Control Library'!$A$5:$A$50,"AI-CTRL-023",'Control Library'!$R$5:$R$50,"Implemented")+COUNTIFS('Control Library'!$A$5:$A$50,"AI-CTRL-044",'Control Library'!$R$5:$R$50,"Implemented")+COUNTIFS('Control Library'!$A$5:$A$50,"AI-CTRL-045",'Control Library'!$R$5:$R$50,"Implemented"))=4,"Fully covered",IF((COUNTIFS('Control Library'!$A$5:$A$50,"AI-CTRL-012",'Control Library'!$R$5:$R$50,"Implemented")+COUNTIFS('Control Library'!$A$5:$A$50,"AI-CTRL-023",'Control Library'!$R$5:$R$50,"Implemented")+COUNTIFS('Control Library'!$A$5:$A$50,"AI-CTRL-044",'Control Library'!$R$5:$R$50,"Implemented")+COUNTIFS('Control Library'!$A$5:$A$50,"AI-CTRL-045",'Control Library'!$R$5:$R$50,"Implemented"))=0,"Not covered","Partly covered"))</f>
        <v>Not covered</v>
      </c>
    </row>
    <row r="24" customFormat="false" ht="23.85" hidden="false" customHeight="false" outlineLevel="0" collapsed="false">
      <c r="A24" s="36" t="s">
        <v>675</v>
      </c>
      <c r="B24" s="76" t="s">
        <v>3737</v>
      </c>
      <c r="C24" s="76" t="s">
        <v>3738</v>
      </c>
      <c r="D24" s="76" t="s">
        <v>674</v>
      </c>
      <c r="E24" s="76" t="s">
        <v>3739</v>
      </c>
      <c r="F24" s="26" t="str">
        <f aca="false">(COUNTIFS('Control Library'!$A$5:$A$50,"AI-CTRL-034",'Control Library'!$R$5:$R$50,"Implemented")+COUNTIFS('Control Library'!$A$5:$A$50,"AI-CTRL-035",'Control Library'!$R$5:$R$50,"Implemented")+COUNTIFS('Control Library'!$A$5:$A$50,"AI-CTRL-039",'Control Library'!$R$5:$R$50,"Implemented"))&amp;" of 3"</f>
        <v>0 of 3</v>
      </c>
      <c r="G24" s="43" t="str">
        <f aca="false">IF((COUNTIFS('Control Library'!$A$5:$A$50,"AI-CTRL-034",'Control Library'!$R$5:$R$50,"Implemented")+COUNTIFS('Control Library'!$A$5:$A$50,"AI-CTRL-035",'Control Library'!$R$5:$R$50,"Implemented")+COUNTIFS('Control Library'!$A$5:$A$50,"AI-CTRL-039",'Control Library'!$R$5:$R$50,"Implemented"))=3,"Fully covered",IF((COUNTIFS('Control Library'!$A$5:$A$50,"AI-CTRL-034",'Control Library'!$R$5:$R$50,"Implemented")+COUNTIFS('Control Library'!$A$5:$A$50,"AI-CTRL-035",'Control Library'!$R$5:$R$50,"Implemented")+COUNTIFS('Control Library'!$A$5:$A$50,"AI-CTRL-039",'Control Library'!$R$5:$R$50,"Implemented"))=0,"Not covered","Partly covered"))</f>
        <v>Not covered</v>
      </c>
    </row>
    <row r="25" customFormat="false" ht="23.85" hidden="false" customHeight="false" outlineLevel="0" collapsed="false">
      <c r="A25" s="36" t="s">
        <v>718</v>
      </c>
      <c r="B25" s="6" t="s">
        <v>3740</v>
      </c>
      <c r="C25" s="6" t="s">
        <v>3741</v>
      </c>
      <c r="D25" s="6" t="s">
        <v>717</v>
      </c>
      <c r="E25" s="6" t="s">
        <v>3742</v>
      </c>
      <c r="F25" s="26" t="str">
        <f aca="false">(COUNTIFS('Control Library'!$A$5:$A$50,"AI-CTRL-025",'Control Library'!$R$5:$R$50,"Implemented")+COUNTIFS('Control Library'!$A$5:$A$50,"AI-CTRL-026",'Control Library'!$R$5:$R$50,"Implemented")+COUNTIFS('Control Library'!$A$5:$A$50,"AI-CTRL-027",'Control Library'!$R$5:$R$50,"Implemented"))&amp;" of 3"</f>
        <v>0 of 3</v>
      </c>
      <c r="G25" s="43" t="str">
        <f aca="false">IF((COUNTIFS('Control Library'!$A$5:$A$50,"AI-CTRL-025",'Control Library'!$R$5:$R$50,"Implemented")+COUNTIFS('Control Library'!$A$5:$A$50,"AI-CTRL-026",'Control Library'!$R$5:$R$50,"Implemented")+COUNTIFS('Control Library'!$A$5:$A$50,"AI-CTRL-027",'Control Library'!$R$5:$R$50,"Implemented"))=3,"Fully covered",IF((COUNTIFS('Control Library'!$A$5:$A$50,"AI-CTRL-025",'Control Library'!$R$5:$R$50,"Implemented")+COUNTIFS('Control Library'!$A$5:$A$50,"AI-CTRL-026",'Control Library'!$R$5:$R$50,"Implemented")+COUNTIFS('Control Library'!$A$5:$A$50,"AI-CTRL-027",'Control Library'!$R$5:$R$50,"Implemented"))=0,"Not covered","Partly covered"))</f>
        <v>Not covered</v>
      </c>
    </row>
    <row r="26" customFormat="false" ht="23.85" hidden="false" customHeight="false" outlineLevel="0" collapsed="false">
      <c r="A26" s="36" t="s">
        <v>722</v>
      </c>
      <c r="B26" s="76" t="s">
        <v>720</v>
      </c>
      <c r="C26" s="76" t="s">
        <v>3743</v>
      </c>
      <c r="D26" s="76" t="s">
        <v>721</v>
      </c>
      <c r="E26" s="76" t="s">
        <v>3744</v>
      </c>
      <c r="F26" s="26" t="str">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Library'!$R$5:$R$50,"Implemented"))&amp;" of 4"</f>
        <v>0 of 4</v>
      </c>
      <c r="G26" s="43" t="str">
        <f aca="false">IF((COUNTIFS('Control Library'!$A$5:$A$50,"AI-CTRL-004",'Control Library'!$R$5:$R$50,"Implemented")+COUNTIFS('Control Library'!$A$5:$A$50,"AI-CTRL-015",'Control Library'!$R$5:$R$50,"Implemented")+COUNTIFS('Control Library'!$A$5:$A$50,"AI-CTRL-016",'Control Library'!$R$5:$R$50,"Implemented")+COUNTIFS('Control Library'!$A$5:$A$50,"AI-CTRL-027",'Control Library'!$R$5:$R$50,"Implemented"))=4,"Fully covered",IF((COUNTIFS('Control Library'!$A$5:$A$50,"AI-CTRL-004",'Control Library'!$R$5:$R$50,"Implemented")+COUNTIFS('Control Library'!$A$5:$A$50,"AI-CTRL-015",'Control Library'!$R$5:$R$50,"Implemented")+COUNTIFS('Control Library'!$A$5:$A$50,"AI-CTRL-016",'Control Library'!$R$5:$R$50,"Implemented")+COUNTIFS('Control Library'!$A$5:$A$50,"AI-CTRL-027",'Control Library'!$R$5:$R$50,"Implemented"))=0,"Not covered","Partly covered"))</f>
        <v>Not covered</v>
      </c>
    </row>
    <row r="27" customFormat="false" ht="23.85" hidden="false" customHeight="false" outlineLevel="0" collapsed="false">
      <c r="A27" s="36" t="s">
        <v>726</v>
      </c>
      <c r="B27" s="6" t="s">
        <v>3745</v>
      </c>
      <c r="C27" s="6" t="s">
        <v>3746</v>
      </c>
      <c r="D27" s="6" t="s">
        <v>725</v>
      </c>
      <c r="E27" s="6" t="s">
        <v>3747</v>
      </c>
      <c r="F27" s="26" t="str">
        <f aca="false">(COUNTIFS('Control Library'!$A$5:$A$50,"AI-CTRL-024",'Control Library'!$R$5:$R$50,"Implemented")+COUNTIFS('Control Library'!$A$5:$A$50,"AI-CTRL-031",'Control Library'!$R$5:$R$50,"Implemented"))&amp;" of 2"</f>
        <v>0 of 2</v>
      </c>
      <c r="G27" s="43" t="str">
        <f aca="false">IF((COUNTIFS('Control Library'!$A$5:$A$50,"AI-CTRL-024",'Control Library'!$R$5:$R$50,"Implemented")+COUNTIFS('Control Library'!$A$5:$A$50,"AI-CTRL-031",'Control Library'!$R$5:$R$50,"Implemented"))=2,"Fully covered",IF((COUNTIFS('Control Library'!$A$5:$A$50,"AI-CTRL-024",'Control Library'!$R$5:$R$50,"Implemented")+COUNTIFS('Control Library'!$A$5:$A$50,"AI-CTRL-031",'Control Library'!$R$5:$R$50,"Implemented"))=0,"Not covered","Partly covered"))</f>
        <v>Not covered</v>
      </c>
    </row>
    <row r="28" customFormat="false" ht="23.85" hidden="false" customHeight="false" outlineLevel="0" collapsed="false">
      <c r="A28" s="36" t="s">
        <v>711</v>
      </c>
      <c r="B28" s="76" t="s">
        <v>709</v>
      </c>
      <c r="C28" s="76" t="s">
        <v>3748</v>
      </c>
      <c r="D28" s="76" t="s">
        <v>710</v>
      </c>
      <c r="E28" s="76" t="s">
        <v>3749</v>
      </c>
      <c r="F28" s="26" t="str">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Library'!$R$5:$R$50,"Implemented"))&amp;" of 4"</f>
        <v>0 of 4</v>
      </c>
      <c r="G28" s="43" t="str">
        <f aca="false">IF((COUNTIFS('Control Library'!$A$5:$A$50,"AI-CTRL-005",'Control Library'!$R$5:$R$50,"Implemented")+COUNTIFS('Control Library'!$A$5:$A$50,"AI-CTRL-020",'Control Library'!$R$5:$R$50,"Implemented")+COUNTIFS('Control Library'!$A$5:$A$50,"AI-CTRL-022",'Control Library'!$R$5:$R$50,"Implemented")+COUNTIFS('Control Library'!$A$5:$A$50,"AI-CTRL-024",'Control Library'!$R$5:$R$50,"Implemented"))=4,"Fully covered",IF((COUNTIFS('Control Library'!$A$5:$A$50,"AI-CTRL-005",'Control Library'!$R$5:$R$50,"Implemented")+COUNTIFS('Control Library'!$A$5:$A$50,"AI-CTRL-020",'Control Library'!$R$5:$R$50,"Implemented")+COUNTIFS('Control Library'!$A$5:$A$50,"AI-CTRL-022",'Control Library'!$R$5:$R$50,"Implemented")+COUNTIFS('Control Library'!$A$5:$A$50,"AI-CTRL-024",'Control Library'!$R$5:$R$50,"Implemented"))=0,"Not covered","Partly covered"))</f>
        <v>Not covered</v>
      </c>
    </row>
    <row r="29" customFormat="false" ht="23.85" hidden="false" customHeight="false" outlineLevel="0" collapsed="false">
      <c r="A29" s="36" t="s">
        <v>679</v>
      </c>
      <c r="B29" s="6" t="s">
        <v>3750</v>
      </c>
      <c r="C29" s="6" t="s">
        <v>3751</v>
      </c>
      <c r="D29" s="6" t="s">
        <v>678</v>
      </c>
      <c r="E29" s="6" t="s">
        <v>3752</v>
      </c>
      <c r="F29" s="26" t="str">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Library'!$R$5:$R$50,"Implemented"))&amp;" of 4"</f>
        <v>0 of 4</v>
      </c>
      <c r="G29" s="43" t="str">
        <f aca="false">IF((COUNTIFS('Control Library'!$A$5:$A$50,"AI-CTRL-006",'Control Library'!$R$5:$R$50,"Implemented")+COUNTIFS('Control Library'!$A$5:$A$50,"AI-CTRL-015",'Control Library'!$R$5:$R$50,"Implemented")+COUNTIFS('Control Library'!$A$5:$A$50,"AI-CTRL-025",'Control Library'!$R$5:$R$50,"Implemented")+COUNTIFS('Control Library'!$A$5:$A$50,"AI-CTRL-027",'Control Library'!$R$5:$R$50,"Implemented"))=4,"Fully covered",IF((COUNTIFS('Control Library'!$A$5:$A$50,"AI-CTRL-006",'Control Library'!$R$5:$R$50,"Implemented")+COUNTIFS('Control Library'!$A$5:$A$50,"AI-CTRL-015",'Control Library'!$R$5:$R$50,"Implemented")+COUNTIFS('Control Library'!$A$5:$A$50,"AI-CTRL-025",'Control Library'!$R$5:$R$50,"Implemented")+COUNTIFS('Control Library'!$A$5:$A$50,"AI-CTRL-027",'Control Library'!$R$5:$R$50,"Implemented"))=0,"Not covered","Partly covered"))</f>
        <v>Not covered</v>
      </c>
    </row>
    <row r="30" customFormat="false" ht="23.85" hidden="false" customHeight="false" outlineLevel="0" collapsed="false">
      <c r="A30" s="36" t="s">
        <v>3753</v>
      </c>
      <c r="B30" s="76" t="s">
        <v>3754</v>
      </c>
      <c r="C30" s="76" t="s">
        <v>3755</v>
      </c>
      <c r="D30" s="76" t="s">
        <v>3756</v>
      </c>
      <c r="E30" s="76" t="s">
        <v>3757</v>
      </c>
      <c r="F30" s="26" t="str">
        <f aca="false">(COUNTIFS('Control Library'!$A$5:$A$50,"AI-CTRL-008",'Control Library'!$R$5:$R$50,"Implemented")+COUNTIFS('Control Library'!$A$5:$A$50,"AI-CTRL-020",'Control Library'!$R$5:$R$50,"Implemented"))&amp;" of 2"</f>
        <v>0 of 2</v>
      </c>
      <c r="G30" s="43" t="str">
        <f aca="false">IF((COUNTIFS('Control Library'!$A$5:$A$50,"AI-CTRL-008",'Control Library'!$R$5:$R$50,"Implemented")+COUNTIFS('Control Library'!$A$5:$A$50,"AI-CTRL-020",'Control Library'!$R$5:$R$50,"Implemented"))=2,"Fully covered",IF((COUNTIFS('Control Library'!$A$5:$A$50,"AI-CTRL-008",'Control Library'!$R$5:$R$50,"Implemented")+COUNTIFS('Control Library'!$A$5:$A$50,"AI-CTRL-020",'Control Library'!$R$5:$R$50,"Implemented"))=0,"Not covered","Partly covered"))</f>
        <v>Not covered</v>
      </c>
    </row>
    <row r="31" customFormat="false" ht="23.85" hidden="false" customHeight="false" outlineLevel="0" collapsed="false">
      <c r="A31" s="36" t="s">
        <v>553</v>
      </c>
      <c r="B31" s="6" t="s">
        <v>3758</v>
      </c>
      <c r="C31" s="6" t="s">
        <v>3759</v>
      </c>
      <c r="D31" s="6" t="s">
        <v>691</v>
      </c>
      <c r="E31" s="6" t="s">
        <v>3760</v>
      </c>
      <c r="F31" s="26" t="str">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Library'!$R$5:$R$50,"Implemented"))&amp;" of 5"</f>
        <v>0 of 5</v>
      </c>
      <c r="G31" s="43" t="str">
        <f aca="false">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Library'!$R$5:$R$50,"Implemented"))=5,"Fully covered",IF((COUNTIFS('Control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Library'!$R$5:$R$50,"Implemented"))=0,"Not covered","Partly covered"))</f>
        <v>Not covered</v>
      </c>
    </row>
    <row r="32" customFormat="false" ht="35.05" hidden="false" customHeight="false" outlineLevel="0" collapsed="false">
      <c r="A32" s="36" t="s">
        <v>823</v>
      </c>
      <c r="B32" s="76" t="s">
        <v>3761</v>
      </c>
      <c r="C32" s="76" t="s">
        <v>3762</v>
      </c>
      <c r="D32" s="76" t="s">
        <v>822</v>
      </c>
      <c r="E32" s="76" t="s">
        <v>3763</v>
      </c>
      <c r="F32" s="26" t="str">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Library'!$R$5:$R$50,"Implemented"))&amp;" of 6"</f>
        <v>0 of 6</v>
      </c>
      <c r="G32" s="43" t="str">
        <f aca="false">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Library'!$R$5:$R$50,"Implemented"))=6,"Fully covered",IF((COUNTIFS('Control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Library'!$R$5:$R$50,"Implemented"))=0,"Not covered","Partly covered"))</f>
        <v>Not covered</v>
      </c>
    </row>
    <row r="33" customFormat="false" ht="23.85" hidden="false" customHeight="false" outlineLevel="0" collapsed="false">
      <c r="A33" s="36" t="s">
        <v>827</v>
      </c>
      <c r="B33" s="6" t="s">
        <v>3764</v>
      </c>
      <c r="C33" s="6" t="s">
        <v>3765</v>
      </c>
      <c r="D33" s="6" t="s">
        <v>826</v>
      </c>
      <c r="E33" s="6" t="s">
        <v>3766</v>
      </c>
      <c r="F33" s="26" t="str">
        <f aca="false">(COUNTIFS('Control Library'!$A$5:$A$50,"AI-CTRL-011",'Control Library'!$R$5:$R$50,"Implemented")+COUNTIFS('Control Library'!$A$5:$A$50,"AI-CTRL-037",'Control Library'!$R$5:$R$50,"Implemented"))&amp;" of 2"</f>
        <v>0 of 2</v>
      </c>
      <c r="G33" s="43" t="str">
        <f aca="false">IF((COUNTIFS('Control Library'!$A$5:$A$50,"AI-CTRL-011",'Control Library'!$R$5:$R$50,"Implemented")+COUNTIFS('Control Library'!$A$5:$A$50,"AI-CTRL-037",'Control Library'!$R$5:$R$50,"Implemented"))=2,"Fully covered",IF((COUNTIFS('Control Library'!$A$5:$A$50,"AI-CTRL-011",'Control Library'!$R$5:$R$50,"Implemented")+COUNTIFS('Control Library'!$A$5:$A$50,"AI-CTRL-037",'Control Library'!$R$5:$R$50,"Implemented"))=0,"Not covered","Partly covered"))</f>
        <v>Not covered</v>
      </c>
    </row>
    <row r="34" customFormat="false" ht="23.85" hidden="false" customHeight="false" outlineLevel="0" collapsed="false">
      <c r="A34" s="36" t="s">
        <v>982</v>
      </c>
      <c r="B34" s="76" t="s">
        <v>3767</v>
      </c>
      <c r="C34" s="76" t="s">
        <v>3768</v>
      </c>
      <c r="D34" s="76" t="s">
        <v>3769</v>
      </c>
      <c r="E34" s="76" t="s">
        <v>3770</v>
      </c>
      <c r="F34" s="26" t="str">
        <f aca="false">(COUNTIFS('Control Library'!$A$5:$A$50,"AI-CTRL-036",'Control Library'!$R$5:$R$50,"Implemented")+COUNTIFS('Control Library'!$A$5:$A$50,"AI-CTRL-014",'Control Library'!$R$5:$R$50,"Implemented")+COUNTIFS('Control Library'!$A$5:$A$50,"AI-CTRL-037",'Control Library'!$R$5:$R$50,"Implemented"))&amp;" of 3"</f>
        <v>0 of 3</v>
      </c>
      <c r="G34" s="43" t="str">
        <f aca="false">IF((COUNTIFS('Control Library'!$A$5:$A$50,"AI-CTRL-036",'Control Library'!$R$5:$R$50,"Implemented")+COUNTIFS('Control Library'!$A$5:$A$50,"AI-CTRL-014",'Control Library'!$R$5:$R$50,"Implemented")+COUNTIFS('Control Library'!$A$5:$A$50,"AI-CTRL-037",'Control Library'!$R$5:$R$50,"Implemented"))=3,"Fully covered",IF((COUNTIFS('Control Library'!$A$5:$A$50,"AI-CTRL-036",'Control Library'!$R$5:$R$50,"Implemented")+COUNTIFS('Control Library'!$A$5:$A$50,"AI-CTRL-014",'Control Library'!$R$5:$R$50,"Implemented")+COUNTIFS('Control Library'!$A$5:$A$50,"AI-CTRL-037",'Control Library'!$R$5:$R$50,"Implemented"))=0,"Not covered","Partly covered"))</f>
        <v>Not covered</v>
      </c>
    </row>
    <row r="35" customFormat="false" ht="35.05" hidden="false" customHeight="false" outlineLevel="0" collapsed="false">
      <c r="A35" s="36" t="s">
        <v>952</v>
      </c>
      <c r="B35" s="6" t="s">
        <v>3771</v>
      </c>
      <c r="C35" s="6" t="s">
        <v>3772</v>
      </c>
      <c r="D35" s="6" t="s">
        <v>951</v>
      </c>
      <c r="E35" s="6" t="s">
        <v>3773</v>
      </c>
      <c r="F35" s="26" t="str">
        <f aca="false">(COUNTIFS('Control Library'!$A$5:$A$50,"AI-CTRL-014",'Control Library'!$R$5:$R$50,"Implemented")+COUNTIFS('Control Library'!$A$5:$A$50,"AI-CTRL-031",'Control Library'!$R$5:$R$50,"Implemented")+COUNTIFS('Control Library'!$A$5:$A$50,"AI-CTRL-040",'Control Library'!$R$5:$R$50,"Implemented"))&amp;" of 3"</f>
        <v>0 of 3</v>
      </c>
      <c r="G35" s="43" t="str">
        <f aca="false">IF((COUNTIFS('Control Library'!$A$5:$A$50,"AI-CTRL-014",'Control Library'!$R$5:$R$50,"Implemented")+COUNTIFS('Control Library'!$A$5:$A$50,"AI-CTRL-031",'Control Library'!$R$5:$R$50,"Implemented")+COUNTIFS('Control Library'!$A$5:$A$50,"AI-CTRL-040",'Control Library'!$R$5:$R$50,"Implemented"))=3,"Fully covered",IF((COUNTIFS('Control Library'!$A$5:$A$50,"AI-CTRL-014",'Control Library'!$R$5:$R$50,"Implemented")+COUNTIFS('Control Library'!$A$5:$A$50,"AI-CTRL-031",'Control Library'!$R$5:$R$50,"Implemented")+COUNTIFS('Control Library'!$A$5:$A$50,"AI-CTRL-040",'Control Library'!$R$5:$R$50,"Implemented"))=0,"Not covered","Partly covered"))</f>
        <v>Not covered</v>
      </c>
    </row>
    <row r="36" customFormat="false" ht="35.05" hidden="false" customHeight="false" outlineLevel="0" collapsed="false">
      <c r="A36" s="36" t="s">
        <v>3774</v>
      </c>
      <c r="B36" s="76" t="s">
        <v>3775</v>
      </c>
      <c r="C36" s="76" t="s">
        <v>3776</v>
      </c>
      <c r="D36" s="76" t="s">
        <v>3777</v>
      </c>
      <c r="E36" s="76" t="s">
        <v>3778</v>
      </c>
      <c r="F36" s="26" t="str">
        <f aca="false">(COUNTIFS('Control Library'!$A$5:$A$50,"AI-CTRL-011",'Control Library'!$R$5:$R$50,"Implemented")+COUNTIFS('Control Library'!$A$5:$A$50,"AI-CTRL-031",'Control Library'!$R$5:$R$50,"Implemented")+COUNTIFS('Control Library'!$A$5:$A$50,"AI-CTRL-034",'Control Library'!$R$5:$R$50,"Implemented"))&amp;" of 3"</f>
        <v>0 of 3</v>
      </c>
      <c r="G36" s="43" t="str">
        <f aca="false">IF((COUNTIFS('Control Library'!$A$5:$A$50,"AI-CTRL-011",'Control Library'!$R$5:$R$50,"Implemented")+COUNTIFS('Control Library'!$A$5:$A$50,"AI-CTRL-031",'Control Library'!$R$5:$R$50,"Implemented")+COUNTIFS('Control Library'!$A$5:$A$50,"AI-CTRL-034",'Control Library'!$R$5:$R$50,"Implemented"))=3,"Fully covered",IF((COUNTIFS('Control Library'!$A$5:$A$50,"AI-CTRL-011",'Control Library'!$R$5:$R$50,"Implemented")+COUNTIFS('Control Library'!$A$5:$A$50,"AI-CTRL-031",'Control Library'!$R$5:$R$50,"Implemented")+COUNTIFS('Control Library'!$A$5:$A$50,"AI-CTRL-034",'Control Library'!$R$5:$R$50,"Implemented"))=0,"Not covered","Partly covered"))</f>
        <v>Not covered</v>
      </c>
    </row>
    <row r="37" customFormat="false" ht="35.05" hidden="false" customHeight="false" outlineLevel="0" collapsed="false">
      <c r="A37" s="36" t="s">
        <v>963</v>
      </c>
      <c r="B37" s="6" t="s">
        <v>3779</v>
      </c>
      <c r="C37" s="6" t="s">
        <v>3780</v>
      </c>
      <c r="D37" s="6" t="s">
        <v>3781</v>
      </c>
      <c r="E37" s="6" t="s">
        <v>3782</v>
      </c>
      <c r="F37" s="26" t="str">
        <f aca="false">(COUNTIFS('Control Library'!$A$5:$A$50,"AI-CTRL-044",'Control Library'!$R$5:$R$50,"Implemented")+COUNTIFS('Control Library'!$A$5:$A$50,"AI-CTRL-040",'Control Library'!$R$5:$R$50,"Implemented")+COUNTIFS('Control Library'!$A$5:$A$50,"AI-CTRL-045",'Control Library'!$R$5:$R$50,"Implemented"))&amp;" of 3"</f>
        <v>0 of 3</v>
      </c>
      <c r="G37" s="43" t="str">
        <f aca="false">IF((COUNTIFS('Control Library'!$A$5:$A$50,"AI-CTRL-044",'Control Library'!$R$5:$R$50,"Implemented")+COUNTIFS('Control Library'!$A$5:$A$50,"AI-CTRL-040",'Control Library'!$R$5:$R$50,"Implemented")+COUNTIFS('Control Library'!$A$5:$A$50,"AI-CTRL-045",'Control Library'!$R$5:$R$50,"Implemented"))=3,"Fully covered",IF((COUNTIFS('Control Library'!$A$5:$A$50,"AI-CTRL-044",'Control Library'!$R$5:$R$50,"Implemented")+COUNTIFS('Control Library'!$A$5:$A$50,"AI-CTRL-040",'Control Library'!$R$5:$R$50,"Implemented")+COUNTIFS('Control Library'!$A$5:$A$50,"AI-CTRL-045",'Control Library'!$R$5:$R$50,"Implemented"))=0,"Not covered","Partly covered"))</f>
        <v>Not covered</v>
      </c>
    </row>
    <row r="38" customFormat="false" ht="23.85" hidden="false" customHeight="false" outlineLevel="0" collapsed="false">
      <c r="A38" s="36" t="s">
        <v>974</v>
      </c>
      <c r="B38" s="76" t="s">
        <v>3783</v>
      </c>
      <c r="C38" s="76" t="s">
        <v>3784</v>
      </c>
      <c r="D38" s="76" t="s">
        <v>3785</v>
      </c>
      <c r="E38" s="76" t="s">
        <v>3786</v>
      </c>
      <c r="F38" s="26" t="str">
        <f aca="false">(COUNTIFS('Control Library'!$A$5:$A$50,"AI-CTRL-044",'Control Library'!$R$5:$R$50,"Implemented")+COUNTIFS('Control Library'!$A$5:$A$50,"AI-CTRL-012",'Control Library'!$R$5:$R$50,"Implemented"))&amp;" of 2"</f>
        <v>0 of 2</v>
      </c>
      <c r="G38" s="43" t="str">
        <f aca="false">IF((COUNTIFS('Control Library'!$A$5:$A$50,"AI-CTRL-044",'Control Library'!$R$5:$R$50,"Implemented")+COUNTIFS('Control Library'!$A$5:$A$50,"AI-CTRL-012",'Control Library'!$R$5:$R$50,"Implemented"))=2,"Fully covered",IF((COUNTIFS('Control Library'!$A$5:$A$50,"AI-CTRL-044",'Control Library'!$R$5:$R$50,"Implemented")+COUNTIFS('Control Library'!$A$5:$A$50,"AI-CTRL-012",'Control Library'!$R$5:$R$50,"Implemented"))=0,"Not covered","Partly covered"))</f>
        <v>Not covered</v>
      </c>
    </row>
    <row r="39" customFormat="false" ht="23.85" hidden="false" customHeight="false" outlineLevel="0" collapsed="false">
      <c r="A39" s="36" t="s">
        <v>1146</v>
      </c>
      <c r="B39" s="6" t="s">
        <v>3787</v>
      </c>
      <c r="C39" s="6" t="s">
        <v>3788</v>
      </c>
      <c r="D39" s="6" t="s">
        <v>462</v>
      </c>
      <c r="E39" s="6" t="s">
        <v>3789</v>
      </c>
      <c r="F39" s="26" t="str">
        <f aca="false">(COUNTIFS('Control Library'!$A$5:$A$50,"AI-CTRL-036",'Control Library'!$R$5:$R$50,"Implemented"))&amp;" of 1"</f>
        <v>0 of 1</v>
      </c>
      <c r="G39" s="43" t="str">
        <f aca="false">IF((COUNTIFS('Control Library'!$A$5:$A$50,"AI-CTRL-036",'Control Library'!$R$5:$R$50,"Implemented"))=1,"Fully covered",IF((COUNTIFS('Control Library'!$A$5:$A$50,"AI-CTRL-036",'Control Library'!$R$5:$R$50,"Implemented"))=0,"Not covered","Partly covered"))</f>
        <v>Not covered</v>
      </c>
    </row>
    <row r="40" customFormat="false" ht="23.85" hidden="false" customHeight="false" outlineLevel="0" collapsed="false">
      <c r="A40" s="36" t="s">
        <v>3790</v>
      </c>
      <c r="B40" s="76" t="s">
        <v>3791</v>
      </c>
      <c r="C40" s="76" t="s">
        <v>3792</v>
      </c>
      <c r="D40" s="76" t="s">
        <v>3793</v>
      </c>
      <c r="E40" s="76" t="s">
        <v>3794</v>
      </c>
      <c r="F40" s="26" t="str">
        <f aca="false">(COUNTIFS('Control Library'!$A$5:$A$50,"AI-CTRL-046",'Control Library'!$R$5:$R$50,"Implemented")+COUNTIFS('Control Library'!$A$5:$A$50,"AI-CTRL-031",'Control Library'!$R$5:$R$50,"Implemented")+COUNTIFS('Control Library'!$A$5:$A$50,"AI-CTRL-014",'Control Library'!$R$5:$R$50,"Implemented"))&amp;" of 3"</f>
        <v>0 of 3</v>
      </c>
      <c r="G40" s="43" t="str">
        <f aca="false">IF((COUNTIFS('Control Library'!$A$5:$A$50,"AI-CTRL-046",'Control Library'!$R$5:$R$50,"Implemented")+COUNTIFS('Control Library'!$A$5:$A$50,"AI-CTRL-031",'Control Library'!$R$5:$R$50,"Implemented")+COUNTIFS('Control Library'!$A$5:$A$50,"AI-CTRL-014",'Control Library'!$R$5:$R$50,"Implemented"))=3,"Fully covered",IF((COUNTIFS('Control Library'!$A$5:$A$50,"AI-CTRL-046",'Control Library'!$R$5:$R$50,"Implemented")+COUNTIFS('Control Library'!$A$5:$A$50,"AI-CTRL-031",'Control Library'!$R$5:$R$50,"Implemented")+COUNTIFS('Control Library'!$A$5:$A$50,"AI-CTRL-014",'Control Library'!$R$5:$R$50,"Implemented"))=0,"Not covered","Partly covered"))</f>
        <v>Not covered</v>
      </c>
    </row>
    <row r="41" customFormat="false" ht="23.85" hidden="false" customHeight="false" outlineLevel="0" collapsed="false">
      <c r="A41" s="36" t="s">
        <v>3795</v>
      </c>
      <c r="B41" s="6" t="s">
        <v>3796</v>
      </c>
      <c r="C41" s="6" t="s">
        <v>3797</v>
      </c>
      <c r="D41" s="6" t="s">
        <v>3798</v>
      </c>
      <c r="E41" s="6" t="s">
        <v>3799</v>
      </c>
      <c r="F41" s="26" t="str">
        <f aca="false">(COUNTIFS('Control Library'!$A$5:$A$50,"AI-CTRL-011",'Control Library'!$R$5:$R$50,"Implemented")+COUNTIFS('Control Library'!$A$5:$A$50,"AI-CTRL-013",'Control Library'!$R$5:$R$50,"Implemented")+COUNTIFS('Control Library'!$A$5:$A$50,"AI-CTRL-037",'Control Library'!$R$5:$R$50,"Implemented"))&amp;" of 3"</f>
        <v>0 of 3</v>
      </c>
      <c r="G41" s="43" t="str">
        <f aca="false">IF((COUNTIFS('Control Library'!$A$5:$A$50,"AI-CTRL-011",'Control Library'!$R$5:$R$50,"Implemented")+COUNTIFS('Control Library'!$A$5:$A$50,"AI-CTRL-013",'Control Library'!$R$5:$R$50,"Implemented")+COUNTIFS('Control Library'!$A$5:$A$50,"AI-CTRL-037",'Control Library'!$R$5:$R$50,"Implemented"))=3,"Fully covered",IF((COUNTIFS('Control Library'!$A$5:$A$50,"AI-CTRL-011",'Control Library'!$R$5:$R$50,"Implemented")+COUNTIFS('Control Library'!$A$5:$A$50,"AI-CTRL-013",'Control Library'!$R$5:$R$50,"Implemented")+COUNTIFS('Control Library'!$A$5:$A$50,"AI-CTRL-037",'Control Library'!$R$5:$R$50,"Implemented"))=0,"Not covered","Partly covered"))</f>
        <v>Not covered</v>
      </c>
    </row>
    <row r="42" customFormat="false" ht="23.85" hidden="false" customHeight="false" outlineLevel="0" collapsed="false">
      <c r="A42" s="36" t="s">
        <v>3800</v>
      </c>
      <c r="B42" s="76" t="s">
        <v>3801</v>
      </c>
      <c r="C42" s="76" t="s">
        <v>3802</v>
      </c>
      <c r="D42" s="76" t="s">
        <v>3803</v>
      </c>
      <c r="E42" s="76" t="s">
        <v>3804</v>
      </c>
      <c r="F42" s="26" t="str">
        <f aca="false">(COUNTIFS('Control Library'!$A$5:$A$50,"AI-CTRL-008",'Control Library'!$R$5:$R$50,"Implemented")+COUNTIFS('Control Library'!$A$5:$A$50,"AI-CTRL-038",'Control Library'!$R$5:$R$50,"Implemented")+COUNTIFS('Control Library'!$A$5:$A$50,"AI-CTRL-035",'Control Library'!$R$5:$R$50,"Implemented"))&amp;" of 3"</f>
        <v>0 of 3</v>
      </c>
      <c r="G42" s="43" t="str">
        <f aca="false">IF((COUNTIFS('Control Library'!$A$5:$A$50,"AI-CTRL-008",'Control Library'!$R$5:$R$50,"Implemented")+COUNTIFS('Control Library'!$A$5:$A$50,"AI-CTRL-038",'Control Library'!$R$5:$R$50,"Implemented")+COUNTIFS('Control Library'!$A$5:$A$50,"AI-CTRL-035",'Control Library'!$R$5:$R$50,"Implemented"))=3,"Fully covered",IF((COUNTIFS('Control Library'!$A$5:$A$50,"AI-CTRL-008",'Control Library'!$R$5:$R$50,"Implemented")+COUNTIFS('Control Library'!$A$5:$A$50,"AI-CTRL-038",'Control Library'!$R$5:$R$50,"Implemented")+COUNTIFS('Control Library'!$A$5:$A$50,"AI-CTRL-035",'Control Library'!$R$5:$R$50,"Implemented"))=0,"Not covered","Partly covered"))</f>
        <v>Not covered</v>
      </c>
    </row>
    <row r="43" customFormat="false" ht="23.85" hidden="false" customHeight="false" outlineLevel="0" collapsed="false">
      <c r="A43" s="36" t="s">
        <v>3805</v>
      </c>
      <c r="B43" s="6" t="s">
        <v>3806</v>
      </c>
      <c r="C43" s="6" t="s">
        <v>3807</v>
      </c>
      <c r="D43" s="6" t="s">
        <v>3808</v>
      </c>
      <c r="E43" s="6" t="s">
        <v>3809</v>
      </c>
      <c r="F43" s="26" t="str">
        <f aca="false">(COUNTIFS('Control Library'!$A$5:$A$50,"AI-CTRL-033",'Control Library'!$R$5:$R$50,"Implemented")+COUNTIFS('Control Library'!$A$5:$A$50,"AI-CTRL-034",'Control Library'!$R$5:$R$50,"Implemented")+COUNTIFS('Control Library'!$A$5:$A$50,"AI-CTRL-038",'Control Library'!$R$5:$R$50,"Implemented"))&amp;" of 3"</f>
        <v>0 of 3</v>
      </c>
      <c r="G43" s="43" t="str">
        <f aca="false">IF((COUNTIFS('Control Library'!$A$5:$A$50,"AI-CTRL-033",'Control Library'!$R$5:$R$50,"Implemented")+COUNTIFS('Control Library'!$A$5:$A$50,"AI-CTRL-034",'Control Library'!$R$5:$R$50,"Implemented")+COUNTIFS('Control Library'!$A$5:$A$50,"AI-CTRL-038",'Control Library'!$R$5:$R$50,"Implemented"))=3,"Fully covered",IF((COUNTIFS('Control Library'!$A$5:$A$50,"AI-CTRL-033",'Control Library'!$R$5:$R$50,"Implemented")+COUNTIFS('Control Library'!$A$5:$A$50,"AI-CTRL-034",'Control Library'!$R$5:$R$50,"Implemented")+COUNTIFS('Control Library'!$A$5:$A$50,"AI-CTRL-038",'Control Library'!$R$5:$R$50,"Implemented"))=0,"Not covered","Partly covered"))</f>
        <v>Not covered</v>
      </c>
    </row>
    <row r="44" customFormat="false" ht="35.05" hidden="false" customHeight="false" outlineLevel="0" collapsed="false">
      <c r="A44" s="36" t="s">
        <v>3810</v>
      </c>
      <c r="B44" s="76" t="s">
        <v>3811</v>
      </c>
      <c r="C44" s="76" t="s">
        <v>3812</v>
      </c>
      <c r="D44" s="76" t="s">
        <v>3813</v>
      </c>
      <c r="E44" s="76" t="s">
        <v>3814</v>
      </c>
      <c r="F44" s="26" t="str">
        <f aca="false">(COUNTIFS('Control Library'!$A$5:$A$50,"AI-CTRL-038",'Control Library'!$R$5:$R$50,"Implemented")+COUNTIFS('Control Library'!$A$5:$A$50,"AI-CTRL-011",'Control Library'!$R$5:$R$50,"Implemented")+COUNTIFS('Control Library'!$A$5:$A$50,"AI-CTRL-008",'Control Library'!$R$5:$R$50,"Implemented"))&amp;" of 3"</f>
        <v>0 of 3</v>
      </c>
      <c r="G44" s="43" t="str">
        <f aca="false">IF((COUNTIFS('Control Library'!$A$5:$A$50,"AI-CTRL-038",'Control Library'!$R$5:$R$50,"Implemented")+COUNTIFS('Control Library'!$A$5:$A$50,"AI-CTRL-011",'Control Library'!$R$5:$R$50,"Implemented")+COUNTIFS('Control Library'!$A$5:$A$50,"AI-CTRL-008",'Control Library'!$R$5:$R$50,"Implemented"))=3,"Fully covered",IF((COUNTIFS('Control Library'!$A$5:$A$50,"AI-CTRL-038",'Control Library'!$R$5:$R$50,"Implemented")+COUNTIFS('Control Library'!$A$5:$A$50,"AI-CTRL-011",'Control Library'!$R$5:$R$50,"Implemented")+COUNTIFS('Control Library'!$A$5:$A$50,"AI-CTRL-008",'Control Library'!$R$5:$R$50,"Implemented"))=0,"Not covered","Partly covered"))</f>
        <v>Not covered</v>
      </c>
    </row>
    <row r="45" customFormat="false" ht="23.85" hidden="false" customHeight="false" outlineLevel="0" collapsed="false">
      <c r="A45" s="36" t="s">
        <v>3815</v>
      </c>
      <c r="B45" s="6" t="s">
        <v>3816</v>
      </c>
      <c r="C45" s="6" t="s">
        <v>3817</v>
      </c>
      <c r="D45" s="6" t="s">
        <v>3818</v>
      </c>
      <c r="E45" s="6" t="s">
        <v>3819</v>
      </c>
      <c r="F45" s="26" t="str">
        <f aca="false">(COUNTIFS('Control Library'!$A$5:$A$50,"AI-CTRL-012",'Control Library'!$R$5:$R$50,"Implemented")+COUNTIFS('Control Library'!$A$5:$A$50,"AI-CTRL-014",'Control Library'!$R$5:$R$50,"Implemented")+COUNTIFS('Control Library'!$A$5:$A$50,"AI-CTRL-039",'Control Library'!$R$5:$R$50,"Implemented"))&amp;" of 3"</f>
        <v>0 of 3</v>
      </c>
      <c r="G45" s="43" t="str">
        <f aca="false">IF((COUNTIFS('Control Library'!$A$5:$A$50,"AI-CTRL-012",'Control Library'!$R$5:$R$50,"Implemented")+COUNTIFS('Control Library'!$A$5:$A$50,"AI-CTRL-014",'Control Library'!$R$5:$R$50,"Implemented")+COUNTIFS('Control Library'!$A$5:$A$50,"AI-CTRL-039",'Control Library'!$R$5:$R$50,"Implemented"))=3,"Fully covered",IF((COUNTIFS('Control Library'!$A$5:$A$50,"AI-CTRL-012",'Control Library'!$R$5:$R$50,"Implemented")+COUNTIFS('Control Library'!$A$5:$A$50,"AI-CTRL-014",'Control Library'!$R$5:$R$50,"Implemented")+COUNTIFS('Control Library'!$A$5:$A$50,"AI-CTRL-039",'Control Library'!$R$5:$R$50,"Implemented"))=0,"Not covered","Partly covered"))</f>
        <v>Not covered</v>
      </c>
    </row>
    <row r="46" customFormat="false" ht="35.05" hidden="false" customHeight="false" outlineLevel="0" collapsed="false">
      <c r="A46" s="36" t="s">
        <v>3820</v>
      </c>
      <c r="B46" s="76" t="s">
        <v>3821</v>
      </c>
      <c r="C46" s="76" t="s">
        <v>3822</v>
      </c>
      <c r="D46" s="76" t="s">
        <v>3823</v>
      </c>
      <c r="E46" s="76" t="s">
        <v>3824</v>
      </c>
      <c r="F46" s="26" t="str">
        <f aca="false">(COUNTIFS('Control Library'!$A$5:$A$50,"AI-CTRL-045",'Control Library'!$R$5:$R$50,"Implemented")+COUNTIFS('Control Library'!$A$5:$A$50,"AI-CTRL-039",'Control Library'!$R$5:$R$50,"Implemented")+COUNTIFS('Control Library'!$A$5:$A$50,"AI-CTRL-012",'Control Library'!$R$5:$R$50,"Implemented"))&amp;" of 3"</f>
        <v>0 of 3</v>
      </c>
      <c r="G46" s="43" t="str">
        <f aca="false">IF((COUNTIFS('Control Library'!$A$5:$A$50,"AI-CTRL-045",'Control Library'!$R$5:$R$50,"Implemented")+COUNTIFS('Control Library'!$A$5:$A$50,"AI-CTRL-039",'Control Library'!$R$5:$R$50,"Implemented")+COUNTIFS('Control Library'!$A$5:$A$50,"AI-CTRL-012",'Control Library'!$R$5:$R$50,"Implemented"))=3,"Fully covered",IF((COUNTIFS('Control Library'!$A$5:$A$50,"AI-CTRL-045",'Control Library'!$R$5:$R$50,"Implemented")+COUNTIFS('Control Library'!$A$5:$A$50,"AI-CTRL-039",'Control Library'!$R$5:$R$50,"Implemented")+COUNTIFS('Control Library'!$A$5:$A$50,"AI-CTRL-012",'Control Library'!$R$5:$R$50,"Implemented"))=0,"Not covered","Partly covered"))</f>
        <v>Not covered</v>
      </c>
    </row>
    <row r="47" customFormat="false" ht="23.85" hidden="false" customHeight="false" outlineLevel="0" collapsed="false">
      <c r="A47" s="36" t="s">
        <v>3825</v>
      </c>
      <c r="B47" s="6" t="s">
        <v>3826</v>
      </c>
      <c r="C47" s="6" t="s">
        <v>3827</v>
      </c>
      <c r="D47" s="6" t="s">
        <v>3828</v>
      </c>
      <c r="E47" s="6" t="s">
        <v>3829</v>
      </c>
      <c r="F47" s="26" t="str">
        <f aca="false">(COUNTIFS('Control Library'!$A$5:$A$50,"AI-CTRL-031",'Control Library'!$R$5:$R$50,"Implemented")+COUNTIFS('Control Library'!$A$5:$A$50,"AI-CTRL-004",'Control Library'!$R$5:$R$50,"Implemented")+COUNTIFS('Control Library'!$A$5:$A$50,"AI-CTRL-033",'Control Library'!$R$5:$R$50,"Implemented"))&amp;" of 3"</f>
        <v>0 of 3</v>
      </c>
      <c r="G47" s="43" t="str">
        <f aca="false">IF((COUNTIFS('Control Library'!$A$5:$A$50,"AI-CTRL-031",'Control Library'!$R$5:$R$50,"Implemented")+COUNTIFS('Control Library'!$A$5:$A$50,"AI-CTRL-004",'Control Library'!$R$5:$R$50,"Implemented")+COUNTIFS('Control Library'!$A$5:$A$50,"AI-CTRL-033",'Control Library'!$R$5:$R$50,"Implemented"))=3,"Fully covered",IF((COUNTIFS('Control Library'!$A$5:$A$50,"AI-CTRL-031",'Control Library'!$R$5:$R$50,"Implemented")+COUNTIFS('Control Library'!$A$5:$A$50,"AI-CTRL-004",'Control Library'!$R$5:$R$50,"Implemented")+COUNTIFS('Control Library'!$A$5:$A$50,"AI-CTRL-033",'Control Library'!$R$5:$R$50,"Implemented"))=0,"Not covered","Partly covered"))</f>
        <v>Not covered</v>
      </c>
    </row>
    <row r="48" customFormat="false" ht="35.05" hidden="false" customHeight="false" outlineLevel="0" collapsed="false">
      <c r="A48" s="36" t="s">
        <v>3830</v>
      </c>
      <c r="B48" s="76" t="s">
        <v>3831</v>
      </c>
      <c r="C48" s="76" t="s">
        <v>3832</v>
      </c>
      <c r="D48" s="76" t="s">
        <v>3833</v>
      </c>
      <c r="E48" s="76" t="s">
        <v>3834</v>
      </c>
      <c r="F48" s="26" t="str">
        <f aca="false">(COUNTIFS('Control Library'!$A$5:$A$50,"AI-CTRL-031",'Control Library'!$R$5:$R$50,"Implemented")+COUNTIFS('Control Library'!$A$5:$A$50,"AI-CTRL-034",'Control Library'!$R$5:$R$50,"Implemented")+COUNTIFS('Control Library'!$A$5:$A$50,"AI-CTRL-033",'Control Library'!$R$5:$R$50,"Implemented"))&amp;" of 3"</f>
        <v>0 of 3</v>
      </c>
      <c r="G48" s="43" t="str">
        <f aca="false">IF((COUNTIFS('Control Library'!$A$5:$A$50,"AI-CTRL-031",'Control Library'!$R$5:$R$50,"Implemented")+COUNTIFS('Control Library'!$A$5:$A$50,"AI-CTRL-034",'Control Library'!$R$5:$R$50,"Implemented")+COUNTIFS('Control Library'!$A$5:$A$50,"AI-CTRL-033",'Control Library'!$R$5:$R$50,"Implemented"))=3,"Fully covered",IF((COUNTIFS('Control Library'!$A$5:$A$50,"AI-CTRL-031",'Control Library'!$R$5:$R$50,"Implemented")+COUNTIFS('Control Library'!$A$5:$A$50,"AI-CTRL-034",'Control Library'!$R$5:$R$50,"Implemented")+COUNTIFS('Control Library'!$A$5:$A$50,"AI-CTRL-033",'Control Library'!$R$5:$R$50,"Implemented"))=0,"Not covered","Partly covered"))</f>
        <v>Not covered</v>
      </c>
    </row>
    <row r="49" customFormat="false" ht="35.05" hidden="false" customHeight="false" outlineLevel="0" collapsed="false">
      <c r="A49" s="36" t="s">
        <v>3835</v>
      </c>
      <c r="B49" s="6" t="s">
        <v>3836</v>
      </c>
      <c r="C49" s="6" t="s">
        <v>3837</v>
      </c>
      <c r="D49" s="6" t="s">
        <v>3838</v>
      </c>
      <c r="E49" s="6" t="s">
        <v>3839</v>
      </c>
      <c r="F49" s="26" t="str">
        <f aca="false">(COUNTIFS('Control Library'!$A$5:$A$50,"AI-CTRL-015",'Control Library'!$R$5:$R$50,"Implemented")+COUNTIFS('Control Library'!$A$5:$A$50,"AI-CTRL-008",'Control Library'!$R$5:$R$50,"Implemented")+COUNTIFS('Control Library'!$A$5:$A$50,"AI-CTRL-009",'Control Library'!$R$5:$R$50,"Implemented"))&amp;" of 3"</f>
        <v>0 of 3</v>
      </c>
      <c r="G49" s="43" t="str">
        <f aca="false">IF((COUNTIFS('Control Library'!$A$5:$A$50,"AI-CTRL-015",'Control Library'!$R$5:$R$50,"Implemented")+COUNTIFS('Control Library'!$A$5:$A$50,"AI-CTRL-008",'Control Library'!$R$5:$R$50,"Implemented")+COUNTIFS('Control Library'!$A$5:$A$50,"AI-CTRL-009",'Control Library'!$R$5:$R$50,"Implemented"))=3,"Fully covered",IF((COUNTIFS('Control Library'!$A$5:$A$50,"AI-CTRL-015",'Control Library'!$R$5:$R$50,"Implemented")+COUNTIFS('Control Library'!$A$5:$A$50,"AI-CTRL-008",'Control Library'!$R$5:$R$50,"Implemented")+COUNTIFS('Control Library'!$A$5:$A$50,"AI-CTRL-009",'Control Library'!$R$5:$R$50,"Implemented"))=0,"Not covered","Partly covered"))</f>
        <v>Not covered</v>
      </c>
    </row>
    <row r="50" customFormat="false" ht="35.05" hidden="false" customHeight="false" outlineLevel="0" collapsed="false">
      <c r="A50" s="36" t="s">
        <v>3840</v>
      </c>
      <c r="B50" s="76" t="s">
        <v>3841</v>
      </c>
      <c r="C50" s="76" t="s">
        <v>3842</v>
      </c>
      <c r="D50" s="76" t="s">
        <v>3843</v>
      </c>
      <c r="E50" s="76" t="s">
        <v>3844</v>
      </c>
      <c r="F50" s="26" t="str">
        <f aca="false">(COUNTIFS('Control Library'!$A$5:$A$50,"AI-CTRL-015",'Control Library'!$R$5:$R$50,"Implemented")+COUNTIFS('Control Library'!$A$5:$A$50,"AI-CTRL-016",'Control Library'!$R$5:$R$50,"Implemented")+COUNTIFS('Control Library'!$A$5:$A$50,"AI-CTRL-006",'Control Library'!$R$5:$R$50,"Implemented"))&amp;" of 3"</f>
        <v>0 of 3</v>
      </c>
      <c r="G50" s="43" t="str">
        <f aca="false">IF((COUNTIFS('Control Library'!$A$5:$A$50,"AI-CTRL-015",'Control Library'!$R$5:$R$50,"Implemented")+COUNTIFS('Control Library'!$A$5:$A$50,"AI-CTRL-016",'Control Library'!$R$5:$R$50,"Implemented")+COUNTIFS('Control Library'!$A$5:$A$50,"AI-CTRL-006",'Control Library'!$R$5:$R$50,"Implemented"))=3,"Fully covered",IF((COUNTIFS('Control Library'!$A$5:$A$50,"AI-CTRL-015",'Control Library'!$R$5:$R$50,"Implemented")+COUNTIFS('Control Library'!$A$5:$A$50,"AI-CTRL-016",'Control Library'!$R$5:$R$50,"Implemented")+COUNTIFS('Control Library'!$A$5:$A$50,"AI-CTRL-006",'Control Library'!$R$5:$R$50,"Implemented"))=0,"Not covered","Partly covered"))</f>
        <v>Not covered</v>
      </c>
    </row>
    <row r="51" customFormat="false" ht="35.05" hidden="false" customHeight="false" outlineLevel="0" collapsed="false">
      <c r="A51" s="36" t="s">
        <v>3845</v>
      </c>
      <c r="B51" s="6" t="s">
        <v>3846</v>
      </c>
      <c r="C51" s="6" t="s">
        <v>3847</v>
      </c>
      <c r="D51" s="6" t="s">
        <v>3848</v>
      </c>
      <c r="E51" s="6" t="s">
        <v>3849</v>
      </c>
      <c r="F51" s="26" t="str">
        <f aca="false">(COUNTIFS('Control Library'!$A$5:$A$50,"AI-CTRL-028",'Control Library'!$R$5:$R$50,"Implemented")+COUNTIFS('Control Library'!$A$5:$A$50,"AI-CTRL-036",'Control Library'!$R$5:$R$50,"Implemented")+COUNTIFS('Control Library'!$A$5:$A$50,"AI-CTRL-009",'Control Library'!$R$5:$R$50,"Implemented")+COUNTIFS('Control Library'!$A$5:$A$50,"AI-CTRL-034",'Control Library'!$R$5:$R$50,"Implemented"))&amp;" of 4"</f>
        <v>0 of 4</v>
      </c>
      <c r="G51" s="43" t="str">
        <f aca="false">IF((COUNTIFS('Control Library'!$A$5:$A$50,"AI-CTRL-028",'Control Library'!$R$5:$R$50,"Implemented")+COUNTIFS('Control Library'!$A$5:$A$50,"AI-CTRL-036",'Control Library'!$R$5:$R$50,"Implemented")+COUNTIFS('Control Library'!$A$5:$A$50,"AI-CTRL-009",'Control Library'!$R$5:$R$50,"Implemented")+COUNTIFS('Control Library'!$A$5:$A$50,"AI-CTRL-034",'Control Library'!$R$5:$R$50,"Implemented"))=4,"Fully covered",IF((COUNTIFS('Control Library'!$A$5:$A$50,"AI-CTRL-028",'Control Library'!$R$5:$R$50,"Implemented")+COUNTIFS('Control Library'!$A$5:$A$50,"AI-CTRL-036",'Control Library'!$R$5:$R$50,"Implemented")+COUNTIFS('Control Library'!$A$5:$A$50,"AI-CTRL-009",'Control Library'!$R$5:$R$50,"Implemented")+COUNTIFS('Control Library'!$A$5:$A$50,"AI-CTRL-034",'Control Library'!$R$5:$R$50,"Implemented"))=0,"Not covered","Partly covered"))</f>
        <v>Not covered</v>
      </c>
    </row>
    <row r="52" customFormat="false" ht="35.05" hidden="false" customHeight="false" outlineLevel="0" collapsed="false">
      <c r="A52" s="36" t="s">
        <v>3850</v>
      </c>
      <c r="B52" s="76" t="s">
        <v>3851</v>
      </c>
      <c r="C52" s="76" t="s">
        <v>3852</v>
      </c>
      <c r="D52" s="76" t="s">
        <v>3853</v>
      </c>
      <c r="E52" s="76" t="s">
        <v>3854</v>
      </c>
      <c r="F52" s="26" t="str">
        <f aca="false">(COUNTIFS('Control Library'!$A$5:$A$50,"AI-CTRL-035",'Control Library'!$R$5:$R$50,"Implemented")+COUNTIFS('Control Library'!$A$5:$A$50,"AI-CTRL-009",'Control Library'!$R$5:$R$50,"Implemented")+COUNTIFS('Control Library'!$A$5:$A$50,"AI-CTRL-043",'Control Library'!$R$5:$R$50,"Implemented")+COUNTIFS('Control Library'!$A$5:$A$50,"AI-CTRL-008",'Control Library'!$R$5:$R$50,"Implemented"))&amp;" of 4"</f>
        <v>0 of 4</v>
      </c>
      <c r="G52" s="43" t="str">
        <f aca="false">IF((COUNTIFS('Control Library'!$A$5:$A$50,"AI-CTRL-035",'Control Library'!$R$5:$R$50,"Implemented")+COUNTIFS('Control Library'!$A$5:$A$50,"AI-CTRL-009",'Control Library'!$R$5:$R$50,"Implemented")+COUNTIFS('Control Library'!$A$5:$A$50,"AI-CTRL-043",'Control Library'!$R$5:$R$50,"Implemented")+COUNTIFS('Control Library'!$A$5:$A$50,"AI-CTRL-008",'Control Library'!$R$5:$R$50,"Implemented"))=4,"Fully covered",IF((COUNTIFS('Control Library'!$A$5:$A$50,"AI-CTRL-035",'Control Library'!$R$5:$R$50,"Implemented")+COUNTIFS('Control Library'!$A$5:$A$50,"AI-CTRL-009",'Control Library'!$R$5:$R$50,"Implemented")+COUNTIFS('Control Library'!$A$5:$A$50,"AI-CTRL-043",'Control Library'!$R$5:$R$50,"Implemented")+COUNTIFS('Control Library'!$A$5:$A$50,"AI-CTRL-008",'Control Library'!$R$5:$R$50,"Implemented"))=0,"Not covered","Partly covered"))</f>
        <v>Not covered</v>
      </c>
    </row>
    <row r="53" customFormat="false" ht="46.25" hidden="false" customHeight="false" outlineLevel="0" collapsed="false">
      <c r="A53" s="36" t="s">
        <v>3855</v>
      </c>
      <c r="B53" s="6" t="s">
        <v>3856</v>
      </c>
      <c r="C53" s="6" t="s">
        <v>3857</v>
      </c>
      <c r="D53" s="6" t="s">
        <v>3858</v>
      </c>
      <c r="E53" s="6" t="s">
        <v>3859</v>
      </c>
      <c r="F53" s="26" t="str">
        <f aca="false">(COUNTIFS('Control Library'!$A$5:$A$50,"AI-CTRL-013",'Control Library'!$R$5:$R$50,"Implemented")+COUNTIFS('Control Library'!$A$5:$A$50,"AI-CTRL-017",'Control Library'!$R$5:$R$50,"Implemented")+COUNTIFS('Control Library'!$A$5:$A$50,"AI-CTRL-029",'Control Library'!$R$5:$R$50,"Implemented")+COUNTIFS('Control Library'!$A$5:$A$50,"AI-CTRL-042",'Control Library'!$R$5:$R$50,"Implemented"))&amp;" of 4"</f>
        <v>0 of 4</v>
      </c>
      <c r="G53" s="43" t="str">
        <f aca="false">IF((COUNTIFS('Control Library'!$A$5:$A$50,"AI-CTRL-013",'Control Library'!$R$5:$R$50,"Implemented")+COUNTIFS('Control Library'!$A$5:$A$50,"AI-CTRL-017",'Control Library'!$R$5:$R$50,"Implemented")+COUNTIFS('Control Library'!$A$5:$A$50,"AI-CTRL-029",'Control Library'!$R$5:$R$50,"Implemented")+COUNTIFS('Control Library'!$A$5:$A$50,"AI-CTRL-042",'Control Library'!$R$5:$R$50,"Implemented"))=4,"Fully covered",IF((COUNTIFS('Control Library'!$A$5:$A$50,"AI-CTRL-013",'Control Library'!$R$5:$R$50,"Implemented")+COUNTIFS('Control Library'!$A$5:$A$50,"AI-CTRL-017",'Control Library'!$R$5:$R$50,"Implemented")+COUNTIFS('Control Library'!$A$5:$A$50,"AI-CTRL-029",'Control Library'!$R$5:$R$50,"Implemented")+COUNTIFS('Control Library'!$A$5:$A$50,"AI-CTRL-042",'Control Library'!$R$5:$R$50,"Implemented"))=0,"Not covered","Partly covered"))</f>
        <v>Not covered</v>
      </c>
    </row>
    <row r="54" customFormat="false" ht="35.05" hidden="false" customHeight="false" outlineLevel="0" collapsed="false">
      <c r="A54" s="36" t="s">
        <v>3860</v>
      </c>
      <c r="B54" s="76" t="s">
        <v>3861</v>
      </c>
      <c r="C54" s="76" t="s">
        <v>3862</v>
      </c>
      <c r="D54" s="76" t="s">
        <v>3863</v>
      </c>
      <c r="E54" s="76" t="s">
        <v>3864</v>
      </c>
      <c r="F54" s="26" t="str">
        <f aca="false">(COUNTIFS('Control Library'!$A$5:$A$50,"AI-CTRL-030",'Control Library'!$R$5:$R$50,"Implemented")+COUNTIFS('Control Library'!$A$5:$A$50,"AI-CTRL-034",'Control Library'!$R$5:$R$50,"Implemented")+COUNTIFS('Control Library'!$A$5:$A$50,"AI-CTRL-008",'Control Library'!$R$5:$R$50,"Implemented")+COUNTIFS('Control Library'!$A$5:$A$50,"AI-CTRL-033",'Control Library'!$R$5:$R$50,"Implemented"))&amp;" of 4"</f>
        <v>0 of 4</v>
      </c>
      <c r="G54" s="43" t="str">
        <f aca="false">IF((COUNTIFS('Control Library'!$A$5:$A$50,"AI-CTRL-030",'Control Library'!$R$5:$R$50,"Implemented")+COUNTIFS('Control Library'!$A$5:$A$50,"AI-CTRL-034",'Control Library'!$R$5:$R$50,"Implemented")+COUNTIFS('Control Library'!$A$5:$A$50,"AI-CTRL-008",'Control Library'!$R$5:$R$50,"Implemented")+COUNTIFS('Control Library'!$A$5:$A$50,"AI-CTRL-033",'Control Library'!$R$5:$R$50,"Implemented"))=4,"Fully covered",IF((COUNTIFS('Control Library'!$A$5:$A$50,"AI-CTRL-030",'Control Library'!$R$5:$R$50,"Implemented")+COUNTIFS('Control Library'!$A$5:$A$50,"AI-CTRL-034",'Control Library'!$R$5:$R$50,"Implemented")+COUNTIFS('Control Library'!$A$5:$A$50,"AI-CTRL-008",'Control Library'!$R$5:$R$50,"Implemented")+COUNTIFS('Control Library'!$A$5:$A$50,"AI-CTRL-033",'Control Library'!$R$5:$R$50,"Implemented"))=0,"Not covered","Partly covered"))</f>
        <v>Not covered</v>
      </c>
    </row>
    <row r="55" customFormat="false" ht="35.05" hidden="false" customHeight="false" outlineLevel="0" collapsed="false">
      <c r="A55" s="36" t="s">
        <v>3865</v>
      </c>
      <c r="B55" s="6" t="s">
        <v>3866</v>
      </c>
      <c r="C55" s="6" t="s">
        <v>3867</v>
      </c>
      <c r="D55" s="6" t="s">
        <v>3868</v>
      </c>
      <c r="E55" s="6" t="s">
        <v>3869</v>
      </c>
      <c r="F55" s="26" t="str">
        <f aca="false">(COUNTIFS('Control Library'!$A$5:$A$50,"AI-CTRL-042",'Control Library'!$R$5:$R$50,"Implemented")+COUNTIFS('Control Library'!$A$5:$A$50,"AI-CTRL-045",'Control Library'!$R$5:$R$50,"Implemented")+COUNTIFS('Control Library'!$A$5:$A$50,"AI-CTRL-014",'Control Library'!$R$5:$R$50,"Implemented")+COUNTIFS('Control Library'!$A$5:$A$50,"AI-CTRL-037",'Control Library'!$R$5:$R$50,"Implemented"))&amp;" of 4"</f>
        <v>0 of 4</v>
      </c>
      <c r="G55" s="43" t="str">
        <f aca="false">IF((COUNTIFS('Control Library'!$A$5:$A$50,"AI-CTRL-042",'Control Library'!$R$5:$R$50,"Implemented")+COUNTIFS('Control Library'!$A$5:$A$50,"AI-CTRL-045",'Control Library'!$R$5:$R$50,"Implemented")+COUNTIFS('Control Library'!$A$5:$A$50,"AI-CTRL-014",'Control Library'!$R$5:$R$50,"Implemented")+COUNTIFS('Control Library'!$A$5:$A$50,"AI-CTRL-037",'Control Library'!$R$5:$R$50,"Implemented"))=4,"Fully covered",IF((COUNTIFS('Control Library'!$A$5:$A$50,"AI-CTRL-042",'Control Library'!$R$5:$R$50,"Implemented")+COUNTIFS('Control Library'!$A$5:$A$50,"AI-CTRL-045",'Control Library'!$R$5:$R$50,"Implemented")+COUNTIFS('Control Library'!$A$5:$A$50,"AI-CTRL-014",'Control Library'!$R$5:$R$50,"Implemented")+COUNTIFS('Control Library'!$A$5:$A$50,"AI-CTRL-037",'Control Library'!$R$5:$R$50,"Implemented"))=0,"Not covered","Partly covered"))</f>
        <v>Not covered</v>
      </c>
    </row>
    <row r="56" customFormat="false" ht="35.05" hidden="false" customHeight="false" outlineLevel="0" collapsed="false">
      <c r="A56" s="36" t="s">
        <v>3870</v>
      </c>
      <c r="B56" s="76" t="s">
        <v>3871</v>
      </c>
      <c r="C56" s="76" t="s">
        <v>3872</v>
      </c>
      <c r="D56" s="76" t="s">
        <v>3873</v>
      </c>
      <c r="E56" s="76" t="s">
        <v>3874</v>
      </c>
      <c r="F56" s="26" t="str">
        <f aca="false">(COUNTIFS('Control Library'!$A$5:$A$50,"AI-CTRL-031",'Control Library'!$R$5:$R$50,"Implemented")+COUNTIFS('Control Library'!$A$5:$A$50,"AI-CTRL-033",'Control Library'!$R$5:$R$50,"Implemented")+COUNTIFS('Control Library'!$A$5:$A$50,"AI-CTRL-030",'Control Library'!$R$5:$R$50,"Implemented"))&amp;" of 3"</f>
        <v>0 of 3</v>
      </c>
      <c r="G56" s="43" t="str">
        <f aca="false">IF((COUNTIFS('Control Library'!$A$5:$A$50,"AI-CTRL-031",'Control Library'!$R$5:$R$50,"Implemented")+COUNTIFS('Control Library'!$A$5:$A$50,"AI-CTRL-033",'Control Library'!$R$5:$R$50,"Implemented")+COUNTIFS('Control Library'!$A$5:$A$50,"AI-CTRL-030",'Control Library'!$R$5:$R$50,"Implemented"))=3,"Fully covered",IF((COUNTIFS('Control Library'!$A$5:$A$50,"AI-CTRL-031",'Control Library'!$R$5:$R$50,"Implemented")+COUNTIFS('Control Library'!$A$5:$A$50,"AI-CTRL-033",'Control Library'!$R$5:$R$50,"Implemented")+COUNTIFS('Control Library'!$A$5:$A$50,"AI-CTRL-030",'Control Library'!$R$5:$R$50,"Implemented"))=0,"Not covered","Partly covered"))</f>
        <v>Not covered</v>
      </c>
    </row>
    <row r="57" customFormat="false" ht="35.05" hidden="false" customHeight="false" outlineLevel="0" collapsed="false">
      <c r="A57" s="36" t="s">
        <v>3875</v>
      </c>
      <c r="B57" s="6" t="s">
        <v>3876</v>
      </c>
      <c r="C57" s="6" t="s">
        <v>3877</v>
      </c>
      <c r="D57" s="6" t="s">
        <v>3878</v>
      </c>
      <c r="E57" s="6" t="s">
        <v>3879</v>
      </c>
      <c r="F57" s="26" t="str">
        <f aca="false">(COUNTIFS('Control Library'!$A$5:$A$50,"AI-CTRL-039",'Control Library'!$R$5:$R$50,"Implemented")+COUNTIFS('Control Library'!$A$5:$A$50,"AI-CTRL-020",'Control Library'!$R$5:$R$50,"Implemented")+COUNTIFS('Control Library'!$A$5:$A$50,"AI-CTRL-013",'Control Library'!$R$5:$R$50,"Implemented"))&amp;" of 3"</f>
        <v>0 of 3</v>
      </c>
      <c r="G57" s="43" t="str">
        <f aca="false">IF((COUNTIFS('Control Library'!$A$5:$A$50,"AI-CTRL-039",'Control Library'!$R$5:$R$50,"Implemented")+COUNTIFS('Control Library'!$A$5:$A$50,"AI-CTRL-020",'Control Library'!$R$5:$R$50,"Implemented")+COUNTIFS('Control Library'!$A$5:$A$50,"AI-CTRL-013",'Control Library'!$R$5:$R$50,"Implemented"))=3,"Fully covered",IF((COUNTIFS('Control Library'!$A$5:$A$50,"AI-CTRL-039",'Control Library'!$R$5:$R$50,"Implemented")+COUNTIFS('Control Library'!$A$5:$A$50,"AI-CTRL-020",'Control Library'!$R$5:$R$50,"Implemented")+COUNTIFS('Control Library'!$A$5:$A$50,"AI-CTRL-013",'Control Library'!$R$5:$R$50,"Implemented"))=0,"Not covered","Partly covered"))</f>
        <v>Not covered</v>
      </c>
    </row>
    <row r="58" customFormat="false" ht="46.25" hidden="false" customHeight="false" outlineLevel="0" collapsed="false">
      <c r="A58" s="36" t="s">
        <v>3880</v>
      </c>
      <c r="B58" s="76" t="s">
        <v>3881</v>
      </c>
      <c r="C58" s="76" t="s">
        <v>3882</v>
      </c>
      <c r="D58" s="76" t="s">
        <v>3883</v>
      </c>
      <c r="E58" s="76" t="s">
        <v>3884</v>
      </c>
      <c r="F58" s="26" t="str">
        <f aca="false">(COUNTIFS('Control Library'!$A$5:$A$50,"AI-CTRL-015",'Control Library'!$R$5:$R$50,"Implemented")+COUNTIFS('Control Library'!$A$5:$A$50,"AI-CTRL-008",'Control Library'!$R$5:$R$50,"Implemented")+COUNTIFS('Control Library'!$A$5:$A$50,"AI-CTRL-006",'Control Library'!$R$5:$R$50,"Implemented"))&amp;" of 3"</f>
        <v>0 of 3</v>
      </c>
      <c r="G58" s="43" t="str">
        <f aca="false">IF((COUNTIFS('Control Library'!$A$5:$A$50,"AI-CTRL-015",'Control Library'!$R$5:$R$50,"Implemented")+COUNTIFS('Control Library'!$A$5:$A$50,"AI-CTRL-008",'Control Library'!$R$5:$R$50,"Implemented")+COUNTIFS('Control Library'!$A$5:$A$50,"AI-CTRL-006",'Control Library'!$R$5:$R$50,"Implemented"))=3,"Fully covered",IF((COUNTIFS('Control Library'!$A$5:$A$50,"AI-CTRL-015",'Control Library'!$R$5:$R$50,"Implemented")+COUNTIFS('Control Library'!$A$5:$A$50,"AI-CTRL-008",'Control Library'!$R$5:$R$50,"Implemented")+COUNTIFS('Control Library'!$A$5:$A$50,"AI-CTRL-006",'Control Library'!$R$5:$R$50,"Implemented"))=0,"Not covered","Partly covered"))</f>
        <v>Not covered</v>
      </c>
    </row>
    <row r="59" customFormat="false" ht="46.25" hidden="false" customHeight="false" outlineLevel="0" collapsed="false">
      <c r="A59" s="36" t="s">
        <v>2350</v>
      </c>
      <c r="B59" s="6" t="s">
        <v>3885</v>
      </c>
      <c r="C59" s="6" t="s">
        <v>3886</v>
      </c>
      <c r="D59" s="6" t="s">
        <v>3887</v>
      </c>
      <c r="E59" s="6" t="s">
        <v>3888</v>
      </c>
      <c r="F59" s="26" t="str">
        <f aca="false">(COUNTIFS('Control Library'!$A$5:$A$50,"AI-CTRL-037",'Control Library'!$R$5:$R$50,"Implemented")+COUNTIFS('Control Library'!$A$5:$A$50,"AI-CTRL-027",'Control Library'!$R$5:$R$50,"Implemented")+COUNTIFS('Control Library'!$A$5:$A$50,"AI-CTRL-033",'Control Library'!$R$5:$R$50,"Implemented")+COUNTIFS('Control Library'!$A$5:$A$50,"AI-CTRL-025",'Control Library'!$R$5:$R$50,"Implemented"))&amp;" of 4"</f>
        <v>0 of 4</v>
      </c>
      <c r="G59" s="43" t="str">
        <f aca="false">IF((COUNTIFS('Control Library'!$A$5:$A$50,"AI-CTRL-037",'Control Library'!$R$5:$R$50,"Implemented")+COUNTIFS('Control Library'!$A$5:$A$50,"AI-CTRL-027",'Control Library'!$R$5:$R$50,"Implemented")+COUNTIFS('Control Library'!$A$5:$A$50,"AI-CTRL-033",'Control Library'!$R$5:$R$50,"Implemented")+COUNTIFS('Control Library'!$A$5:$A$50,"AI-CTRL-025",'Control Library'!$R$5:$R$50,"Implemented"))=4,"Fully covered",IF((COUNTIFS('Control Library'!$A$5:$A$50,"AI-CTRL-037",'Control Library'!$R$5:$R$50,"Implemented")+COUNTIFS('Control Library'!$A$5:$A$50,"AI-CTRL-027",'Control Library'!$R$5:$R$50,"Implemented")+COUNTIFS('Control Library'!$A$5:$A$50,"AI-CTRL-033",'Control Library'!$R$5:$R$50,"Implemented")+COUNTIFS('Control Library'!$A$5:$A$50,"AI-CTRL-025",'Control Library'!$R$5:$R$50,"Implemented"))=0,"Not covered","Partly covered"))</f>
        <v>Not covered</v>
      </c>
    </row>
  </sheetData>
  <conditionalFormatting sqref="G5:G59">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3"/>
    <col collapsed="false" customWidth="true" hidden="false" outlineLevel="0" max="2" min="2" style="0" width="14"/>
    <col collapsed="false" customWidth="true" hidden="false" outlineLevel="0" max="3" min="3" style="0" width="21"/>
  </cols>
  <sheetData>
    <row r="1" customFormat="false" ht="15" hidden="false" customHeight="false" outlineLevel="0" collapsed="false">
      <c r="A1" s="77" t="s">
        <v>3889</v>
      </c>
      <c r="B1" s="77" t="s">
        <v>3890</v>
      </c>
      <c r="C1" s="77" t="s">
        <v>3891</v>
      </c>
    </row>
    <row r="2" customFormat="false" ht="15" hidden="false" customHeight="false" outlineLevel="0" collapsed="false">
      <c r="A2" s="0" t="s">
        <v>103</v>
      </c>
      <c r="B2" s="0" t="s">
        <v>171</v>
      </c>
      <c r="C2" s="0" t="s">
        <v>3892</v>
      </c>
    </row>
    <row r="3" customFormat="false" ht="15" hidden="false" customHeight="false" outlineLevel="0" collapsed="false">
      <c r="A3" s="0" t="s">
        <v>104</v>
      </c>
      <c r="B3" s="0" t="s">
        <v>3893</v>
      </c>
      <c r="C3" s="0" t="s">
        <v>3894</v>
      </c>
    </row>
    <row r="4" customFormat="false" ht="15" hidden="false" customHeight="false" outlineLevel="0" collapsed="false">
      <c r="A4" s="0" t="s">
        <v>105</v>
      </c>
      <c r="C4" s="0" t="s">
        <v>3895</v>
      </c>
    </row>
    <row r="5" customFormat="false" ht="15" hidden="false" customHeight="false" outlineLevel="0" collapsed="false">
      <c r="A5" s="0" t="s">
        <v>106</v>
      </c>
      <c r="C5" s="0" t="s">
        <v>3896</v>
      </c>
    </row>
    <row r="6" customFormat="false" ht="15" hidden="false" customHeight="false" outlineLevel="0" collapsed="false">
      <c r="A6" s="0"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2026-10-29T19:05:25Z</dcterms:created>
  <dc:creator>Nachiket Sathaye; Ankush Jain</dc:creator>
  <dc:description>Copyright (c) 2026 Nachiket Sathaye and Ankush Jain.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2026-10-29T19:05:26Z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